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ACF65CBB-2989-40B7-8B53-8BDD5C2097B8}" xr6:coauthVersionLast="47" xr6:coauthVersionMax="47" xr10:uidLastSave="{00000000-0000-0000-0000-000000000000}"/>
  <bookViews>
    <workbookView xWindow="-110" yWindow="-110" windowWidth="19420" windowHeight="10300" activeTab="2" xr2:uid="{00000000-000D-0000-FFFF-FFFF00000000}"/>
  </bookViews>
  <sheets>
    <sheet name="Sheet2" sheetId="8" r:id="rId1"/>
    <sheet name="Sheet3" sheetId="9" r:id="rId2"/>
    <sheet name="ViviEmbroidery" sheetId="6" r:id="rId3"/>
    <sheet name="Sheet1" sheetId="7" r:id="rId4"/>
  </sheets>
  <definedNames>
    <definedName name="_xlnm._FilterDatabase" localSheetId="2" hidden="1">ViviEmbroidery!$D$1:$D$3406</definedName>
  </definedNames>
  <calcPr calcId="191029"/>
  <pivotCaches>
    <pivotCache cacheId="28" r:id="rId5"/>
    <pivotCache cacheId="31"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9" l="1"/>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D1107" i="6"/>
  <c r="K678" i="6"/>
  <c r="D1286" i="6"/>
  <c r="K1344"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337" i="6"/>
  <c r="G2338" i="6"/>
  <c r="G2339" i="6"/>
  <c r="G2340" i="6"/>
  <c r="G2341" i="6"/>
  <c r="G2342" i="6"/>
  <c r="G2343" i="6"/>
  <c r="G2344" i="6"/>
  <c r="G2345" i="6"/>
  <c r="G2346" i="6"/>
  <c r="G2347" i="6"/>
  <c r="G2348" i="6"/>
  <c r="G2349" i="6"/>
  <c r="G2350" i="6"/>
  <c r="G2351" i="6"/>
  <c r="G2352" i="6"/>
  <c r="G2353" i="6"/>
  <c r="G2354" i="6"/>
  <c r="G2355" i="6"/>
  <c r="G2356" i="6"/>
  <c r="G2357" i="6"/>
  <c r="G2358" i="6"/>
  <c r="G2359" i="6"/>
  <c r="G2360" i="6"/>
  <c r="G2361" i="6"/>
  <c r="G2362" i="6"/>
  <c r="G2363" i="6"/>
  <c r="G2364" i="6"/>
  <c r="G2365" i="6"/>
  <c r="G2366" i="6"/>
  <c r="G2367" i="6"/>
  <c r="G2368" i="6"/>
  <c r="G2369" i="6"/>
  <c r="G2370" i="6"/>
  <c r="G2371" i="6"/>
  <c r="G2372" i="6"/>
  <c r="G2373" i="6"/>
  <c r="G2374" i="6"/>
  <c r="G2375" i="6"/>
  <c r="G2376" i="6"/>
  <c r="G2377" i="6"/>
  <c r="G2378" i="6"/>
  <c r="G2379" i="6"/>
  <c r="G2380" i="6"/>
  <c r="G2381" i="6"/>
  <c r="G2382" i="6"/>
  <c r="G2383" i="6"/>
  <c r="G2384" i="6"/>
  <c r="G2385" i="6"/>
  <c r="G2386" i="6"/>
  <c r="G2387" i="6"/>
  <c r="G2388" i="6"/>
  <c r="G2389" i="6"/>
  <c r="G2390" i="6"/>
  <c r="G2391" i="6"/>
  <c r="G2392" i="6"/>
  <c r="G2393" i="6"/>
  <c r="G2394" i="6"/>
  <c r="G2395" i="6"/>
  <c r="G2396" i="6"/>
  <c r="G2397" i="6"/>
  <c r="G2398" i="6"/>
  <c r="G2399" i="6"/>
  <c r="G2400" i="6"/>
  <c r="G2401" i="6"/>
  <c r="G2402" i="6"/>
  <c r="G2403" i="6"/>
  <c r="G2404" i="6"/>
  <c r="G2405" i="6"/>
  <c r="G2406" i="6"/>
  <c r="G2407" i="6"/>
  <c r="G2408" i="6"/>
  <c r="G2409" i="6"/>
  <c r="G2410" i="6"/>
  <c r="G2411" i="6"/>
  <c r="G2412" i="6"/>
  <c r="G2413" i="6"/>
  <c r="G2414" i="6"/>
  <c r="G2415" i="6"/>
  <c r="G2416" i="6"/>
  <c r="G2417" i="6"/>
  <c r="G2418" i="6"/>
  <c r="G2419" i="6"/>
  <c r="G2420" i="6"/>
  <c r="G2421" i="6"/>
  <c r="G2422" i="6"/>
  <c r="G2423" i="6"/>
  <c r="G2424" i="6"/>
  <c r="G2425" i="6"/>
  <c r="G2426" i="6"/>
  <c r="G2427" i="6"/>
  <c r="G2428" i="6"/>
  <c r="G2429" i="6"/>
  <c r="G2430" i="6"/>
  <c r="G2431" i="6"/>
  <c r="G2432" i="6"/>
  <c r="G2433" i="6"/>
  <c r="G2434" i="6"/>
  <c r="G2435" i="6"/>
  <c r="G2436" i="6"/>
  <c r="G2437" i="6"/>
  <c r="G2438" i="6"/>
  <c r="G2439" i="6"/>
  <c r="G2440" i="6"/>
  <c r="G2441" i="6"/>
  <c r="G2442" i="6"/>
  <c r="G2443" i="6"/>
  <c r="G2444" i="6"/>
  <c r="G2445" i="6"/>
  <c r="G2446" i="6"/>
  <c r="G2447" i="6"/>
  <c r="G2448" i="6"/>
  <c r="G2449" i="6"/>
  <c r="G2450" i="6"/>
  <c r="G2451" i="6"/>
  <c r="G2452" i="6"/>
  <c r="G2453" i="6"/>
  <c r="G2454" i="6"/>
  <c r="G2455" i="6"/>
  <c r="G2456" i="6"/>
  <c r="G2457" i="6"/>
  <c r="G2458" i="6"/>
  <c r="G2459" i="6"/>
  <c r="G2460" i="6"/>
  <c r="G2461" i="6"/>
  <c r="G2462" i="6"/>
  <c r="G2463" i="6"/>
  <c r="G2464" i="6"/>
  <c r="G2465" i="6"/>
  <c r="G2466" i="6"/>
  <c r="G2467" i="6"/>
  <c r="G2468" i="6"/>
  <c r="G2469" i="6"/>
  <c r="G2470" i="6"/>
  <c r="G2471" i="6"/>
  <c r="G2472" i="6"/>
  <c r="G2473" i="6"/>
  <c r="G2474" i="6"/>
  <c r="G2475" i="6"/>
  <c r="G2476" i="6"/>
  <c r="G2477" i="6"/>
  <c r="G2478" i="6"/>
  <c r="G2479" i="6"/>
  <c r="G2480" i="6"/>
  <c r="G2481" i="6"/>
  <c r="G2482" i="6"/>
  <c r="G2483" i="6"/>
  <c r="G2484" i="6"/>
  <c r="G2485" i="6"/>
  <c r="G2486" i="6"/>
  <c r="G2487" i="6"/>
  <c r="G2488" i="6"/>
  <c r="G2489" i="6"/>
  <c r="G2490" i="6"/>
  <c r="G2491" i="6"/>
  <c r="G2492" i="6"/>
  <c r="G2493" i="6"/>
  <c r="G2494" i="6"/>
  <c r="G2495" i="6"/>
  <c r="G2496" i="6"/>
  <c r="G2497" i="6"/>
  <c r="G2498" i="6"/>
  <c r="G2499" i="6"/>
  <c r="G2500" i="6"/>
  <c r="G2501" i="6"/>
  <c r="G2502" i="6"/>
  <c r="G2503" i="6"/>
  <c r="G2504" i="6"/>
  <c r="G2505" i="6"/>
  <c r="G2506" i="6"/>
  <c r="G2507" i="6"/>
  <c r="G2508" i="6"/>
  <c r="G2509" i="6"/>
  <c r="G2510" i="6"/>
  <c r="G2511" i="6"/>
  <c r="G2512" i="6"/>
  <c r="G2513" i="6"/>
  <c r="G2514" i="6"/>
  <c r="G2515" i="6"/>
  <c r="G2516" i="6"/>
  <c r="G2517" i="6"/>
  <c r="G2518" i="6"/>
  <c r="G2519" i="6"/>
  <c r="G2520" i="6"/>
  <c r="G2521" i="6"/>
  <c r="G2522" i="6"/>
  <c r="G2523" i="6"/>
  <c r="G2524" i="6"/>
  <c r="G2525" i="6"/>
  <c r="G2526" i="6"/>
  <c r="G2527" i="6"/>
  <c r="G2528" i="6"/>
  <c r="G2529" i="6"/>
  <c r="G2530" i="6"/>
  <c r="G2531" i="6"/>
  <c r="G2532" i="6"/>
  <c r="G2533" i="6"/>
  <c r="G2534" i="6"/>
  <c r="G2535" i="6"/>
  <c r="G2536" i="6"/>
  <c r="G2537" i="6"/>
  <c r="G2538" i="6"/>
  <c r="G2539" i="6"/>
  <c r="G2540" i="6"/>
  <c r="G2541" i="6"/>
  <c r="G2542" i="6"/>
  <c r="G2543" i="6"/>
  <c r="G2544" i="6"/>
  <c r="G2545" i="6"/>
  <c r="G2546" i="6"/>
  <c r="G2547" i="6"/>
  <c r="G2548" i="6"/>
  <c r="G2549" i="6"/>
  <c r="G2550" i="6"/>
  <c r="G2551" i="6"/>
  <c r="G2552" i="6"/>
  <c r="G2553" i="6"/>
  <c r="G2554" i="6"/>
  <c r="G2555" i="6"/>
  <c r="G2556" i="6"/>
  <c r="G2557" i="6"/>
  <c r="G2558" i="6"/>
  <c r="G2559" i="6"/>
  <c r="G2560" i="6"/>
  <c r="G2561" i="6"/>
  <c r="G2562" i="6"/>
  <c r="G2563" i="6"/>
  <c r="G2564" i="6"/>
  <c r="G2565" i="6"/>
  <c r="G2566" i="6"/>
  <c r="G2567" i="6"/>
  <c r="G2568" i="6"/>
  <c r="G2569" i="6"/>
  <c r="G2570" i="6"/>
  <c r="G2571" i="6"/>
  <c r="G2572" i="6"/>
  <c r="G2573" i="6"/>
  <c r="G2574" i="6"/>
  <c r="G2575" i="6"/>
  <c r="G2576" i="6"/>
  <c r="G2577" i="6"/>
  <c r="G2578" i="6"/>
  <c r="G2579" i="6"/>
  <c r="G2580" i="6"/>
  <c r="G2581" i="6"/>
  <c r="G2582" i="6"/>
  <c r="G2583" i="6"/>
  <c r="G2584" i="6"/>
  <c r="G2585" i="6"/>
  <c r="G2586" i="6"/>
  <c r="G2587" i="6"/>
  <c r="G2588" i="6"/>
  <c r="G2589" i="6"/>
  <c r="G2590" i="6"/>
  <c r="G2591" i="6"/>
  <c r="G2592" i="6"/>
  <c r="G2593" i="6"/>
  <c r="G2594" i="6"/>
  <c r="G2595" i="6"/>
  <c r="G2596" i="6"/>
  <c r="G2597" i="6"/>
  <c r="G2598" i="6"/>
  <c r="G2599" i="6"/>
  <c r="G2600" i="6"/>
  <c r="G2601" i="6"/>
  <c r="G2602" i="6"/>
  <c r="G2603" i="6"/>
  <c r="G2604" i="6"/>
  <c r="G2605" i="6"/>
  <c r="G2606" i="6"/>
  <c r="G2607" i="6"/>
  <c r="G2608" i="6"/>
  <c r="G2609" i="6"/>
  <c r="G2610" i="6"/>
  <c r="G2611" i="6"/>
  <c r="G2612" i="6"/>
  <c r="G2613" i="6"/>
  <c r="G2614" i="6"/>
  <c r="G2615" i="6"/>
  <c r="G2616" i="6"/>
  <c r="G2617" i="6"/>
  <c r="G2618" i="6"/>
  <c r="G2619" i="6"/>
  <c r="G2620" i="6"/>
  <c r="G2621" i="6"/>
  <c r="G2622" i="6"/>
  <c r="G2623" i="6"/>
  <c r="G2624" i="6"/>
  <c r="G2625" i="6"/>
  <c r="G2626" i="6"/>
  <c r="G2627" i="6"/>
  <c r="G2628" i="6"/>
  <c r="G2629" i="6"/>
  <c r="G2630" i="6"/>
  <c r="G2631" i="6"/>
  <c r="G2632" i="6"/>
  <c r="G2633" i="6"/>
  <c r="G2634" i="6"/>
  <c r="G2635" i="6"/>
  <c r="G2636" i="6"/>
  <c r="G2637" i="6"/>
  <c r="G2638" i="6"/>
  <c r="G2639" i="6"/>
  <c r="G2640" i="6"/>
  <c r="G2641" i="6"/>
  <c r="G2642" i="6"/>
  <c r="G2643" i="6"/>
  <c r="G2644" i="6"/>
  <c r="G2645" i="6"/>
  <c r="G2646" i="6"/>
  <c r="G2647" i="6"/>
  <c r="G2648" i="6"/>
  <c r="G2649" i="6"/>
  <c r="G2650" i="6"/>
  <c r="G2651" i="6"/>
  <c r="G2652" i="6"/>
  <c r="G2653" i="6"/>
  <c r="G2654" i="6"/>
  <c r="G2655" i="6"/>
  <c r="G2656" i="6"/>
  <c r="G2657" i="6"/>
  <c r="G2658" i="6"/>
  <c r="G2659" i="6"/>
  <c r="G2660" i="6"/>
  <c r="G2661" i="6"/>
  <c r="G2662" i="6"/>
  <c r="G2663" i="6"/>
  <c r="G2664" i="6"/>
  <c r="G2665" i="6"/>
  <c r="G2666" i="6"/>
  <c r="G2667" i="6"/>
  <c r="G2668" i="6"/>
  <c r="G2669" i="6"/>
  <c r="G2670" i="6"/>
  <c r="G2671" i="6"/>
  <c r="G2672" i="6"/>
  <c r="G2673" i="6"/>
  <c r="G2674" i="6"/>
  <c r="G2675" i="6"/>
  <c r="G2676" i="6"/>
  <c r="G2677" i="6"/>
  <c r="G2678" i="6"/>
  <c r="G2679" i="6"/>
  <c r="G2680" i="6"/>
  <c r="G2681" i="6"/>
  <c r="G2682" i="6"/>
  <c r="G2683" i="6"/>
  <c r="G2684" i="6"/>
  <c r="G2685" i="6"/>
  <c r="G2686" i="6"/>
  <c r="G2687" i="6"/>
  <c r="G2688" i="6"/>
  <c r="G2689" i="6"/>
  <c r="G2690" i="6"/>
  <c r="G2691" i="6"/>
  <c r="G2692" i="6"/>
  <c r="G2693" i="6"/>
  <c r="G2694" i="6"/>
  <c r="G2695" i="6"/>
  <c r="G2696" i="6"/>
  <c r="G2697" i="6"/>
  <c r="G2698" i="6"/>
  <c r="G2699" i="6"/>
  <c r="G2700" i="6"/>
  <c r="G2701" i="6"/>
  <c r="G2702" i="6"/>
  <c r="G2703" i="6"/>
  <c r="G2704" i="6"/>
  <c r="G2705" i="6"/>
  <c r="G2706" i="6"/>
  <c r="G2707" i="6"/>
  <c r="G2708" i="6"/>
  <c r="G2709" i="6"/>
  <c r="G2710" i="6"/>
  <c r="G2711" i="6"/>
  <c r="G2712" i="6"/>
  <c r="G2713" i="6"/>
  <c r="G2714" i="6"/>
  <c r="G2715" i="6"/>
  <c r="G2716" i="6"/>
  <c r="G2717" i="6"/>
  <c r="G2718" i="6"/>
  <c r="G2719" i="6"/>
  <c r="G2720" i="6"/>
  <c r="G2721" i="6"/>
  <c r="G2722" i="6"/>
  <c r="G2723" i="6"/>
  <c r="G2724" i="6"/>
  <c r="G2725" i="6"/>
  <c r="G2726" i="6"/>
  <c r="G2727" i="6"/>
  <c r="G2728" i="6"/>
  <c r="G2729" i="6"/>
  <c r="G2730" i="6"/>
  <c r="G2731" i="6"/>
  <c r="G2732" i="6"/>
  <c r="G2733" i="6"/>
  <c r="G2734" i="6"/>
  <c r="G2735" i="6"/>
  <c r="G2736" i="6"/>
  <c r="G2737" i="6"/>
  <c r="G2738" i="6"/>
  <c r="G2739" i="6"/>
  <c r="G2740" i="6"/>
  <c r="G2741" i="6"/>
  <c r="G2742" i="6"/>
  <c r="G2743" i="6"/>
  <c r="G2744" i="6"/>
  <c r="G2745" i="6"/>
  <c r="G2746" i="6"/>
  <c r="G2747" i="6"/>
  <c r="G2748" i="6"/>
  <c r="G2749" i="6"/>
  <c r="G2750" i="6"/>
  <c r="G2751" i="6"/>
  <c r="G2752" i="6"/>
  <c r="G2753" i="6"/>
  <c r="G2754" i="6"/>
  <c r="G2755" i="6"/>
  <c r="G2756" i="6"/>
  <c r="G2757" i="6"/>
  <c r="G2758" i="6"/>
  <c r="G2759" i="6"/>
  <c r="G2760" i="6"/>
  <c r="G2761" i="6"/>
  <c r="G2762" i="6"/>
  <c r="G2763" i="6"/>
  <c r="G2764" i="6"/>
  <c r="G2765" i="6"/>
  <c r="G2766" i="6"/>
  <c r="G2767" i="6"/>
  <c r="G2768" i="6"/>
  <c r="G2769" i="6"/>
  <c r="G2770" i="6"/>
  <c r="G2771" i="6"/>
  <c r="G2772" i="6"/>
  <c r="G2773" i="6"/>
  <c r="G2774" i="6"/>
  <c r="G2775" i="6"/>
  <c r="G2776" i="6"/>
  <c r="G2777" i="6"/>
  <c r="G2778" i="6"/>
  <c r="G2779" i="6"/>
  <c r="G2780" i="6"/>
  <c r="G2781" i="6"/>
  <c r="G2782" i="6"/>
  <c r="G2783" i="6"/>
  <c r="G2784" i="6"/>
  <c r="G2785" i="6"/>
  <c r="G2786" i="6"/>
  <c r="G2787" i="6"/>
  <c r="G2788" i="6"/>
  <c r="G2789" i="6"/>
  <c r="G2790" i="6"/>
  <c r="G2791" i="6"/>
  <c r="G2792" i="6"/>
  <c r="G2793" i="6"/>
  <c r="G2794" i="6"/>
  <c r="G2795" i="6"/>
  <c r="G2796" i="6"/>
  <c r="G2797" i="6"/>
  <c r="G2798" i="6"/>
  <c r="G2799" i="6"/>
  <c r="G2800" i="6"/>
  <c r="G2801" i="6"/>
  <c r="G2802" i="6"/>
  <c r="G2803" i="6"/>
  <c r="G2804" i="6"/>
  <c r="G2805" i="6"/>
  <c r="G2806" i="6"/>
  <c r="G2807" i="6"/>
  <c r="G2808" i="6"/>
  <c r="G2809" i="6"/>
  <c r="G2810" i="6"/>
  <c r="G2811" i="6"/>
  <c r="G2812" i="6"/>
  <c r="G2813" i="6"/>
  <c r="G2814" i="6"/>
  <c r="G2815" i="6"/>
  <c r="G2816" i="6"/>
  <c r="G2817" i="6"/>
  <c r="G2818" i="6"/>
  <c r="G2819" i="6"/>
  <c r="G2820" i="6"/>
  <c r="G2821" i="6"/>
  <c r="G2822" i="6"/>
  <c r="G2823" i="6"/>
  <c r="G2824" i="6"/>
  <c r="G2825" i="6"/>
  <c r="G2826" i="6"/>
  <c r="G2827" i="6"/>
  <c r="G2828" i="6"/>
  <c r="G2829" i="6"/>
  <c r="G2830" i="6"/>
  <c r="G2831" i="6"/>
  <c r="G2832" i="6"/>
  <c r="G2833" i="6"/>
  <c r="G2834" i="6"/>
  <c r="G2835" i="6"/>
  <c r="G2836" i="6"/>
  <c r="G2837" i="6"/>
  <c r="G2838" i="6"/>
  <c r="G2839" i="6"/>
  <c r="G2840" i="6"/>
  <c r="G2841" i="6"/>
  <c r="G2842" i="6"/>
  <c r="G2843" i="6"/>
  <c r="G2844" i="6"/>
  <c r="G2845" i="6"/>
  <c r="G2846" i="6"/>
  <c r="G2847" i="6"/>
  <c r="G2848" i="6"/>
  <c r="G2849" i="6"/>
  <c r="G2850" i="6"/>
  <c r="G2851" i="6"/>
  <c r="G2852" i="6"/>
  <c r="G2853" i="6"/>
  <c r="G2854" i="6"/>
  <c r="G2855" i="6"/>
  <c r="G2856" i="6"/>
  <c r="G2857" i="6"/>
  <c r="G2858" i="6"/>
  <c r="G2859" i="6"/>
  <c r="G2860" i="6"/>
  <c r="G2861" i="6"/>
  <c r="G2862" i="6"/>
  <c r="G2863" i="6"/>
  <c r="G2864" i="6"/>
  <c r="G2865" i="6"/>
  <c r="G2866" i="6"/>
  <c r="G2867" i="6"/>
  <c r="G2868" i="6"/>
  <c r="G2869" i="6"/>
  <c r="G2870" i="6"/>
  <c r="G2871" i="6"/>
  <c r="G2872" i="6"/>
  <c r="G2873" i="6"/>
  <c r="G2874" i="6"/>
  <c r="G2875" i="6"/>
  <c r="G2876" i="6"/>
  <c r="G2877" i="6"/>
  <c r="G2878" i="6"/>
  <c r="G2879" i="6"/>
  <c r="G2880" i="6"/>
  <c r="G2881" i="6"/>
  <c r="G2882" i="6"/>
  <c r="G2883" i="6"/>
  <c r="G2884" i="6"/>
  <c r="G2885" i="6"/>
  <c r="G2886" i="6"/>
  <c r="G2887" i="6"/>
  <c r="G2888" i="6"/>
  <c r="G2889" i="6"/>
  <c r="G2890" i="6"/>
  <c r="G2891" i="6"/>
  <c r="G2892" i="6"/>
  <c r="G2893" i="6"/>
  <c r="G2894" i="6"/>
  <c r="G2895" i="6"/>
  <c r="G2896" i="6"/>
  <c r="G2897" i="6"/>
  <c r="G2898" i="6"/>
  <c r="G2899" i="6"/>
  <c r="G2900" i="6"/>
  <c r="G2901" i="6"/>
  <c r="G2902" i="6"/>
  <c r="G2903" i="6"/>
  <c r="G2904" i="6"/>
  <c r="G2905" i="6"/>
  <c r="G2906" i="6"/>
  <c r="G2907" i="6"/>
  <c r="G2908" i="6"/>
  <c r="G2909" i="6"/>
  <c r="G2910" i="6"/>
  <c r="G2911" i="6"/>
  <c r="G2912" i="6"/>
  <c r="G2913" i="6"/>
  <c r="G2914" i="6"/>
  <c r="G2915" i="6"/>
  <c r="G2916" i="6"/>
  <c r="G2917" i="6"/>
  <c r="G2918" i="6"/>
  <c r="G2919" i="6"/>
  <c r="G2920" i="6"/>
  <c r="G2921" i="6"/>
  <c r="G2922" i="6"/>
  <c r="G2923" i="6"/>
  <c r="G2924" i="6"/>
  <c r="G2925" i="6"/>
  <c r="G2926" i="6"/>
  <c r="G2927" i="6"/>
  <c r="G2928" i="6"/>
  <c r="G2929" i="6"/>
  <c r="G2930" i="6"/>
  <c r="G2931" i="6"/>
  <c r="G2932" i="6"/>
  <c r="G2933" i="6"/>
  <c r="G2934" i="6"/>
  <c r="G2935" i="6"/>
  <c r="G2936" i="6"/>
  <c r="G2937" i="6"/>
  <c r="G2938" i="6"/>
  <c r="G2939" i="6"/>
  <c r="G2940" i="6"/>
  <c r="G2941" i="6"/>
  <c r="G2942" i="6"/>
  <c r="G2943" i="6"/>
  <c r="G2944" i="6"/>
  <c r="G2945" i="6"/>
  <c r="G2946" i="6"/>
  <c r="G2947" i="6"/>
  <c r="G2948" i="6"/>
  <c r="G2949" i="6"/>
  <c r="G2950" i="6"/>
  <c r="G2951" i="6"/>
  <c r="G2952" i="6"/>
  <c r="G2953" i="6"/>
  <c r="G2954" i="6"/>
  <c r="G2955" i="6"/>
  <c r="G2956" i="6"/>
  <c r="G2957" i="6"/>
  <c r="G2958" i="6"/>
  <c r="G2959" i="6"/>
  <c r="G2960" i="6"/>
  <c r="G2961" i="6"/>
  <c r="G2962" i="6"/>
  <c r="G2963" i="6"/>
  <c r="G2964" i="6"/>
  <c r="G2965" i="6"/>
  <c r="G2966" i="6"/>
  <c r="G2967" i="6"/>
  <c r="G2968" i="6"/>
  <c r="G2969" i="6"/>
  <c r="G2970" i="6"/>
  <c r="G2971" i="6"/>
  <c r="G2972" i="6"/>
  <c r="G2973" i="6"/>
  <c r="G2974" i="6"/>
  <c r="G2975" i="6"/>
  <c r="G2976" i="6"/>
  <c r="G2977" i="6"/>
  <c r="G2978" i="6"/>
  <c r="G2979" i="6"/>
  <c r="G2980" i="6"/>
  <c r="G2981" i="6"/>
  <c r="G2982" i="6"/>
  <c r="G2983" i="6"/>
  <c r="G2984" i="6"/>
  <c r="G2985" i="6"/>
  <c r="G2986" i="6"/>
  <c r="G2987" i="6"/>
  <c r="G2988" i="6"/>
  <c r="G2989" i="6"/>
  <c r="G2990" i="6"/>
  <c r="G2991" i="6"/>
  <c r="G2992" i="6"/>
  <c r="G2993" i="6"/>
  <c r="G2994" i="6"/>
  <c r="G2995" i="6"/>
  <c r="G2996" i="6"/>
  <c r="G2997" i="6"/>
  <c r="G2998" i="6"/>
  <c r="G2999" i="6"/>
  <c r="G3000" i="6"/>
  <c r="G3001" i="6"/>
  <c r="G3002" i="6"/>
  <c r="G3003" i="6"/>
  <c r="G3004" i="6"/>
  <c r="G3005" i="6"/>
  <c r="G3006" i="6"/>
  <c r="G3007" i="6"/>
  <c r="G3008" i="6"/>
  <c r="G3009" i="6"/>
  <c r="G3010" i="6"/>
  <c r="G3011" i="6"/>
  <c r="G3012" i="6"/>
  <c r="G3013" i="6"/>
  <c r="G3014" i="6"/>
  <c r="G3015" i="6"/>
  <c r="G3016" i="6"/>
  <c r="G3017" i="6"/>
  <c r="G3018" i="6"/>
  <c r="G3019" i="6"/>
  <c r="G3020" i="6"/>
  <c r="G3021" i="6"/>
  <c r="G3022" i="6"/>
  <c r="G3023" i="6"/>
  <c r="G3024" i="6"/>
  <c r="G3025" i="6"/>
  <c r="G3026" i="6"/>
  <c r="G3027" i="6"/>
  <c r="G3028" i="6"/>
  <c r="G3029" i="6"/>
  <c r="G3030" i="6"/>
  <c r="G3031" i="6"/>
  <c r="G3032" i="6"/>
  <c r="G3033" i="6"/>
  <c r="G3034" i="6"/>
  <c r="G3035" i="6"/>
  <c r="G3036" i="6"/>
  <c r="G3037" i="6"/>
  <c r="G3038" i="6"/>
  <c r="G3039" i="6"/>
  <c r="G3040" i="6"/>
  <c r="G3041" i="6"/>
  <c r="G3042" i="6"/>
  <c r="G3043" i="6"/>
  <c r="G3044" i="6"/>
  <c r="G3045" i="6"/>
  <c r="G3046" i="6"/>
  <c r="G3047" i="6"/>
  <c r="G3048" i="6"/>
  <c r="G3049" i="6"/>
  <c r="G3050" i="6"/>
  <c r="G3051" i="6"/>
  <c r="G3052" i="6"/>
  <c r="G3053" i="6"/>
  <c r="G3054" i="6"/>
  <c r="G3055" i="6"/>
  <c r="G3056" i="6"/>
  <c r="G3057" i="6"/>
  <c r="G3058" i="6"/>
  <c r="G3059" i="6"/>
  <c r="G3060" i="6"/>
  <c r="G3061" i="6"/>
  <c r="G3062" i="6"/>
  <c r="G3063" i="6"/>
  <c r="G3064" i="6"/>
  <c r="G3065" i="6"/>
  <c r="G3066" i="6"/>
  <c r="G3067" i="6"/>
  <c r="G3068" i="6"/>
  <c r="G3069" i="6"/>
  <c r="G3070" i="6"/>
  <c r="G3071" i="6"/>
  <c r="G3072" i="6"/>
  <c r="G3073" i="6"/>
  <c r="G3074" i="6"/>
  <c r="G3075" i="6"/>
  <c r="G3076" i="6"/>
  <c r="G3077" i="6"/>
  <c r="G3078" i="6"/>
  <c r="G3079" i="6"/>
  <c r="G3080" i="6"/>
  <c r="G3081" i="6"/>
  <c r="G3082" i="6"/>
  <c r="G3083" i="6"/>
  <c r="G3084" i="6"/>
  <c r="G3085" i="6"/>
  <c r="G3086" i="6"/>
  <c r="G3087" i="6"/>
  <c r="G3088" i="6"/>
  <c r="G3089" i="6"/>
  <c r="G3090" i="6"/>
  <c r="G3091" i="6"/>
  <c r="G3092" i="6"/>
  <c r="G3093" i="6"/>
  <c r="G3094" i="6"/>
  <c r="G3095" i="6"/>
  <c r="G3096" i="6"/>
  <c r="G3097" i="6"/>
  <c r="G3098" i="6"/>
  <c r="G3099" i="6"/>
  <c r="G3100" i="6"/>
  <c r="G3101" i="6"/>
  <c r="G3102" i="6"/>
  <c r="G3103" i="6"/>
  <c r="G3104" i="6"/>
  <c r="G3105" i="6"/>
  <c r="G3106" i="6"/>
  <c r="G3107" i="6"/>
  <c r="G3108" i="6"/>
  <c r="G3109" i="6"/>
  <c r="G3110" i="6"/>
  <c r="G3111" i="6"/>
  <c r="G3112" i="6"/>
  <c r="G3113" i="6"/>
  <c r="G3114" i="6"/>
  <c r="G3115" i="6"/>
  <c r="G3116" i="6"/>
  <c r="G3117" i="6"/>
  <c r="G3118" i="6"/>
  <c r="G3119" i="6"/>
  <c r="G3120" i="6"/>
  <c r="G3121" i="6"/>
  <c r="G3122" i="6"/>
  <c r="G3123" i="6"/>
  <c r="G3124" i="6"/>
  <c r="G3125" i="6"/>
  <c r="G3126" i="6"/>
  <c r="G3127" i="6"/>
  <c r="G3128" i="6"/>
  <c r="G3129" i="6"/>
  <c r="G3130" i="6"/>
  <c r="G3131" i="6"/>
  <c r="G3132" i="6"/>
  <c r="G3133" i="6"/>
  <c r="G3134" i="6"/>
  <c r="G3135" i="6"/>
  <c r="G3136" i="6"/>
  <c r="G3137" i="6"/>
  <c r="G3138" i="6"/>
  <c r="G3139" i="6"/>
  <c r="G3140" i="6"/>
  <c r="G3141" i="6"/>
  <c r="G3142" i="6"/>
  <c r="G3143" i="6"/>
  <c r="G3144" i="6"/>
  <c r="G3145" i="6"/>
  <c r="G3146" i="6"/>
  <c r="G3147" i="6"/>
  <c r="G3148" i="6"/>
  <c r="G3149" i="6"/>
  <c r="G3150" i="6"/>
  <c r="G3151" i="6"/>
  <c r="G3152" i="6"/>
  <c r="G3153" i="6"/>
  <c r="G3154" i="6"/>
  <c r="G3155" i="6"/>
  <c r="G3156" i="6"/>
  <c r="G3157" i="6"/>
  <c r="G3158" i="6"/>
  <c r="G3159" i="6"/>
  <c r="G3160" i="6"/>
  <c r="G3161" i="6"/>
  <c r="G3162" i="6"/>
  <c r="G3163" i="6"/>
  <c r="G3164" i="6"/>
  <c r="G3165" i="6"/>
  <c r="G3166" i="6"/>
  <c r="G3167" i="6"/>
  <c r="G3168" i="6"/>
  <c r="G3169" i="6"/>
  <c r="G3170" i="6"/>
  <c r="G3171" i="6"/>
  <c r="G3172" i="6"/>
  <c r="G3173" i="6"/>
  <c r="G3174" i="6"/>
  <c r="G3175" i="6"/>
  <c r="G3176" i="6"/>
  <c r="G3177" i="6"/>
  <c r="G3178" i="6"/>
  <c r="G3179" i="6"/>
  <c r="G3180" i="6"/>
  <c r="G3181" i="6"/>
  <c r="G3182" i="6"/>
  <c r="G3183" i="6"/>
  <c r="G3184" i="6"/>
  <c r="G3185" i="6"/>
  <c r="G3186" i="6"/>
  <c r="G3187" i="6"/>
  <c r="G3188" i="6"/>
  <c r="G3189" i="6"/>
  <c r="G3190" i="6"/>
  <c r="G3191" i="6"/>
  <c r="G3192" i="6"/>
  <c r="G3193" i="6"/>
  <c r="G3194" i="6"/>
  <c r="G3195" i="6"/>
  <c r="G3196" i="6"/>
  <c r="G3197" i="6"/>
  <c r="G3198" i="6"/>
  <c r="G3199" i="6"/>
  <c r="G3200" i="6"/>
  <c r="G3201" i="6"/>
  <c r="G3202" i="6"/>
  <c r="G3203" i="6"/>
  <c r="G3204" i="6"/>
  <c r="G3205" i="6"/>
  <c r="G3206" i="6"/>
  <c r="G3207" i="6"/>
  <c r="G3208" i="6"/>
  <c r="G3209" i="6"/>
  <c r="G3210" i="6"/>
  <c r="G3211" i="6"/>
  <c r="G3212" i="6"/>
  <c r="G3213" i="6"/>
  <c r="G3214" i="6"/>
  <c r="G3215" i="6"/>
  <c r="G3216" i="6"/>
  <c r="G3217" i="6"/>
  <c r="G3218" i="6"/>
  <c r="G3219" i="6"/>
  <c r="G3220" i="6"/>
  <c r="G3221" i="6"/>
  <c r="G3222" i="6"/>
  <c r="G3223" i="6"/>
  <c r="G3224" i="6"/>
  <c r="G3225" i="6"/>
  <c r="G3226" i="6"/>
  <c r="G3227" i="6"/>
  <c r="G3228" i="6"/>
  <c r="G3229" i="6"/>
  <c r="G3230" i="6"/>
  <c r="G3231" i="6"/>
  <c r="G3232" i="6"/>
  <c r="G3233" i="6"/>
  <c r="G3234" i="6"/>
  <c r="G3235" i="6"/>
  <c r="G3236" i="6"/>
  <c r="G3237" i="6"/>
  <c r="G3238" i="6"/>
  <c r="G3239" i="6"/>
  <c r="G3240" i="6"/>
  <c r="G3241" i="6"/>
  <c r="G3242" i="6"/>
  <c r="G3243" i="6"/>
  <c r="G3244" i="6"/>
  <c r="G3245" i="6"/>
  <c r="G3246" i="6"/>
  <c r="G3247" i="6"/>
  <c r="G3248" i="6"/>
  <c r="G3249" i="6"/>
  <c r="G3250" i="6"/>
  <c r="G3251" i="6"/>
  <c r="G3252" i="6"/>
  <c r="G3253" i="6"/>
  <c r="G3254" i="6"/>
  <c r="G3255" i="6"/>
  <c r="G3256" i="6"/>
  <c r="G3257" i="6"/>
  <c r="G3258" i="6"/>
  <c r="G3259" i="6"/>
  <c r="G3260" i="6"/>
  <c r="G3261" i="6"/>
  <c r="G3262" i="6"/>
  <c r="G3263" i="6"/>
  <c r="G3264" i="6"/>
  <c r="G3265" i="6"/>
  <c r="G3266" i="6"/>
  <c r="G3267" i="6"/>
  <c r="G3268" i="6"/>
  <c r="G3269" i="6"/>
  <c r="G3270" i="6"/>
  <c r="G3271" i="6"/>
  <c r="G3272" i="6"/>
  <c r="G3273" i="6"/>
  <c r="G3274" i="6"/>
  <c r="G3275" i="6"/>
  <c r="G3276" i="6"/>
  <c r="G3277" i="6"/>
  <c r="G3278" i="6"/>
  <c r="G3279" i="6"/>
  <c r="G3280" i="6"/>
  <c r="G3281" i="6"/>
  <c r="G3282" i="6"/>
  <c r="G3283" i="6"/>
  <c r="G3284" i="6"/>
  <c r="G3285" i="6"/>
  <c r="G3286" i="6"/>
  <c r="G3287" i="6"/>
  <c r="G3288" i="6"/>
  <c r="G3289" i="6"/>
  <c r="G3290" i="6"/>
  <c r="G3291" i="6"/>
  <c r="G3292" i="6"/>
  <c r="G3293" i="6"/>
  <c r="G3294" i="6"/>
  <c r="G3295" i="6"/>
  <c r="G3296" i="6"/>
  <c r="G3297" i="6"/>
  <c r="G3298" i="6"/>
  <c r="G3299" i="6"/>
  <c r="G3300" i="6"/>
  <c r="G3301" i="6"/>
  <c r="G3302" i="6"/>
  <c r="G3303" i="6"/>
  <c r="G3304" i="6"/>
  <c r="G3305" i="6"/>
  <c r="G3306" i="6"/>
  <c r="G3307" i="6"/>
  <c r="G3308" i="6"/>
  <c r="G3309" i="6"/>
  <c r="G3310" i="6"/>
  <c r="G3311" i="6"/>
  <c r="G3312" i="6"/>
  <c r="G3313" i="6"/>
  <c r="G3314" i="6"/>
  <c r="G3315" i="6"/>
  <c r="G3316" i="6"/>
  <c r="G3317" i="6"/>
  <c r="G3318" i="6"/>
  <c r="G3319" i="6"/>
  <c r="G3320" i="6"/>
  <c r="G3321" i="6"/>
  <c r="G3322" i="6"/>
  <c r="G3323" i="6"/>
  <c r="G3324" i="6"/>
  <c r="G3325" i="6"/>
  <c r="G3326" i="6"/>
  <c r="G3327" i="6"/>
  <c r="G3328" i="6"/>
  <c r="G3329" i="6"/>
  <c r="G3330" i="6"/>
  <c r="G3331" i="6"/>
  <c r="G3332" i="6"/>
  <c r="G3333" i="6"/>
  <c r="G3334" i="6"/>
  <c r="G3335" i="6"/>
  <c r="G3336" i="6"/>
  <c r="G3337" i="6"/>
  <c r="G3338" i="6"/>
  <c r="G3339" i="6"/>
  <c r="G3340" i="6"/>
  <c r="G3341" i="6"/>
  <c r="G3342" i="6"/>
  <c r="G3343" i="6"/>
  <c r="G3344" i="6"/>
  <c r="G3345" i="6"/>
  <c r="G3346" i="6"/>
  <c r="G3347" i="6"/>
  <c r="G3348" i="6"/>
  <c r="G3349" i="6"/>
  <c r="G3350" i="6"/>
  <c r="G3351" i="6"/>
  <c r="G3352" i="6"/>
  <c r="G3353" i="6"/>
  <c r="G3354" i="6"/>
  <c r="G3355" i="6"/>
  <c r="G3356" i="6"/>
  <c r="G3357" i="6"/>
  <c r="G3358" i="6"/>
  <c r="G3359" i="6"/>
  <c r="G3360" i="6"/>
  <c r="G3361" i="6"/>
  <c r="G3362" i="6"/>
  <c r="G3363" i="6"/>
  <c r="G3364" i="6"/>
  <c r="G3365" i="6"/>
  <c r="G3366" i="6"/>
  <c r="G3367" i="6"/>
  <c r="G3368" i="6"/>
  <c r="G3369" i="6"/>
  <c r="G3370" i="6"/>
  <c r="G3371" i="6"/>
  <c r="G3372" i="6"/>
  <c r="G3373" i="6"/>
  <c r="G3374" i="6"/>
  <c r="G3375" i="6"/>
  <c r="G3376" i="6"/>
  <c r="G3377" i="6"/>
  <c r="G3378" i="6"/>
  <c r="G3379" i="6"/>
  <c r="G3380" i="6"/>
  <c r="G3381" i="6"/>
  <c r="G3382" i="6"/>
  <c r="G3383" i="6"/>
  <c r="G3384" i="6"/>
  <c r="G3385" i="6"/>
  <c r="G3386" i="6"/>
  <c r="G3387" i="6"/>
  <c r="G3388" i="6"/>
  <c r="G3389" i="6"/>
  <c r="G3390" i="6"/>
  <c r="G3391" i="6"/>
  <c r="G3392" i="6"/>
  <c r="G3393" i="6"/>
  <c r="G3394" i="6"/>
  <c r="G3395" i="6"/>
  <c r="G3396" i="6"/>
  <c r="G3397" i="6"/>
  <c r="G3398" i="6"/>
  <c r="G3399" i="6"/>
  <c r="G3400" i="6"/>
  <c r="G3401" i="6"/>
  <c r="G3402" i="6"/>
  <c r="G3403" i="6"/>
  <c r="G3404" i="6"/>
  <c r="G3405" i="6"/>
  <c r="G3406" i="6"/>
  <c r="G79" i="6"/>
  <c r="G80" i="6"/>
  <c r="G81" i="6"/>
  <c r="G82" i="6"/>
  <c r="G83" i="6"/>
  <c r="G84" i="6"/>
  <c r="G85" i="6"/>
  <c r="G86" i="6"/>
  <c r="G87" i="6"/>
  <c r="G88" i="6"/>
  <c r="G89" i="6"/>
  <c r="G90" i="6"/>
  <c r="G91" i="6"/>
  <c r="G92" i="6"/>
  <c r="G93" i="6"/>
  <c r="G94" i="6"/>
  <c r="G95" i="6"/>
  <c r="G96" i="6"/>
  <c r="G97" i="6"/>
  <c r="G98"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3" i="6"/>
  <c r="G4" i="6"/>
  <c r="G5" i="6"/>
  <c r="G6" i="6"/>
  <c r="G7" i="6"/>
  <c r="G8" i="6"/>
  <c r="G9" i="6"/>
  <c r="G10" i="6"/>
  <c r="G11" i="6"/>
  <c r="G12" i="6"/>
  <c r="G2" i="6"/>
  <c r="D3299" i="6"/>
  <c r="D3300" i="6"/>
  <c r="D3301" i="6"/>
  <c r="D3302" i="6"/>
  <c r="D3303" i="6"/>
  <c r="D3304" i="6"/>
  <c r="D3305" i="6"/>
  <c r="D3306" i="6"/>
  <c r="D3307" i="6"/>
  <c r="D3308" i="6"/>
  <c r="D3309" i="6"/>
  <c r="D3310" i="6"/>
  <c r="D3311" i="6"/>
  <c r="D3312" i="6"/>
  <c r="D3313" i="6"/>
  <c r="D3314" i="6"/>
  <c r="D3315" i="6"/>
  <c r="D3316" i="6"/>
  <c r="D3317" i="6"/>
  <c r="D3318" i="6"/>
  <c r="D3319" i="6"/>
  <c r="D3320" i="6"/>
  <c r="D3321" i="6"/>
  <c r="D3322" i="6"/>
  <c r="D3323" i="6"/>
  <c r="D3324" i="6"/>
  <c r="D3325" i="6"/>
  <c r="D3326" i="6"/>
  <c r="D3327" i="6"/>
  <c r="D3328" i="6"/>
  <c r="D3329" i="6"/>
  <c r="D3330" i="6"/>
  <c r="D3331" i="6"/>
  <c r="D3332" i="6"/>
  <c r="D3333" i="6"/>
  <c r="D3334" i="6"/>
  <c r="D3335" i="6"/>
  <c r="D3336" i="6"/>
  <c r="D3337" i="6"/>
  <c r="D3338" i="6"/>
  <c r="D3339" i="6"/>
  <c r="D3340" i="6"/>
  <c r="D3341" i="6"/>
  <c r="D3342" i="6"/>
  <c r="D3343" i="6"/>
  <c r="D3344" i="6"/>
  <c r="D3345" i="6"/>
  <c r="D3346" i="6"/>
  <c r="D3347" i="6"/>
  <c r="D3348" i="6"/>
  <c r="D3349" i="6"/>
  <c r="D3350" i="6"/>
  <c r="D3351" i="6"/>
  <c r="D3352" i="6"/>
  <c r="D3353" i="6"/>
  <c r="D3354" i="6"/>
  <c r="D3355" i="6"/>
  <c r="D3356" i="6"/>
  <c r="D3357" i="6"/>
  <c r="D3358" i="6"/>
  <c r="D3359" i="6"/>
  <c r="D3360" i="6"/>
  <c r="D3361" i="6"/>
  <c r="D3362" i="6"/>
  <c r="D3363" i="6"/>
  <c r="D3364" i="6"/>
  <c r="D3365" i="6"/>
  <c r="D3366" i="6"/>
  <c r="D3367" i="6"/>
  <c r="D3368" i="6"/>
  <c r="D3369" i="6"/>
  <c r="D3370" i="6"/>
  <c r="D3371" i="6"/>
  <c r="D3372" i="6"/>
  <c r="D3373" i="6"/>
  <c r="D3374" i="6"/>
  <c r="D3375" i="6"/>
  <c r="D3376" i="6"/>
  <c r="D3377" i="6"/>
  <c r="D3378" i="6"/>
  <c r="D3379" i="6"/>
  <c r="D3380" i="6"/>
  <c r="D3381" i="6"/>
  <c r="D3382" i="6"/>
  <c r="D3383" i="6"/>
  <c r="D3384" i="6"/>
  <c r="D3385" i="6"/>
  <c r="D3386" i="6"/>
  <c r="D3387" i="6"/>
  <c r="D3388" i="6"/>
  <c r="D3389" i="6"/>
  <c r="D3390" i="6"/>
  <c r="D3391" i="6"/>
  <c r="D3392" i="6"/>
  <c r="D3393" i="6"/>
  <c r="D3394" i="6"/>
  <c r="D3395" i="6"/>
  <c r="D3396" i="6"/>
  <c r="D3397" i="6"/>
  <c r="D3398" i="6"/>
  <c r="D3399" i="6"/>
  <c r="D3400" i="6"/>
  <c r="D3401" i="6"/>
  <c r="D3402" i="6"/>
  <c r="D3403" i="6"/>
  <c r="D3404" i="6"/>
  <c r="D3405" i="6"/>
  <c r="D3406" i="6"/>
  <c r="D1747" i="6"/>
  <c r="D1748" i="6"/>
  <c r="D1749" i="6"/>
  <c r="D1750" i="6"/>
  <c r="D1751" i="6"/>
  <c r="D1752" i="6"/>
  <c r="D1753" i="6"/>
  <c r="D1754" i="6"/>
  <c r="D1755" i="6"/>
  <c r="D1756" i="6"/>
  <c r="D1757" i="6"/>
  <c r="D1758" i="6"/>
  <c r="D1759" i="6"/>
  <c r="D1760" i="6"/>
  <c r="D1761" i="6"/>
  <c r="D1762" i="6"/>
  <c r="D1763" i="6"/>
  <c r="D1764" i="6"/>
  <c r="D1765" i="6"/>
  <c r="D1766" i="6"/>
  <c r="D1767" i="6"/>
  <c r="D1768" i="6"/>
  <c r="D1769" i="6"/>
  <c r="D1770" i="6"/>
  <c r="D1771" i="6"/>
  <c r="D1772" i="6"/>
  <c r="D1773" i="6"/>
  <c r="D1774" i="6"/>
  <c r="D1775" i="6"/>
  <c r="D1776" i="6"/>
  <c r="D1777" i="6"/>
  <c r="D1778" i="6"/>
  <c r="D1779" i="6"/>
  <c r="D1780" i="6"/>
  <c r="D1781" i="6"/>
  <c r="D1782" i="6"/>
  <c r="D1783" i="6"/>
  <c r="D1784" i="6"/>
  <c r="D1785" i="6"/>
  <c r="D1786" i="6"/>
  <c r="D1787" i="6"/>
  <c r="D1788" i="6"/>
  <c r="D1789" i="6"/>
  <c r="D1790" i="6"/>
  <c r="D1791" i="6"/>
  <c r="D1792" i="6"/>
  <c r="D1793" i="6"/>
  <c r="D1794" i="6"/>
  <c r="D1795" i="6"/>
  <c r="D1796" i="6"/>
  <c r="D1797" i="6"/>
  <c r="D1798" i="6"/>
  <c r="D1799" i="6"/>
  <c r="D1800" i="6"/>
  <c r="D1801" i="6"/>
  <c r="D1802" i="6"/>
  <c r="D1803" i="6"/>
  <c r="D1804" i="6"/>
  <c r="D1805" i="6"/>
  <c r="D1806" i="6"/>
  <c r="D1807" i="6"/>
  <c r="D1808" i="6"/>
  <c r="D1809" i="6"/>
  <c r="D1810" i="6"/>
  <c r="D1811" i="6"/>
  <c r="D1812" i="6"/>
  <c r="D1813" i="6"/>
  <c r="D1814" i="6"/>
  <c r="D1815" i="6"/>
  <c r="D1816" i="6"/>
  <c r="D1817" i="6"/>
  <c r="D1818" i="6"/>
  <c r="D1819" i="6"/>
  <c r="D1820" i="6"/>
  <c r="D1821" i="6"/>
  <c r="D1822" i="6"/>
  <c r="D1823" i="6"/>
  <c r="D1824" i="6"/>
  <c r="D1825" i="6"/>
  <c r="D1826" i="6"/>
  <c r="D1827" i="6"/>
  <c r="D1828" i="6"/>
  <c r="D1829" i="6"/>
  <c r="D1830" i="6"/>
  <c r="D1831" i="6"/>
  <c r="D1832" i="6"/>
  <c r="D1833" i="6"/>
  <c r="D1834" i="6"/>
  <c r="D1835" i="6"/>
  <c r="D1836" i="6"/>
  <c r="D1837" i="6"/>
  <c r="D1838" i="6"/>
  <c r="D1839" i="6"/>
  <c r="D1840" i="6"/>
  <c r="D1841" i="6"/>
  <c r="D1842" i="6"/>
  <c r="D1843" i="6"/>
  <c r="D1844" i="6"/>
  <c r="D1845" i="6"/>
  <c r="D1846" i="6"/>
  <c r="D1847" i="6"/>
  <c r="D1848" i="6"/>
  <c r="D1849" i="6"/>
  <c r="D1850" i="6"/>
  <c r="D1851" i="6"/>
  <c r="D1852" i="6"/>
  <c r="D1853" i="6"/>
  <c r="D1854" i="6"/>
  <c r="D1855" i="6"/>
  <c r="D1856" i="6"/>
  <c r="D1857" i="6"/>
  <c r="D1858" i="6"/>
  <c r="D1859" i="6"/>
  <c r="D1860" i="6"/>
  <c r="D1861" i="6"/>
  <c r="D1862" i="6"/>
  <c r="D1863" i="6"/>
  <c r="D1864" i="6"/>
  <c r="D1865" i="6"/>
  <c r="D1866" i="6"/>
  <c r="D1867" i="6"/>
  <c r="D1868" i="6"/>
  <c r="D1869" i="6"/>
  <c r="D1870" i="6"/>
  <c r="D1871" i="6"/>
  <c r="D1872" i="6"/>
  <c r="D1873" i="6"/>
  <c r="D1874" i="6"/>
  <c r="D1875" i="6"/>
  <c r="D1876" i="6"/>
  <c r="D1877" i="6"/>
  <c r="D1878" i="6"/>
  <c r="D1879" i="6"/>
  <c r="D1880" i="6"/>
  <c r="D1881" i="6"/>
  <c r="D1882" i="6"/>
  <c r="D1883" i="6"/>
  <c r="D1884" i="6"/>
  <c r="D1885" i="6"/>
  <c r="D1886" i="6"/>
  <c r="D1887" i="6"/>
  <c r="D1888" i="6"/>
  <c r="D1889" i="6"/>
  <c r="D1890" i="6"/>
  <c r="D1891" i="6"/>
  <c r="D1892" i="6"/>
  <c r="D1893" i="6"/>
  <c r="D1894" i="6"/>
  <c r="D1895" i="6"/>
  <c r="D1896" i="6"/>
  <c r="D1897" i="6"/>
  <c r="D1898" i="6"/>
  <c r="D1899" i="6"/>
  <c r="D1900" i="6"/>
  <c r="D1901" i="6"/>
  <c r="D1902" i="6"/>
  <c r="D1903" i="6"/>
  <c r="D1904" i="6"/>
  <c r="D1905" i="6"/>
  <c r="D1906" i="6"/>
  <c r="D1907" i="6"/>
  <c r="D1908" i="6"/>
  <c r="D1909" i="6"/>
  <c r="D1910" i="6"/>
  <c r="D1911" i="6"/>
  <c r="D1912" i="6"/>
  <c r="D1913" i="6"/>
  <c r="D1914" i="6"/>
  <c r="D1915" i="6"/>
  <c r="D1916" i="6"/>
  <c r="D1917" i="6"/>
  <c r="D1918" i="6"/>
  <c r="D1919" i="6"/>
  <c r="D1920" i="6"/>
  <c r="D1921" i="6"/>
  <c r="D1922" i="6"/>
  <c r="D1923" i="6"/>
  <c r="D1924" i="6"/>
  <c r="D1925" i="6"/>
  <c r="D1926" i="6"/>
  <c r="D1927" i="6"/>
  <c r="D1928" i="6"/>
  <c r="D1929" i="6"/>
  <c r="D1930" i="6"/>
  <c r="D1931" i="6"/>
  <c r="D1932" i="6"/>
  <c r="D1933" i="6"/>
  <c r="D1934" i="6"/>
  <c r="D1935" i="6"/>
  <c r="D1936" i="6"/>
  <c r="D1937" i="6"/>
  <c r="D1938" i="6"/>
  <c r="D1939" i="6"/>
  <c r="D1940" i="6"/>
  <c r="D1941" i="6"/>
  <c r="D1942" i="6"/>
  <c r="D1943" i="6"/>
  <c r="D1944" i="6"/>
  <c r="D1945" i="6"/>
  <c r="D1946" i="6"/>
  <c r="D1947" i="6"/>
  <c r="D1948" i="6"/>
  <c r="D1949" i="6"/>
  <c r="D1950" i="6"/>
  <c r="D1951" i="6"/>
  <c r="D1952" i="6"/>
  <c r="D1953" i="6"/>
  <c r="D1954" i="6"/>
  <c r="D1955" i="6"/>
  <c r="D1956" i="6"/>
  <c r="D1957" i="6"/>
  <c r="D1958" i="6"/>
  <c r="D1959" i="6"/>
  <c r="D1960" i="6"/>
  <c r="D1961" i="6"/>
  <c r="D1962" i="6"/>
  <c r="D1963" i="6"/>
  <c r="D1964" i="6"/>
  <c r="D1965" i="6"/>
  <c r="D1966" i="6"/>
  <c r="D1967" i="6"/>
  <c r="D1968" i="6"/>
  <c r="D1969" i="6"/>
  <c r="D1970" i="6"/>
  <c r="D1971" i="6"/>
  <c r="D1972" i="6"/>
  <c r="D1973" i="6"/>
  <c r="D1974" i="6"/>
  <c r="D1975" i="6"/>
  <c r="D1976" i="6"/>
  <c r="D1977" i="6"/>
  <c r="D1978" i="6"/>
  <c r="D1979" i="6"/>
  <c r="D1980" i="6"/>
  <c r="D1981" i="6"/>
  <c r="D1982" i="6"/>
  <c r="D1983" i="6"/>
  <c r="D1984" i="6"/>
  <c r="D1985" i="6"/>
  <c r="D1986" i="6"/>
  <c r="D1987" i="6"/>
  <c r="D1988" i="6"/>
  <c r="D1989" i="6"/>
  <c r="D1990" i="6"/>
  <c r="D1991" i="6"/>
  <c r="D1992" i="6"/>
  <c r="D1993" i="6"/>
  <c r="D1994" i="6"/>
  <c r="D1995" i="6"/>
  <c r="D1996" i="6"/>
  <c r="D1997" i="6"/>
  <c r="D1998" i="6"/>
  <c r="D1999" i="6"/>
  <c r="D2000" i="6"/>
  <c r="D2001" i="6"/>
  <c r="D2002" i="6"/>
  <c r="D2003" i="6"/>
  <c r="D2004" i="6"/>
  <c r="D2005" i="6"/>
  <c r="D2006" i="6"/>
  <c r="D2007" i="6"/>
  <c r="D2008" i="6"/>
  <c r="D2009" i="6"/>
  <c r="D2010" i="6"/>
  <c r="D2011" i="6"/>
  <c r="D2012" i="6"/>
  <c r="D2013" i="6"/>
  <c r="D2014" i="6"/>
  <c r="D2015" i="6"/>
  <c r="D2016" i="6"/>
  <c r="D2017" i="6"/>
  <c r="D2018" i="6"/>
  <c r="D2019" i="6"/>
  <c r="D2020" i="6"/>
  <c r="D2021" i="6"/>
  <c r="D2022" i="6"/>
  <c r="D2023" i="6"/>
  <c r="D2024" i="6"/>
  <c r="D2025" i="6"/>
  <c r="D2026" i="6"/>
  <c r="D2027" i="6"/>
  <c r="D2028" i="6"/>
  <c r="D2029" i="6"/>
  <c r="D2030" i="6"/>
  <c r="D2031" i="6"/>
  <c r="D2032" i="6"/>
  <c r="D2033" i="6"/>
  <c r="D2034" i="6"/>
  <c r="D2035" i="6"/>
  <c r="D2036" i="6"/>
  <c r="D2037" i="6"/>
  <c r="D2038" i="6"/>
  <c r="D2039" i="6"/>
  <c r="D2040" i="6"/>
  <c r="D2041" i="6"/>
  <c r="D2042" i="6"/>
  <c r="D2043" i="6"/>
  <c r="D2044" i="6"/>
  <c r="D2045" i="6"/>
  <c r="D2046" i="6"/>
  <c r="D2047" i="6"/>
  <c r="D2048" i="6"/>
  <c r="D2049" i="6"/>
  <c r="D2050" i="6"/>
  <c r="D2051" i="6"/>
  <c r="D2052" i="6"/>
  <c r="D2053" i="6"/>
  <c r="D2054" i="6"/>
  <c r="D2055" i="6"/>
  <c r="D2056" i="6"/>
  <c r="D2057" i="6"/>
  <c r="D2058" i="6"/>
  <c r="D2059" i="6"/>
  <c r="D2060" i="6"/>
  <c r="D2061" i="6"/>
  <c r="D2062" i="6"/>
  <c r="D2063" i="6"/>
  <c r="D2064" i="6"/>
  <c r="D2065" i="6"/>
  <c r="D2066" i="6"/>
  <c r="D2067" i="6"/>
  <c r="D2068" i="6"/>
  <c r="D2069" i="6"/>
  <c r="D2070" i="6"/>
  <c r="D2071" i="6"/>
  <c r="D2072" i="6"/>
  <c r="D2073" i="6"/>
  <c r="D2074" i="6"/>
  <c r="D2075" i="6"/>
  <c r="D2076" i="6"/>
  <c r="D2077" i="6"/>
  <c r="D2078" i="6"/>
  <c r="D2079" i="6"/>
  <c r="D2080" i="6"/>
  <c r="D2081" i="6"/>
  <c r="D2082" i="6"/>
  <c r="D2083" i="6"/>
  <c r="D2084" i="6"/>
  <c r="D2085" i="6"/>
  <c r="D2086" i="6"/>
  <c r="D2087" i="6"/>
  <c r="D2088" i="6"/>
  <c r="D2089" i="6"/>
  <c r="D2090" i="6"/>
  <c r="D2091" i="6"/>
  <c r="D2092" i="6"/>
  <c r="D2093" i="6"/>
  <c r="D2094" i="6"/>
  <c r="D2095" i="6"/>
  <c r="D2096" i="6"/>
  <c r="D2097" i="6"/>
  <c r="D2098" i="6"/>
  <c r="D2099" i="6"/>
  <c r="D2100" i="6"/>
  <c r="D2101" i="6"/>
  <c r="D2102" i="6"/>
  <c r="D2103" i="6"/>
  <c r="D2104" i="6"/>
  <c r="D2105" i="6"/>
  <c r="D2106" i="6"/>
  <c r="D2107" i="6"/>
  <c r="D2108" i="6"/>
  <c r="D2109" i="6"/>
  <c r="D2110" i="6"/>
  <c r="D2111" i="6"/>
  <c r="D2112" i="6"/>
  <c r="D2113" i="6"/>
  <c r="D2114" i="6"/>
  <c r="D2115" i="6"/>
  <c r="D2116" i="6"/>
  <c r="D2117" i="6"/>
  <c r="D2118" i="6"/>
  <c r="D2119" i="6"/>
  <c r="D2120" i="6"/>
  <c r="D2121" i="6"/>
  <c r="D2122" i="6"/>
  <c r="D2123" i="6"/>
  <c r="D2124" i="6"/>
  <c r="D2125" i="6"/>
  <c r="D2126" i="6"/>
  <c r="D2127" i="6"/>
  <c r="D2128" i="6"/>
  <c r="D2129" i="6"/>
  <c r="D2130" i="6"/>
  <c r="D2131" i="6"/>
  <c r="D2132" i="6"/>
  <c r="D2133" i="6"/>
  <c r="D2134" i="6"/>
  <c r="D2135" i="6"/>
  <c r="D2136" i="6"/>
  <c r="D2137" i="6"/>
  <c r="D2138" i="6"/>
  <c r="D2139" i="6"/>
  <c r="D2140" i="6"/>
  <c r="D2141" i="6"/>
  <c r="D2142" i="6"/>
  <c r="D2143" i="6"/>
  <c r="D2144" i="6"/>
  <c r="D2145" i="6"/>
  <c r="D2146" i="6"/>
  <c r="D2147" i="6"/>
  <c r="D2148" i="6"/>
  <c r="D2149" i="6"/>
  <c r="D2150" i="6"/>
  <c r="D2151" i="6"/>
  <c r="D2152" i="6"/>
  <c r="D2153" i="6"/>
  <c r="D2154" i="6"/>
  <c r="D2155" i="6"/>
  <c r="D2156" i="6"/>
  <c r="D2157" i="6"/>
  <c r="D2158" i="6"/>
  <c r="D2159" i="6"/>
  <c r="D2160" i="6"/>
  <c r="D2161" i="6"/>
  <c r="D2162" i="6"/>
  <c r="D2163" i="6"/>
  <c r="D2164" i="6"/>
  <c r="D2165" i="6"/>
  <c r="D2166" i="6"/>
  <c r="D2167" i="6"/>
  <c r="D2168" i="6"/>
  <c r="D2169" i="6"/>
  <c r="D2170" i="6"/>
  <c r="D2171" i="6"/>
  <c r="D2172" i="6"/>
  <c r="D2173" i="6"/>
  <c r="D2174" i="6"/>
  <c r="D2175" i="6"/>
  <c r="D2176" i="6"/>
  <c r="D2177" i="6"/>
  <c r="D2178" i="6"/>
  <c r="D2179" i="6"/>
  <c r="D2180" i="6"/>
  <c r="D2181" i="6"/>
  <c r="D2182" i="6"/>
  <c r="D2183" i="6"/>
  <c r="D2184" i="6"/>
  <c r="D2185" i="6"/>
  <c r="D2186" i="6"/>
  <c r="D2187" i="6"/>
  <c r="D2188" i="6"/>
  <c r="D2189" i="6"/>
  <c r="D2190" i="6"/>
  <c r="D2191" i="6"/>
  <c r="D2192" i="6"/>
  <c r="D2193" i="6"/>
  <c r="D2194" i="6"/>
  <c r="D2195" i="6"/>
  <c r="D2196" i="6"/>
  <c r="D2197" i="6"/>
  <c r="D2198" i="6"/>
  <c r="D2199" i="6"/>
  <c r="D2200" i="6"/>
  <c r="D2201" i="6"/>
  <c r="D2202" i="6"/>
  <c r="D2203" i="6"/>
  <c r="D2204" i="6"/>
  <c r="D2205" i="6"/>
  <c r="D2206" i="6"/>
  <c r="D2207" i="6"/>
  <c r="D2208" i="6"/>
  <c r="D2209" i="6"/>
  <c r="D2210" i="6"/>
  <c r="D2211" i="6"/>
  <c r="D2212" i="6"/>
  <c r="D2213" i="6"/>
  <c r="D2214" i="6"/>
  <c r="D2215" i="6"/>
  <c r="D2216" i="6"/>
  <c r="D2217" i="6"/>
  <c r="D2218" i="6"/>
  <c r="D2219" i="6"/>
  <c r="D2220" i="6"/>
  <c r="D2221" i="6"/>
  <c r="D2222" i="6"/>
  <c r="D2223" i="6"/>
  <c r="D2224" i="6"/>
  <c r="D2225" i="6"/>
  <c r="D2226" i="6"/>
  <c r="D2227" i="6"/>
  <c r="D2228" i="6"/>
  <c r="D2229" i="6"/>
  <c r="D2230" i="6"/>
  <c r="D2231" i="6"/>
  <c r="D2232" i="6"/>
  <c r="D2233" i="6"/>
  <c r="D2234" i="6"/>
  <c r="D2235" i="6"/>
  <c r="D2236" i="6"/>
  <c r="D2237" i="6"/>
  <c r="D2238" i="6"/>
  <c r="D2239" i="6"/>
  <c r="D2240" i="6"/>
  <c r="D2241" i="6"/>
  <c r="D2242" i="6"/>
  <c r="D2243" i="6"/>
  <c r="D2244" i="6"/>
  <c r="D2245" i="6"/>
  <c r="D2246" i="6"/>
  <c r="D2247" i="6"/>
  <c r="D2248" i="6"/>
  <c r="D2249" i="6"/>
  <c r="D2250" i="6"/>
  <c r="D2251" i="6"/>
  <c r="D2252" i="6"/>
  <c r="D2253" i="6"/>
  <c r="D2254" i="6"/>
  <c r="D2255" i="6"/>
  <c r="D2256" i="6"/>
  <c r="D2257" i="6"/>
  <c r="D2258" i="6"/>
  <c r="D2259" i="6"/>
  <c r="D2260" i="6"/>
  <c r="D2261" i="6"/>
  <c r="D2262" i="6"/>
  <c r="D2263" i="6"/>
  <c r="D2264" i="6"/>
  <c r="D2265" i="6"/>
  <c r="D2266" i="6"/>
  <c r="D2267" i="6"/>
  <c r="D2268" i="6"/>
  <c r="D2269" i="6"/>
  <c r="D2270" i="6"/>
  <c r="D2271" i="6"/>
  <c r="D2272" i="6"/>
  <c r="D2273" i="6"/>
  <c r="D2274" i="6"/>
  <c r="D2275" i="6"/>
  <c r="D2276" i="6"/>
  <c r="D2277" i="6"/>
  <c r="D2278" i="6"/>
  <c r="D2279" i="6"/>
  <c r="D2280" i="6"/>
  <c r="D2281" i="6"/>
  <c r="D2282" i="6"/>
  <c r="D2283" i="6"/>
  <c r="D2284" i="6"/>
  <c r="D2285" i="6"/>
  <c r="D2286" i="6"/>
  <c r="D2287" i="6"/>
  <c r="D2288" i="6"/>
  <c r="D2289" i="6"/>
  <c r="D2290" i="6"/>
  <c r="D2291" i="6"/>
  <c r="D2292" i="6"/>
  <c r="D2293" i="6"/>
  <c r="D2294" i="6"/>
  <c r="D2295" i="6"/>
  <c r="D2296" i="6"/>
  <c r="D2297" i="6"/>
  <c r="D2298" i="6"/>
  <c r="D2299" i="6"/>
  <c r="D2300" i="6"/>
  <c r="D2301" i="6"/>
  <c r="D2302" i="6"/>
  <c r="D2303" i="6"/>
  <c r="D2304" i="6"/>
  <c r="D2305" i="6"/>
  <c r="D2306" i="6"/>
  <c r="D2307" i="6"/>
  <c r="D2308" i="6"/>
  <c r="D2309" i="6"/>
  <c r="D2310" i="6"/>
  <c r="D2311" i="6"/>
  <c r="D2312" i="6"/>
  <c r="D2313" i="6"/>
  <c r="D2314" i="6"/>
  <c r="D2315" i="6"/>
  <c r="D2316" i="6"/>
  <c r="D2317" i="6"/>
  <c r="D2318" i="6"/>
  <c r="D2319" i="6"/>
  <c r="D2320" i="6"/>
  <c r="D2321" i="6"/>
  <c r="D2322" i="6"/>
  <c r="D2323" i="6"/>
  <c r="D2324" i="6"/>
  <c r="D2325" i="6"/>
  <c r="D2326" i="6"/>
  <c r="D2327" i="6"/>
  <c r="D2328" i="6"/>
  <c r="D2329" i="6"/>
  <c r="D2330" i="6"/>
  <c r="D2331" i="6"/>
  <c r="D2332" i="6"/>
  <c r="D2333" i="6"/>
  <c r="D2334" i="6"/>
  <c r="D2335" i="6"/>
  <c r="D2336" i="6"/>
  <c r="D2337" i="6"/>
  <c r="D2338" i="6"/>
  <c r="D2339" i="6"/>
  <c r="D2340" i="6"/>
  <c r="D2341" i="6"/>
  <c r="D2342" i="6"/>
  <c r="D2343" i="6"/>
  <c r="D2344" i="6"/>
  <c r="D2345" i="6"/>
  <c r="D2346" i="6"/>
  <c r="D2347" i="6"/>
  <c r="D2348" i="6"/>
  <c r="D2349" i="6"/>
  <c r="D2350" i="6"/>
  <c r="D2351" i="6"/>
  <c r="D2352" i="6"/>
  <c r="D2353" i="6"/>
  <c r="D2354" i="6"/>
  <c r="D2355" i="6"/>
  <c r="D2356" i="6"/>
  <c r="D2357" i="6"/>
  <c r="D2358" i="6"/>
  <c r="D2359" i="6"/>
  <c r="D2360" i="6"/>
  <c r="D2361" i="6"/>
  <c r="D2362" i="6"/>
  <c r="D2363" i="6"/>
  <c r="D2364" i="6"/>
  <c r="D2365" i="6"/>
  <c r="D2366" i="6"/>
  <c r="D2367" i="6"/>
  <c r="D2368" i="6"/>
  <c r="D2369" i="6"/>
  <c r="D2370" i="6"/>
  <c r="D2371" i="6"/>
  <c r="D2372" i="6"/>
  <c r="D2373" i="6"/>
  <c r="D2374" i="6"/>
  <c r="D2375" i="6"/>
  <c r="D2376" i="6"/>
  <c r="D2377" i="6"/>
  <c r="D2378" i="6"/>
  <c r="D2379" i="6"/>
  <c r="D2380" i="6"/>
  <c r="D2381" i="6"/>
  <c r="D2382" i="6"/>
  <c r="D2383" i="6"/>
  <c r="D2384" i="6"/>
  <c r="D2385" i="6"/>
  <c r="D2386" i="6"/>
  <c r="D2387" i="6"/>
  <c r="D2388" i="6"/>
  <c r="D2389" i="6"/>
  <c r="D2390" i="6"/>
  <c r="D2391" i="6"/>
  <c r="D2392" i="6"/>
  <c r="D2393" i="6"/>
  <c r="D2394" i="6"/>
  <c r="D2395" i="6"/>
  <c r="D2396" i="6"/>
  <c r="D2397" i="6"/>
  <c r="D2398" i="6"/>
  <c r="D2399" i="6"/>
  <c r="D2400" i="6"/>
  <c r="D2401" i="6"/>
  <c r="D2402" i="6"/>
  <c r="D2403" i="6"/>
  <c r="D2404" i="6"/>
  <c r="D2405" i="6"/>
  <c r="D2406" i="6"/>
  <c r="D2407" i="6"/>
  <c r="D2408" i="6"/>
  <c r="D2409" i="6"/>
  <c r="D2410" i="6"/>
  <c r="D2411" i="6"/>
  <c r="D2412" i="6"/>
  <c r="D2413" i="6"/>
  <c r="D2414" i="6"/>
  <c r="D2415" i="6"/>
  <c r="D2416" i="6"/>
  <c r="D2417" i="6"/>
  <c r="D2418" i="6"/>
  <c r="D2419" i="6"/>
  <c r="D2420" i="6"/>
  <c r="D2421" i="6"/>
  <c r="D2422" i="6"/>
  <c r="D2423" i="6"/>
  <c r="D2424" i="6"/>
  <c r="D2425" i="6"/>
  <c r="D2426" i="6"/>
  <c r="D2427" i="6"/>
  <c r="D2428" i="6"/>
  <c r="D2429" i="6"/>
  <c r="D2430" i="6"/>
  <c r="D2431" i="6"/>
  <c r="D2432" i="6"/>
  <c r="D2433" i="6"/>
  <c r="D2434" i="6"/>
  <c r="D2435" i="6"/>
  <c r="D2436" i="6"/>
  <c r="D2437" i="6"/>
  <c r="D2438" i="6"/>
  <c r="D2439" i="6"/>
  <c r="D2440" i="6"/>
  <c r="D2441" i="6"/>
  <c r="D2442" i="6"/>
  <c r="D2443" i="6"/>
  <c r="D2444" i="6"/>
  <c r="D2445" i="6"/>
  <c r="D2446" i="6"/>
  <c r="D2447" i="6"/>
  <c r="D2448" i="6"/>
  <c r="D2449" i="6"/>
  <c r="D2450" i="6"/>
  <c r="D2451" i="6"/>
  <c r="D2452" i="6"/>
  <c r="D2453" i="6"/>
  <c r="D2454" i="6"/>
  <c r="D2455" i="6"/>
  <c r="D2456" i="6"/>
  <c r="D2457" i="6"/>
  <c r="D2458" i="6"/>
  <c r="D2459" i="6"/>
  <c r="D2460" i="6"/>
  <c r="D2461" i="6"/>
  <c r="D2462" i="6"/>
  <c r="D2463" i="6"/>
  <c r="D2464" i="6"/>
  <c r="D2465" i="6"/>
  <c r="D2466" i="6"/>
  <c r="D2467" i="6"/>
  <c r="D2468" i="6"/>
  <c r="D2469" i="6"/>
  <c r="D2470" i="6"/>
  <c r="D2471" i="6"/>
  <c r="D2472" i="6"/>
  <c r="D2473" i="6"/>
  <c r="D2474" i="6"/>
  <c r="D2475" i="6"/>
  <c r="D2476" i="6"/>
  <c r="D2477" i="6"/>
  <c r="D2478" i="6"/>
  <c r="D2479" i="6"/>
  <c r="D2480" i="6"/>
  <c r="D2481" i="6"/>
  <c r="D2482" i="6"/>
  <c r="D2483" i="6"/>
  <c r="D2484" i="6"/>
  <c r="D2485" i="6"/>
  <c r="D2486" i="6"/>
  <c r="D2487" i="6"/>
  <c r="D2488" i="6"/>
  <c r="D2489" i="6"/>
  <c r="D2490" i="6"/>
  <c r="D2491" i="6"/>
  <c r="D2492" i="6"/>
  <c r="D2493" i="6"/>
  <c r="D2494" i="6"/>
  <c r="D2495" i="6"/>
  <c r="D2496" i="6"/>
  <c r="D2497" i="6"/>
  <c r="D2498" i="6"/>
  <c r="D2499" i="6"/>
  <c r="D2500" i="6"/>
  <c r="D2501" i="6"/>
  <c r="D2502" i="6"/>
  <c r="D2503" i="6"/>
  <c r="D2504" i="6"/>
  <c r="D2505" i="6"/>
  <c r="D2506" i="6"/>
  <c r="D2507" i="6"/>
  <c r="D2508" i="6"/>
  <c r="D2509" i="6"/>
  <c r="D2510" i="6"/>
  <c r="D2511" i="6"/>
  <c r="D2512" i="6"/>
  <c r="D2513" i="6"/>
  <c r="D2514" i="6"/>
  <c r="D2515" i="6"/>
  <c r="D2516" i="6"/>
  <c r="D2517" i="6"/>
  <c r="D2518" i="6"/>
  <c r="D2519" i="6"/>
  <c r="D2520" i="6"/>
  <c r="D2521" i="6"/>
  <c r="D2522" i="6"/>
  <c r="D2523" i="6"/>
  <c r="D2524" i="6"/>
  <c r="D2525" i="6"/>
  <c r="D2526" i="6"/>
  <c r="D2527" i="6"/>
  <c r="D2528" i="6"/>
  <c r="D2529" i="6"/>
  <c r="D2530" i="6"/>
  <c r="D2531" i="6"/>
  <c r="D2532" i="6"/>
  <c r="D2533" i="6"/>
  <c r="D2534" i="6"/>
  <c r="D2535" i="6"/>
  <c r="D2536" i="6"/>
  <c r="D2537" i="6"/>
  <c r="D2538" i="6"/>
  <c r="D2539" i="6"/>
  <c r="D2540" i="6"/>
  <c r="D2541" i="6"/>
  <c r="D2542" i="6"/>
  <c r="D2543" i="6"/>
  <c r="D2544" i="6"/>
  <c r="D2545" i="6"/>
  <c r="D2546" i="6"/>
  <c r="D2547" i="6"/>
  <c r="D2548" i="6"/>
  <c r="D2549" i="6"/>
  <c r="D2550" i="6"/>
  <c r="D2551" i="6"/>
  <c r="D2552" i="6"/>
  <c r="D2553" i="6"/>
  <c r="D2554" i="6"/>
  <c r="D2555" i="6"/>
  <c r="D2556" i="6"/>
  <c r="D2557" i="6"/>
  <c r="D2558" i="6"/>
  <c r="D2559" i="6"/>
  <c r="D2560" i="6"/>
  <c r="D2561" i="6"/>
  <c r="D2562" i="6"/>
  <c r="D2563" i="6"/>
  <c r="D2564" i="6"/>
  <c r="D2565" i="6"/>
  <c r="D2566" i="6"/>
  <c r="D2567" i="6"/>
  <c r="D2568" i="6"/>
  <c r="D2569" i="6"/>
  <c r="D2570" i="6"/>
  <c r="D2571" i="6"/>
  <c r="D2572" i="6"/>
  <c r="D2573" i="6"/>
  <c r="D2574" i="6"/>
  <c r="D2575" i="6"/>
  <c r="D2576" i="6"/>
  <c r="D2577" i="6"/>
  <c r="D2578" i="6"/>
  <c r="D2579" i="6"/>
  <c r="D2580" i="6"/>
  <c r="D2581" i="6"/>
  <c r="D2582" i="6"/>
  <c r="D2583" i="6"/>
  <c r="D2584" i="6"/>
  <c r="D2585" i="6"/>
  <c r="D2586" i="6"/>
  <c r="D2587" i="6"/>
  <c r="D2588" i="6"/>
  <c r="D2589" i="6"/>
  <c r="D2590" i="6"/>
  <c r="D2591" i="6"/>
  <c r="D2592" i="6"/>
  <c r="D2593" i="6"/>
  <c r="D2594" i="6"/>
  <c r="D2595" i="6"/>
  <c r="D2596" i="6"/>
  <c r="D2597" i="6"/>
  <c r="D2598" i="6"/>
  <c r="D2599" i="6"/>
  <c r="D2600" i="6"/>
  <c r="D2601" i="6"/>
  <c r="D2602" i="6"/>
  <c r="D2603" i="6"/>
  <c r="D2604" i="6"/>
  <c r="D2605" i="6"/>
  <c r="D2606" i="6"/>
  <c r="D2607" i="6"/>
  <c r="D2608" i="6"/>
  <c r="D2609" i="6"/>
  <c r="D2610" i="6"/>
  <c r="D2611" i="6"/>
  <c r="D2612" i="6"/>
  <c r="D2613" i="6"/>
  <c r="D2614" i="6"/>
  <c r="D2615" i="6"/>
  <c r="D2616" i="6"/>
  <c r="D2617" i="6"/>
  <c r="D2618" i="6"/>
  <c r="D2619" i="6"/>
  <c r="D2620" i="6"/>
  <c r="D2621" i="6"/>
  <c r="D2622" i="6"/>
  <c r="D2623" i="6"/>
  <c r="D2624" i="6"/>
  <c r="D2625" i="6"/>
  <c r="D2626" i="6"/>
  <c r="D2627" i="6"/>
  <c r="D2628" i="6"/>
  <c r="D2629" i="6"/>
  <c r="D2630" i="6"/>
  <c r="D2631" i="6"/>
  <c r="D2632" i="6"/>
  <c r="D2633" i="6"/>
  <c r="D2634" i="6"/>
  <c r="D2635" i="6"/>
  <c r="D2636" i="6"/>
  <c r="D2637" i="6"/>
  <c r="D2638" i="6"/>
  <c r="D2639" i="6"/>
  <c r="D2640" i="6"/>
  <c r="D2641" i="6"/>
  <c r="D2642" i="6"/>
  <c r="D2643" i="6"/>
  <c r="D2644" i="6"/>
  <c r="D2645" i="6"/>
  <c r="D2646" i="6"/>
  <c r="D2647" i="6"/>
  <c r="D2648" i="6"/>
  <c r="D2649" i="6"/>
  <c r="D2650" i="6"/>
  <c r="D2651" i="6"/>
  <c r="D2652" i="6"/>
  <c r="D2653" i="6"/>
  <c r="D2654" i="6"/>
  <c r="D2655" i="6"/>
  <c r="D2656" i="6"/>
  <c r="D2657" i="6"/>
  <c r="D2658" i="6"/>
  <c r="D2659" i="6"/>
  <c r="D2660" i="6"/>
  <c r="D2661" i="6"/>
  <c r="D2662" i="6"/>
  <c r="D2663" i="6"/>
  <c r="D2664" i="6"/>
  <c r="D2665" i="6"/>
  <c r="D2666" i="6"/>
  <c r="D2667" i="6"/>
  <c r="D2668" i="6"/>
  <c r="D2669" i="6"/>
  <c r="D2670" i="6"/>
  <c r="D2671" i="6"/>
  <c r="D2672" i="6"/>
  <c r="D2673" i="6"/>
  <c r="D2674" i="6"/>
  <c r="D2675" i="6"/>
  <c r="D2676" i="6"/>
  <c r="D2677" i="6"/>
  <c r="D2678" i="6"/>
  <c r="D2679" i="6"/>
  <c r="D2680" i="6"/>
  <c r="D2681" i="6"/>
  <c r="D2682" i="6"/>
  <c r="D2683" i="6"/>
  <c r="D2684" i="6"/>
  <c r="D2685" i="6"/>
  <c r="D2686" i="6"/>
  <c r="D2687" i="6"/>
  <c r="D2688" i="6"/>
  <c r="D2689" i="6"/>
  <c r="D2690" i="6"/>
  <c r="D2691" i="6"/>
  <c r="D2692" i="6"/>
  <c r="D2693" i="6"/>
  <c r="D2694" i="6"/>
  <c r="D2695" i="6"/>
  <c r="D2696" i="6"/>
  <c r="D2697" i="6"/>
  <c r="D2698" i="6"/>
  <c r="D2699" i="6"/>
  <c r="D2700" i="6"/>
  <c r="D2701" i="6"/>
  <c r="D2702" i="6"/>
  <c r="D2703" i="6"/>
  <c r="D2704" i="6"/>
  <c r="D2705" i="6"/>
  <c r="D2706" i="6"/>
  <c r="D2707" i="6"/>
  <c r="D2708" i="6"/>
  <c r="D2709" i="6"/>
  <c r="D2710" i="6"/>
  <c r="D2711" i="6"/>
  <c r="D2712" i="6"/>
  <c r="D2713" i="6"/>
  <c r="D2714" i="6"/>
  <c r="D2715" i="6"/>
  <c r="D2716" i="6"/>
  <c r="D2717" i="6"/>
  <c r="D2718" i="6"/>
  <c r="D2719" i="6"/>
  <c r="D2720" i="6"/>
  <c r="D2721" i="6"/>
  <c r="D2722" i="6"/>
  <c r="D2723" i="6"/>
  <c r="D2724" i="6"/>
  <c r="D2725" i="6"/>
  <c r="D2726" i="6"/>
  <c r="D2727" i="6"/>
  <c r="D2728" i="6"/>
  <c r="D2729" i="6"/>
  <c r="D2730" i="6"/>
  <c r="D2731" i="6"/>
  <c r="D2732" i="6"/>
  <c r="D2733" i="6"/>
  <c r="D2734" i="6"/>
  <c r="D2735" i="6"/>
  <c r="D2736" i="6"/>
  <c r="D2737" i="6"/>
  <c r="D2738" i="6"/>
  <c r="D2739" i="6"/>
  <c r="D2740" i="6"/>
  <c r="D2741" i="6"/>
  <c r="D2742" i="6"/>
  <c r="D2743" i="6"/>
  <c r="D2744" i="6"/>
  <c r="D2745" i="6"/>
  <c r="D2746" i="6"/>
  <c r="D2747" i="6"/>
  <c r="D2748" i="6"/>
  <c r="D2749" i="6"/>
  <c r="D2750" i="6"/>
  <c r="D2751" i="6"/>
  <c r="D2752" i="6"/>
  <c r="D2753" i="6"/>
  <c r="D2754" i="6"/>
  <c r="D2755" i="6"/>
  <c r="D2756" i="6"/>
  <c r="D2757" i="6"/>
  <c r="D2758" i="6"/>
  <c r="D2759" i="6"/>
  <c r="D2760" i="6"/>
  <c r="D2761" i="6"/>
  <c r="D2762" i="6"/>
  <c r="D2763" i="6"/>
  <c r="D2764" i="6"/>
  <c r="D2765" i="6"/>
  <c r="D2766" i="6"/>
  <c r="D2767" i="6"/>
  <c r="D2768" i="6"/>
  <c r="D2769" i="6"/>
  <c r="D2770" i="6"/>
  <c r="D2771" i="6"/>
  <c r="D2772" i="6"/>
  <c r="D2773" i="6"/>
  <c r="D2774" i="6"/>
  <c r="D2775" i="6"/>
  <c r="D2776" i="6"/>
  <c r="D2777" i="6"/>
  <c r="D2778" i="6"/>
  <c r="D2779" i="6"/>
  <c r="D2780" i="6"/>
  <c r="D2781" i="6"/>
  <c r="D2782" i="6"/>
  <c r="D2783" i="6"/>
  <c r="D2784" i="6"/>
  <c r="D2785" i="6"/>
  <c r="D2786" i="6"/>
  <c r="D2787" i="6"/>
  <c r="D2788" i="6"/>
  <c r="D2789" i="6"/>
  <c r="D2790" i="6"/>
  <c r="D2791" i="6"/>
  <c r="D2792" i="6"/>
  <c r="D2793" i="6"/>
  <c r="D2794" i="6"/>
  <c r="D2795" i="6"/>
  <c r="D2796" i="6"/>
  <c r="D2797" i="6"/>
  <c r="D2798" i="6"/>
  <c r="D2799" i="6"/>
  <c r="D2800" i="6"/>
  <c r="D2801" i="6"/>
  <c r="D2802" i="6"/>
  <c r="D2803" i="6"/>
  <c r="D2804" i="6"/>
  <c r="D2805" i="6"/>
  <c r="D2806" i="6"/>
  <c r="D2807" i="6"/>
  <c r="D2808" i="6"/>
  <c r="D2809" i="6"/>
  <c r="D2810" i="6"/>
  <c r="D2811" i="6"/>
  <c r="D2812" i="6"/>
  <c r="D2813" i="6"/>
  <c r="D2814" i="6"/>
  <c r="D2815" i="6"/>
  <c r="D2816" i="6"/>
  <c r="D2817" i="6"/>
  <c r="D2818" i="6"/>
  <c r="D2819" i="6"/>
  <c r="D2820" i="6"/>
  <c r="D2821" i="6"/>
  <c r="D2822" i="6"/>
  <c r="D2823" i="6"/>
  <c r="D2824" i="6"/>
  <c r="D2825" i="6"/>
  <c r="D2826" i="6"/>
  <c r="D2827" i="6"/>
  <c r="D2828" i="6"/>
  <c r="D2829" i="6"/>
  <c r="D2830" i="6"/>
  <c r="D2831" i="6"/>
  <c r="D2832" i="6"/>
  <c r="D2833" i="6"/>
  <c r="D2834" i="6"/>
  <c r="D2835" i="6"/>
  <c r="D2836" i="6"/>
  <c r="D2837" i="6"/>
  <c r="D2838" i="6"/>
  <c r="D2839" i="6"/>
  <c r="D2840" i="6"/>
  <c r="D2841" i="6"/>
  <c r="D2842" i="6"/>
  <c r="D2843" i="6"/>
  <c r="D2844" i="6"/>
  <c r="D2845" i="6"/>
  <c r="D2846" i="6"/>
  <c r="D2847" i="6"/>
  <c r="D2848" i="6"/>
  <c r="D2849" i="6"/>
  <c r="D2850" i="6"/>
  <c r="D2851" i="6"/>
  <c r="D2852" i="6"/>
  <c r="D2853" i="6"/>
  <c r="D2854" i="6"/>
  <c r="D2855" i="6"/>
  <c r="D2856" i="6"/>
  <c r="D2857" i="6"/>
  <c r="D2858" i="6"/>
  <c r="D2859" i="6"/>
  <c r="D2860" i="6"/>
  <c r="D2861" i="6"/>
  <c r="D2862" i="6"/>
  <c r="D2863" i="6"/>
  <c r="D2864" i="6"/>
  <c r="D2865" i="6"/>
  <c r="D2866" i="6"/>
  <c r="D2867" i="6"/>
  <c r="D2868" i="6"/>
  <c r="D2869" i="6"/>
  <c r="D2870" i="6"/>
  <c r="D2871" i="6"/>
  <c r="D2872" i="6"/>
  <c r="D2873" i="6"/>
  <c r="D2874" i="6"/>
  <c r="D2875" i="6"/>
  <c r="D2876" i="6"/>
  <c r="D2877" i="6"/>
  <c r="D2878" i="6"/>
  <c r="D2879" i="6"/>
  <c r="D2880" i="6"/>
  <c r="D2881" i="6"/>
  <c r="D2882" i="6"/>
  <c r="D2883" i="6"/>
  <c r="D2884" i="6"/>
  <c r="D2885" i="6"/>
  <c r="D2886" i="6"/>
  <c r="D2887" i="6"/>
  <c r="D2888" i="6"/>
  <c r="D2889" i="6"/>
  <c r="D2890" i="6"/>
  <c r="D2891" i="6"/>
  <c r="D2892" i="6"/>
  <c r="D2893" i="6"/>
  <c r="D2894" i="6"/>
  <c r="D2895" i="6"/>
  <c r="D2896" i="6"/>
  <c r="D2897" i="6"/>
  <c r="D2898" i="6"/>
  <c r="D2899" i="6"/>
  <c r="D2900" i="6"/>
  <c r="D2901" i="6"/>
  <c r="D2902" i="6"/>
  <c r="D2903" i="6"/>
  <c r="D2904" i="6"/>
  <c r="D2905" i="6"/>
  <c r="D2906" i="6"/>
  <c r="D2907" i="6"/>
  <c r="D2908" i="6"/>
  <c r="D2909" i="6"/>
  <c r="D2910" i="6"/>
  <c r="D2911" i="6"/>
  <c r="D2912" i="6"/>
  <c r="D2913" i="6"/>
  <c r="D2914" i="6"/>
  <c r="D2915" i="6"/>
  <c r="D2916" i="6"/>
  <c r="D2917" i="6"/>
  <c r="D2918" i="6"/>
  <c r="D2919" i="6"/>
  <c r="D2920" i="6"/>
  <c r="D2921" i="6"/>
  <c r="D2922" i="6"/>
  <c r="D2923" i="6"/>
  <c r="D2924" i="6"/>
  <c r="D2925" i="6"/>
  <c r="D2926" i="6"/>
  <c r="D2927" i="6"/>
  <c r="D2928" i="6"/>
  <c r="D2929" i="6"/>
  <c r="D2930" i="6"/>
  <c r="D2931" i="6"/>
  <c r="D2932" i="6"/>
  <c r="D2933" i="6"/>
  <c r="D2934" i="6"/>
  <c r="D2935" i="6"/>
  <c r="D2936" i="6"/>
  <c r="D2937" i="6"/>
  <c r="D2938" i="6"/>
  <c r="D2939" i="6"/>
  <c r="D2940" i="6"/>
  <c r="D2941" i="6"/>
  <c r="D2942" i="6"/>
  <c r="D2943" i="6"/>
  <c r="D2944" i="6"/>
  <c r="D2945" i="6"/>
  <c r="D2946" i="6"/>
  <c r="D2947" i="6"/>
  <c r="D2948" i="6"/>
  <c r="D2949" i="6"/>
  <c r="D2950" i="6"/>
  <c r="D2951" i="6"/>
  <c r="D2952" i="6"/>
  <c r="D2953" i="6"/>
  <c r="D2954" i="6"/>
  <c r="D2955" i="6"/>
  <c r="D2956" i="6"/>
  <c r="D2957" i="6"/>
  <c r="D2958" i="6"/>
  <c r="D2959" i="6"/>
  <c r="D2960" i="6"/>
  <c r="D2961" i="6"/>
  <c r="D2962" i="6"/>
  <c r="D2963" i="6"/>
  <c r="D2964" i="6"/>
  <c r="D2965" i="6"/>
  <c r="D2966" i="6"/>
  <c r="D2967" i="6"/>
  <c r="D2968" i="6"/>
  <c r="D2969" i="6"/>
  <c r="D2970" i="6"/>
  <c r="D2971" i="6"/>
  <c r="D2972" i="6"/>
  <c r="D2973" i="6"/>
  <c r="D2974" i="6"/>
  <c r="D2975" i="6"/>
  <c r="D2976" i="6"/>
  <c r="D2977" i="6"/>
  <c r="D2978" i="6"/>
  <c r="D2979" i="6"/>
  <c r="D2980" i="6"/>
  <c r="D2981" i="6"/>
  <c r="D2982" i="6"/>
  <c r="D2983" i="6"/>
  <c r="D2984" i="6"/>
  <c r="D2985" i="6"/>
  <c r="D2986" i="6"/>
  <c r="D2987" i="6"/>
  <c r="D2988" i="6"/>
  <c r="D2989" i="6"/>
  <c r="D2990" i="6"/>
  <c r="D2991" i="6"/>
  <c r="D2992" i="6"/>
  <c r="D2993" i="6"/>
  <c r="D2994" i="6"/>
  <c r="D2995" i="6"/>
  <c r="D2996" i="6"/>
  <c r="D2997" i="6"/>
  <c r="D2998" i="6"/>
  <c r="D2999" i="6"/>
  <c r="D3000" i="6"/>
  <c r="D3001" i="6"/>
  <c r="D3002" i="6"/>
  <c r="D3003" i="6"/>
  <c r="D3004" i="6"/>
  <c r="D3005" i="6"/>
  <c r="D3006" i="6"/>
  <c r="D3007" i="6"/>
  <c r="D3008" i="6"/>
  <c r="D3009" i="6"/>
  <c r="D3010" i="6"/>
  <c r="D3011" i="6"/>
  <c r="D3012" i="6"/>
  <c r="D3013" i="6"/>
  <c r="D3014" i="6"/>
  <c r="D3015" i="6"/>
  <c r="D3016" i="6"/>
  <c r="D3017" i="6"/>
  <c r="D3018" i="6"/>
  <c r="D3019" i="6"/>
  <c r="D3020" i="6"/>
  <c r="D3021" i="6"/>
  <c r="D3022" i="6"/>
  <c r="D3023" i="6"/>
  <c r="D3024" i="6"/>
  <c r="D3025" i="6"/>
  <c r="D3026" i="6"/>
  <c r="D3027" i="6"/>
  <c r="D3028" i="6"/>
  <c r="D3029" i="6"/>
  <c r="D3030" i="6"/>
  <c r="D3031" i="6"/>
  <c r="D3032" i="6"/>
  <c r="D3033" i="6"/>
  <c r="D3034" i="6"/>
  <c r="D3035" i="6"/>
  <c r="D3036" i="6"/>
  <c r="D3037" i="6"/>
  <c r="D3038" i="6"/>
  <c r="D3039" i="6"/>
  <c r="D3040" i="6"/>
  <c r="D3041" i="6"/>
  <c r="D3042" i="6"/>
  <c r="D3043" i="6"/>
  <c r="D3044" i="6"/>
  <c r="D3045" i="6"/>
  <c r="D3046" i="6"/>
  <c r="D3047" i="6"/>
  <c r="D3048" i="6"/>
  <c r="D3049" i="6"/>
  <c r="D3050" i="6"/>
  <c r="D3051" i="6"/>
  <c r="D3052" i="6"/>
  <c r="D3053" i="6"/>
  <c r="D3054" i="6"/>
  <c r="D3055" i="6"/>
  <c r="D3056" i="6"/>
  <c r="D3057" i="6"/>
  <c r="D3058" i="6"/>
  <c r="D3059" i="6"/>
  <c r="D3060" i="6"/>
  <c r="D3061" i="6"/>
  <c r="D3062" i="6"/>
  <c r="D3063" i="6"/>
  <c r="D3064" i="6"/>
  <c r="D3065" i="6"/>
  <c r="D3066" i="6"/>
  <c r="D3067" i="6"/>
  <c r="D3068" i="6"/>
  <c r="D3069" i="6"/>
  <c r="D3070" i="6"/>
  <c r="D3071" i="6"/>
  <c r="D3072" i="6"/>
  <c r="D3073" i="6"/>
  <c r="D3074" i="6"/>
  <c r="D3075" i="6"/>
  <c r="D3076" i="6"/>
  <c r="D3077" i="6"/>
  <c r="D3078" i="6"/>
  <c r="D3079" i="6"/>
  <c r="D3080" i="6"/>
  <c r="D3081" i="6"/>
  <c r="D3082" i="6"/>
  <c r="D3083" i="6"/>
  <c r="D3084" i="6"/>
  <c r="D3085" i="6"/>
  <c r="D3086" i="6"/>
  <c r="D3087" i="6"/>
  <c r="D3088" i="6"/>
  <c r="D3089" i="6"/>
  <c r="D3090" i="6"/>
  <c r="D3091" i="6"/>
  <c r="D3092" i="6"/>
  <c r="D3093" i="6"/>
  <c r="D3094" i="6"/>
  <c r="D3095" i="6"/>
  <c r="D3096" i="6"/>
  <c r="D3097" i="6"/>
  <c r="D3098" i="6"/>
  <c r="D3099" i="6"/>
  <c r="D3100" i="6"/>
  <c r="D3101" i="6"/>
  <c r="D3102" i="6"/>
  <c r="D3103" i="6"/>
  <c r="D3104" i="6"/>
  <c r="D3105" i="6"/>
  <c r="D3106" i="6"/>
  <c r="D3107" i="6"/>
  <c r="D3108" i="6"/>
  <c r="D3109" i="6"/>
  <c r="D3110" i="6"/>
  <c r="D3111" i="6"/>
  <c r="D3112" i="6"/>
  <c r="D3113" i="6"/>
  <c r="D3114" i="6"/>
  <c r="D3115" i="6"/>
  <c r="D3116" i="6"/>
  <c r="D3117" i="6"/>
  <c r="D3118" i="6"/>
  <c r="D3119" i="6"/>
  <c r="D3120" i="6"/>
  <c r="D3121" i="6"/>
  <c r="D3122" i="6"/>
  <c r="D3123" i="6"/>
  <c r="D3124" i="6"/>
  <c r="D3125" i="6"/>
  <c r="D3126" i="6"/>
  <c r="D3127" i="6"/>
  <c r="D3128" i="6"/>
  <c r="D3129" i="6"/>
  <c r="D3130" i="6"/>
  <c r="D3131" i="6"/>
  <c r="D3132" i="6"/>
  <c r="D3133" i="6"/>
  <c r="D3134" i="6"/>
  <c r="D3135" i="6"/>
  <c r="D3136" i="6"/>
  <c r="D3137" i="6"/>
  <c r="D3138" i="6"/>
  <c r="D3139" i="6"/>
  <c r="D3140" i="6"/>
  <c r="D3141" i="6"/>
  <c r="D3142" i="6"/>
  <c r="D3143" i="6"/>
  <c r="D3144" i="6"/>
  <c r="D3145" i="6"/>
  <c r="D3146" i="6"/>
  <c r="D3147" i="6"/>
  <c r="D3148" i="6"/>
  <c r="D3149" i="6"/>
  <c r="D3150" i="6"/>
  <c r="D3151" i="6"/>
  <c r="D3152" i="6"/>
  <c r="D3153" i="6"/>
  <c r="D3154" i="6"/>
  <c r="D3155" i="6"/>
  <c r="D3156" i="6"/>
  <c r="D3157" i="6"/>
  <c r="D3158" i="6"/>
  <c r="D3159" i="6"/>
  <c r="D3160" i="6"/>
  <c r="D3161" i="6"/>
  <c r="D3162" i="6"/>
  <c r="D3163" i="6"/>
  <c r="D3164" i="6"/>
  <c r="D3165" i="6"/>
  <c r="D3166" i="6"/>
  <c r="D3167" i="6"/>
  <c r="D3168" i="6"/>
  <c r="D3169" i="6"/>
  <c r="D3170" i="6"/>
  <c r="D3171" i="6"/>
  <c r="D3172" i="6"/>
  <c r="D3173" i="6"/>
  <c r="D3174" i="6"/>
  <c r="D3175" i="6"/>
  <c r="D3176" i="6"/>
  <c r="D3177" i="6"/>
  <c r="D3178" i="6"/>
  <c r="D3179" i="6"/>
  <c r="D3180" i="6"/>
  <c r="D3181" i="6"/>
  <c r="D3182" i="6"/>
  <c r="D3183" i="6"/>
  <c r="D3184" i="6"/>
  <c r="D3185" i="6"/>
  <c r="D3186" i="6"/>
  <c r="D3187" i="6"/>
  <c r="D3188" i="6"/>
  <c r="D3189" i="6"/>
  <c r="D3190" i="6"/>
  <c r="D3191" i="6"/>
  <c r="D3192" i="6"/>
  <c r="D3193" i="6"/>
  <c r="D3194" i="6"/>
  <c r="D3195" i="6"/>
  <c r="D3196" i="6"/>
  <c r="D3197" i="6"/>
  <c r="D3198" i="6"/>
  <c r="D3199" i="6"/>
  <c r="D3200" i="6"/>
  <c r="D3201" i="6"/>
  <c r="D3202" i="6"/>
  <c r="D3203" i="6"/>
  <c r="D3204" i="6"/>
  <c r="D3205" i="6"/>
  <c r="D3206" i="6"/>
  <c r="D3207" i="6"/>
  <c r="D3208" i="6"/>
  <c r="D3209" i="6"/>
  <c r="D3210" i="6"/>
  <c r="D3211" i="6"/>
  <c r="D3212" i="6"/>
  <c r="D3213" i="6"/>
  <c r="D3214" i="6"/>
  <c r="D3215" i="6"/>
  <c r="D3216" i="6"/>
  <c r="D3217" i="6"/>
  <c r="D3218" i="6"/>
  <c r="D3219" i="6"/>
  <c r="D3220" i="6"/>
  <c r="D3221" i="6"/>
  <c r="D3222" i="6"/>
  <c r="D3223" i="6"/>
  <c r="D3224" i="6"/>
  <c r="D3225" i="6"/>
  <c r="D3226" i="6"/>
  <c r="D3227" i="6"/>
  <c r="D3228" i="6"/>
  <c r="D3229" i="6"/>
  <c r="D3230" i="6"/>
  <c r="D3231" i="6"/>
  <c r="D3232" i="6"/>
  <c r="D3233" i="6"/>
  <c r="D3234" i="6"/>
  <c r="D3235" i="6"/>
  <c r="D3236" i="6"/>
  <c r="D3237" i="6"/>
  <c r="D3238" i="6"/>
  <c r="D3239" i="6"/>
  <c r="D3240" i="6"/>
  <c r="D3241" i="6"/>
  <c r="D3242" i="6"/>
  <c r="D3243" i="6"/>
  <c r="D3244" i="6"/>
  <c r="D3245" i="6"/>
  <c r="D3246" i="6"/>
  <c r="D3247" i="6"/>
  <c r="D3248" i="6"/>
  <c r="D3249" i="6"/>
  <c r="D3250" i="6"/>
  <c r="D3251" i="6"/>
  <c r="D3252" i="6"/>
  <c r="D3253" i="6"/>
  <c r="D3254" i="6"/>
  <c r="D3255" i="6"/>
  <c r="D3256" i="6"/>
  <c r="D3257" i="6"/>
  <c r="D3258" i="6"/>
  <c r="D3259" i="6"/>
  <c r="D3260" i="6"/>
  <c r="D3261" i="6"/>
  <c r="D3262" i="6"/>
  <c r="D3263" i="6"/>
  <c r="D3264" i="6"/>
  <c r="D3265" i="6"/>
  <c r="D3266" i="6"/>
  <c r="D3267" i="6"/>
  <c r="D3268" i="6"/>
  <c r="D3269" i="6"/>
  <c r="D3270" i="6"/>
  <c r="D3271" i="6"/>
  <c r="D3272" i="6"/>
  <c r="D3273" i="6"/>
  <c r="D3274" i="6"/>
  <c r="D3275" i="6"/>
  <c r="D3276" i="6"/>
  <c r="D3277" i="6"/>
  <c r="D3278" i="6"/>
  <c r="D3279" i="6"/>
  <c r="D3280" i="6"/>
  <c r="D3281" i="6"/>
  <c r="D3282" i="6"/>
  <c r="D3283" i="6"/>
  <c r="D3284" i="6"/>
  <c r="D3285" i="6"/>
  <c r="D3286" i="6"/>
  <c r="D3287" i="6"/>
  <c r="D3288" i="6"/>
  <c r="D3289" i="6"/>
  <c r="D3290" i="6"/>
  <c r="D3291" i="6"/>
  <c r="D3292" i="6"/>
  <c r="D3293" i="6"/>
  <c r="D3294" i="6"/>
  <c r="D3295" i="6"/>
  <c r="D3296" i="6"/>
  <c r="D3297" i="6"/>
  <c r="D3298"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 r="D1467" i="6"/>
  <c r="D1468" i="6"/>
  <c r="D1469" i="6"/>
  <c r="D1470" i="6"/>
  <c r="D1471" i="6"/>
  <c r="D1472" i="6"/>
  <c r="D1473" i="6"/>
  <c r="D1474" i="6"/>
  <c r="D1475" i="6"/>
  <c r="D1476" i="6"/>
  <c r="D1477" i="6"/>
  <c r="D1478" i="6"/>
  <c r="D1479" i="6"/>
  <c r="D1480" i="6"/>
  <c r="D1481" i="6"/>
  <c r="D1482" i="6"/>
  <c r="D1483" i="6"/>
  <c r="D1484" i="6"/>
  <c r="D1485" i="6"/>
  <c r="D1486" i="6"/>
  <c r="D1487" i="6"/>
  <c r="D1488" i="6"/>
  <c r="D1489" i="6"/>
  <c r="D1490" i="6"/>
  <c r="D1491" i="6"/>
  <c r="D1492" i="6"/>
  <c r="D1493" i="6"/>
  <c r="D1494" i="6"/>
  <c r="D1495" i="6"/>
  <c r="D1496" i="6"/>
  <c r="D1497" i="6"/>
  <c r="D1498" i="6"/>
  <c r="D1499" i="6"/>
  <c r="D1500" i="6"/>
  <c r="D1501" i="6"/>
  <c r="D1502" i="6"/>
  <c r="D1503" i="6"/>
  <c r="D1504" i="6"/>
  <c r="D1505" i="6"/>
  <c r="D1506" i="6"/>
  <c r="D1507" i="6"/>
  <c r="D1508" i="6"/>
  <c r="D1509" i="6"/>
  <c r="D1510" i="6"/>
  <c r="D1511" i="6"/>
  <c r="D1512" i="6"/>
  <c r="D1513" i="6"/>
  <c r="D1514" i="6"/>
  <c r="D1515" i="6"/>
  <c r="D1516" i="6"/>
  <c r="D1517" i="6"/>
  <c r="D1518" i="6"/>
  <c r="D1519" i="6"/>
  <c r="D1520" i="6"/>
  <c r="D1521" i="6"/>
  <c r="D1522" i="6"/>
  <c r="D1523" i="6"/>
  <c r="D1524" i="6"/>
  <c r="D1525" i="6"/>
  <c r="D1526" i="6"/>
  <c r="D1527" i="6"/>
  <c r="D1528" i="6"/>
  <c r="D1529" i="6"/>
  <c r="D1530" i="6"/>
  <c r="D1531" i="6"/>
  <c r="D1532" i="6"/>
  <c r="D1533" i="6"/>
  <c r="D1534" i="6"/>
  <c r="D1535" i="6"/>
  <c r="D1536" i="6"/>
  <c r="D1537" i="6"/>
  <c r="D1538" i="6"/>
  <c r="D1539" i="6"/>
  <c r="D1540" i="6"/>
  <c r="D1541" i="6"/>
  <c r="D1542" i="6"/>
  <c r="D1543" i="6"/>
  <c r="D1544" i="6"/>
  <c r="D1545" i="6"/>
  <c r="D1546" i="6"/>
  <c r="D1547" i="6"/>
  <c r="D1548" i="6"/>
  <c r="D1549" i="6"/>
  <c r="D1550" i="6"/>
  <c r="D1551" i="6"/>
  <c r="D1552" i="6"/>
  <c r="D1553" i="6"/>
  <c r="D1554" i="6"/>
  <c r="D1555" i="6"/>
  <c r="D1556" i="6"/>
  <c r="D1557" i="6"/>
  <c r="D1558" i="6"/>
  <c r="D1559" i="6"/>
  <c r="D1560" i="6"/>
  <c r="D1561" i="6"/>
  <c r="D1562" i="6"/>
  <c r="D1563" i="6"/>
  <c r="D1564" i="6"/>
  <c r="D1565" i="6"/>
  <c r="D1566" i="6"/>
  <c r="D1567" i="6"/>
  <c r="D1568" i="6"/>
  <c r="D1569" i="6"/>
  <c r="D1570" i="6"/>
  <c r="D1571" i="6"/>
  <c r="D1572" i="6"/>
  <c r="D1573" i="6"/>
  <c r="D1574" i="6"/>
  <c r="D1575" i="6"/>
  <c r="D1576" i="6"/>
  <c r="D1577" i="6"/>
  <c r="D1578" i="6"/>
  <c r="D1579" i="6"/>
  <c r="D1580" i="6"/>
  <c r="D1581" i="6"/>
  <c r="D1582" i="6"/>
  <c r="D1583" i="6"/>
  <c r="D1584" i="6"/>
  <c r="D1585" i="6"/>
  <c r="D1586" i="6"/>
  <c r="D1587" i="6"/>
  <c r="D1588" i="6"/>
  <c r="D1589" i="6"/>
  <c r="D1590" i="6"/>
  <c r="D1591" i="6"/>
  <c r="D1592" i="6"/>
  <c r="D1593" i="6"/>
  <c r="D1594" i="6"/>
  <c r="D1595" i="6"/>
  <c r="D1596" i="6"/>
  <c r="D1597" i="6"/>
  <c r="D1598" i="6"/>
  <c r="D1599" i="6"/>
  <c r="D1600" i="6"/>
  <c r="D1601" i="6"/>
  <c r="D1602" i="6"/>
  <c r="D1603" i="6"/>
  <c r="D1604" i="6"/>
  <c r="D1605" i="6"/>
  <c r="D1606" i="6"/>
  <c r="D1607" i="6"/>
  <c r="D1608" i="6"/>
  <c r="D1609" i="6"/>
  <c r="D1610" i="6"/>
  <c r="D1611" i="6"/>
  <c r="D1612" i="6"/>
  <c r="D1613" i="6"/>
  <c r="D1614" i="6"/>
  <c r="D1615" i="6"/>
  <c r="D1616" i="6"/>
  <c r="D1617" i="6"/>
  <c r="D1618" i="6"/>
  <c r="D1619" i="6"/>
  <c r="D1620" i="6"/>
  <c r="D1621" i="6"/>
  <c r="D1622" i="6"/>
  <c r="D1623" i="6"/>
  <c r="D1624" i="6"/>
  <c r="D1625" i="6"/>
  <c r="D1626" i="6"/>
  <c r="D1627" i="6"/>
  <c r="D1628" i="6"/>
  <c r="D1629" i="6"/>
  <c r="D1630" i="6"/>
  <c r="D1631" i="6"/>
  <c r="D1632" i="6"/>
  <c r="D1633" i="6"/>
  <c r="D1634" i="6"/>
  <c r="D1635" i="6"/>
  <c r="D1636" i="6"/>
  <c r="D1637" i="6"/>
  <c r="D1638" i="6"/>
  <c r="D1639" i="6"/>
  <c r="D1640" i="6"/>
  <c r="D1641" i="6"/>
  <c r="D1642" i="6"/>
  <c r="D1643" i="6"/>
  <c r="D1644" i="6"/>
  <c r="D1645" i="6"/>
  <c r="D1646" i="6"/>
  <c r="D1647" i="6"/>
  <c r="D1648" i="6"/>
  <c r="D1649" i="6"/>
  <c r="D1650" i="6"/>
  <c r="D1651" i="6"/>
  <c r="D1652" i="6"/>
  <c r="D1653" i="6"/>
  <c r="D1654" i="6"/>
  <c r="D1655" i="6"/>
  <c r="D1656" i="6"/>
  <c r="D1657" i="6"/>
  <c r="D1658" i="6"/>
  <c r="D1659" i="6"/>
  <c r="D1660" i="6"/>
  <c r="D1661" i="6"/>
  <c r="D1662" i="6"/>
  <c r="D1663" i="6"/>
  <c r="D1664" i="6"/>
  <c r="D1665" i="6"/>
  <c r="D1666" i="6"/>
  <c r="D1667" i="6"/>
  <c r="D1668" i="6"/>
  <c r="D1669" i="6"/>
  <c r="D1670" i="6"/>
  <c r="D1671" i="6"/>
  <c r="D1672" i="6"/>
  <c r="D1673" i="6"/>
  <c r="D1674" i="6"/>
  <c r="D1675" i="6"/>
  <c r="D1676" i="6"/>
  <c r="D1677" i="6"/>
  <c r="D1678" i="6"/>
  <c r="D1679" i="6"/>
  <c r="D1680" i="6"/>
  <c r="D1681" i="6"/>
  <c r="D1682" i="6"/>
  <c r="D1683" i="6"/>
  <c r="D1684" i="6"/>
  <c r="D1685" i="6"/>
  <c r="D1686" i="6"/>
  <c r="D1687" i="6"/>
  <c r="D1688" i="6"/>
  <c r="D1689" i="6"/>
  <c r="D1690" i="6"/>
  <c r="D1691" i="6"/>
  <c r="D1692" i="6"/>
  <c r="D1693" i="6"/>
  <c r="D1694" i="6"/>
  <c r="D1695" i="6"/>
  <c r="D1696" i="6"/>
  <c r="D1697" i="6"/>
  <c r="D1698" i="6"/>
  <c r="D1699" i="6"/>
  <c r="D1700" i="6"/>
  <c r="D1701" i="6"/>
  <c r="D1702" i="6"/>
  <c r="D1703" i="6"/>
  <c r="D1704" i="6"/>
  <c r="D1705" i="6"/>
  <c r="D1706" i="6"/>
  <c r="D1707" i="6"/>
  <c r="D1708" i="6"/>
  <c r="D1709" i="6"/>
  <c r="D1710" i="6"/>
  <c r="D1711" i="6"/>
  <c r="D1712" i="6"/>
  <c r="D1713" i="6"/>
  <c r="D1714" i="6"/>
  <c r="D1715" i="6"/>
  <c r="D1716" i="6"/>
  <c r="D1717" i="6"/>
  <c r="D1718" i="6"/>
  <c r="D1719" i="6"/>
  <c r="D1720" i="6"/>
  <c r="D1721" i="6"/>
  <c r="D1722" i="6"/>
  <c r="D1723" i="6"/>
  <c r="D1724" i="6"/>
  <c r="D1725" i="6"/>
  <c r="D1726" i="6"/>
  <c r="D1727" i="6"/>
  <c r="D1728" i="6"/>
  <c r="D1729" i="6"/>
  <c r="D1730" i="6"/>
  <c r="D1731" i="6"/>
  <c r="D1732" i="6"/>
  <c r="D1733" i="6"/>
  <c r="D1734" i="6"/>
  <c r="D1735" i="6"/>
  <c r="D1736" i="6"/>
  <c r="D1737" i="6"/>
  <c r="D1738" i="6"/>
  <c r="D1739" i="6"/>
  <c r="D1740" i="6"/>
  <c r="D1741" i="6"/>
  <c r="D1742" i="6"/>
  <c r="D1743" i="6"/>
  <c r="D1744" i="6"/>
  <c r="D1745" i="6"/>
  <c r="D1746"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3" i="6"/>
  <c r="D4" i="6"/>
  <c r="D5" i="6"/>
  <c r="D6" i="6"/>
  <c r="D7" i="6"/>
  <c r="D8" i="6"/>
  <c r="D9" i="6"/>
  <c r="D10" i="6"/>
  <c r="D11" i="6"/>
  <c r="D12" i="6"/>
  <c r="D13" i="6"/>
  <c r="D2" i="6"/>
  <c r="I3403" i="6"/>
  <c r="I3404" i="6"/>
  <c r="I3405" i="6"/>
  <c r="I3406" i="6"/>
  <c r="I3377" i="6"/>
  <c r="I3378" i="6"/>
  <c r="I3379" i="6"/>
  <c r="I3380" i="6"/>
  <c r="I3381" i="6"/>
  <c r="I3382" i="6"/>
  <c r="I3383" i="6"/>
  <c r="I3384" i="6"/>
  <c r="I3385" i="6"/>
  <c r="I3386" i="6"/>
  <c r="I3387" i="6"/>
  <c r="I3388" i="6"/>
  <c r="I3389" i="6"/>
  <c r="I3390" i="6"/>
  <c r="I3391" i="6"/>
  <c r="I3392" i="6"/>
  <c r="I3393" i="6"/>
  <c r="I3394" i="6"/>
  <c r="I3395" i="6"/>
  <c r="I3396" i="6"/>
  <c r="I3397" i="6"/>
  <c r="I3398" i="6"/>
  <c r="I3399" i="6"/>
  <c r="I3400" i="6"/>
  <c r="I3401" i="6"/>
  <c r="I3402" i="6"/>
  <c r="I3348" i="6"/>
  <c r="I3349" i="6"/>
  <c r="I3350" i="6"/>
  <c r="I3351" i="6"/>
  <c r="I3352" i="6"/>
  <c r="I3353" i="6"/>
  <c r="I3354" i="6"/>
  <c r="I3355" i="6"/>
  <c r="I3356" i="6"/>
  <c r="I3357" i="6"/>
  <c r="I3358" i="6"/>
  <c r="I3359" i="6"/>
  <c r="I3360" i="6"/>
  <c r="I3361" i="6"/>
  <c r="I3362" i="6"/>
  <c r="I3363" i="6"/>
  <c r="I3364" i="6"/>
  <c r="I3365" i="6"/>
  <c r="I3366" i="6"/>
  <c r="I3367" i="6"/>
  <c r="I3368" i="6"/>
  <c r="I3369" i="6"/>
  <c r="I3370" i="6"/>
  <c r="I3371" i="6"/>
  <c r="I3372" i="6"/>
  <c r="I3373" i="6"/>
  <c r="I3374" i="6"/>
  <c r="I3375" i="6"/>
  <c r="I3376" i="6"/>
  <c r="I3329" i="6"/>
  <c r="I3330" i="6"/>
  <c r="I3331" i="6"/>
  <c r="I3332" i="6"/>
  <c r="I3333" i="6"/>
  <c r="I3334" i="6"/>
  <c r="I3335" i="6"/>
  <c r="I3336" i="6"/>
  <c r="I3337" i="6"/>
  <c r="I3338" i="6"/>
  <c r="I3339" i="6"/>
  <c r="I3340" i="6"/>
  <c r="I3341" i="6"/>
  <c r="I3342" i="6"/>
  <c r="I3343" i="6"/>
  <c r="I3344" i="6"/>
  <c r="I3345" i="6"/>
  <c r="I3346" i="6"/>
  <c r="I3347" i="6"/>
  <c r="I3307" i="6"/>
  <c r="I3308" i="6"/>
  <c r="I3309" i="6"/>
  <c r="I3310" i="6"/>
  <c r="I3311" i="6"/>
  <c r="I3312" i="6"/>
  <c r="I3313" i="6"/>
  <c r="I3314" i="6"/>
  <c r="I3315" i="6"/>
  <c r="I3316" i="6"/>
  <c r="I3317" i="6"/>
  <c r="I3318" i="6"/>
  <c r="I3319" i="6"/>
  <c r="I3320" i="6"/>
  <c r="I3321" i="6"/>
  <c r="I3322" i="6"/>
  <c r="I3323" i="6"/>
  <c r="I3324" i="6"/>
  <c r="I3325" i="6"/>
  <c r="I3326" i="6"/>
  <c r="I3327" i="6"/>
  <c r="I3328" i="6"/>
  <c r="I3279" i="6"/>
  <c r="I3280" i="6"/>
  <c r="I3281" i="6"/>
  <c r="I3282" i="6"/>
  <c r="I3283" i="6"/>
  <c r="I3284" i="6"/>
  <c r="I3285" i="6"/>
  <c r="I3286" i="6"/>
  <c r="I3287" i="6"/>
  <c r="I3288" i="6"/>
  <c r="I3289" i="6"/>
  <c r="I3290" i="6"/>
  <c r="I3291" i="6"/>
  <c r="I3292" i="6"/>
  <c r="I3293" i="6"/>
  <c r="I3294" i="6"/>
  <c r="I3295" i="6"/>
  <c r="I3296" i="6"/>
  <c r="I3297" i="6"/>
  <c r="I3298" i="6"/>
  <c r="I3299" i="6"/>
  <c r="I3300" i="6"/>
  <c r="I3301" i="6"/>
  <c r="I3302" i="6"/>
  <c r="I3303" i="6"/>
  <c r="I3304" i="6"/>
  <c r="I3305" i="6"/>
  <c r="I3306" i="6"/>
  <c r="I3251" i="6"/>
  <c r="I3252" i="6"/>
  <c r="I3253" i="6"/>
  <c r="I3254" i="6"/>
  <c r="I3255" i="6"/>
  <c r="I3256" i="6"/>
  <c r="I3257" i="6"/>
  <c r="I3258" i="6"/>
  <c r="I3259" i="6"/>
  <c r="I3260" i="6"/>
  <c r="I3261" i="6"/>
  <c r="I3262" i="6"/>
  <c r="I3263" i="6"/>
  <c r="I3264" i="6"/>
  <c r="I3265" i="6"/>
  <c r="I3266" i="6"/>
  <c r="I3267" i="6"/>
  <c r="I3268" i="6"/>
  <c r="I3269" i="6"/>
  <c r="I3270" i="6"/>
  <c r="I3271" i="6"/>
  <c r="I3272" i="6"/>
  <c r="I3273" i="6"/>
  <c r="I3274" i="6"/>
  <c r="I3275" i="6"/>
  <c r="I3276" i="6"/>
  <c r="I3277" i="6"/>
  <c r="I3278" i="6"/>
  <c r="I3229" i="6"/>
  <c r="I3230" i="6"/>
  <c r="I3231" i="6"/>
  <c r="I3232" i="6"/>
  <c r="I3233" i="6"/>
  <c r="I3234" i="6"/>
  <c r="I3235" i="6"/>
  <c r="I3236" i="6"/>
  <c r="I3237" i="6"/>
  <c r="I3238" i="6"/>
  <c r="I3239" i="6"/>
  <c r="I3240" i="6"/>
  <c r="I3241" i="6"/>
  <c r="I3242" i="6"/>
  <c r="I3243" i="6"/>
  <c r="I3244" i="6"/>
  <c r="I3245" i="6"/>
  <c r="I3246" i="6"/>
  <c r="I3247" i="6"/>
  <c r="I3248" i="6"/>
  <c r="I3249" i="6"/>
  <c r="I3250" i="6"/>
  <c r="I3200" i="6"/>
  <c r="I3201" i="6"/>
  <c r="I3202" i="6"/>
  <c r="I3203" i="6"/>
  <c r="I3204" i="6"/>
  <c r="I3205" i="6"/>
  <c r="I3206" i="6"/>
  <c r="I3207" i="6"/>
  <c r="I3208" i="6"/>
  <c r="I3209" i="6"/>
  <c r="I3210" i="6"/>
  <c r="I3211" i="6"/>
  <c r="I3212" i="6"/>
  <c r="I3213" i="6"/>
  <c r="I3214" i="6"/>
  <c r="I3215" i="6"/>
  <c r="I3216" i="6"/>
  <c r="I3217" i="6"/>
  <c r="I3218" i="6"/>
  <c r="I3219" i="6"/>
  <c r="I3220" i="6"/>
  <c r="I3221" i="6"/>
  <c r="I3222" i="6"/>
  <c r="I3223" i="6"/>
  <c r="I3224" i="6"/>
  <c r="I3225" i="6"/>
  <c r="I3226" i="6"/>
  <c r="I3227" i="6"/>
  <c r="I3228" i="6"/>
  <c r="I3175" i="6"/>
  <c r="I3176" i="6"/>
  <c r="I3177" i="6"/>
  <c r="I3178" i="6"/>
  <c r="I3179" i="6"/>
  <c r="I3180" i="6"/>
  <c r="I3181" i="6"/>
  <c r="I3182" i="6"/>
  <c r="I3183" i="6"/>
  <c r="I3184" i="6"/>
  <c r="I3185" i="6"/>
  <c r="I3186" i="6"/>
  <c r="I3187" i="6"/>
  <c r="I3188" i="6"/>
  <c r="I3189" i="6"/>
  <c r="I3190" i="6"/>
  <c r="I3191" i="6"/>
  <c r="I3192" i="6"/>
  <c r="I3193" i="6"/>
  <c r="I3194" i="6"/>
  <c r="I3195" i="6"/>
  <c r="I3196" i="6"/>
  <c r="I3197" i="6"/>
  <c r="I3198" i="6"/>
  <c r="I3199" i="6"/>
  <c r="I3143" i="6"/>
  <c r="I3144" i="6"/>
  <c r="I3145" i="6"/>
  <c r="I3146" i="6"/>
  <c r="I3147" i="6"/>
  <c r="I3148" i="6"/>
  <c r="I3149" i="6"/>
  <c r="I3150" i="6"/>
  <c r="I3151" i="6"/>
  <c r="I3152" i="6"/>
  <c r="I3153" i="6"/>
  <c r="I3154" i="6"/>
  <c r="I3155" i="6"/>
  <c r="I3156" i="6"/>
  <c r="I3157" i="6"/>
  <c r="I3158" i="6"/>
  <c r="I3159" i="6"/>
  <c r="I3160" i="6"/>
  <c r="I3161" i="6"/>
  <c r="I3162" i="6"/>
  <c r="I3163" i="6"/>
  <c r="I3164" i="6"/>
  <c r="I3165" i="6"/>
  <c r="I3166" i="6"/>
  <c r="I3167" i="6"/>
  <c r="I3168" i="6"/>
  <c r="I3169" i="6"/>
  <c r="I3170" i="6"/>
  <c r="I3171" i="6"/>
  <c r="I3172" i="6"/>
  <c r="I3173" i="6"/>
  <c r="I3174" i="6"/>
  <c r="I3120" i="6"/>
  <c r="I3121" i="6"/>
  <c r="I3122" i="6"/>
  <c r="I3123" i="6"/>
  <c r="I3124" i="6"/>
  <c r="I3125" i="6"/>
  <c r="I3126" i="6"/>
  <c r="I3127" i="6"/>
  <c r="I3128" i="6"/>
  <c r="I3129" i="6"/>
  <c r="I3130" i="6"/>
  <c r="I3131" i="6"/>
  <c r="I3132" i="6"/>
  <c r="I3133" i="6"/>
  <c r="I3134" i="6"/>
  <c r="I3135" i="6"/>
  <c r="I3136" i="6"/>
  <c r="I3137" i="6"/>
  <c r="I3138" i="6"/>
  <c r="I3139" i="6"/>
  <c r="I3140" i="6"/>
  <c r="I3141" i="6"/>
  <c r="I3142" i="6"/>
  <c r="I3095" i="6"/>
  <c r="I3096" i="6"/>
  <c r="I3097" i="6"/>
  <c r="I3098" i="6"/>
  <c r="I3099" i="6"/>
  <c r="I3100" i="6"/>
  <c r="I3101" i="6"/>
  <c r="I3102" i="6"/>
  <c r="I3103" i="6"/>
  <c r="I3104" i="6"/>
  <c r="I3105" i="6"/>
  <c r="I3106" i="6"/>
  <c r="I3107" i="6"/>
  <c r="I3108" i="6"/>
  <c r="I3109" i="6"/>
  <c r="I3110" i="6"/>
  <c r="I3111" i="6"/>
  <c r="I3112" i="6"/>
  <c r="I3113" i="6"/>
  <c r="I3114" i="6"/>
  <c r="I3115" i="6"/>
  <c r="I3116" i="6"/>
  <c r="I3117" i="6"/>
  <c r="I3118" i="6"/>
  <c r="I3119" i="6"/>
  <c r="I3073" i="6"/>
  <c r="I3074" i="6"/>
  <c r="I3075" i="6"/>
  <c r="I3076" i="6"/>
  <c r="I3077" i="6"/>
  <c r="I3078" i="6"/>
  <c r="I3079" i="6"/>
  <c r="I3080" i="6"/>
  <c r="I3081" i="6"/>
  <c r="I3082" i="6"/>
  <c r="I3083" i="6"/>
  <c r="I3084" i="6"/>
  <c r="I3085" i="6"/>
  <c r="I3086" i="6"/>
  <c r="I3087" i="6"/>
  <c r="I3088" i="6"/>
  <c r="I3089" i="6"/>
  <c r="I3090" i="6"/>
  <c r="I3091" i="6"/>
  <c r="I3092" i="6"/>
  <c r="I3093" i="6"/>
  <c r="I3094" i="6"/>
  <c r="I3055" i="6"/>
  <c r="I3056" i="6"/>
  <c r="I3057" i="6"/>
  <c r="I3058" i="6"/>
  <c r="I3059" i="6"/>
  <c r="I3060" i="6"/>
  <c r="I3061" i="6"/>
  <c r="I3062" i="6"/>
  <c r="I3063" i="6"/>
  <c r="I3064" i="6"/>
  <c r="I3065" i="6"/>
  <c r="I3066" i="6"/>
  <c r="I3067" i="6"/>
  <c r="I3068" i="6"/>
  <c r="I3069" i="6"/>
  <c r="I3070" i="6"/>
  <c r="I3071" i="6"/>
  <c r="I3072" i="6"/>
  <c r="I3033" i="6"/>
  <c r="I3034" i="6"/>
  <c r="I3035" i="6"/>
  <c r="I3036" i="6"/>
  <c r="I3037" i="6"/>
  <c r="I3038" i="6"/>
  <c r="I3039" i="6"/>
  <c r="I3040" i="6"/>
  <c r="I3041" i="6"/>
  <c r="I3042" i="6"/>
  <c r="I3043" i="6"/>
  <c r="I3044" i="6"/>
  <c r="I3045" i="6"/>
  <c r="I3046" i="6"/>
  <c r="I3047" i="6"/>
  <c r="I3048" i="6"/>
  <c r="I3049" i="6"/>
  <c r="I3050" i="6"/>
  <c r="I3051" i="6"/>
  <c r="I3052" i="6"/>
  <c r="I3053" i="6"/>
  <c r="I3054" i="6"/>
  <c r="I3006" i="6"/>
  <c r="I3007" i="6"/>
  <c r="I3008" i="6"/>
  <c r="I3009" i="6"/>
  <c r="I3010" i="6"/>
  <c r="I3011" i="6"/>
  <c r="I3012" i="6"/>
  <c r="I3013" i="6"/>
  <c r="I3014" i="6"/>
  <c r="I3015" i="6"/>
  <c r="I3016" i="6"/>
  <c r="I3017" i="6"/>
  <c r="I3018" i="6"/>
  <c r="I3019" i="6"/>
  <c r="I3020" i="6"/>
  <c r="I3021" i="6"/>
  <c r="I3022" i="6"/>
  <c r="I3023" i="6"/>
  <c r="I3024" i="6"/>
  <c r="I3025" i="6"/>
  <c r="I3026" i="6"/>
  <c r="I3027" i="6"/>
  <c r="I3028" i="6"/>
  <c r="I3029" i="6"/>
  <c r="I3030" i="6"/>
  <c r="I3031" i="6"/>
  <c r="I3032" i="6"/>
  <c r="I2988" i="6"/>
  <c r="I2989" i="6"/>
  <c r="I2990" i="6"/>
  <c r="I2991" i="6"/>
  <c r="I2992" i="6"/>
  <c r="I2993" i="6"/>
  <c r="I2994" i="6"/>
  <c r="I2995" i="6"/>
  <c r="I2996" i="6"/>
  <c r="I2997" i="6"/>
  <c r="I2998" i="6"/>
  <c r="I2999" i="6"/>
  <c r="I3000" i="6"/>
  <c r="I3001" i="6"/>
  <c r="I3002" i="6"/>
  <c r="I3003" i="6"/>
  <c r="I3004" i="6"/>
  <c r="I3005" i="6"/>
  <c r="I2969" i="6"/>
  <c r="I2970" i="6"/>
  <c r="I2971" i="6"/>
  <c r="I2972" i="6"/>
  <c r="I2973" i="6"/>
  <c r="I2974" i="6"/>
  <c r="I2975" i="6"/>
  <c r="I2976" i="6"/>
  <c r="I2977" i="6"/>
  <c r="I2978" i="6"/>
  <c r="I2979" i="6"/>
  <c r="I2980" i="6"/>
  <c r="I2981" i="6"/>
  <c r="I2982" i="6"/>
  <c r="I2983" i="6"/>
  <c r="I2984" i="6"/>
  <c r="I2985" i="6"/>
  <c r="I2986" i="6"/>
  <c r="I2987" i="6"/>
  <c r="I2947" i="6"/>
  <c r="I2948" i="6"/>
  <c r="I2949" i="6"/>
  <c r="I2950" i="6"/>
  <c r="I2951" i="6"/>
  <c r="I2952" i="6"/>
  <c r="I2953" i="6"/>
  <c r="I2954" i="6"/>
  <c r="I2955" i="6"/>
  <c r="I2956" i="6"/>
  <c r="I2957" i="6"/>
  <c r="I2958" i="6"/>
  <c r="I2959" i="6"/>
  <c r="I2960" i="6"/>
  <c r="I2961" i="6"/>
  <c r="I2962" i="6"/>
  <c r="I2963" i="6"/>
  <c r="I2964" i="6"/>
  <c r="I2965" i="6"/>
  <c r="I2966" i="6"/>
  <c r="I2967" i="6"/>
  <c r="I2968" i="6"/>
  <c r="I2924" i="6"/>
  <c r="I2925" i="6"/>
  <c r="I2926" i="6"/>
  <c r="I2927" i="6"/>
  <c r="I2928" i="6"/>
  <c r="I2929" i="6"/>
  <c r="I2930" i="6"/>
  <c r="I2931" i="6"/>
  <c r="I2932" i="6"/>
  <c r="I2933" i="6"/>
  <c r="I2934" i="6"/>
  <c r="I2935" i="6"/>
  <c r="I2936" i="6"/>
  <c r="I2937" i="6"/>
  <c r="I2938" i="6"/>
  <c r="I2939" i="6"/>
  <c r="I2940" i="6"/>
  <c r="I2941" i="6"/>
  <c r="I2942" i="6"/>
  <c r="I2943" i="6"/>
  <c r="I2944" i="6"/>
  <c r="I2945" i="6"/>
  <c r="I2946" i="6"/>
  <c r="I2902" i="6"/>
  <c r="I2903" i="6"/>
  <c r="I2904" i="6"/>
  <c r="I2905" i="6"/>
  <c r="I2906" i="6"/>
  <c r="I2907" i="6"/>
  <c r="I2908" i="6"/>
  <c r="I2909" i="6"/>
  <c r="I2910" i="6"/>
  <c r="I2911" i="6"/>
  <c r="I2912" i="6"/>
  <c r="I2913" i="6"/>
  <c r="I2914" i="6"/>
  <c r="I2915" i="6"/>
  <c r="I2916" i="6"/>
  <c r="I2917" i="6"/>
  <c r="I2918" i="6"/>
  <c r="I2919" i="6"/>
  <c r="I2920" i="6"/>
  <c r="I2921" i="6"/>
  <c r="I2922" i="6"/>
  <c r="I2923" i="6"/>
  <c r="I2880" i="6"/>
  <c r="I2881" i="6"/>
  <c r="I2882" i="6"/>
  <c r="I2883" i="6"/>
  <c r="I2884" i="6"/>
  <c r="I2885" i="6"/>
  <c r="I2886" i="6"/>
  <c r="I2887" i="6"/>
  <c r="I2888" i="6"/>
  <c r="I2889" i="6"/>
  <c r="I2890" i="6"/>
  <c r="I2891" i="6"/>
  <c r="I2892" i="6"/>
  <c r="I2893" i="6"/>
  <c r="I2894" i="6"/>
  <c r="I2895" i="6"/>
  <c r="I2896" i="6"/>
  <c r="I2897" i="6"/>
  <c r="I2898" i="6"/>
  <c r="I2899" i="6"/>
  <c r="I2900" i="6"/>
  <c r="I2901" i="6"/>
  <c r="I2854" i="6"/>
  <c r="I2855" i="6"/>
  <c r="I2856" i="6"/>
  <c r="I2857" i="6"/>
  <c r="I2858" i="6"/>
  <c r="I2859" i="6"/>
  <c r="I2860" i="6"/>
  <c r="I2861" i="6"/>
  <c r="I2862" i="6"/>
  <c r="I2863" i="6"/>
  <c r="I2864" i="6"/>
  <c r="I2865" i="6"/>
  <c r="I2866" i="6"/>
  <c r="I2867" i="6"/>
  <c r="I2868" i="6"/>
  <c r="I2869" i="6"/>
  <c r="I2870" i="6"/>
  <c r="I2871" i="6"/>
  <c r="I2872" i="6"/>
  <c r="I2873" i="6"/>
  <c r="I2874" i="6"/>
  <c r="I2875" i="6"/>
  <c r="I2876" i="6"/>
  <c r="I2877" i="6"/>
  <c r="I2878" i="6"/>
  <c r="I2879" i="6"/>
  <c r="I2841" i="6"/>
  <c r="I2842" i="6"/>
  <c r="I2843" i="6"/>
  <c r="I2844" i="6"/>
  <c r="I2845" i="6"/>
  <c r="I2846" i="6"/>
  <c r="I2847" i="6"/>
  <c r="I2848" i="6"/>
  <c r="I2849" i="6"/>
  <c r="I2850" i="6"/>
  <c r="I2851" i="6"/>
  <c r="I2852" i="6"/>
  <c r="I2853" i="6"/>
  <c r="I2825" i="6"/>
  <c r="I2826" i="6"/>
  <c r="I2827" i="6"/>
  <c r="I2828" i="6"/>
  <c r="I2829" i="6"/>
  <c r="I2830" i="6"/>
  <c r="I2831" i="6"/>
  <c r="I2832" i="6"/>
  <c r="I2833" i="6"/>
  <c r="I2834" i="6"/>
  <c r="I2835" i="6"/>
  <c r="I2836" i="6"/>
  <c r="I2837" i="6"/>
  <c r="I2838" i="6"/>
  <c r="I2839" i="6"/>
  <c r="I2840" i="6"/>
  <c r="I2805" i="6"/>
  <c r="I2806" i="6"/>
  <c r="I2807" i="6"/>
  <c r="I2808" i="6"/>
  <c r="I2809" i="6"/>
  <c r="I2810" i="6"/>
  <c r="I2811" i="6"/>
  <c r="I2812" i="6"/>
  <c r="I2813" i="6"/>
  <c r="I2814" i="6"/>
  <c r="I2815" i="6"/>
  <c r="I2816" i="6"/>
  <c r="I2817" i="6"/>
  <c r="I2818" i="6"/>
  <c r="I2819" i="6"/>
  <c r="I2820" i="6"/>
  <c r="I2821" i="6"/>
  <c r="I2822" i="6"/>
  <c r="I2823" i="6"/>
  <c r="I2824" i="6"/>
  <c r="I2778" i="6"/>
  <c r="I2779" i="6"/>
  <c r="I2780" i="6"/>
  <c r="I2781" i="6"/>
  <c r="I2782" i="6"/>
  <c r="I2783" i="6"/>
  <c r="I2784" i="6"/>
  <c r="I2785" i="6"/>
  <c r="I2786" i="6"/>
  <c r="I2787" i="6"/>
  <c r="I2788" i="6"/>
  <c r="I2789" i="6"/>
  <c r="I2790" i="6"/>
  <c r="I2791" i="6"/>
  <c r="I2792" i="6"/>
  <c r="I2793" i="6"/>
  <c r="I2794" i="6"/>
  <c r="I2795" i="6"/>
  <c r="I2796" i="6"/>
  <c r="I2797" i="6"/>
  <c r="I2798" i="6"/>
  <c r="I2799" i="6"/>
  <c r="I2800" i="6"/>
  <c r="I2801" i="6"/>
  <c r="I2802" i="6"/>
  <c r="I2803" i="6"/>
  <c r="I2804" i="6"/>
  <c r="I2749" i="6"/>
  <c r="I2750" i="6"/>
  <c r="I2751" i="6"/>
  <c r="I2752" i="6"/>
  <c r="I2753" i="6"/>
  <c r="I2754" i="6"/>
  <c r="I2755" i="6"/>
  <c r="I2756" i="6"/>
  <c r="I2757" i="6"/>
  <c r="I2758" i="6"/>
  <c r="I2759" i="6"/>
  <c r="I2760" i="6"/>
  <c r="I2761" i="6"/>
  <c r="I2762" i="6"/>
  <c r="I2763" i="6"/>
  <c r="I2764" i="6"/>
  <c r="I2765" i="6"/>
  <c r="I2766" i="6"/>
  <c r="I2767" i="6"/>
  <c r="I2768" i="6"/>
  <c r="I2769" i="6"/>
  <c r="I2770" i="6"/>
  <c r="I2771" i="6"/>
  <c r="I2772" i="6"/>
  <c r="I2773" i="6"/>
  <c r="I2774" i="6"/>
  <c r="I2775" i="6"/>
  <c r="I2776" i="6"/>
  <c r="I2777" i="6"/>
  <c r="I2722" i="6"/>
  <c r="I2723" i="6"/>
  <c r="I2724" i="6"/>
  <c r="I2725" i="6"/>
  <c r="I2726" i="6"/>
  <c r="I2727" i="6"/>
  <c r="I2728" i="6"/>
  <c r="I2729" i="6"/>
  <c r="I2730" i="6"/>
  <c r="I2731" i="6"/>
  <c r="I2732" i="6"/>
  <c r="I2733" i="6"/>
  <c r="I2734" i="6"/>
  <c r="I2735" i="6"/>
  <c r="I2736" i="6"/>
  <c r="I2737" i="6"/>
  <c r="I2738" i="6"/>
  <c r="I2739" i="6"/>
  <c r="I2740" i="6"/>
  <c r="I2741" i="6"/>
  <c r="I2742" i="6"/>
  <c r="I2743" i="6"/>
  <c r="I2744" i="6"/>
  <c r="I2745" i="6"/>
  <c r="I2746" i="6"/>
  <c r="I2747" i="6"/>
  <c r="I2748" i="6"/>
  <c r="I2702" i="6"/>
  <c r="I2703" i="6"/>
  <c r="I2704" i="6"/>
  <c r="I2705" i="6"/>
  <c r="I2706" i="6"/>
  <c r="I2707" i="6"/>
  <c r="I2708" i="6"/>
  <c r="I2709" i="6"/>
  <c r="I2710" i="6"/>
  <c r="I2711" i="6"/>
  <c r="I2712" i="6"/>
  <c r="I2713" i="6"/>
  <c r="I2714" i="6"/>
  <c r="I2715" i="6"/>
  <c r="I2716" i="6"/>
  <c r="I2717" i="6"/>
  <c r="I2718" i="6"/>
  <c r="I2719" i="6"/>
  <c r="I2720" i="6"/>
  <c r="I2721" i="6"/>
  <c r="I2680" i="6"/>
  <c r="I2681" i="6"/>
  <c r="I2682" i="6"/>
  <c r="I2683" i="6"/>
  <c r="I2684" i="6"/>
  <c r="I2685" i="6"/>
  <c r="I2686" i="6"/>
  <c r="I2687" i="6"/>
  <c r="I2688" i="6"/>
  <c r="I2689" i="6"/>
  <c r="I2690" i="6"/>
  <c r="I2691" i="6"/>
  <c r="I2692" i="6"/>
  <c r="I2693" i="6"/>
  <c r="I2694" i="6"/>
  <c r="I2695" i="6"/>
  <c r="I2696" i="6"/>
  <c r="I2697" i="6"/>
  <c r="I2698" i="6"/>
  <c r="I2699" i="6"/>
  <c r="I2700" i="6"/>
  <c r="I2701" i="6"/>
  <c r="I2670" i="6"/>
  <c r="I2671" i="6"/>
  <c r="I2672" i="6"/>
  <c r="I2673" i="6"/>
  <c r="I2674" i="6"/>
  <c r="I2675" i="6"/>
  <c r="I2676" i="6"/>
  <c r="I2677" i="6"/>
  <c r="I2678" i="6"/>
  <c r="I2679" i="6"/>
  <c r="I2640" i="6"/>
  <c r="I2641" i="6"/>
  <c r="I2642" i="6"/>
  <c r="I2643" i="6"/>
  <c r="I2644" i="6"/>
  <c r="I2645" i="6"/>
  <c r="I2646" i="6"/>
  <c r="I2647" i="6"/>
  <c r="I2648" i="6"/>
  <c r="I2649" i="6"/>
  <c r="I2650" i="6"/>
  <c r="I2651" i="6"/>
  <c r="I2652" i="6"/>
  <c r="I2653" i="6"/>
  <c r="I2654" i="6"/>
  <c r="I2655" i="6"/>
  <c r="I2656" i="6"/>
  <c r="I2657" i="6"/>
  <c r="I2658" i="6"/>
  <c r="I2659" i="6"/>
  <c r="I2660" i="6"/>
  <c r="I2661" i="6"/>
  <c r="I2662" i="6"/>
  <c r="I2663" i="6"/>
  <c r="I2664" i="6"/>
  <c r="I2665" i="6"/>
  <c r="I2666" i="6"/>
  <c r="I2667" i="6"/>
  <c r="I2668" i="6"/>
  <c r="I2669" i="6"/>
  <c r="I2600" i="6"/>
  <c r="I2601" i="6"/>
  <c r="I2602" i="6"/>
  <c r="I2603" i="6"/>
  <c r="I2604" i="6"/>
  <c r="I2605" i="6"/>
  <c r="I2606" i="6"/>
  <c r="I2607" i="6"/>
  <c r="I2608" i="6"/>
  <c r="I2609" i="6"/>
  <c r="I2610" i="6"/>
  <c r="I2611" i="6"/>
  <c r="I2612" i="6"/>
  <c r="I2613" i="6"/>
  <c r="I2614" i="6"/>
  <c r="I2615" i="6"/>
  <c r="I2616" i="6"/>
  <c r="I2617" i="6"/>
  <c r="I2618" i="6"/>
  <c r="I2619" i="6"/>
  <c r="I2620" i="6"/>
  <c r="I2621" i="6"/>
  <c r="I2622" i="6"/>
  <c r="I2623" i="6"/>
  <c r="I2624" i="6"/>
  <c r="I2625" i="6"/>
  <c r="I2626" i="6"/>
  <c r="I2627" i="6"/>
  <c r="I2628" i="6"/>
  <c r="I2629" i="6"/>
  <c r="I2630" i="6"/>
  <c r="I2631" i="6"/>
  <c r="I2632" i="6"/>
  <c r="I2633" i="6"/>
  <c r="I2634" i="6"/>
  <c r="I2635" i="6"/>
  <c r="I2636" i="6"/>
  <c r="I2637" i="6"/>
  <c r="I2638" i="6"/>
  <c r="I2639" i="6"/>
  <c r="I2550" i="6"/>
  <c r="I2551" i="6"/>
  <c r="I2552" i="6"/>
  <c r="I2553" i="6"/>
  <c r="I2554" i="6"/>
  <c r="I2555" i="6"/>
  <c r="I2556" i="6"/>
  <c r="I2557" i="6"/>
  <c r="I2558" i="6"/>
  <c r="I2559" i="6"/>
  <c r="I2560" i="6"/>
  <c r="I2561" i="6"/>
  <c r="I2562" i="6"/>
  <c r="I2563" i="6"/>
  <c r="I2564" i="6"/>
  <c r="I2565" i="6"/>
  <c r="I2566" i="6"/>
  <c r="I2567" i="6"/>
  <c r="I2568" i="6"/>
  <c r="I2569" i="6"/>
  <c r="I2570" i="6"/>
  <c r="I2571" i="6"/>
  <c r="I2572" i="6"/>
  <c r="I2573" i="6"/>
  <c r="I2574" i="6"/>
  <c r="I2575" i="6"/>
  <c r="I2576" i="6"/>
  <c r="I2577" i="6"/>
  <c r="I2578" i="6"/>
  <c r="I2579" i="6"/>
  <c r="I2580" i="6"/>
  <c r="I2581" i="6"/>
  <c r="I2582" i="6"/>
  <c r="I2583" i="6"/>
  <c r="I2584" i="6"/>
  <c r="I2585" i="6"/>
  <c r="I2586" i="6"/>
  <c r="I2587" i="6"/>
  <c r="I2588" i="6"/>
  <c r="I2589" i="6"/>
  <c r="I2590" i="6"/>
  <c r="I2591" i="6"/>
  <c r="I2592" i="6"/>
  <c r="I2593" i="6"/>
  <c r="I2594" i="6"/>
  <c r="I2595" i="6"/>
  <c r="I2596" i="6"/>
  <c r="I2597" i="6"/>
  <c r="I2598" i="6"/>
  <c r="I2599" i="6"/>
  <c r="I2507" i="6"/>
  <c r="I2508" i="6"/>
  <c r="I2509" i="6"/>
  <c r="I2510" i="6"/>
  <c r="I2511" i="6"/>
  <c r="I2512" i="6"/>
  <c r="I2513" i="6"/>
  <c r="I2514" i="6"/>
  <c r="I2515" i="6"/>
  <c r="I2516" i="6"/>
  <c r="I2517" i="6"/>
  <c r="I2518" i="6"/>
  <c r="I2519" i="6"/>
  <c r="I2520" i="6"/>
  <c r="I2521" i="6"/>
  <c r="I2522" i="6"/>
  <c r="I2523" i="6"/>
  <c r="I2524" i="6"/>
  <c r="I2525" i="6"/>
  <c r="I2526" i="6"/>
  <c r="I2527" i="6"/>
  <c r="I2528" i="6"/>
  <c r="I2529" i="6"/>
  <c r="I2530" i="6"/>
  <c r="I2531" i="6"/>
  <c r="I2532" i="6"/>
  <c r="I2533" i="6"/>
  <c r="I2534" i="6"/>
  <c r="I2535" i="6"/>
  <c r="I2536" i="6"/>
  <c r="I2537" i="6"/>
  <c r="I2538" i="6"/>
  <c r="I2539" i="6"/>
  <c r="I2540" i="6"/>
  <c r="I2541" i="6"/>
  <c r="I2542" i="6"/>
  <c r="I2543" i="6"/>
  <c r="I2544" i="6"/>
  <c r="I2545" i="6"/>
  <c r="I2546" i="6"/>
  <c r="I2547" i="6"/>
  <c r="I2548" i="6"/>
  <c r="I2549" i="6"/>
  <c r="I2488" i="6"/>
  <c r="I2489" i="6"/>
  <c r="I2490" i="6"/>
  <c r="I2491" i="6"/>
  <c r="I2492" i="6"/>
  <c r="I2493" i="6"/>
  <c r="I2494" i="6"/>
  <c r="I2495" i="6"/>
  <c r="I2496" i="6"/>
  <c r="I2497" i="6"/>
  <c r="I2498" i="6"/>
  <c r="I2499" i="6"/>
  <c r="I2500" i="6"/>
  <c r="I2501" i="6"/>
  <c r="I2502" i="6"/>
  <c r="I2503" i="6"/>
  <c r="I2504" i="6"/>
  <c r="I2505" i="6"/>
  <c r="I2506"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I2337" i="6"/>
  <c r="I2338" i="6"/>
  <c r="I2339" i="6"/>
  <c r="I2340" i="6"/>
  <c r="I2341" i="6"/>
  <c r="I2342" i="6"/>
  <c r="I2343" i="6"/>
  <c r="I2344" i="6"/>
  <c r="I2345" i="6"/>
  <c r="I2346" i="6"/>
  <c r="I2347" i="6"/>
  <c r="I2348" i="6"/>
  <c r="I2349" i="6"/>
  <c r="I2350" i="6"/>
  <c r="I2351" i="6"/>
  <c r="I2352" i="6"/>
  <c r="I2353" i="6"/>
  <c r="I2354" i="6"/>
  <c r="I2355" i="6"/>
  <c r="I2356" i="6"/>
  <c r="I2357" i="6"/>
  <c r="I2358" i="6"/>
  <c r="I2359" i="6"/>
  <c r="I2360" i="6"/>
  <c r="I2361" i="6"/>
  <c r="I2362" i="6"/>
  <c r="I2363" i="6"/>
  <c r="I2364" i="6"/>
  <c r="I2365" i="6"/>
  <c r="I2366" i="6"/>
  <c r="I2367" i="6"/>
  <c r="I2368" i="6"/>
  <c r="I2369" i="6"/>
  <c r="I2370" i="6"/>
  <c r="I2371" i="6"/>
  <c r="I2372" i="6"/>
  <c r="I2373" i="6"/>
  <c r="I2374" i="6"/>
  <c r="I2375" i="6"/>
  <c r="I2376" i="6"/>
  <c r="I2377" i="6"/>
  <c r="I2378" i="6"/>
  <c r="I2379" i="6"/>
  <c r="I2380" i="6"/>
  <c r="I2381" i="6"/>
  <c r="I2382" i="6"/>
  <c r="I2383" i="6"/>
  <c r="I2384" i="6"/>
  <c r="I2385" i="6"/>
  <c r="I2386" i="6"/>
  <c r="I2387" i="6"/>
  <c r="I2388" i="6"/>
  <c r="I2389" i="6"/>
  <c r="I2390" i="6"/>
  <c r="I2391" i="6"/>
  <c r="I2392" i="6"/>
  <c r="I2393" i="6"/>
  <c r="I2394" i="6"/>
  <c r="I2395" i="6"/>
  <c r="I2396" i="6"/>
  <c r="I2397" i="6"/>
  <c r="I2398" i="6"/>
  <c r="I2399" i="6"/>
  <c r="I2400" i="6"/>
  <c r="I2401" i="6"/>
  <c r="I2402" i="6"/>
  <c r="I2403" i="6"/>
  <c r="I2404" i="6"/>
  <c r="I2405" i="6"/>
  <c r="I2406" i="6"/>
  <c r="I2407" i="6"/>
  <c r="I2408" i="6"/>
  <c r="I2409" i="6"/>
  <c r="I2410" i="6"/>
  <c r="I2411" i="6"/>
  <c r="I2412" i="6"/>
  <c r="I2413" i="6"/>
  <c r="I2414" i="6"/>
  <c r="I2415" i="6"/>
  <c r="I2416" i="6"/>
  <c r="I2417" i="6"/>
  <c r="I2418" i="6"/>
  <c r="I2419" i="6"/>
  <c r="I2420" i="6"/>
  <c r="I2421" i="6"/>
  <c r="I2422" i="6"/>
  <c r="I2423" i="6"/>
  <c r="I2424" i="6"/>
  <c r="I2425" i="6"/>
  <c r="I2426" i="6"/>
  <c r="I2427" i="6"/>
  <c r="I2428" i="6"/>
  <c r="I2429" i="6"/>
  <c r="I2430" i="6"/>
  <c r="I2431" i="6"/>
  <c r="I2432" i="6"/>
  <c r="I2433" i="6"/>
  <c r="I2434" i="6"/>
  <c r="I2435" i="6"/>
  <c r="I2436" i="6"/>
  <c r="I2437" i="6"/>
  <c r="I2438" i="6"/>
  <c r="I2439" i="6"/>
  <c r="I2440" i="6"/>
  <c r="I2441" i="6"/>
  <c r="I2442" i="6"/>
  <c r="I2443" i="6"/>
  <c r="I2444" i="6"/>
  <c r="I2445" i="6"/>
  <c r="I2446" i="6"/>
  <c r="I2447" i="6"/>
  <c r="I2448" i="6"/>
  <c r="I2449" i="6"/>
  <c r="I2450" i="6"/>
  <c r="I2451" i="6"/>
  <c r="I2452" i="6"/>
  <c r="I2453" i="6"/>
  <c r="I2454" i="6"/>
  <c r="I2455" i="6"/>
  <c r="I2456" i="6"/>
  <c r="I2457" i="6"/>
  <c r="I2458" i="6"/>
  <c r="I2459" i="6"/>
  <c r="I2460" i="6"/>
  <c r="I2461" i="6"/>
  <c r="I2462" i="6"/>
  <c r="I2463" i="6"/>
  <c r="I2464" i="6"/>
  <c r="I2465" i="6"/>
  <c r="I2466" i="6"/>
  <c r="I2467" i="6"/>
  <c r="I2468" i="6"/>
  <c r="I2469" i="6"/>
  <c r="I2470" i="6"/>
  <c r="I2471" i="6"/>
  <c r="I2472" i="6"/>
  <c r="I2473" i="6"/>
  <c r="I2474" i="6"/>
  <c r="I2475" i="6"/>
  <c r="I2476" i="6"/>
  <c r="I2477" i="6"/>
  <c r="I2478" i="6"/>
  <c r="I2479" i="6"/>
  <c r="I2480" i="6"/>
  <c r="I2481" i="6"/>
  <c r="I2482" i="6"/>
  <c r="I2483" i="6"/>
  <c r="I2484" i="6"/>
  <c r="I2485" i="6"/>
  <c r="I2486" i="6"/>
  <c r="I2487"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1494"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6" i="6"/>
  <c r="I17" i="6"/>
  <c r="I18" i="6"/>
  <c r="I19" i="6"/>
  <c r="I20" i="6"/>
  <c r="I21" i="6"/>
  <c r="I22" i="6"/>
  <c r="I23" i="6"/>
  <c r="I24" i="6"/>
  <c r="I25" i="6"/>
  <c r="I26" i="6"/>
  <c r="I27" i="6"/>
  <c r="I28" i="6"/>
  <c r="I29" i="6"/>
  <c r="I3" i="6"/>
  <c r="I4" i="6"/>
  <c r="I5" i="6"/>
  <c r="I6" i="6"/>
  <c r="I7" i="6"/>
  <c r="I8" i="6"/>
  <c r="I9" i="6"/>
  <c r="I10" i="6"/>
  <c r="I11" i="6"/>
  <c r="I12" i="6"/>
  <c r="I13" i="6"/>
  <c r="I14" i="6"/>
  <c r="I15" i="6"/>
  <c r="I2" i="6"/>
  <c r="H3191" i="6"/>
  <c r="J3191" i="6" s="1"/>
  <c r="K3191" i="6"/>
  <c r="H3192" i="6"/>
  <c r="J3192" i="6" s="1"/>
  <c r="K3192" i="6"/>
  <c r="H3193" i="6"/>
  <c r="J3193" i="6" s="1"/>
  <c r="K3193" i="6"/>
  <c r="H3194" i="6"/>
  <c r="J3194" i="6" s="1"/>
  <c r="K3194" i="6"/>
  <c r="H3195" i="6"/>
  <c r="J3195" i="6" s="1"/>
  <c r="K3195" i="6"/>
  <c r="H3196" i="6"/>
  <c r="J3196" i="6" s="1"/>
  <c r="K3196" i="6"/>
  <c r="H3197" i="6"/>
  <c r="J3197" i="6" s="1"/>
  <c r="K3197" i="6"/>
  <c r="H3198" i="6"/>
  <c r="J3198" i="6" s="1"/>
  <c r="K3198" i="6"/>
  <c r="H3199" i="6"/>
  <c r="J3199" i="6" s="1"/>
  <c r="K3199" i="6"/>
  <c r="H3200" i="6"/>
  <c r="J3200" i="6" s="1"/>
  <c r="K3200" i="6"/>
  <c r="H3201" i="6"/>
  <c r="J3201" i="6" s="1"/>
  <c r="K3201" i="6"/>
  <c r="H3202" i="6"/>
  <c r="J3202" i="6" s="1"/>
  <c r="K3202" i="6"/>
  <c r="H3203" i="6"/>
  <c r="J3203" i="6" s="1"/>
  <c r="K3203" i="6"/>
  <c r="H3204" i="6"/>
  <c r="J3204" i="6" s="1"/>
  <c r="K3204" i="6"/>
  <c r="H3205" i="6"/>
  <c r="J3205" i="6" s="1"/>
  <c r="K3205" i="6"/>
  <c r="H3206" i="6"/>
  <c r="J3206" i="6" s="1"/>
  <c r="K3206" i="6"/>
  <c r="H3207" i="6"/>
  <c r="J3207" i="6" s="1"/>
  <c r="K3207" i="6"/>
  <c r="H3208" i="6"/>
  <c r="J3208" i="6" s="1"/>
  <c r="K3208" i="6"/>
  <c r="H3209" i="6"/>
  <c r="J3209" i="6" s="1"/>
  <c r="K3209" i="6"/>
  <c r="H3210" i="6"/>
  <c r="J3210" i="6" s="1"/>
  <c r="K3210" i="6"/>
  <c r="H3211" i="6"/>
  <c r="J3211" i="6" s="1"/>
  <c r="K3211" i="6"/>
  <c r="H3212" i="6"/>
  <c r="J3212" i="6" s="1"/>
  <c r="K3212" i="6"/>
  <c r="H3213" i="6"/>
  <c r="J3213" i="6" s="1"/>
  <c r="K3213" i="6"/>
  <c r="H3214" i="6"/>
  <c r="J3214" i="6" s="1"/>
  <c r="K3214" i="6"/>
  <c r="H3215" i="6"/>
  <c r="J3215" i="6" s="1"/>
  <c r="K3215" i="6"/>
  <c r="H3216" i="6"/>
  <c r="J3216" i="6" s="1"/>
  <c r="K3216" i="6"/>
  <c r="H3217" i="6"/>
  <c r="J3217" i="6" s="1"/>
  <c r="K3217" i="6"/>
  <c r="H3218" i="6"/>
  <c r="J3218" i="6" s="1"/>
  <c r="K3218" i="6"/>
  <c r="H3219" i="6"/>
  <c r="J3219" i="6" s="1"/>
  <c r="K3219" i="6"/>
  <c r="H3220" i="6"/>
  <c r="J3220" i="6" s="1"/>
  <c r="K3220" i="6"/>
  <c r="H3221" i="6"/>
  <c r="J3221" i="6" s="1"/>
  <c r="K3221" i="6"/>
  <c r="H3222" i="6"/>
  <c r="J3222" i="6" s="1"/>
  <c r="K3222" i="6"/>
  <c r="H3223" i="6"/>
  <c r="J3223" i="6" s="1"/>
  <c r="K3223" i="6"/>
  <c r="H3224" i="6"/>
  <c r="J3224" i="6" s="1"/>
  <c r="K3224" i="6"/>
  <c r="H3225" i="6"/>
  <c r="J3225" i="6" s="1"/>
  <c r="K3225" i="6"/>
  <c r="H3226" i="6"/>
  <c r="J3226" i="6" s="1"/>
  <c r="K3226" i="6"/>
  <c r="H3227" i="6"/>
  <c r="J3227" i="6" s="1"/>
  <c r="K3227" i="6"/>
  <c r="H3228" i="6"/>
  <c r="J3228" i="6" s="1"/>
  <c r="K3228" i="6"/>
  <c r="H3229" i="6"/>
  <c r="J3229" i="6" s="1"/>
  <c r="K3229" i="6"/>
  <c r="H3230" i="6"/>
  <c r="J3230" i="6" s="1"/>
  <c r="K3230" i="6"/>
  <c r="H3231" i="6"/>
  <c r="J3231" i="6" s="1"/>
  <c r="K3231" i="6"/>
  <c r="H3232" i="6"/>
  <c r="J3232" i="6" s="1"/>
  <c r="K3232" i="6"/>
  <c r="H3233" i="6"/>
  <c r="J3233" i="6" s="1"/>
  <c r="K3233" i="6"/>
  <c r="H3234" i="6"/>
  <c r="J3234" i="6" s="1"/>
  <c r="K3234" i="6"/>
  <c r="H3235" i="6"/>
  <c r="J3235" i="6" s="1"/>
  <c r="K3235" i="6"/>
  <c r="H3236" i="6"/>
  <c r="J3236" i="6" s="1"/>
  <c r="K3236" i="6"/>
  <c r="H3237" i="6"/>
  <c r="J3237" i="6" s="1"/>
  <c r="K3237" i="6"/>
  <c r="H3238" i="6"/>
  <c r="J3238" i="6" s="1"/>
  <c r="K3238" i="6"/>
  <c r="H3239" i="6"/>
  <c r="J3239" i="6" s="1"/>
  <c r="K3239" i="6"/>
  <c r="H3240" i="6"/>
  <c r="J3240" i="6" s="1"/>
  <c r="K3240" i="6"/>
  <c r="H3241" i="6"/>
  <c r="J3241" i="6" s="1"/>
  <c r="K3241" i="6"/>
  <c r="H3242" i="6"/>
  <c r="J3242" i="6" s="1"/>
  <c r="K3242" i="6"/>
  <c r="H3243" i="6"/>
  <c r="J3243" i="6" s="1"/>
  <c r="K3243" i="6"/>
  <c r="H3244" i="6"/>
  <c r="J3244" i="6" s="1"/>
  <c r="K3244" i="6"/>
  <c r="H3245" i="6"/>
  <c r="J3245" i="6" s="1"/>
  <c r="K3245" i="6"/>
  <c r="H3246" i="6"/>
  <c r="J3246" i="6" s="1"/>
  <c r="K3246" i="6"/>
  <c r="H3247" i="6"/>
  <c r="J3247" i="6" s="1"/>
  <c r="K3247" i="6"/>
  <c r="H3248" i="6"/>
  <c r="J3248" i="6" s="1"/>
  <c r="K3248" i="6"/>
  <c r="H3249" i="6"/>
  <c r="J3249" i="6" s="1"/>
  <c r="K3249" i="6"/>
  <c r="H3250" i="6"/>
  <c r="J3250" i="6" s="1"/>
  <c r="K3250" i="6"/>
  <c r="H3251" i="6"/>
  <c r="J3251" i="6" s="1"/>
  <c r="K3251" i="6"/>
  <c r="H3252" i="6"/>
  <c r="J3252" i="6" s="1"/>
  <c r="K3252" i="6"/>
  <c r="H3253" i="6"/>
  <c r="J3253" i="6" s="1"/>
  <c r="K3253" i="6"/>
  <c r="H3254" i="6"/>
  <c r="J3254" i="6" s="1"/>
  <c r="K3254" i="6"/>
  <c r="H3255" i="6"/>
  <c r="J3255" i="6" s="1"/>
  <c r="K3255" i="6"/>
  <c r="H3256" i="6"/>
  <c r="J3256" i="6" s="1"/>
  <c r="K3256" i="6"/>
  <c r="H3257" i="6"/>
  <c r="J3257" i="6" s="1"/>
  <c r="K3257" i="6"/>
  <c r="H3258" i="6"/>
  <c r="J3258" i="6" s="1"/>
  <c r="K3258" i="6"/>
  <c r="H3259" i="6"/>
  <c r="J3259" i="6" s="1"/>
  <c r="K3259" i="6"/>
  <c r="H3260" i="6"/>
  <c r="J3260" i="6" s="1"/>
  <c r="K3260" i="6"/>
  <c r="H3261" i="6"/>
  <c r="J3261" i="6" s="1"/>
  <c r="K3261" i="6"/>
  <c r="H3262" i="6"/>
  <c r="J3262" i="6" s="1"/>
  <c r="K3262" i="6"/>
  <c r="H3263" i="6"/>
  <c r="J3263" i="6" s="1"/>
  <c r="K3263" i="6"/>
  <c r="H3264" i="6"/>
  <c r="J3264" i="6" s="1"/>
  <c r="K3264" i="6"/>
  <c r="H3265" i="6"/>
  <c r="J3265" i="6" s="1"/>
  <c r="K3265" i="6"/>
  <c r="H3266" i="6"/>
  <c r="J3266" i="6" s="1"/>
  <c r="K3266" i="6"/>
  <c r="H3267" i="6"/>
  <c r="J3267" i="6" s="1"/>
  <c r="K3267" i="6"/>
  <c r="H3268" i="6"/>
  <c r="J3268" i="6" s="1"/>
  <c r="K3268" i="6"/>
  <c r="H3269" i="6"/>
  <c r="J3269" i="6" s="1"/>
  <c r="K3269" i="6"/>
  <c r="H3270" i="6"/>
  <c r="J3270" i="6" s="1"/>
  <c r="K3270" i="6"/>
  <c r="H3271" i="6"/>
  <c r="J3271" i="6" s="1"/>
  <c r="K3271" i="6"/>
  <c r="H3272" i="6"/>
  <c r="J3272" i="6" s="1"/>
  <c r="K3272" i="6"/>
  <c r="H3273" i="6"/>
  <c r="J3273" i="6" s="1"/>
  <c r="K3273" i="6"/>
  <c r="H3274" i="6"/>
  <c r="J3274" i="6" s="1"/>
  <c r="K3274" i="6"/>
  <c r="H3275" i="6"/>
  <c r="J3275" i="6" s="1"/>
  <c r="K3275" i="6"/>
  <c r="H3276" i="6"/>
  <c r="J3276" i="6" s="1"/>
  <c r="K3276" i="6"/>
  <c r="H3277" i="6"/>
  <c r="J3277" i="6" s="1"/>
  <c r="K3277" i="6"/>
  <c r="H3278" i="6"/>
  <c r="J3278" i="6" s="1"/>
  <c r="K3278" i="6"/>
  <c r="H3279" i="6"/>
  <c r="J3279" i="6" s="1"/>
  <c r="K3279" i="6"/>
  <c r="H3280" i="6"/>
  <c r="J3280" i="6" s="1"/>
  <c r="K3280" i="6"/>
  <c r="H3281" i="6"/>
  <c r="J3281" i="6" s="1"/>
  <c r="K3281" i="6"/>
  <c r="H3282" i="6"/>
  <c r="J3282" i="6" s="1"/>
  <c r="K3282" i="6"/>
  <c r="H3283" i="6"/>
  <c r="J3283" i="6" s="1"/>
  <c r="K3283" i="6"/>
  <c r="H3284" i="6"/>
  <c r="J3284" i="6" s="1"/>
  <c r="K3284" i="6"/>
  <c r="H3285" i="6"/>
  <c r="J3285" i="6" s="1"/>
  <c r="K3285" i="6"/>
  <c r="H3286" i="6"/>
  <c r="J3286" i="6" s="1"/>
  <c r="K3286" i="6"/>
  <c r="H3287" i="6"/>
  <c r="J3287" i="6" s="1"/>
  <c r="K3287" i="6"/>
  <c r="H3288" i="6"/>
  <c r="J3288" i="6" s="1"/>
  <c r="K3288" i="6"/>
  <c r="H3289" i="6"/>
  <c r="J3289" i="6" s="1"/>
  <c r="K3289" i="6"/>
  <c r="H3290" i="6"/>
  <c r="J3290" i="6" s="1"/>
  <c r="K3290" i="6"/>
  <c r="H3291" i="6"/>
  <c r="J3291" i="6" s="1"/>
  <c r="K3291" i="6"/>
  <c r="H3292" i="6"/>
  <c r="J3292" i="6" s="1"/>
  <c r="K3292" i="6"/>
  <c r="H3293" i="6"/>
  <c r="J3293" i="6" s="1"/>
  <c r="K3293" i="6"/>
  <c r="H3294" i="6"/>
  <c r="J3294" i="6" s="1"/>
  <c r="K3294" i="6"/>
  <c r="H3295" i="6"/>
  <c r="J3295" i="6" s="1"/>
  <c r="K3295" i="6"/>
  <c r="H3296" i="6"/>
  <c r="J3296" i="6" s="1"/>
  <c r="K3296" i="6"/>
  <c r="H3297" i="6"/>
  <c r="J3297" i="6" s="1"/>
  <c r="K3297" i="6"/>
  <c r="H3298" i="6"/>
  <c r="J3298" i="6" s="1"/>
  <c r="K3298" i="6"/>
  <c r="H3299" i="6"/>
  <c r="J3299" i="6" s="1"/>
  <c r="K3299" i="6"/>
  <c r="H3300" i="6"/>
  <c r="J3300" i="6" s="1"/>
  <c r="K3300" i="6"/>
  <c r="H3301" i="6"/>
  <c r="J3301" i="6" s="1"/>
  <c r="K3301" i="6"/>
  <c r="H3302" i="6"/>
  <c r="J3302" i="6" s="1"/>
  <c r="K3302" i="6"/>
  <c r="H3303" i="6"/>
  <c r="J3303" i="6" s="1"/>
  <c r="K3303" i="6"/>
  <c r="H3304" i="6"/>
  <c r="J3304" i="6" s="1"/>
  <c r="K3304" i="6"/>
  <c r="H3305" i="6"/>
  <c r="J3305" i="6" s="1"/>
  <c r="K3305" i="6"/>
  <c r="H3306" i="6"/>
  <c r="J3306" i="6" s="1"/>
  <c r="K3306" i="6"/>
  <c r="H3307" i="6"/>
  <c r="J3307" i="6" s="1"/>
  <c r="K3307" i="6"/>
  <c r="H3308" i="6"/>
  <c r="J3308" i="6" s="1"/>
  <c r="K3308" i="6"/>
  <c r="H3309" i="6"/>
  <c r="J3309" i="6" s="1"/>
  <c r="K3309" i="6"/>
  <c r="H3310" i="6"/>
  <c r="J3310" i="6" s="1"/>
  <c r="K3310" i="6"/>
  <c r="H3311" i="6"/>
  <c r="J3311" i="6" s="1"/>
  <c r="K3311" i="6"/>
  <c r="H3312" i="6"/>
  <c r="J3312" i="6" s="1"/>
  <c r="K3312" i="6"/>
  <c r="H3313" i="6"/>
  <c r="J3313" i="6" s="1"/>
  <c r="K3313" i="6"/>
  <c r="H3314" i="6"/>
  <c r="J3314" i="6" s="1"/>
  <c r="K3314" i="6"/>
  <c r="H3315" i="6"/>
  <c r="J3315" i="6" s="1"/>
  <c r="K3315" i="6"/>
  <c r="H3316" i="6"/>
  <c r="J3316" i="6" s="1"/>
  <c r="K3316" i="6"/>
  <c r="H3317" i="6"/>
  <c r="J3317" i="6" s="1"/>
  <c r="K3317" i="6"/>
  <c r="H3318" i="6"/>
  <c r="J3318" i="6" s="1"/>
  <c r="K3318" i="6"/>
  <c r="H3319" i="6"/>
  <c r="J3319" i="6" s="1"/>
  <c r="K3319" i="6"/>
  <c r="H3320" i="6"/>
  <c r="J3320" i="6" s="1"/>
  <c r="K3320" i="6"/>
  <c r="H3321" i="6"/>
  <c r="J3321" i="6" s="1"/>
  <c r="K3321" i="6"/>
  <c r="H3322" i="6"/>
  <c r="J3322" i="6" s="1"/>
  <c r="K3322" i="6"/>
  <c r="H3323" i="6"/>
  <c r="J3323" i="6" s="1"/>
  <c r="K3323" i="6"/>
  <c r="H3324" i="6"/>
  <c r="J3324" i="6" s="1"/>
  <c r="K3324" i="6"/>
  <c r="H3325" i="6"/>
  <c r="J3325" i="6" s="1"/>
  <c r="K3325" i="6"/>
  <c r="H3326" i="6"/>
  <c r="J3326" i="6" s="1"/>
  <c r="K3326" i="6"/>
  <c r="H3327" i="6"/>
  <c r="J3327" i="6" s="1"/>
  <c r="K3327" i="6"/>
  <c r="H3328" i="6"/>
  <c r="J3328" i="6" s="1"/>
  <c r="K3328" i="6"/>
  <c r="H3329" i="6"/>
  <c r="J3329" i="6" s="1"/>
  <c r="K3329" i="6"/>
  <c r="H3330" i="6"/>
  <c r="J3330" i="6" s="1"/>
  <c r="K3330" i="6"/>
  <c r="H3331" i="6"/>
  <c r="J3331" i="6" s="1"/>
  <c r="K3331" i="6"/>
  <c r="H3332" i="6"/>
  <c r="J3332" i="6" s="1"/>
  <c r="K3332" i="6"/>
  <c r="H3333" i="6"/>
  <c r="J3333" i="6" s="1"/>
  <c r="K3333" i="6"/>
  <c r="H3334" i="6"/>
  <c r="J3334" i="6" s="1"/>
  <c r="K3334" i="6"/>
  <c r="H3335" i="6"/>
  <c r="J3335" i="6" s="1"/>
  <c r="K3335" i="6"/>
  <c r="H3336" i="6"/>
  <c r="J3336" i="6" s="1"/>
  <c r="K3336" i="6"/>
  <c r="H3337" i="6"/>
  <c r="J3337" i="6" s="1"/>
  <c r="K3337" i="6"/>
  <c r="H3338" i="6"/>
  <c r="J3338" i="6" s="1"/>
  <c r="K3338" i="6"/>
  <c r="H3339" i="6"/>
  <c r="J3339" i="6" s="1"/>
  <c r="K3339" i="6"/>
  <c r="H3340" i="6"/>
  <c r="J3340" i="6" s="1"/>
  <c r="K3340" i="6"/>
  <c r="H3341" i="6"/>
  <c r="J3341" i="6" s="1"/>
  <c r="K3341" i="6"/>
  <c r="H3342" i="6"/>
  <c r="J3342" i="6" s="1"/>
  <c r="K3342" i="6"/>
  <c r="H3343" i="6"/>
  <c r="J3343" i="6" s="1"/>
  <c r="K3343" i="6"/>
  <c r="H3344" i="6"/>
  <c r="J3344" i="6" s="1"/>
  <c r="K3344" i="6"/>
  <c r="H3345" i="6"/>
  <c r="J3345" i="6" s="1"/>
  <c r="K3345" i="6"/>
  <c r="H3346" i="6"/>
  <c r="J3346" i="6" s="1"/>
  <c r="K3346" i="6"/>
  <c r="H3347" i="6"/>
  <c r="J3347" i="6" s="1"/>
  <c r="K3347" i="6"/>
  <c r="H3348" i="6"/>
  <c r="J3348" i="6" s="1"/>
  <c r="K3348" i="6"/>
  <c r="H3349" i="6"/>
  <c r="J3349" i="6" s="1"/>
  <c r="K3349" i="6"/>
  <c r="H3350" i="6"/>
  <c r="J3350" i="6" s="1"/>
  <c r="K3350" i="6"/>
  <c r="H3351" i="6"/>
  <c r="J3351" i="6" s="1"/>
  <c r="K3351" i="6"/>
  <c r="H3352" i="6"/>
  <c r="J3352" i="6" s="1"/>
  <c r="K3352" i="6"/>
  <c r="H3353" i="6"/>
  <c r="J3353" i="6" s="1"/>
  <c r="K3353" i="6"/>
  <c r="H3354" i="6"/>
  <c r="J3354" i="6" s="1"/>
  <c r="K3354" i="6"/>
  <c r="H3355" i="6"/>
  <c r="J3355" i="6" s="1"/>
  <c r="K3355" i="6"/>
  <c r="H3356" i="6"/>
  <c r="J3356" i="6" s="1"/>
  <c r="K3356" i="6"/>
  <c r="H3357" i="6"/>
  <c r="J3357" i="6" s="1"/>
  <c r="K3357" i="6"/>
  <c r="H3358" i="6"/>
  <c r="J3358" i="6" s="1"/>
  <c r="K3358" i="6"/>
  <c r="H3359" i="6"/>
  <c r="J3359" i="6" s="1"/>
  <c r="K3359" i="6"/>
  <c r="H3360" i="6"/>
  <c r="J3360" i="6" s="1"/>
  <c r="K3360" i="6"/>
  <c r="H3361" i="6"/>
  <c r="J3361" i="6" s="1"/>
  <c r="K3361" i="6"/>
  <c r="H3362" i="6"/>
  <c r="J3362" i="6" s="1"/>
  <c r="K3362" i="6"/>
  <c r="H3363" i="6"/>
  <c r="J3363" i="6" s="1"/>
  <c r="K3363" i="6"/>
  <c r="H3364" i="6"/>
  <c r="J3364" i="6" s="1"/>
  <c r="K3364" i="6"/>
  <c r="H3365" i="6"/>
  <c r="J3365" i="6" s="1"/>
  <c r="K3365" i="6"/>
  <c r="H3366" i="6"/>
  <c r="J3366" i="6" s="1"/>
  <c r="K3366" i="6"/>
  <c r="H3367" i="6"/>
  <c r="J3367" i="6" s="1"/>
  <c r="K3367" i="6"/>
  <c r="H3368" i="6"/>
  <c r="J3368" i="6" s="1"/>
  <c r="K3368" i="6"/>
  <c r="H3369" i="6"/>
  <c r="J3369" i="6" s="1"/>
  <c r="K3369" i="6"/>
  <c r="H3370" i="6"/>
  <c r="J3370" i="6" s="1"/>
  <c r="K3370" i="6"/>
  <c r="H3371" i="6"/>
  <c r="J3371" i="6" s="1"/>
  <c r="K3371" i="6"/>
  <c r="H3372" i="6"/>
  <c r="J3372" i="6" s="1"/>
  <c r="K3372" i="6"/>
  <c r="H3373" i="6"/>
  <c r="J3373" i="6" s="1"/>
  <c r="K3373" i="6"/>
  <c r="H3374" i="6"/>
  <c r="J3374" i="6" s="1"/>
  <c r="K3374" i="6"/>
  <c r="H3375" i="6"/>
  <c r="J3375" i="6" s="1"/>
  <c r="K3375" i="6"/>
  <c r="H3376" i="6"/>
  <c r="J3376" i="6" s="1"/>
  <c r="K3376" i="6"/>
  <c r="H3377" i="6"/>
  <c r="J3377" i="6" s="1"/>
  <c r="K3377" i="6"/>
  <c r="H3378" i="6"/>
  <c r="J3378" i="6" s="1"/>
  <c r="K3378" i="6"/>
  <c r="H3379" i="6"/>
  <c r="J3379" i="6" s="1"/>
  <c r="K3379" i="6"/>
  <c r="H3380" i="6"/>
  <c r="J3380" i="6" s="1"/>
  <c r="K3380" i="6"/>
  <c r="H3381" i="6"/>
  <c r="J3381" i="6" s="1"/>
  <c r="K3381" i="6"/>
  <c r="H3382" i="6"/>
  <c r="J3382" i="6" s="1"/>
  <c r="K3382" i="6"/>
  <c r="H3383" i="6"/>
  <c r="J3383" i="6" s="1"/>
  <c r="K3383" i="6"/>
  <c r="H3384" i="6"/>
  <c r="J3384" i="6" s="1"/>
  <c r="K3384" i="6"/>
  <c r="H3385" i="6"/>
  <c r="J3385" i="6" s="1"/>
  <c r="K3385" i="6"/>
  <c r="H3386" i="6"/>
  <c r="J3386" i="6" s="1"/>
  <c r="K3386" i="6"/>
  <c r="H3387" i="6"/>
  <c r="J3387" i="6" s="1"/>
  <c r="K3387" i="6"/>
  <c r="H3388" i="6"/>
  <c r="J3388" i="6" s="1"/>
  <c r="K3388" i="6"/>
  <c r="H3389" i="6"/>
  <c r="J3389" i="6" s="1"/>
  <c r="K3389" i="6"/>
  <c r="H3390" i="6"/>
  <c r="J3390" i="6" s="1"/>
  <c r="K3390" i="6"/>
  <c r="H3391" i="6"/>
  <c r="J3391" i="6" s="1"/>
  <c r="K3391" i="6"/>
  <c r="H3392" i="6"/>
  <c r="J3392" i="6" s="1"/>
  <c r="K3392" i="6"/>
  <c r="H3393" i="6"/>
  <c r="J3393" i="6" s="1"/>
  <c r="K3393" i="6"/>
  <c r="H3394" i="6"/>
  <c r="J3394" i="6" s="1"/>
  <c r="K3394" i="6"/>
  <c r="H3395" i="6"/>
  <c r="J3395" i="6" s="1"/>
  <c r="K3395" i="6"/>
  <c r="H3396" i="6"/>
  <c r="J3396" i="6" s="1"/>
  <c r="K3396" i="6"/>
  <c r="H3397" i="6"/>
  <c r="J3397" i="6" s="1"/>
  <c r="K3397" i="6"/>
  <c r="H3398" i="6"/>
  <c r="J3398" i="6" s="1"/>
  <c r="K3398" i="6"/>
  <c r="H3399" i="6"/>
  <c r="J3399" i="6" s="1"/>
  <c r="K3399" i="6"/>
  <c r="H3400" i="6"/>
  <c r="J3400" i="6" s="1"/>
  <c r="K3400" i="6"/>
  <c r="H3401" i="6"/>
  <c r="J3401" i="6" s="1"/>
  <c r="K3401" i="6"/>
  <c r="H3402" i="6"/>
  <c r="J3402" i="6" s="1"/>
  <c r="K3402" i="6"/>
  <c r="H3403" i="6"/>
  <c r="J3403" i="6" s="1"/>
  <c r="K3403" i="6"/>
  <c r="H3404" i="6"/>
  <c r="J3404" i="6" s="1"/>
  <c r="K3404" i="6"/>
  <c r="H3405" i="6"/>
  <c r="J3405" i="6" s="1"/>
  <c r="K3405" i="6"/>
  <c r="H3406" i="6"/>
  <c r="J3406" i="6" s="1"/>
  <c r="K3406" i="6"/>
  <c r="H3178" i="6"/>
  <c r="J3178" i="6" s="1"/>
  <c r="K3178" i="6"/>
  <c r="H3179" i="6"/>
  <c r="J3179" i="6" s="1"/>
  <c r="K3179" i="6"/>
  <c r="H3180" i="6"/>
  <c r="J3180" i="6" s="1"/>
  <c r="K3180" i="6"/>
  <c r="H3181" i="6"/>
  <c r="J3181" i="6" s="1"/>
  <c r="K3181" i="6"/>
  <c r="H3182" i="6"/>
  <c r="J3182" i="6" s="1"/>
  <c r="K3182" i="6"/>
  <c r="H3183" i="6"/>
  <c r="J3183" i="6" s="1"/>
  <c r="K3183" i="6"/>
  <c r="H3184" i="6"/>
  <c r="J3184" i="6" s="1"/>
  <c r="K3184" i="6"/>
  <c r="H3185" i="6"/>
  <c r="J3185" i="6" s="1"/>
  <c r="K3185" i="6"/>
  <c r="H3186" i="6"/>
  <c r="J3186" i="6" s="1"/>
  <c r="K3186" i="6"/>
  <c r="H3187" i="6"/>
  <c r="J3187" i="6" s="1"/>
  <c r="K3187" i="6"/>
  <c r="H3188" i="6"/>
  <c r="J3188" i="6" s="1"/>
  <c r="K3188" i="6"/>
  <c r="H3189" i="6"/>
  <c r="J3189" i="6" s="1"/>
  <c r="K3189" i="6"/>
  <c r="H3190" i="6"/>
  <c r="J3190" i="6" s="1"/>
  <c r="K3190" i="6"/>
  <c r="H3169" i="6"/>
  <c r="J3169" i="6" s="1"/>
  <c r="K3169" i="6"/>
  <c r="H3170" i="6"/>
  <c r="J3170" i="6" s="1"/>
  <c r="K3170" i="6"/>
  <c r="H3171" i="6"/>
  <c r="J3171" i="6" s="1"/>
  <c r="K3171" i="6"/>
  <c r="H3172" i="6"/>
  <c r="J3172" i="6" s="1"/>
  <c r="K3172" i="6"/>
  <c r="H3173" i="6"/>
  <c r="J3173" i="6" s="1"/>
  <c r="K3173" i="6"/>
  <c r="H3174" i="6"/>
  <c r="J3174" i="6" s="1"/>
  <c r="K3174" i="6"/>
  <c r="H3175" i="6"/>
  <c r="J3175" i="6" s="1"/>
  <c r="K3175" i="6"/>
  <c r="H3176" i="6"/>
  <c r="J3176" i="6" s="1"/>
  <c r="K3176" i="6"/>
  <c r="H3177" i="6"/>
  <c r="J3177" i="6" s="1"/>
  <c r="K3177" i="6"/>
  <c r="H3165" i="6"/>
  <c r="J3165" i="6" s="1"/>
  <c r="K3165" i="6"/>
  <c r="H3166" i="6"/>
  <c r="J3166" i="6" s="1"/>
  <c r="K3166" i="6"/>
  <c r="H3167" i="6"/>
  <c r="J3167" i="6" s="1"/>
  <c r="K3167" i="6"/>
  <c r="H3168" i="6"/>
  <c r="J3168" i="6" s="1"/>
  <c r="K3168" i="6"/>
  <c r="H3157" i="6"/>
  <c r="J3157" i="6" s="1"/>
  <c r="K3157" i="6"/>
  <c r="H3158" i="6"/>
  <c r="J3158" i="6" s="1"/>
  <c r="K3158" i="6"/>
  <c r="H3159" i="6"/>
  <c r="J3159" i="6" s="1"/>
  <c r="K3159" i="6"/>
  <c r="H3160" i="6"/>
  <c r="J3160" i="6" s="1"/>
  <c r="K3160" i="6"/>
  <c r="H3161" i="6"/>
  <c r="J3161" i="6" s="1"/>
  <c r="K3161" i="6"/>
  <c r="H3162" i="6"/>
  <c r="J3162" i="6" s="1"/>
  <c r="K3162" i="6"/>
  <c r="H3163" i="6"/>
  <c r="J3163" i="6" s="1"/>
  <c r="K3163" i="6"/>
  <c r="H3164" i="6"/>
  <c r="J3164" i="6" s="1"/>
  <c r="K3164" i="6"/>
  <c r="H3156" i="6"/>
  <c r="J3156" i="6" s="1"/>
  <c r="K3156" i="6"/>
  <c r="H3115" i="6"/>
  <c r="J3115" i="6" s="1"/>
  <c r="K3115" i="6"/>
  <c r="H3116" i="6"/>
  <c r="J3116" i="6" s="1"/>
  <c r="K3116" i="6"/>
  <c r="H3117" i="6"/>
  <c r="J3117" i="6" s="1"/>
  <c r="K3117" i="6"/>
  <c r="H3118" i="6"/>
  <c r="J3118" i="6" s="1"/>
  <c r="K3118" i="6"/>
  <c r="H3119" i="6"/>
  <c r="J3119" i="6" s="1"/>
  <c r="K3119" i="6"/>
  <c r="H3120" i="6"/>
  <c r="J3120" i="6" s="1"/>
  <c r="K3120" i="6"/>
  <c r="H3121" i="6"/>
  <c r="J3121" i="6" s="1"/>
  <c r="K3121" i="6"/>
  <c r="H3122" i="6"/>
  <c r="J3122" i="6" s="1"/>
  <c r="K3122" i="6"/>
  <c r="H3123" i="6"/>
  <c r="J3123" i="6" s="1"/>
  <c r="K3123" i="6"/>
  <c r="H3124" i="6"/>
  <c r="J3124" i="6" s="1"/>
  <c r="K3124" i="6"/>
  <c r="H3125" i="6"/>
  <c r="J3125" i="6" s="1"/>
  <c r="K3125" i="6"/>
  <c r="H3126" i="6"/>
  <c r="J3126" i="6" s="1"/>
  <c r="K3126" i="6"/>
  <c r="H3127" i="6"/>
  <c r="J3127" i="6" s="1"/>
  <c r="K3127" i="6"/>
  <c r="H3128" i="6"/>
  <c r="J3128" i="6" s="1"/>
  <c r="K3128" i="6"/>
  <c r="H3129" i="6"/>
  <c r="J3129" i="6" s="1"/>
  <c r="K3129" i="6"/>
  <c r="H3130" i="6"/>
  <c r="J3130" i="6" s="1"/>
  <c r="K3130" i="6"/>
  <c r="H3131" i="6"/>
  <c r="J3131" i="6" s="1"/>
  <c r="K3131" i="6"/>
  <c r="H3132" i="6"/>
  <c r="J3132" i="6" s="1"/>
  <c r="K3132" i="6"/>
  <c r="H3133" i="6"/>
  <c r="J3133" i="6" s="1"/>
  <c r="K3133" i="6"/>
  <c r="H3134" i="6"/>
  <c r="J3134" i="6" s="1"/>
  <c r="K3134" i="6"/>
  <c r="H3135" i="6"/>
  <c r="J3135" i="6" s="1"/>
  <c r="K3135" i="6"/>
  <c r="H3136" i="6"/>
  <c r="J3136" i="6" s="1"/>
  <c r="K3136" i="6"/>
  <c r="H3137" i="6"/>
  <c r="J3137" i="6" s="1"/>
  <c r="K3137" i="6"/>
  <c r="H3138" i="6"/>
  <c r="J3138" i="6" s="1"/>
  <c r="K3138" i="6"/>
  <c r="H3139" i="6"/>
  <c r="J3139" i="6" s="1"/>
  <c r="K3139" i="6"/>
  <c r="H3140" i="6"/>
  <c r="J3140" i="6" s="1"/>
  <c r="K3140" i="6"/>
  <c r="H3141" i="6"/>
  <c r="J3141" i="6" s="1"/>
  <c r="K3141" i="6"/>
  <c r="H3142" i="6"/>
  <c r="J3142" i="6" s="1"/>
  <c r="K3142" i="6"/>
  <c r="H3143" i="6"/>
  <c r="J3143" i="6" s="1"/>
  <c r="K3143" i="6"/>
  <c r="H3144" i="6"/>
  <c r="J3144" i="6" s="1"/>
  <c r="K3144" i="6"/>
  <c r="H3145" i="6"/>
  <c r="J3145" i="6" s="1"/>
  <c r="K3145" i="6"/>
  <c r="H3146" i="6"/>
  <c r="J3146" i="6" s="1"/>
  <c r="K3146" i="6"/>
  <c r="H3147" i="6"/>
  <c r="J3147" i="6" s="1"/>
  <c r="K3147" i="6"/>
  <c r="H3148" i="6"/>
  <c r="J3148" i="6" s="1"/>
  <c r="K3148" i="6"/>
  <c r="H3149" i="6"/>
  <c r="J3149" i="6" s="1"/>
  <c r="K3149" i="6"/>
  <c r="H3150" i="6"/>
  <c r="J3150" i="6" s="1"/>
  <c r="K3150" i="6"/>
  <c r="H3151" i="6"/>
  <c r="J3151" i="6" s="1"/>
  <c r="K3151" i="6"/>
  <c r="H3152" i="6"/>
  <c r="J3152" i="6" s="1"/>
  <c r="K3152" i="6"/>
  <c r="H3153" i="6"/>
  <c r="J3153" i="6" s="1"/>
  <c r="K3153" i="6"/>
  <c r="H3154" i="6"/>
  <c r="J3154" i="6" s="1"/>
  <c r="K3154" i="6"/>
  <c r="H3155" i="6"/>
  <c r="J3155" i="6" s="1"/>
  <c r="K3155" i="6"/>
  <c r="H3086" i="6"/>
  <c r="J3086" i="6" s="1"/>
  <c r="K3086" i="6"/>
  <c r="H3087" i="6"/>
  <c r="J3087" i="6" s="1"/>
  <c r="K3087" i="6"/>
  <c r="H3088" i="6"/>
  <c r="J3088" i="6" s="1"/>
  <c r="K3088" i="6"/>
  <c r="H3089" i="6"/>
  <c r="J3089" i="6" s="1"/>
  <c r="K3089" i="6"/>
  <c r="H3090" i="6"/>
  <c r="J3090" i="6" s="1"/>
  <c r="K3090" i="6"/>
  <c r="H3091" i="6"/>
  <c r="J3091" i="6" s="1"/>
  <c r="K3091" i="6"/>
  <c r="H3092" i="6"/>
  <c r="J3092" i="6" s="1"/>
  <c r="K3092" i="6"/>
  <c r="H3093" i="6"/>
  <c r="J3093" i="6" s="1"/>
  <c r="K3093" i="6"/>
  <c r="H3094" i="6"/>
  <c r="J3094" i="6" s="1"/>
  <c r="K3094" i="6"/>
  <c r="H3095" i="6"/>
  <c r="J3095" i="6" s="1"/>
  <c r="K3095" i="6"/>
  <c r="H3096" i="6"/>
  <c r="J3096" i="6" s="1"/>
  <c r="K3096" i="6"/>
  <c r="H3097" i="6"/>
  <c r="J3097" i="6" s="1"/>
  <c r="K3097" i="6"/>
  <c r="H3098" i="6"/>
  <c r="J3098" i="6" s="1"/>
  <c r="K3098" i="6"/>
  <c r="H3099" i="6"/>
  <c r="J3099" i="6" s="1"/>
  <c r="K3099" i="6"/>
  <c r="H3100" i="6"/>
  <c r="J3100" i="6" s="1"/>
  <c r="K3100" i="6"/>
  <c r="H3101" i="6"/>
  <c r="J3101" i="6" s="1"/>
  <c r="K3101" i="6"/>
  <c r="H3102" i="6"/>
  <c r="J3102" i="6" s="1"/>
  <c r="K3102" i="6"/>
  <c r="H3103" i="6"/>
  <c r="J3103" i="6" s="1"/>
  <c r="K3103" i="6"/>
  <c r="H3104" i="6"/>
  <c r="J3104" i="6" s="1"/>
  <c r="K3104" i="6"/>
  <c r="H3105" i="6"/>
  <c r="J3105" i="6" s="1"/>
  <c r="K3105" i="6"/>
  <c r="H3106" i="6"/>
  <c r="J3106" i="6" s="1"/>
  <c r="K3106" i="6"/>
  <c r="H3107" i="6"/>
  <c r="J3107" i="6" s="1"/>
  <c r="K3107" i="6"/>
  <c r="H3108" i="6"/>
  <c r="J3108" i="6" s="1"/>
  <c r="K3108" i="6"/>
  <c r="H3109" i="6"/>
  <c r="J3109" i="6" s="1"/>
  <c r="K3109" i="6"/>
  <c r="H3110" i="6"/>
  <c r="J3110" i="6" s="1"/>
  <c r="K3110" i="6"/>
  <c r="H3111" i="6"/>
  <c r="J3111" i="6" s="1"/>
  <c r="K3111" i="6"/>
  <c r="H3112" i="6"/>
  <c r="J3112" i="6" s="1"/>
  <c r="K3112" i="6"/>
  <c r="H3113" i="6"/>
  <c r="J3113" i="6" s="1"/>
  <c r="K3113" i="6"/>
  <c r="H3114" i="6"/>
  <c r="J3114" i="6" s="1"/>
  <c r="K3114" i="6"/>
  <c r="H3072" i="6"/>
  <c r="J3072" i="6" s="1"/>
  <c r="K3072" i="6"/>
  <c r="H3073" i="6"/>
  <c r="J3073" i="6" s="1"/>
  <c r="K3073" i="6"/>
  <c r="H3074" i="6"/>
  <c r="J3074" i="6" s="1"/>
  <c r="K3074" i="6"/>
  <c r="H3075" i="6"/>
  <c r="J3075" i="6" s="1"/>
  <c r="K3075" i="6"/>
  <c r="H3076" i="6"/>
  <c r="J3076" i="6" s="1"/>
  <c r="K3076" i="6"/>
  <c r="H3077" i="6"/>
  <c r="J3077" i="6" s="1"/>
  <c r="K3077" i="6"/>
  <c r="H3078" i="6"/>
  <c r="J3078" i="6" s="1"/>
  <c r="K3078" i="6"/>
  <c r="H3079" i="6"/>
  <c r="J3079" i="6" s="1"/>
  <c r="K3079" i="6"/>
  <c r="H3080" i="6"/>
  <c r="J3080" i="6" s="1"/>
  <c r="K3080" i="6"/>
  <c r="H3081" i="6"/>
  <c r="J3081" i="6" s="1"/>
  <c r="K3081" i="6"/>
  <c r="H3082" i="6"/>
  <c r="J3082" i="6" s="1"/>
  <c r="K3082" i="6"/>
  <c r="H3083" i="6"/>
  <c r="J3083" i="6" s="1"/>
  <c r="K3083" i="6"/>
  <c r="H3084" i="6"/>
  <c r="J3084" i="6" s="1"/>
  <c r="K3084" i="6"/>
  <c r="H3085" i="6"/>
  <c r="J3085" i="6" s="1"/>
  <c r="K3085" i="6"/>
  <c r="H3032" i="6"/>
  <c r="J3032" i="6" s="1"/>
  <c r="K3032" i="6"/>
  <c r="H3033" i="6"/>
  <c r="J3033" i="6" s="1"/>
  <c r="K3033" i="6"/>
  <c r="H3034" i="6"/>
  <c r="J3034" i="6" s="1"/>
  <c r="K3034" i="6"/>
  <c r="H3035" i="6"/>
  <c r="J3035" i="6" s="1"/>
  <c r="K3035" i="6"/>
  <c r="H3036" i="6"/>
  <c r="J3036" i="6" s="1"/>
  <c r="K3036" i="6"/>
  <c r="H3037" i="6"/>
  <c r="J3037" i="6" s="1"/>
  <c r="K3037" i="6"/>
  <c r="H3038" i="6"/>
  <c r="J3038" i="6" s="1"/>
  <c r="K3038" i="6"/>
  <c r="H3039" i="6"/>
  <c r="J3039" i="6" s="1"/>
  <c r="K3039" i="6"/>
  <c r="H3040" i="6"/>
  <c r="J3040" i="6" s="1"/>
  <c r="K3040" i="6"/>
  <c r="H3041" i="6"/>
  <c r="J3041" i="6" s="1"/>
  <c r="K3041" i="6"/>
  <c r="H3042" i="6"/>
  <c r="J3042" i="6" s="1"/>
  <c r="K3042" i="6"/>
  <c r="H3043" i="6"/>
  <c r="J3043" i="6" s="1"/>
  <c r="K3043" i="6"/>
  <c r="H3044" i="6"/>
  <c r="J3044" i="6" s="1"/>
  <c r="K3044" i="6"/>
  <c r="H3045" i="6"/>
  <c r="J3045" i="6" s="1"/>
  <c r="K3045" i="6"/>
  <c r="H3046" i="6"/>
  <c r="J3046" i="6" s="1"/>
  <c r="K3046" i="6"/>
  <c r="H3047" i="6"/>
  <c r="J3047" i="6" s="1"/>
  <c r="K3047" i="6"/>
  <c r="H3048" i="6"/>
  <c r="J3048" i="6" s="1"/>
  <c r="K3048" i="6"/>
  <c r="H3049" i="6"/>
  <c r="J3049" i="6" s="1"/>
  <c r="K3049" i="6"/>
  <c r="H3050" i="6"/>
  <c r="J3050" i="6" s="1"/>
  <c r="K3050" i="6"/>
  <c r="H3051" i="6"/>
  <c r="J3051" i="6" s="1"/>
  <c r="K3051" i="6"/>
  <c r="H3052" i="6"/>
  <c r="J3052" i="6" s="1"/>
  <c r="K3052" i="6"/>
  <c r="H3053" i="6"/>
  <c r="J3053" i="6" s="1"/>
  <c r="K3053" i="6"/>
  <c r="H3054" i="6"/>
  <c r="J3054" i="6" s="1"/>
  <c r="K3054" i="6"/>
  <c r="H3055" i="6"/>
  <c r="J3055" i="6" s="1"/>
  <c r="K3055" i="6"/>
  <c r="H3056" i="6"/>
  <c r="J3056" i="6" s="1"/>
  <c r="K3056" i="6"/>
  <c r="H3057" i="6"/>
  <c r="J3057" i="6" s="1"/>
  <c r="K3057" i="6"/>
  <c r="H3058" i="6"/>
  <c r="J3058" i="6" s="1"/>
  <c r="K3058" i="6"/>
  <c r="H3059" i="6"/>
  <c r="J3059" i="6" s="1"/>
  <c r="K3059" i="6"/>
  <c r="H3060" i="6"/>
  <c r="J3060" i="6" s="1"/>
  <c r="K3060" i="6"/>
  <c r="H3061" i="6"/>
  <c r="J3061" i="6" s="1"/>
  <c r="K3061" i="6"/>
  <c r="H3062" i="6"/>
  <c r="J3062" i="6" s="1"/>
  <c r="K3062" i="6"/>
  <c r="H3063" i="6"/>
  <c r="J3063" i="6" s="1"/>
  <c r="K3063" i="6"/>
  <c r="H3064" i="6"/>
  <c r="J3064" i="6" s="1"/>
  <c r="K3064" i="6"/>
  <c r="H3065" i="6"/>
  <c r="J3065" i="6" s="1"/>
  <c r="K3065" i="6"/>
  <c r="H3066" i="6"/>
  <c r="J3066" i="6" s="1"/>
  <c r="K3066" i="6"/>
  <c r="H3067" i="6"/>
  <c r="J3067" i="6" s="1"/>
  <c r="K3067" i="6"/>
  <c r="H3068" i="6"/>
  <c r="J3068" i="6" s="1"/>
  <c r="K3068" i="6"/>
  <c r="H3069" i="6"/>
  <c r="J3069" i="6" s="1"/>
  <c r="K3069" i="6"/>
  <c r="H3070" i="6"/>
  <c r="J3070" i="6" s="1"/>
  <c r="K3070" i="6"/>
  <c r="H3071" i="6"/>
  <c r="J3071" i="6" s="1"/>
  <c r="K3071" i="6"/>
  <c r="H2898" i="6"/>
  <c r="J2898" i="6" s="1"/>
  <c r="K2898" i="6"/>
  <c r="H2899" i="6"/>
  <c r="J2899" i="6" s="1"/>
  <c r="K2899" i="6"/>
  <c r="H2900" i="6"/>
  <c r="J2900" i="6" s="1"/>
  <c r="K2900" i="6"/>
  <c r="H2901" i="6"/>
  <c r="J2901" i="6" s="1"/>
  <c r="K2901" i="6"/>
  <c r="H2902" i="6"/>
  <c r="J2902" i="6" s="1"/>
  <c r="K2902" i="6"/>
  <c r="H2903" i="6"/>
  <c r="J2903" i="6" s="1"/>
  <c r="K2903" i="6"/>
  <c r="H2904" i="6"/>
  <c r="J2904" i="6" s="1"/>
  <c r="K2904" i="6"/>
  <c r="H2905" i="6"/>
  <c r="J2905" i="6" s="1"/>
  <c r="K2905" i="6"/>
  <c r="H2906" i="6"/>
  <c r="J2906" i="6" s="1"/>
  <c r="K2906" i="6"/>
  <c r="H2907" i="6"/>
  <c r="J2907" i="6" s="1"/>
  <c r="K2907" i="6"/>
  <c r="H2908" i="6"/>
  <c r="J2908" i="6" s="1"/>
  <c r="K2908" i="6"/>
  <c r="H2909" i="6"/>
  <c r="J2909" i="6" s="1"/>
  <c r="K2909" i="6"/>
  <c r="H2910" i="6"/>
  <c r="J2910" i="6" s="1"/>
  <c r="K2910" i="6"/>
  <c r="H2911" i="6"/>
  <c r="J2911" i="6" s="1"/>
  <c r="K2911" i="6"/>
  <c r="H2912" i="6"/>
  <c r="J2912" i="6" s="1"/>
  <c r="K2912" i="6"/>
  <c r="H2913" i="6"/>
  <c r="J2913" i="6" s="1"/>
  <c r="K2913" i="6"/>
  <c r="H2914" i="6"/>
  <c r="J2914" i="6" s="1"/>
  <c r="K2914" i="6"/>
  <c r="H2915" i="6"/>
  <c r="J2915" i="6" s="1"/>
  <c r="K2915" i="6"/>
  <c r="H2916" i="6"/>
  <c r="J2916" i="6" s="1"/>
  <c r="K2916" i="6"/>
  <c r="H2917" i="6"/>
  <c r="J2917" i="6" s="1"/>
  <c r="K2917" i="6"/>
  <c r="H2918" i="6"/>
  <c r="J2918" i="6" s="1"/>
  <c r="K2918" i="6"/>
  <c r="H2919" i="6"/>
  <c r="J2919" i="6" s="1"/>
  <c r="K2919" i="6"/>
  <c r="H2920" i="6"/>
  <c r="J2920" i="6" s="1"/>
  <c r="K2920" i="6"/>
  <c r="H2921" i="6"/>
  <c r="J2921" i="6" s="1"/>
  <c r="K2921" i="6"/>
  <c r="H2922" i="6"/>
  <c r="J2922" i="6" s="1"/>
  <c r="K2922" i="6"/>
  <c r="H2923" i="6"/>
  <c r="J2923" i="6" s="1"/>
  <c r="K2923" i="6"/>
  <c r="H2924" i="6"/>
  <c r="J2924" i="6" s="1"/>
  <c r="K2924" i="6"/>
  <c r="H2925" i="6"/>
  <c r="J2925" i="6" s="1"/>
  <c r="K2925" i="6"/>
  <c r="H2926" i="6"/>
  <c r="J2926" i="6" s="1"/>
  <c r="K2926" i="6"/>
  <c r="H2927" i="6"/>
  <c r="J2927" i="6" s="1"/>
  <c r="K2927" i="6"/>
  <c r="H2928" i="6"/>
  <c r="J2928" i="6" s="1"/>
  <c r="K2928" i="6"/>
  <c r="H2929" i="6"/>
  <c r="J2929" i="6" s="1"/>
  <c r="K2929" i="6"/>
  <c r="H2930" i="6"/>
  <c r="J2930" i="6" s="1"/>
  <c r="K2930" i="6"/>
  <c r="H2931" i="6"/>
  <c r="J2931" i="6" s="1"/>
  <c r="K2931" i="6"/>
  <c r="H2932" i="6"/>
  <c r="J2932" i="6" s="1"/>
  <c r="K2932" i="6"/>
  <c r="H2933" i="6"/>
  <c r="J2933" i="6" s="1"/>
  <c r="K2933" i="6"/>
  <c r="H2934" i="6"/>
  <c r="J2934" i="6" s="1"/>
  <c r="K2934" i="6"/>
  <c r="H2935" i="6"/>
  <c r="J2935" i="6" s="1"/>
  <c r="K2935" i="6"/>
  <c r="H2936" i="6"/>
  <c r="J2936" i="6" s="1"/>
  <c r="K2936" i="6"/>
  <c r="H2937" i="6"/>
  <c r="J2937" i="6" s="1"/>
  <c r="K2937" i="6"/>
  <c r="H2938" i="6"/>
  <c r="J2938" i="6" s="1"/>
  <c r="K2938" i="6"/>
  <c r="H2939" i="6"/>
  <c r="J2939" i="6" s="1"/>
  <c r="K2939" i="6"/>
  <c r="H2940" i="6"/>
  <c r="J2940" i="6" s="1"/>
  <c r="K2940" i="6"/>
  <c r="H2941" i="6"/>
  <c r="J2941" i="6" s="1"/>
  <c r="K2941" i="6"/>
  <c r="H2942" i="6"/>
  <c r="J2942" i="6" s="1"/>
  <c r="K2942" i="6"/>
  <c r="H2943" i="6"/>
  <c r="J2943" i="6" s="1"/>
  <c r="K2943" i="6"/>
  <c r="H2944" i="6"/>
  <c r="J2944" i="6" s="1"/>
  <c r="K2944" i="6"/>
  <c r="H2945" i="6"/>
  <c r="J2945" i="6" s="1"/>
  <c r="K2945" i="6"/>
  <c r="H2946" i="6"/>
  <c r="J2946" i="6" s="1"/>
  <c r="K2946" i="6"/>
  <c r="H2947" i="6"/>
  <c r="J2947" i="6" s="1"/>
  <c r="K2947" i="6"/>
  <c r="H2948" i="6"/>
  <c r="J2948" i="6" s="1"/>
  <c r="K2948" i="6"/>
  <c r="H2949" i="6"/>
  <c r="J2949" i="6" s="1"/>
  <c r="K2949" i="6"/>
  <c r="H2950" i="6"/>
  <c r="J2950" i="6" s="1"/>
  <c r="K2950" i="6"/>
  <c r="H2951" i="6"/>
  <c r="J2951" i="6" s="1"/>
  <c r="K2951" i="6"/>
  <c r="H2952" i="6"/>
  <c r="J2952" i="6" s="1"/>
  <c r="K2952" i="6"/>
  <c r="H2953" i="6"/>
  <c r="J2953" i="6" s="1"/>
  <c r="K2953" i="6"/>
  <c r="H2954" i="6"/>
  <c r="J2954" i="6" s="1"/>
  <c r="K2954" i="6"/>
  <c r="H2955" i="6"/>
  <c r="J2955" i="6" s="1"/>
  <c r="K2955" i="6"/>
  <c r="H2956" i="6"/>
  <c r="J2956" i="6" s="1"/>
  <c r="K2956" i="6"/>
  <c r="H2957" i="6"/>
  <c r="J2957" i="6" s="1"/>
  <c r="K2957" i="6"/>
  <c r="H2958" i="6"/>
  <c r="J2958" i="6" s="1"/>
  <c r="K2958" i="6"/>
  <c r="H2959" i="6"/>
  <c r="J2959" i="6" s="1"/>
  <c r="K2959" i="6"/>
  <c r="H2960" i="6"/>
  <c r="J2960" i="6" s="1"/>
  <c r="K2960" i="6"/>
  <c r="H2961" i="6"/>
  <c r="J2961" i="6" s="1"/>
  <c r="K2961" i="6"/>
  <c r="H2962" i="6"/>
  <c r="J2962" i="6" s="1"/>
  <c r="K2962" i="6"/>
  <c r="H2963" i="6"/>
  <c r="J2963" i="6" s="1"/>
  <c r="K2963" i="6"/>
  <c r="H2964" i="6"/>
  <c r="J2964" i="6" s="1"/>
  <c r="K2964" i="6"/>
  <c r="H2965" i="6"/>
  <c r="J2965" i="6" s="1"/>
  <c r="K2965" i="6"/>
  <c r="H2966" i="6"/>
  <c r="J2966" i="6" s="1"/>
  <c r="K2966" i="6"/>
  <c r="H2967" i="6"/>
  <c r="J2967" i="6" s="1"/>
  <c r="K2967" i="6"/>
  <c r="H2968" i="6"/>
  <c r="J2968" i="6" s="1"/>
  <c r="K2968" i="6"/>
  <c r="H2969" i="6"/>
  <c r="J2969" i="6" s="1"/>
  <c r="K2969" i="6"/>
  <c r="H2970" i="6"/>
  <c r="J2970" i="6" s="1"/>
  <c r="K2970" i="6"/>
  <c r="H2971" i="6"/>
  <c r="J2971" i="6" s="1"/>
  <c r="K2971" i="6"/>
  <c r="H2972" i="6"/>
  <c r="J2972" i="6" s="1"/>
  <c r="K2972" i="6"/>
  <c r="H2973" i="6"/>
  <c r="J2973" i="6" s="1"/>
  <c r="K2973" i="6"/>
  <c r="H2974" i="6"/>
  <c r="J2974" i="6" s="1"/>
  <c r="K2974" i="6"/>
  <c r="H2975" i="6"/>
  <c r="J2975" i="6" s="1"/>
  <c r="K2975" i="6"/>
  <c r="H2976" i="6"/>
  <c r="J2976" i="6" s="1"/>
  <c r="K2976" i="6"/>
  <c r="H2977" i="6"/>
  <c r="J2977" i="6" s="1"/>
  <c r="K2977" i="6"/>
  <c r="H2978" i="6"/>
  <c r="J2978" i="6" s="1"/>
  <c r="K2978" i="6"/>
  <c r="H2979" i="6"/>
  <c r="J2979" i="6" s="1"/>
  <c r="K2979" i="6"/>
  <c r="H2980" i="6"/>
  <c r="J2980" i="6" s="1"/>
  <c r="K2980" i="6"/>
  <c r="H2981" i="6"/>
  <c r="J2981" i="6" s="1"/>
  <c r="K2981" i="6"/>
  <c r="H2982" i="6"/>
  <c r="J2982" i="6" s="1"/>
  <c r="K2982" i="6"/>
  <c r="H2983" i="6"/>
  <c r="J2983" i="6" s="1"/>
  <c r="K2983" i="6"/>
  <c r="H2984" i="6"/>
  <c r="J2984" i="6" s="1"/>
  <c r="K2984" i="6"/>
  <c r="H2985" i="6"/>
  <c r="J2985" i="6" s="1"/>
  <c r="K2985" i="6"/>
  <c r="H2986" i="6"/>
  <c r="J2986" i="6" s="1"/>
  <c r="K2986" i="6"/>
  <c r="H2987" i="6"/>
  <c r="J2987" i="6" s="1"/>
  <c r="K2987" i="6"/>
  <c r="H2988" i="6"/>
  <c r="J2988" i="6" s="1"/>
  <c r="K2988" i="6"/>
  <c r="H2989" i="6"/>
  <c r="J2989" i="6" s="1"/>
  <c r="K2989" i="6"/>
  <c r="H2990" i="6"/>
  <c r="J2990" i="6" s="1"/>
  <c r="K2990" i="6"/>
  <c r="H2991" i="6"/>
  <c r="J2991" i="6" s="1"/>
  <c r="K2991" i="6"/>
  <c r="H2992" i="6"/>
  <c r="J2992" i="6" s="1"/>
  <c r="K2992" i="6"/>
  <c r="H2993" i="6"/>
  <c r="J2993" i="6" s="1"/>
  <c r="K2993" i="6"/>
  <c r="H2994" i="6"/>
  <c r="J2994" i="6" s="1"/>
  <c r="K2994" i="6"/>
  <c r="H2995" i="6"/>
  <c r="J2995" i="6" s="1"/>
  <c r="K2995" i="6"/>
  <c r="H2996" i="6"/>
  <c r="J2996" i="6" s="1"/>
  <c r="K2996" i="6"/>
  <c r="H2997" i="6"/>
  <c r="J2997" i="6" s="1"/>
  <c r="K2997" i="6"/>
  <c r="H2998" i="6"/>
  <c r="J2998" i="6" s="1"/>
  <c r="K2998" i="6"/>
  <c r="H2999" i="6"/>
  <c r="J2999" i="6" s="1"/>
  <c r="K2999" i="6"/>
  <c r="H3000" i="6"/>
  <c r="J3000" i="6" s="1"/>
  <c r="K3000" i="6"/>
  <c r="H3001" i="6"/>
  <c r="J3001" i="6" s="1"/>
  <c r="K3001" i="6"/>
  <c r="H3002" i="6"/>
  <c r="J3002" i="6" s="1"/>
  <c r="K3002" i="6"/>
  <c r="H3003" i="6"/>
  <c r="J3003" i="6" s="1"/>
  <c r="K3003" i="6"/>
  <c r="H3004" i="6"/>
  <c r="J3004" i="6" s="1"/>
  <c r="K3004" i="6"/>
  <c r="H3005" i="6"/>
  <c r="J3005" i="6" s="1"/>
  <c r="K3005" i="6"/>
  <c r="H3006" i="6"/>
  <c r="J3006" i="6" s="1"/>
  <c r="K3006" i="6"/>
  <c r="H3007" i="6"/>
  <c r="J3007" i="6" s="1"/>
  <c r="K3007" i="6"/>
  <c r="H3008" i="6"/>
  <c r="J3008" i="6" s="1"/>
  <c r="K3008" i="6"/>
  <c r="H3009" i="6"/>
  <c r="J3009" i="6" s="1"/>
  <c r="K3009" i="6"/>
  <c r="H3010" i="6"/>
  <c r="J3010" i="6" s="1"/>
  <c r="K3010" i="6"/>
  <c r="H3011" i="6"/>
  <c r="J3011" i="6" s="1"/>
  <c r="K3011" i="6"/>
  <c r="H3012" i="6"/>
  <c r="J3012" i="6" s="1"/>
  <c r="K3012" i="6"/>
  <c r="H3013" i="6"/>
  <c r="J3013" i="6" s="1"/>
  <c r="K3013" i="6"/>
  <c r="H3014" i="6"/>
  <c r="J3014" i="6" s="1"/>
  <c r="K3014" i="6"/>
  <c r="H3015" i="6"/>
  <c r="J3015" i="6" s="1"/>
  <c r="K3015" i="6"/>
  <c r="H3016" i="6"/>
  <c r="J3016" i="6" s="1"/>
  <c r="K3016" i="6"/>
  <c r="H3017" i="6"/>
  <c r="J3017" i="6" s="1"/>
  <c r="K3017" i="6"/>
  <c r="H3018" i="6"/>
  <c r="J3018" i="6" s="1"/>
  <c r="K3018" i="6"/>
  <c r="H3019" i="6"/>
  <c r="J3019" i="6" s="1"/>
  <c r="K3019" i="6"/>
  <c r="H3020" i="6"/>
  <c r="J3020" i="6" s="1"/>
  <c r="K3020" i="6"/>
  <c r="H3021" i="6"/>
  <c r="J3021" i="6" s="1"/>
  <c r="K3021" i="6"/>
  <c r="H3022" i="6"/>
  <c r="J3022" i="6" s="1"/>
  <c r="K3022" i="6"/>
  <c r="H3023" i="6"/>
  <c r="J3023" i="6" s="1"/>
  <c r="K3023" i="6"/>
  <c r="H3024" i="6"/>
  <c r="J3024" i="6" s="1"/>
  <c r="K3024" i="6"/>
  <c r="H3025" i="6"/>
  <c r="J3025" i="6" s="1"/>
  <c r="K3025" i="6"/>
  <c r="H3026" i="6"/>
  <c r="J3026" i="6" s="1"/>
  <c r="K3026" i="6"/>
  <c r="H3027" i="6"/>
  <c r="J3027" i="6" s="1"/>
  <c r="K3027" i="6"/>
  <c r="H3028" i="6"/>
  <c r="J3028" i="6" s="1"/>
  <c r="K3028" i="6"/>
  <c r="H3029" i="6"/>
  <c r="J3029" i="6" s="1"/>
  <c r="K3029" i="6"/>
  <c r="H3030" i="6"/>
  <c r="J3030" i="6" s="1"/>
  <c r="K3030" i="6"/>
  <c r="H3031" i="6"/>
  <c r="J3031" i="6" s="1"/>
  <c r="K3031" i="6"/>
  <c r="H2872" i="6"/>
  <c r="J2872" i="6" s="1"/>
  <c r="K2872" i="6"/>
  <c r="H2873" i="6"/>
  <c r="J2873" i="6" s="1"/>
  <c r="K2873" i="6"/>
  <c r="H2874" i="6"/>
  <c r="J2874" i="6" s="1"/>
  <c r="K2874" i="6"/>
  <c r="H2875" i="6"/>
  <c r="J2875" i="6" s="1"/>
  <c r="K2875" i="6"/>
  <c r="H2876" i="6"/>
  <c r="J2876" i="6" s="1"/>
  <c r="K2876" i="6"/>
  <c r="H2877" i="6"/>
  <c r="J2877" i="6" s="1"/>
  <c r="K2877" i="6"/>
  <c r="H2878" i="6"/>
  <c r="J2878" i="6" s="1"/>
  <c r="K2878" i="6"/>
  <c r="H2879" i="6"/>
  <c r="J2879" i="6" s="1"/>
  <c r="K2879" i="6"/>
  <c r="H2880" i="6"/>
  <c r="J2880" i="6" s="1"/>
  <c r="K2880" i="6"/>
  <c r="H2881" i="6"/>
  <c r="J2881" i="6" s="1"/>
  <c r="K2881" i="6"/>
  <c r="H2882" i="6"/>
  <c r="J2882" i="6" s="1"/>
  <c r="K2882" i="6"/>
  <c r="H2883" i="6"/>
  <c r="J2883" i="6" s="1"/>
  <c r="K2883" i="6"/>
  <c r="H2884" i="6"/>
  <c r="J2884" i="6" s="1"/>
  <c r="K2884" i="6"/>
  <c r="H2885" i="6"/>
  <c r="J2885" i="6" s="1"/>
  <c r="K2885" i="6"/>
  <c r="H2886" i="6"/>
  <c r="J2886" i="6" s="1"/>
  <c r="K2886" i="6"/>
  <c r="H2887" i="6"/>
  <c r="J2887" i="6" s="1"/>
  <c r="K2887" i="6"/>
  <c r="H2888" i="6"/>
  <c r="J2888" i="6" s="1"/>
  <c r="K2888" i="6"/>
  <c r="H2889" i="6"/>
  <c r="J2889" i="6" s="1"/>
  <c r="K2889" i="6"/>
  <c r="H2890" i="6"/>
  <c r="J2890" i="6" s="1"/>
  <c r="K2890" i="6"/>
  <c r="H2891" i="6"/>
  <c r="J2891" i="6" s="1"/>
  <c r="K2891" i="6"/>
  <c r="H2892" i="6"/>
  <c r="J2892" i="6" s="1"/>
  <c r="K2892" i="6"/>
  <c r="H2893" i="6"/>
  <c r="J2893" i="6" s="1"/>
  <c r="K2893" i="6"/>
  <c r="H2894" i="6"/>
  <c r="J2894" i="6" s="1"/>
  <c r="K2894" i="6"/>
  <c r="H2895" i="6"/>
  <c r="J2895" i="6" s="1"/>
  <c r="K2895" i="6"/>
  <c r="H2896" i="6"/>
  <c r="J2896" i="6" s="1"/>
  <c r="K2896" i="6"/>
  <c r="H2897" i="6"/>
  <c r="J2897" i="6" s="1"/>
  <c r="K2897" i="6"/>
  <c r="H2461" i="6"/>
  <c r="J2461" i="6" s="1"/>
  <c r="K2461" i="6"/>
  <c r="H2462" i="6"/>
  <c r="J2462" i="6" s="1"/>
  <c r="K2462" i="6"/>
  <c r="H2463" i="6"/>
  <c r="J2463" i="6" s="1"/>
  <c r="K2463" i="6"/>
  <c r="H2464" i="6"/>
  <c r="J2464" i="6" s="1"/>
  <c r="K2464" i="6"/>
  <c r="H2465" i="6"/>
  <c r="J2465" i="6" s="1"/>
  <c r="K2465" i="6"/>
  <c r="H2466" i="6"/>
  <c r="J2466" i="6" s="1"/>
  <c r="K2466" i="6"/>
  <c r="H2467" i="6"/>
  <c r="J2467" i="6" s="1"/>
  <c r="K2467" i="6"/>
  <c r="H2468" i="6"/>
  <c r="J2468" i="6" s="1"/>
  <c r="K2468" i="6"/>
  <c r="H2469" i="6"/>
  <c r="J2469" i="6" s="1"/>
  <c r="K2469" i="6"/>
  <c r="H2470" i="6"/>
  <c r="J2470" i="6" s="1"/>
  <c r="K2470" i="6"/>
  <c r="H2471" i="6"/>
  <c r="J2471" i="6" s="1"/>
  <c r="K2471" i="6"/>
  <c r="H2472" i="6"/>
  <c r="J2472" i="6" s="1"/>
  <c r="K2472" i="6"/>
  <c r="H2473" i="6"/>
  <c r="J2473" i="6" s="1"/>
  <c r="K2473" i="6"/>
  <c r="H2474" i="6"/>
  <c r="J2474" i="6" s="1"/>
  <c r="K2474" i="6"/>
  <c r="H2475" i="6"/>
  <c r="J2475" i="6" s="1"/>
  <c r="K2475" i="6"/>
  <c r="H2476" i="6"/>
  <c r="J2476" i="6" s="1"/>
  <c r="K2476" i="6"/>
  <c r="H2477" i="6"/>
  <c r="J2477" i="6" s="1"/>
  <c r="K2477" i="6"/>
  <c r="H2478" i="6"/>
  <c r="J2478" i="6" s="1"/>
  <c r="K2478" i="6"/>
  <c r="H2479" i="6"/>
  <c r="J2479" i="6" s="1"/>
  <c r="K2479" i="6"/>
  <c r="H2480" i="6"/>
  <c r="J2480" i="6" s="1"/>
  <c r="K2480" i="6"/>
  <c r="H2481" i="6"/>
  <c r="J2481" i="6" s="1"/>
  <c r="K2481" i="6"/>
  <c r="H2482" i="6"/>
  <c r="J2482" i="6" s="1"/>
  <c r="K2482" i="6"/>
  <c r="H2483" i="6"/>
  <c r="J2483" i="6" s="1"/>
  <c r="K2483" i="6"/>
  <c r="H2484" i="6"/>
  <c r="J2484" i="6" s="1"/>
  <c r="K2484" i="6"/>
  <c r="H2485" i="6"/>
  <c r="J2485" i="6" s="1"/>
  <c r="K2485" i="6"/>
  <c r="H2486" i="6"/>
  <c r="J2486" i="6" s="1"/>
  <c r="K2486" i="6"/>
  <c r="H2487" i="6"/>
  <c r="J2487" i="6" s="1"/>
  <c r="K2487" i="6"/>
  <c r="H2488" i="6"/>
  <c r="J2488" i="6" s="1"/>
  <c r="K2488" i="6"/>
  <c r="H2489" i="6"/>
  <c r="J2489" i="6" s="1"/>
  <c r="K2489" i="6"/>
  <c r="H2490" i="6"/>
  <c r="J2490" i="6" s="1"/>
  <c r="K2490" i="6"/>
  <c r="H2491" i="6"/>
  <c r="J2491" i="6" s="1"/>
  <c r="K2491" i="6"/>
  <c r="H2492" i="6"/>
  <c r="J2492" i="6" s="1"/>
  <c r="K2492" i="6"/>
  <c r="H2493" i="6"/>
  <c r="J2493" i="6" s="1"/>
  <c r="K2493" i="6"/>
  <c r="H2494" i="6"/>
  <c r="J2494" i="6" s="1"/>
  <c r="K2494" i="6"/>
  <c r="H2495" i="6"/>
  <c r="J2495" i="6" s="1"/>
  <c r="K2495" i="6"/>
  <c r="H2496" i="6"/>
  <c r="J2496" i="6" s="1"/>
  <c r="K2496" i="6"/>
  <c r="H2497" i="6"/>
  <c r="J2497" i="6" s="1"/>
  <c r="K2497" i="6"/>
  <c r="H2498" i="6"/>
  <c r="J2498" i="6" s="1"/>
  <c r="K2498" i="6"/>
  <c r="H2499" i="6"/>
  <c r="J2499" i="6" s="1"/>
  <c r="K2499" i="6"/>
  <c r="H2500" i="6"/>
  <c r="J2500" i="6" s="1"/>
  <c r="K2500" i="6"/>
  <c r="H2501" i="6"/>
  <c r="J2501" i="6" s="1"/>
  <c r="K2501" i="6"/>
  <c r="H2502" i="6"/>
  <c r="J2502" i="6" s="1"/>
  <c r="K2502" i="6"/>
  <c r="H2503" i="6"/>
  <c r="J2503" i="6" s="1"/>
  <c r="K2503" i="6"/>
  <c r="H2504" i="6"/>
  <c r="J2504" i="6" s="1"/>
  <c r="K2504" i="6"/>
  <c r="H2505" i="6"/>
  <c r="J2505" i="6" s="1"/>
  <c r="K2505" i="6"/>
  <c r="H2506" i="6"/>
  <c r="J2506" i="6" s="1"/>
  <c r="K2506" i="6"/>
  <c r="H2507" i="6"/>
  <c r="J2507" i="6" s="1"/>
  <c r="K2507" i="6"/>
  <c r="H2508" i="6"/>
  <c r="J2508" i="6" s="1"/>
  <c r="K2508" i="6"/>
  <c r="H2509" i="6"/>
  <c r="J2509" i="6" s="1"/>
  <c r="K2509" i="6"/>
  <c r="H2510" i="6"/>
  <c r="J2510" i="6" s="1"/>
  <c r="K2510" i="6"/>
  <c r="H2511" i="6"/>
  <c r="J2511" i="6" s="1"/>
  <c r="K2511" i="6"/>
  <c r="H2512" i="6"/>
  <c r="J2512" i="6" s="1"/>
  <c r="K2512" i="6"/>
  <c r="H2513" i="6"/>
  <c r="J2513" i="6" s="1"/>
  <c r="K2513" i="6"/>
  <c r="H2514" i="6"/>
  <c r="J2514" i="6" s="1"/>
  <c r="K2514" i="6"/>
  <c r="H2515" i="6"/>
  <c r="J2515" i="6" s="1"/>
  <c r="K2515" i="6"/>
  <c r="H2516" i="6"/>
  <c r="J2516" i="6" s="1"/>
  <c r="K2516" i="6"/>
  <c r="H2517" i="6"/>
  <c r="J2517" i="6" s="1"/>
  <c r="K2517" i="6"/>
  <c r="H2518" i="6"/>
  <c r="J2518" i="6" s="1"/>
  <c r="K2518" i="6"/>
  <c r="H2519" i="6"/>
  <c r="J2519" i="6" s="1"/>
  <c r="K2519" i="6"/>
  <c r="H2520" i="6"/>
  <c r="J2520" i="6" s="1"/>
  <c r="K2520" i="6"/>
  <c r="H2521" i="6"/>
  <c r="J2521" i="6" s="1"/>
  <c r="K2521" i="6"/>
  <c r="H2522" i="6"/>
  <c r="J2522" i="6" s="1"/>
  <c r="K2522" i="6"/>
  <c r="H2523" i="6"/>
  <c r="J2523" i="6" s="1"/>
  <c r="K2523" i="6"/>
  <c r="H2524" i="6"/>
  <c r="J2524" i="6" s="1"/>
  <c r="K2524" i="6"/>
  <c r="H2525" i="6"/>
  <c r="J2525" i="6" s="1"/>
  <c r="K2525" i="6"/>
  <c r="H2526" i="6"/>
  <c r="J2526" i="6" s="1"/>
  <c r="K2526" i="6"/>
  <c r="H2527" i="6"/>
  <c r="J2527" i="6" s="1"/>
  <c r="K2527" i="6"/>
  <c r="H2528" i="6"/>
  <c r="J2528" i="6" s="1"/>
  <c r="K2528" i="6"/>
  <c r="H2529" i="6"/>
  <c r="J2529" i="6" s="1"/>
  <c r="K2529" i="6"/>
  <c r="H2530" i="6"/>
  <c r="J2530" i="6" s="1"/>
  <c r="K2530" i="6"/>
  <c r="H2531" i="6"/>
  <c r="J2531" i="6" s="1"/>
  <c r="K2531" i="6"/>
  <c r="H2532" i="6"/>
  <c r="J2532" i="6" s="1"/>
  <c r="K2532" i="6"/>
  <c r="H2533" i="6"/>
  <c r="J2533" i="6" s="1"/>
  <c r="K2533" i="6"/>
  <c r="H2534" i="6"/>
  <c r="J2534" i="6" s="1"/>
  <c r="K2534" i="6"/>
  <c r="H2535" i="6"/>
  <c r="J2535" i="6" s="1"/>
  <c r="K2535" i="6"/>
  <c r="H2536" i="6"/>
  <c r="J2536" i="6" s="1"/>
  <c r="K2536" i="6"/>
  <c r="H2537" i="6"/>
  <c r="J2537" i="6" s="1"/>
  <c r="K2537" i="6"/>
  <c r="H2538" i="6"/>
  <c r="J2538" i="6" s="1"/>
  <c r="K2538" i="6"/>
  <c r="H2539" i="6"/>
  <c r="J2539" i="6" s="1"/>
  <c r="K2539" i="6"/>
  <c r="H2540" i="6"/>
  <c r="J2540" i="6" s="1"/>
  <c r="K2540" i="6"/>
  <c r="H2541" i="6"/>
  <c r="J2541" i="6" s="1"/>
  <c r="K2541" i="6"/>
  <c r="H2542" i="6"/>
  <c r="J2542" i="6" s="1"/>
  <c r="K2542" i="6"/>
  <c r="H2543" i="6"/>
  <c r="J2543" i="6" s="1"/>
  <c r="K2543" i="6"/>
  <c r="H2544" i="6"/>
  <c r="J2544" i="6" s="1"/>
  <c r="K2544" i="6"/>
  <c r="H2545" i="6"/>
  <c r="J2545" i="6" s="1"/>
  <c r="K2545" i="6"/>
  <c r="H2546" i="6"/>
  <c r="J2546" i="6" s="1"/>
  <c r="K2546" i="6"/>
  <c r="H2547" i="6"/>
  <c r="J2547" i="6" s="1"/>
  <c r="K2547" i="6"/>
  <c r="H2548" i="6"/>
  <c r="J2548" i="6" s="1"/>
  <c r="K2548" i="6"/>
  <c r="H2549" i="6"/>
  <c r="J2549" i="6" s="1"/>
  <c r="K2549" i="6"/>
  <c r="H2550" i="6"/>
  <c r="J2550" i="6" s="1"/>
  <c r="K2550" i="6"/>
  <c r="H2551" i="6"/>
  <c r="J2551" i="6" s="1"/>
  <c r="K2551" i="6"/>
  <c r="H2552" i="6"/>
  <c r="J2552" i="6" s="1"/>
  <c r="K2552" i="6"/>
  <c r="H2553" i="6"/>
  <c r="J2553" i="6" s="1"/>
  <c r="K2553" i="6"/>
  <c r="H2554" i="6"/>
  <c r="J2554" i="6" s="1"/>
  <c r="K2554" i="6"/>
  <c r="H2555" i="6"/>
  <c r="J2555" i="6" s="1"/>
  <c r="K2555" i="6"/>
  <c r="H2556" i="6"/>
  <c r="J2556" i="6" s="1"/>
  <c r="K2556" i="6"/>
  <c r="H2557" i="6"/>
  <c r="J2557" i="6" s="1"/>
  <c r="K2557" i="6"/>
  <c r="H2558" i="6"/>
  <c r="J2558" i="6" s="1"/>
  <c r="K2558" i="6"/>
  <c r="H2559" i="6"/>
  <c r="J2559" i="6" s="1"/>
  <c r="K2559" i="6"/>
  <c r="H2560" i="6"/>
  <c r="J2560" i="6" s="1"/>
  <c r="K2560" i="6"/>
  <c r="H2561" i="6"/>
  <c r="J2561" i="6" s="1"/>
  <c r="K2561" i="6"/>
  <c r="H2562" i="6"/>
  <c r="J2562" i="6" s="1"/>
  <c r="K2562" i="6"/>
  <c r="H2563" i="6"/>
  <c r="J2563" i="6" s="1"/>
  <c r="K2563" i="6"/>
  <c r="H2564" i="6"/>
  <c r="J2564" i="6" s="1"/>
  <c r="K2564" i="6"/>
  <c r="H2565" i="6"/>
  <c r="J2565" i="6" s="1"/>
  <c r="K2565" i="6"/>
  <c r="H2566" i="6"/>
  <c r="J2566" i="6" s="1"/>
  <c r="K2566" i="6"/>
  <c r="H2567" i="6"/>
  <c r="J2567" i="6" s="1"/>
  <c r="K2567" i="6"/>
  <c r="H2568" i="6"/>
  <c r="J2568" i="6" s="1"/>
  <c r="K2568" i="6"/>
  <c r="H2569" i="6"/>
  <c r="J2569" i="6" s="1"/>
  <c r="K2569" i="6"/>
  <c r="H2570" i="6"/>
  <c r="J2570" i="6" s="1"/>
  <c r="K2570" i="6"/>
  <c r="H2571" i="6"/>
  <c r="J2571" i="6" s="1"/>
  <c r="K2571" i="6"/>
  <c r="H2572" i="6"/>
  <c r="J2572" i="6" s="1"/>
  <c r="K2572" i="6"/>
  <c r="H2573" i="6"/>
  <c r="J2573" i="6" s="1"/>
  <c r="K2573" i="6"/>
  <c r="H2574" i="6"/>
  <c r="J2574" i="6" s="1"/>
  <c r="K2574" i="6"/>
  <c r="H2575" i="6"/>
  <c r="J2575" i="6" s="1"/>
  <c r="K2575" i="6"/>
  <c r="H2576" i="6"/>
  <c r="J2576" i="6" s="1"/>
  <c r="K2576" i="6"/>
  <c r="H2577" i="6"/>
  <c r="J2577" i="6" s="1"/>
  <c r="K2577" i="6"/>
  <c r="H2578" i="6"/>
  <c r="J2578" i="6" s="1"/>
  <c r="K2578" i="6"/>
  <c r="H2579" i="6"/>
  <c r="J2579" i="6" s="1"/>
  <c r="K2579" i="6"/>
  <c r="H2580" i="6"/>
  <c r="J2580" i="6" s="1"/>
  <c r="K2580" i="6"/>
  <c r="H2581" i="6"/>
  <c r="J2581" i="6" s="1"/>
  <c r="K2581" i="6"/>
  <c r="H2582" i="6"/>
  <c r="J2582" i="6" s="1"/>
  <c r="K2582" i="6"/>
  <c r="H2583" i="6"/>
  <c r="J2583" i="6" s="1"/>
  <c r="K2583" i="6"/>
  <c r="H2584" i="6"/>
  <c r="J2584" i="6" s="1"/>
  <c r="K2584" i="6"/>
  <c r="H2585" i="6"/>
  <c r="J2585" i="6" s="1"/>
  <c r="K2585" i="6"/>
  <c r="H2586" i="6"/>
  <c r="J2586" i="6" s="1"/>
  <c r="K2586" i="6"/>
  <c r="H2587" i="6"/>
  <c r="J2587" i="6" s="1"/>
  <c r="K2587" i="6"/>
  <c r="H2588" i="6"/>
  <c r="J2588" i="6" s="1"/>
  <c r="K2588" i="6"/>
  <c r="H2589" i="6"/>
  <c r="J2589" i="6" s="1"/>
  <c r="K2589" i="6"/>
  <c r="H2590" i="6"/>
  <c r="J2590" i="6" s="1"/>
  <c r="K2590" i="6"/>
  <c r="H2591" i="6"/>
  <c r="J2591" i="6" s="1"/>
  <c r="K2591" i="6"/>
  <c r="H2592" i="6"/>
  <c r="J2592" i="6" s="1"/>
  <c r="K2592" i="6"/>
  <c r="H2593" i="6"/>
  <c r="J2593" i="6" s="1"/>
  <c r="K2593" i="6"/>
  <c r="H2594" i="6"/>
  <c r="J2594" i="6" s="1"/>
  <c r="K2594" i="6"/>
  <c r="H2595" i="6"/>
  <c r="J2595" i="6" s="1"/>
  <c r="K2595" i="6"/>
  <c r="H2596" i="6"/>
  <c r="J2596" i="6" s="1"/>
  <c r="K2596" i="6"/>
  <c r="H2597" i="6"/>
  <c r="J2597" i="6" s="1"/>
  <c r="K2597" i="6"/>
  <c r="H2598" i="6"/>
  <c r="J2598" i="6" s="1"/>
  <c r="K2598" i="6"/>
  <c r="H2599" i="6"/>
  <c r="J2599" i="6" s="1"/>
  <c r="K2599" i="6"/>
  <c r="H2600" i="6"/>
  <c r="J2600" i="6" s="1"/>
  <c r="K2600" i="6"/>
  <c r="H2601" i="6"/>
  <c r="J2601" i="6" s="1"/>
  <c r="K2601" i="6"/>
  <c r="H2602" i="6"/>
  <c r="J2602" i="6" s="1"/>
  <c r="K2602" i="6"/>
  <c r="H2603" i="6"/>
  <c r="J2603" i="6" s="1"/>
  <c r="K2603" i="6"/>
  <c r="H2604" i="6"/>
  <c r="J2604" i="6" s="1"/>
  <c r="K2604" i="6"/>
  <c r="H2605" i="6"/>
  <c r="J2605" i="6" s="1"/>
  <c r="K2605" i="6"/>
  <c r="H2606" i="6"/>
  <c r="J2606" i="6" s="1"/>
  <c r="K2606" i="6"/>
  <c r="H2607" i="6"/>
  <c r="J2607" i="6" s="1"/>
  <c r="K2607" i="6"/>
  <c r="H2608" i="6"/>
  <c r="J2608" i="6" s="1"/>
  <c r="K2608" i="6"/>
  <c r="H2609" i="6"/>
  <c r="J2609" i="6" s="1"/>
  <c r="K2609" i="6"/>
  <c r="H2610" i="6"/>
  <c r="J2610" i="6" s="1"/>
  <c r="K2610" i="6"/>
  <c r="H2611" i="6"/>
  <c r="J2611" i="6" s="1"/>
  <c r="K2611" i="6"/>
  <c r="H2612" i="6"/>
  <c r="J2612" i="6" s="1"/>
  <c r="K2612" i="6"/>
  <c r="H2613" i="6"/>
  <c r="J2613" i="6" s="1"/>
  <c r="K2613" i="6"/>
  <c r="H2614" i="6"/>
  <c r="J2614" i="6" s="1"/>
  <c r="K2614" i="6"/>
  <c r="H2615" i="6"/>
  <c r="J2615" i="6" s="1"/>
  <c r="K2615" i="6"/>
  <c r="H2616" i="6"/>
  <c r="J2616" i="6" s="1"/>
  <c r="K2616" i="6"/>
  <c r="H2617" i="6"/>
  <c r="J2617" i="6" s="1"/>
  <c r="K2617" i="6"/>
  <c r="H2618" i="6"/>
  <c r="J2618" i="6" s="1"/>
  <c r="K2618" i="6"/>
  <c r="H2619" i="6"/>
  <c r="J2619" i="6" s="1"/>
  <c r="K2619" i="6"/>
  <c r="H2620" i="6"/>
  <c r="J2620" i="6" s="1"/>
  <c r="K2620" i="6"/>
  <c r="H2621" i="6"/>
  <c r="J2621" i="6" s="1"/>
  <c r="K2621" i="6"/>
  <c r="H2622" i="6"/>
  <c r="J2622" i="6" s="1"/>
  <c r="K2622" i="6"/>
  <c r="H2623" i="6"/>
  <c r="J2623" i="6" s="1"/>
  <c r="K2623" i="6"/>
  <c r="H2624" i="6"/>
  <c r="J2624" i="6" s="1"/>
  <c r="K2624" i="6"/>
  <c r="H2625" i="6"/>
  <c r="J2625" i="6" s="1"/>
  <c r="K2625" i="6"/>
  <c r="H2626" i="6"/>
  <c r="J2626" i="6" s="1"/>
  <c r="K2626" i="6"/>
  <c r="H2627" i="6"/>
  <c r="J2627" i="6" s="1"/>
  <c r="K2627" i="6"/>
  <c r="H2628" i="6"/>
  <c r="J2628" i="6" s="1"/>
  <c r="K2628" i="6"/>
  <c r="H2629" i="6"/>
  <c r="J2629" i="6" s="1"/>
  <c r="K2629" i="6"/>
  <c r="H2630" i="6"/>
  <c r="J2630" i="6" s="1"/>
  <c r="K2630" i="6"/>
  <c r="H2631" i="6"/>
  <c r="J2631" i="6" s="1"/>
  <c r="K2631" i="6"/>
  <c r="H2632" i="6"/>
  <c r="J2632" i="6" s="1"/>
  <c r="K2632" i="6"/>
  <c r="H2633" i="6"/>
  <c r="J2633" i="6" s="1"/>
  <c r="K2633" i="6"/>
  <c r="H2634" i="6"/>
  <c r="J2634" i="6" s="1"/>
  <c r="K2634" i="6"/>
  <c r="H2635" i="6"/>
  <c r="J2635" i="6" s="1"/>
  <c r="K2635" i="6"/>
  <c r="H2636" i="6"/>
  <c r="J2636" i="6" s="1"/>
  <c r="K2636" i="6"/>
  <c r="H2637" i="6"/>
  <c r="J2637" i="6" s="1"/>
  <c r="K2637" i="6"/>
  <c r="H2638" i="6"/>
  <c r="J2638" i="6" s="1"/>
  <c r="K2638" i="6"/>
  <c r="H2639" i="6"/>
  <c r="J2639" i="6" s="1"/>
  <c r="K2639" i="6"/>
  <c r="H2640" i="6"/>
  <c r="J2640" i="6" s="1"/>
  <c r="K2640" i="6"/>
  <c r="H2641" i="6"/>
  <c r="J2641" i="6" s="1"/>
  <c r="K2641" i="6"/>
  <c r="H2642" i="6"/>
  <c r="J2642" i="6" s="1"/>
  <c r="K2642" i="6"/>
  <c r="H2643" i="6"/>
  <c r="J2643" i="6" s="1"/>
  <c r="K2643" i="6"/>
  <c r="H2644" i="6"/>
  <c r="J2644" i="6" s="1"/>
  <c r="K2644" i="6"/>
  <c r="H2645" i="6"/>
  <c r="J2645" i="6" s="1"/>
  <c r="K2645" i="6"/>
  <c r="H2646" i="6"/>
  <c r="J2646" i="6" s="1"/>
  <c r="K2646" i="6"/>
  <c r="H2647" i="6"/>
  <c r="J2647" i="6" s="1"/>
  <c r="K2647" i="6"/>
  <c r="H2648" i="6"/>
  <c r="J2648" i="6" s="1"/>
  <c r="K2648" i="6"/>
  <c r="H2649" i="6"/>
  <c r="J2649" i="6" s="1"/>
  <c r="K2649" i="6"/>
  <c r="H2650" i="6"/>
  <c r="J2650" i="6" s="1"/>
  <c r="K2650" i="6"/>
  <c r="H2651" i="6"/>
  <c r="J2651" i="6" s="1"/>
  <c r="K2651" i="6"/>
  <c r="H2652" i="6"/>
  <c r="J2652" i="6" s="1"/>
  <c r="K2652" i="6"/>
  <c r="H2653" i="6"/>
  <c r="J2653" i="6" s="1"/>
  <c r="K2653" i="6"/>
  <c r="H2654" i="6"/>
  <c r="J2654" i="6" s="1"/>
  <c r="K2654" i="6"/>
  <c r="H2655" i="6"/>
  <c r="J2655" i="6" s="1"/>
  <c r="K2655" i="6"/>
  <c r="H2656" i="6"/>
  <c r="J2656" i="6" s="1"/>
  <c r="K2656" i="6"/>
  <c r="H2657" i="6"/>
  <c r="J2657" i="6" s="1"/>
  <c r="K2657" i="6"/>
  <c r="H2658" i="6"/>
  <c r="J2658" i="6" s="1"/>
  <c r="K2658" i="6"/>
  <c r="H2659" i="6"/>
  <c r="J2659" i="6" s="1"/>
  <c r="K2659" i="6"/>
  <c r="H2660" i="6"/>
  <c r="J2660" i="6" s="1"/>
  <c r="K2660" i="6"/>
  <c r="H2661" i="6"/>
  <c r="J2661" i="6" s="1"/>
  <c r="K2661" i="6"/>
  <c r="H2662" i="6"/>
  <c r="J2662" i="6" s="1"/>
  <c r="K2662" i="6"/>
  <c r="H2663" i="6"/>
  <c r="J2663" i="6" s="1"/>
  <c r="K2663" i="6"/>
  <c r="H2664" i="6"/>
  <c r="J2664" i="6" s="1"/>
  <c r="K2664" i="6"/>
  <c r="H2665" i="6"/>
  <c r="J2665" i="6" s="1"/>
  <c r="K2665" i="6"/>
  <c r="H2666" i="6"/>
  <c r="J2666" i="6" s="1"/>
  <c r="K2666" i="6"/>
  <c r="H2667" i="6"/>
  <c r="J2667" i="6" s="1"/>
  <c r="K2667" i="6"/>
  <c r="H2668" i="6"/>
  <c r="J2668" i="6" s="1"/>
  <c r="K2668" i="6"/>
  <c r="H2669" i="6"/>
  <c r="J2669" i="6" s="1"/>
  <c r="K2669" i="6"/>
  <c r="H2670" i="6"/>
  <c r="J2670" i="6" s="1"/>
  <c r="K2670" i="6"/>
  <c r="H2671" i="6"/>
  <c r="J2671" i="6" s="1"/>
  <c r="K2671" i="6"/>
  <c r="H2672" i="6"/>
  <c r="J2672" i="6" s="1"/>
  <c r="K2672" i="6"/>
  <c r="H2673" i="6"/>
  <c r="J2673" i="6" s="1"/>
  <c r="K2673" i="6"/>
  <c r="H2674" i="6"/>
  <c r="J2674" i="6" s="1"/>
  <c r="K2674" i="6"/>
  <c r="H2675" i="6"/>
  <c r="J2675" i="6" s="1"/>
  <c r="K2675" i="6"/>
  <c r="H2676" i="6"/>
  <c r="J2676" i="6" s="1"/>
  <c r="K2676" i="6"/>
  <c r="H2677" i="6"/>
  <c r="J2677" i="6" s="1"/>
  <c r="K2677" i="6"/>
  <c r="H2678" i="6"/>
  <c r="J2678" i="6" s="1"/>
  <c r="K2678" i="6"/>
  <c r="H2679" i="6"/>
  <c r="J2679" i="6" s="1"/>
  <c r="K2679" i="6"/>
  <c r="H2680" i="6"/>
  <c r="J2680" i="6" s="1"/>
  <c r="K2680" i="6"/>
  <c r="H2681" i="6"/>
  <c r="J2681" i="6" s="1"/>
  <c r="K2681" i="6"/>
  <c r="H2682" i="6"/>
  <c r="J2682" i="6" s="1"/>
  <c r="K2682" i="6"/>
  <c r="H2683" i="6"/>
  <c r="J2683" i="6" s="1"/>
  <c r="K2683" i="6"/>
  <c r="H2684" i="6"/>
  <c r="J2684" i="6" s="1"/>
  <c r="K2684" i="6"/>
  <c r="H2685" i="6"/>
  <c r="J2685" i="6" s="1"/>
  <c r="K2685" i="6"/>
  <c r="H2686" i="6"/>
  <c r="J2686" i="6" s="1"/>
  <c r="K2686" i="6"/>
  <c r="H2687" i="6"/>
  <c r="J2687" i="6" s="1"/>
  <c r="K2687" i="6"/>
  <c r="H2688" i="6"/>
  <c r="J2688" i="6" s="1"/>
  <c r="K2688" i="6"/>
  <c r="H2689" i="6"/>
  <c r="J2689" i="6" s="1"/>
  <c r="K2689" i="6"/>
  <c r="H2690" i="6"/>
  <c r="J2690" i="6" s="1"/>
  <c r="K2690" i="6"/>
  <c r="H2691" i="6"/>
  <c r="J2691" i="6" s="1"/>
  <c r="K2691" i="6"/>
  <c r="H2692" i="6"/>
  <c r="J2692" i="6" s="1"/>
  <c r="K2692" i="6"/>
  <c r="H2693" i="6"/>
  <c r="J2693" i="6" s="1"/>
  <c r="K2693" i="6"/>
  <c r="H2694" i="6"/>
  <c r="J2694" i="6" s="1"/>
  <c r="K2694" i="6"/>
  <c r="H2695" i="6"/>
  <c r="J2695" i="6" s="1"/>
  <c r="K2695" i="6"/>
  <c r="H2696" i="6"/>
  <c r="J2696" i="6" s="1"/>
  <c r="K2696" i="6"/>
  <c r="H2697" i="6"/>
  <c r="J2697" i="6" s="1"/>
  <c r="K2697" i="6"/>
  <c r="H2698" i="6"/>
  <c r="J2698" i="6" s="1"/>
  <c r="K2698" i="6"/>
  <c r="H2699" i="6"/>
  <c r="J2699" i="6" s="1"/>
  <c r="K2699" i="6"/>
  <c r="H2700" i="6"/>
  <c r="J2700" i="6" s="1"/>
  <c r="K2700" i="6"/>
  <c r="H2701" i="6"/>
  <c r="J2701" i="6" s="1"/>
  <c r="K2701" i="6"/>
  <c r="H2702" i="6"/>
  <c r="J2702" i="6" s="1"/>
  <c r="K2702" i="6"/>
  <c r="H2703" i="6"/>
  <c r="J2703" i="6" s="1"/>
  <c r="K2703" i="6"/>
  <c r="H2704" i="6"/>
  <c r="J2704" i="6" s="1"/>
  <c r="K2704" i="6"/>
  <c r="H2705" i="6"/>
  <c r="J2705" i="6" s="1"/>
  <c r="K2705" i="6"/>
  <c r="H2706" i="6"/>
  <c r="J2706" i="6" s="1"/>
  <c r="K2706" i="6"/>
  <c r="H2707" i="6"/>
  <c r="J2707" i="6" s="1"/>
  <c r="K2707" i="6"/>
  <c r="H2708" i="6"/>
  <c r="J2708" i="6" s="1"/>
  <c r="K2708" i="6"/>
  <c r="H2709" i="6"/>
  <c r="J2709" i="6" s="1"/>
  <c r="K2709" i="6"/>
  <c r="H2710" i="6"/>
  <c r="J2710" i="6" s="1"/>
  <c r="K2710" i="6"/>
  <c r="H2711" i="6"/>
  <c r="J2711" i="6" s="1"/>
  <c r="K2711" i="6"/>
  <c r="H2712" i="6"/>
  <c r="J2712" i="6" s="1"/>
  <c r="K2712" i="6"/>
  <c r="H2713" i="6"/>
  <c r="J2713" i="6" s="1"/>
  <c r="K2713" i="6"/>
  <c r="H2714" i="6"/>
  <c r="J2714" i="6" s="1"/>
  <c r="K2714" i="6"/>
  <c r="H2715" i="6"/>
  <c r="J2715" i="6" s="1"/>
  <c r="K2715" i="6"/>
  <c r="H2716" i="6"/>
  <c r="J2716" i="6" s="1"/>
  <c r="K2716" i="6"/>
  <c r="H2717" i="6"/>
  <c r="J2717" i="6" s="1"/>
  <c r="K2717" i="6"/>
  <c r="H2718" i="6"/>
  <c r="J2718" i="6" s="1"/>
  <c r="K2718" i="6"/>
  <c r="H2719" i="6"/>
  <c r="J2719" i="6" s="1"/>
  <c r="K2719" i="6"/>
  <c r="H2720" i="6"/>
  <c r="J2720" i="6" s="1"/>
  <c r="K2720" i="6"/>
  <c r="H2721" i="6"/>
  <c r="J2721" i="6" s="1"/>
  <c r="K2721" i="6"/>
  <c r="H2722" i="6"/>
  <c r="J2722" i="6" s="1"/>
  <c r="K2722" i="6"/>
  <c r="H2723" i="6"/>
  <c r="J2723" i="6" s="1"/>
  <c r="K2723" i="6"/>
  <c r="H2724" i="6"/>
  <c r="J2724" i="6" s="1"/>
  <c r="K2724" i="6"/>
  <c r="H2725" i="6"/>
  <c r="J2725" i="6" s="1"/>
  <c r="K2725" i="6"/>
  <c r="H2726" i="6"/>
  <c r="J2726" i="6" s="1"/>
  <c r="K2726" i="6"/>
  <c r="H2727" i="6"/>
  <c r="J2727" i="6" s="1"/>
  <c r="K2727" i="6"/>
  <c r="H2728" i="6"/>
  <c r="J2728" i="6" s="1"/>
  <c r="K2728" i="6"/>
  <c r="H2729" i="6"/>
  <c r="J2729" i="6" s="1"/>
  <c r="K2729" i="6"/>
  <c r="H2730" i="6"/>
  <c r="J2730" i="6" s="1"/>
  <c r="K2730" i="6"/>
  <c r="H2731" i="6"/>
  <c r="J2731" i="6" s="1"/>
  <c r="K2731" i="6"/>
  <c r="H2732" i="6"/>
  <c r="J2732" i="6" s="1"/>
  <c r="K2732" i="6"/>
  <c r="H2733" i="6"/>
  <c r="J2733" i="6" s="1"/>
  <c r="K2733" i="6"/>
  <c r="H2734" i="6"/>
  <c r="J2734" i="6" s="1"/>
  <c r="K2734" i="6"/>
  <c r="H2735" i="6"/>
  <c r="J2735" i="6" s="1"/>
  <c r="K2735" i="6"/>
  <c r="H2736" i="6"/>
  <c r="J2736" i="6" s="1"/>
  <c r="K2736" i="6"/>
  <c r="H2737" i="6"/>
  <c r="J2737" i="6" s="1"/>
  <c r="K2737" i="6"/>
  <c r="H2738" i="6"/>
  <c r="J2738" i="6" s="1"/>
  <c r="K2738" i="6"/>
  <c r="H2739" i="6"/>
  <c r="J2739" i="6" s="1"/>
  <c r="K2739" i="6"/>
  <c r="H2740" i="6"/>
  <c r="J2740" i="6" s="1"/>
  <c r="K2740" i="6"/>
  <c r="H2741" i="6"/>
  <c r="J2741" i="6" s="1"/>
  <c r="K2741" i="6"/>
  <c r="H2742" i="6"/>
  <c r="J2742" i="6" s="1"/>
  <c r="K2742" i="6"/>
  <c r="H2743" i="6"/>
  <c r="J2743" i="6" s="1"/>
  <c r="K2743" i="6"/>
  <c r="H2744" i="6"/>
  <c r="J2744" i="6" s="1"/>
  <c r="K2744" i="6"/>
  <c r="H2745" i="6"/>
  <c r="J2745" i="6" s="1"/>
  <c r="K2745" i="6"/>
  <c r="H2746" i="6"/>
  <c r="J2746" i="6" s="1"/>
  <c r="K2746" i="6"/>
  <c r="H2747" i="6"/>
  <c r="J2747" i="6" s="1"/>
  <c r="K2747" i="6"/>
  <c r="H2748" i="6"/>
  <c r="J2748" i="6" s="1"/>
  <c r="K2748" i="6"/>
  <c r="H2749" i="6"/>
  <c r="J2749" i="6" s="1"/>
  <c r="K2749" i="6"/>
  <c r="H2750" i="6"/>
  <c r="J2750" i="6" s="1"/>
  <c r="K2750" i="6"/>
  <c r="H2751" i="6"/>
  <c r="J2751" i="6" s="1"/>
  <c r="K2751" i="6"/>
  <c r="H2752" i="6"/>
  <c r="J2752" i="6" s="1"/>
  <c r="K2752" i="6"/>
  <c r="H2753" i="6"/>
  <c r="J2753" i="6" s="1"/>
  <c r="K2753" i="6"/>
  <c r="H2754" i="6"/>
  <c r="J2754" i="6" s="1"/>
  <c r="K2754" i="6"/>
  <c r="H2755" i="6"/>
  <c r="J2755" i="6" s="1"/>
  <c r="K2755" i="6"/>
  <c r="H2756" i="6"/>
  <c r="J2756" i="6" s="1"/>
  <c r="K2756" i="6"/>
  <c r="H2757" i="6"/>
  <c r="J2757" i="6" s="1"/>
  <c r="K2757" i="6"/>
  <c r="H2758" i="6"/>
  <c r="J2758" i="6" s="1"/>
  <c r="K2758" i="6"/>
  <c r="H2759" i="6"/>
  <c r="J2759" i="6" s="1"/>
  <c r="K2759" i="6"/>
  <c r="H2760" i="6"/>
  <c r="J2760" i="6" s="1"/>
  <c r="K2760" i="6"/>
  <c r="H2761" i="6"/>
  <c r="J2761" i="6" s="1"/>
  <c r="K2761" i="6"/>
  <c r="H2762" i="6"/>
  <c r="J2762" i="6" s="1"/>
  <c r="K2762" i="6"/>
  <c r="H2763" i="6"/>
  <c r="J2763" i="6" s="1"/>
  <c r="K2763" i="6"/>
  <c r="H2764" i="6"/>
  <c r="J2764" i="6" s="1"/>
  <c r="K2764" i="6"/>
  <c r="H2765" i="6"/>
  <c r="J2765" i="6" s="1"/>
  <c r="K2765" i="6"/>
  <c r="H2766" i="6"/>
  <c r="J2766" i="6" s="1"/>
  <c r="K2766" i="6"/>
  <c r="H2767" i="6"/>
  <c r="J2767" i="6" s="1"/>
  <c r="K2767" i="6"/>
  <c r="H2768" i="6"/>
  <c r="J2768" i="6" s="1"/>
  <c r="K2768" i="6"/>
  <c r="H2769" i="6"/>
  <c r="J2769" i="6" s="1"/>
  <c r="K2769" i="6"/>
  <c r="H2770" i="6"/>
  <c r="J2770" i="6" s="1"/>
  <c r="K2770" i="6"/>
  <c r="H2771" i="6"/>
  <c r="J2771" i="6" s="1"/>
  <c r="K2771" i="6"/>
  <c r="H2772" i="6"/>
  <c r="J2772" i="6" s="1"/>
  <c r="K2772" i="6"/>
  <c r="H2773" i="6"/>
  <c r="J2773" i="6" s="1"/>
  <c r="K2773" i="6"/>
  <c r="H2774" i="6"/>
  <c r="J2774" i="6" s="1"/>
  <c r="K2774" i="6"/>
  <c r="H2775" i="6"/>
  <c r="J2775" i="6" s="1"/>
  <c r="K2775" i="6"/>
  <c r="H2776" i="6"/>
  <c r="J2776" i="6" s="1"/>
  <c r="K2776" i="6"/>
  <c r="H2777" i="6"/>
  <c r="J2777" i="6" s="1"/>
  <c r="K2777" i="6"/>
  <c r="H2778" i="6"/>
  <c r="J2778" i="6" s="1"/>
  <c r="K2778" i="6"/>
  <c r="H2779" i="6"/>
  <c r="J2779" i="6" s="1"/>
  <c r="K2779" i="6"/>
  <c r="H2780" i="6"/>
  <c r="J2780" i="6" s="1"/>
  <c r="K2780" i="6"/>
  <c r="H2781" i="6"/>
  <c r="J2781" i="6" s="1"/>
  <c r="K2781" i="6"/>
  <c r="H2782" i="6"/>
  <c r="J2782" i="6" s="1"/>
  <c r="K2782" i="6"/>
  <c r="H2783" i="6"/>
  <c r="J2783" i="6" s="1"/>
  <c r="K2783" i="6"/>
  <c r="H2784" i="6"/>
  <c r="J2784" i="6" s="1"/>
  <c r="K2784" i="6"/>
  <c r="H2785" i="6"/>
  <c r="J2785" i="6" s="1"/>
  <c r="K2785" i="6"/>
  <c r="H2786" i="6"/>
  <c r="J2786" i="6" s="1"/>
  <c r="K2786" i="6"/>
  <c r="H2787" i="6"/>
  <c r="J2787" i="6" s="1"/>
  <c r="K2787" i="6"/>
  <c r="H2788" i="6"/>
  <c r="J2788" i="6" s="1"/>
  <c r="K2788" i="6"/>
  <c r="H2789" i="6"/>
  <c r="J2789" i="6" s="1"/>
  <c r="K2789" i="6"/>
  <c r="H2790" i="6"/>
  <c r="J2790" i="6" s="1"/>
  <c r="K2790" i="6"/>
  <c r="H2791" i="6"/>
  <c r="J2791" i="6" s="1"/>
  <c r="K2791" i="6"/>
  <c r="H2792" i="6"/>
  <c r="J2792" i="6" s="1"/>
  <c r="K2792" i="6"/>
  <c r="H2793" i="6"/>
  <c r="J2793" i="6" s="1"/>
  <c r="K2793" i="6"/>
  <c r="H2794" i="6"/>
  <c r="J2794" i="6" s="1"/>
  <c r="K2794" i="6"/>
  <c r="H2795" i="6"/>
  <c r="J2795" i="6" s="1"/>
  <c r="K2795" i="6"/>
  <c r="H2796" i="6"/>
  <c r="J2796" i="6" s="1"/>
  <c r="K2796" i="6"/>
  <c r="H2797" i="6"/>
  <c r="J2797" i="6" s="1"/>
  <c r="K2797" i="6"/>
  <c r="H2798" i="6"/>
  <c r="J2798" i="6" s="1"/>
  <c r="K2798" i="6"/>
  <c r="H2799" i="6"/>
  <c r="J2799" i="6" s="1"/>
  <c r="K2799" i="6"/>
  <c r="H2800" i="6"/>
  <c r="J2800" i="6" s="1"/>
  <c r="K2800" i="6"/>
  <c r="H2801" i="6"/>
  <c r="J2801" i="6" s="1"/>
  <c r="K2801" i="6"/>
  <c r="H2802" i="6"/>
  <c r="J2802" i="6" s="1"/>
  <c r="K2802" i="6"/>
  <c r="H2803" i="6"/>
  <c r="J2803" i="6" s="1"/>
  <c r="K2803" i="6"/>
  <c r="H2804" i="6"/>
  <c r="J2804" i="6" s="1"/>
  <c r="K2804" i="6"/>
  <c r="H2805" i="6"/>
  <c r="J2805" i="6" s="1"/>
  <c r="K2805" i="6"/>
  <c r="H2806" i="6"/>
  <c r="J2806" i="6" s="1"/>
  <c r="K2806" i="6"/>
  <c r="H2807" i="6"/>
  <c r="J2807" i="6" s="1"/>
  <c r="K2807" i="6"/>
  <c r="H2808" i="6"/>
  <c r="J2808" i="6" s="1"/>
  <c r="K2808" i="6"/>
  <c r="H2809" i="6"/>
  <c r="J2809" i="6" s="1"/>
  <c r="K2809" i="6"/>
  <c r="H2810" i="6"/>
  <c r="J2810" i="6" s="1"/>
  <c r="K2810" i="6"/>
  <c r="H2811" i="6"/>
  <c r="J2811" i="6" s="1"/>
  <c r="K2811" i="6"/>
  <c r="H2812" i="6"/>
  <c r="J2812" i="6" s="1"/>
  <c r="K2812" i="6"/>
  <c r="H2813" i="6"/>
  <c r="J2813" i="6" s="1"/>
  <c r="K2813" i="6"/>
  <c r="H2814" i="6"/>
  <c r="J2814" i="6" s="1"/>
  <c r="K2814" i="6"/>
  <c r="H2815" i="6"/>
  <c r="J2815" i="6" s="1"/>
  <c r="K2815" i="6"/>
  <c r="H2816" i="6"/>
  <c r="J2816" i="6" s="1"/>
  <c r="K2816" i="6"/>
  <c r="H2817" i="6"/>
  <c r="J2817" i="6" s="1"/>
  <c r="K2817" i="6"/>
  <c r="H2818" i="6"/>
  <c r="J2818" i="6" s="1"/>
  <c r="K2818" i="6"/>
  <c r="H2819" i="6"/>
  <c r="J2819" i="6" s="1"/>
  <c r="K2819" i="6"/>
  <c r="H2820" i="6"/>
  <c r="J2820" i="6" s="1"/>
  <c r="K2820" i="6"/>
  <c r="H2821" i="6"/>
  <c r="J2821" i="6" s="1"/>
  <c r="K2821" i="6"/>
  <c r="H2822" i="6"/>
  <c r="J2822" i="6" s="1"/>
  <c r="K2822" i="6"/>
  <c r="H2823" i="6"/>
  <c r="J2823" i="6" s="1"/>
  <c r="K2823" i="6"/>
  <c r="H2824" i="6"/>
  <c r="J2824" i="6" s="1"/>
  <c r="K2824" i="6"/>
  <c r="H2825" i="6"/>
  <c r="J2825" i="6" s="1"/>
  <c r="K2825" i="6"/>
  <c r="H2826" i="6"/>
  <c r="J2826" i="6" s="1"/>
  <c r="K2826" i="6"/>
  <c r="H2827" i="6"/>
  <c r="J2827" i="6" s="1"/>
  <c r="K2827" i="6"/>
  <c r="H2828" i="6"/>
  <c r="J2828" i="6" s="1"/>
  <c r="K2828" i="6"/>
  <c r="H2829" i="6"/>
  <c r="J2829" i="6" s="1"/>
  <c r="K2829" i="6"/>
  <c r="H2830" i="6"/>
  <c r="J2830" i="6" s="1"/>
  <c r="K2830" i="6"/>
  <c r="H2831" i="6"/>
  <c r="J2831" i="6" s="1"/>
  <c r="K2831" i="6"/>
  <c r="H2832" i="6"/>
  <c r="J2832" i="6" s="1"/>
  <c r="K2832" i="6"/>
  <c r="H2833" i="6"/>
  <c r="J2833" i="6" s="1"/>
  <c r="K2833" i="6"/>
  <c r="H2834" i="6"/>
  <c r="J2834" i="6" s="1"/>
  <c r="K2834" i="6"/>
  <c r="H2835" i="6"/>
  <c r="J2835" i="6" s="1"/>
  <c r="K2835" i="6"/>
  <c r="H2836" i="6"/>
  <c r="J2836" i="6" s="1"/>
  <c r="K2836" i="6"/>
  <c r="H2837" i="6"/>
  <c r="J2837" i="6" s="1"/>
  <c r="K2837" i="6"/>
  <c r="H2838" i="6"/>
  <c r="J2838" i="6" s="1"/>
  <c r="K2838" i="6"/>
  <c r="H2839" i="6"/>
  <c r="J2839" i="6" s="1"/>
  <c r="K2839" i="6"/>
  <c r="H2840" i="6"/>
  <c r="J2840" i="6" s="1"/>
  <c r="K2840" i="6"/>
  <c r="H2841" i="6"/>
  <c r="J2841" i="6" s="1"/>
  <c r="K2841" i="6"/>
  <c r="H2842" i="6"/>
  <c r="J2842" i="6" s="1"/>
  <c r="K2842" i="6"/>
  <c r="H2843" i="6"/>
  <c r="J2843" i="6" s="1"/>
  <c r="K2843" i="6"/>
  <c r="H2844" i="6"/>
  <c r="J2844" i="6" s="1"/>
  <c r="K2844" i="6"/>
  <c r="H2845" i="6"/>
  <c r="J2845" i="6" s="1"/>
  <c r="K2845" i="6"/>
  <c r="H2846" i="6"/>
  <c r="J2846" i="6" s="1"/>
  <c r="K2846" i="6"/>
  <c r="H2847" i="6"/>
  <c r="J2847" i="6" s="1"/>
  <c r="K2847" i="6"/>
  <c r="H2848" i="6"/>
  <c r="J2848" i="6" s="1"/>
  <c r="K2848" i="6"/>
  <c r="H2849" i="6"/>
  <c r="J2849" i="6" s="1"/>
  <c r="K2849" i="6"/>
  <c r="H2850" i="6"/>
  <c r="J2850" i="6" s="1"/>
  <c r="K2850" i="6"/>
  <c r="H2851" i="6"/>
  <c r="J2851" i="6" s="1"/>
  <c r="K2851" i="6"/>
  <c r="H2852" i="6"/>
  <c r="J2852" i="6" s="1"/>
  <c r="K2852" i="6"/>
  <c r="H2853" i="6"/>
  <c r="J2853" i="6" s="1"/>
  <c r="K2853" i="6"/>
  <c r="H2854" i="6"/>
  <c r="J2854" i="6" s="1"/>
  <c r="K2854" i="6"/>
  <c r="H2855" i="6"/>
  <c r="J2855" i="6" s="1"/>
  <c r="K2855" i="6"/>
  <c r="H2856" i="6"/>
  <c r="J2856" i="6" s="1"/>
  <c r="K2856" i="6"/>
  <c r="H2857" i="6"/>
  <c r="J2857" i="6" s="1"/>
  <c r="K2857" i="6"/>
  <c r="H2858" i="6"/>
  <c r="J2858" i="6" s="1"/>
  <c r="K2858" i="6"/>
  <c r="H2859" i="6"/>
  <c r="J2859" i="6" s="1"/>
  <c r="K2859" i="6"/>
  <c r="H2860" i="6"/>
  <c r="J2860" i="6" s="1"/>
  <c r="K2860" i="6"/>
  <c r="H2861" i="6"/>
  <c r="J2861" i="6" s="1"/>
  <c r="K2861" i="6"/>
  <c r="H2862" i="6"/>
  <c r="J2862" i="6" s="1"/>
  <c r="K2862" i="6"/>
  <c r="H2863" i="6"/>
  <c r="J2863" i="6" s="1"/>
  <c r="K2863" i="6"/>
  <c r="H2864" i="6"/>
  <c r="J2864" i="6" s="1"/>
  <c r="K2864" i="6"/>
  <c r="H2865" i="6"/>
  <c r="J2865" i="6" s="1"/>
  <c r="K2865" i="6"/>
  <c r="H2866" i="6"/>
  <c r="J2866" i="6" s="1"/>
  <c r="K2866" i="6"/>
  <c r="H2867" i="6"/>
  <c r="J2867" i="6" s="1"/>
  <c r="K2867" i="6"/>
  <c r="H2868" i="6"/>
  <c r="J2868" i="6" s="1"/>
  <c r="K2868" i="6"/>
  <c r="H2869" i="6"/>
  <c r="J2869" i="6" s="1"/>
  <c r="K2869" i="6"/>
  <c r="H2870" i="6"/>
  <c r="J2870" i="6" s="1"/>
  <c r="K2870" i="6"/>
  <c r="H2871" i="6"/>
  <c r="J2871" i="6" s="1"/>
  <c r="K2871" i="6"/>
  <c r="H2195" i="6"/>
  <c r="J2195" i="6" s="1"/>
  <c r="K2195" i="6"/>
  <c r="H2196" i="6"/>
  <c r="J2196" i="6" s="1"/>
  <c r="K2196" i="6"/>
  <c r="H2197" i="6"/>
  <c r="J2197" i="6" s="1"/>
  <c r="K2197" i="6"/>
  <c r="H2198" i="6"/>
  <c r="J2198" i="6" s="1"/>
  <c r="K2198" i="6"/>
  <c r="H2199" i="6"/>
  <c r="J2199" i="6" s="1"/>
  <c r="K2199" i="6"/>
  <c r="H2200" i="6"/>
  <c r="J2200" i="6" s="1"/>
  <c r="K2200" i="6"/>
  <c r="H2201" i="6"/>
  <c r="J2201" i="6" s="1"/>
  <c r="K2201" i="6"/>
  <c r="H2202" i="6"/>
  <c r="J2202" i="6" s="1"/>
  <c r="K2202" i="6"/>
  <c r="H2203" i="6"/>
  <c r="J2203" i="6" s="1"/>
  <c r="K2203" i="6"/>
  <c r="H2204" i="6"/>
  <c r="J2204" i="6" s="1"/>
  <c r="K2204" i="6"/>
  <c r="H2205" i="6"/>
  <c r="J2205" i="6" s="1"/>
  <c r="K2205" i="6"/>
  <c r="H2206" i="6"/>
  <c r="J2206" i="6" s="1"/>
  <c r="K2206" i="6"/>
  <c r="H2207" i="6"/>
  <c r="J2207" i="6" s="1"/>
  <c r="K2207" i="6"/>
  <c r="H2208" i="6"/>
  <c r="J2208" i="6" s="1"/>
  <c r="K2208" i="6"/>
  <c r="H2209" i="6"/>
  <c r="J2209" i="6" s="1"/>
  <c r="K2209" i="6"/>
  <c r="H2210" i="6"/>
  <c r="J2210" i="6" s="1"/>
  <c r="K2210" i="6"/>
  <c r="H2211" i="6"/>
  <c r="J2211" i="6" s="1"/>
  <c r="K2211" i="6"/>
  <c r="H2212" i="6"/>
  <c r="J2212" i="6" s="1"/>
  <c r="K2212" i="6"/>
  <c r="H2213" i="6"/>
  <c r="J2213" i="6" s="1"/>
  <c r="K2213" i="6"/>
  <c r="H2214" i="6"/>
  <c r="J2214" i="6" s="1"/>
  <c r="K2214" i="6"/>
  <c r="H2215" i="6"/>
  <c r="J2215" i="6" s="1"/>
  <c r="K2215" i="6"/>
  <c r="H2216" i="6"/>
  <c r="J2216" i="6" s="1"/>
  <c r="K2216" i="6"/>
  <c r="H2217" i="6"/>
  <c r="J2217" i="6" s="1"/>
  <c r="K2217" i="6"/>
  <c r="H2218" i="6"/>
  <c r="J2218" i="6" s="1"/>
  <c r="K2218" i="6"/>
  <c r="H2219" i="6"/>
  <c r="J2219" i="6" s="1"/>
  <c r="K2219" i="6"/>
  <c r="H2220" i="6"/>
  <c r="J2220" i="6" s="1"/>
  <c r="K2220" i="6"/>
  <c r="H2221" i="6"/>
  <c r="J2221" i="6" s="1"/>
  <c r="K2221" i="6"/>
  <c r="H2222" i="6"/>
  <c r="J2222" i="6" s="1"/>
  <c r="K2222" i="6"/>
  <c r="H2223" i="6"/>
  <c r="J2223" i="6" s="1"/>
  <c r="K2223" i="6"/>
  <c r="H2224" i="6"/>
  <c r="J2224" i="6" s="1"/>
  <c r="K2224" i="6"/>
  <c r="H2225" i="6"/>
  <c r="J2225" i="6" s="1"/>
  <c r="K2225" i="6"/>
  <c r="H2226" i="6"/>
  <c r="J2226" i="6" s="1"/>
  <c r="K2226" i="6"/>
  <c r="H2227" i="6"/>
  <c r="J2227" i="6" s="1"/>
  <c r="K2227" i="6"/>
  <c r="H2228" i="6"/>
  <c r="J2228" i="6" s="1"/>
  <c r="K2228" i="6"/>
  <c r="H2229" i="6"/>
  <c r="J2229" i="6" s="1"/>
  <c r="K2229" i="6"/>
  <c r="H2230" i="6"/>
  <c r="J2230" i="6" s="1"/>
  <c r="K2230" i="6"/>
  <c r="H2231" i="6"/>
  <c r="J2231" i="6" s="1"/>
  <c r="K2231" i="6"/>
  <c r="H2232" i="6"/>
  <c r="J2232" i="6" s="1"/>
  <c r="K2232" i="6"/>
  <c r="H2233" i="6"/>
  <c r="J2233" i="6" s="1"/>
  <c r="K2233" i="6"/>
  <c r="H2234" i="6"/>
  <c r="J2234" i="6" s="1"/>
  <c r="K2234" i="6"/>
  <c r="H2235" i="6"/>
  <c r="J2235" i="6" s="1"/>
  <c r="K2235" i="6"/>
  <c r="H2236" i="6"/>
  <c r="J2236" i="6" s="1"/>
  <c r="K2236" i="6"/>
  <c r="H2237" i="6"/>
  <c r="J2237" i="6" s="1"/>
  <c r="K2237" i="6"/>
  <c r="H2238" i="6"/>
  <c r="J2238" i="6" s="1"/>
  <c r="K2238" i="6"/>
  <c r="H2239" i="6"/>
  <c r="J2239" i="6" s="1"/>
  <c r="K2239" i="6"/>
  <c r="H2240" i="6"/>
  <c r="J2240" i="6" s="1"/>
  <c r="K2240" i="6"/>
  <c r="H2241" i="6"/>
  <c r="J2241" i="6" s="1"/>
  <c r="K2241" i="6"/>
  <c r="H2242" i="6"/>
  <c r="J2242" i="6" s="1"/>
  <c r="K2242" i="6"/>
  <c r="H2243" i="6"/>
  <c r="J2243" i="6" s="1"/>
  <c r="K2243" i="6"/>
  <c r="H2244" i="6"/>
  <c r="J2244" i="6" s="1"/>
  <c r="K2244" i="6"/>
  <c r="H2245" i="6"/>
  <c r="J2245" i="6" s="1"/>
  <c r="K2245" i="6"/>
  <c r="H2246" i="6"/>
  <c r="J2246" i="6" s="1"/>
  <c r="K2246" i="6"/>
  <c r="H2247" i="6"/>
  <c r="J2247" i="6" s="1"/>
  <c r="K2247" i="6"/>
  <c r="H2248" i="6"/>
  <c r="J2248" i="6" s="1"/>
  <c r="K2248" i="6"/>
  <c r="H2249" i="6"/>
  <c r="J2249" i="6" s="1"/>
  <c r="K2249" i="6"/>
  <c r="H2250" i="6"/>
  <c r="J2250" i="6" s="1"/>
  <c r="K2250" i="6"/>
  <c r="H2251" i="6"/>
  <c r="J2251" i="6" s="1"/>
  <c r="K2251" i="6"/>
  <c r="H2252" i="6"/>
  <c r="J2252" i="6" s="1"/>
  <c r="K2252" i="6"/>
  <c r="H2253" i="6"/>
  <c r="J2253" i="6" s="1"/>
  <c r="K2253" i="6"/>
  <c r="H2254" i="6"/>
  <c r="J2254" i="6" s="1"/>
  <c r="K2254" i="6"/>
  <c r="H2255" i="6"/>
  <c r="J2255" i="6" s="1"/>
  <c r="K2255" i="6"/>
  <c r="H2256" i="6"/>
  <c r="J2256" i="6" s="1"/>
  <c r="K2256" i="6"/>
  <c r="H2257" i="6"/>
  <c r="J2257" i="6" s="1"/>
  <c r="K2257" i="6"/>
  <c r="H2258" i="6"/>
  <c r="J2258" i="6" s="1"/>
  <c r="K2258" i="6"/>
  <c r="H2259" i="6"/>
  <c r="J2259" i="6" s="1"/>
  <c r="K2259" i="6"/>
  <c r="H2260" i="6"/>
  <c r="J2260" i="6" s="1"/>
  <c r="K2260" i="6"/>
  <c r="H2261" i="6"/>
  <c r="J2261" i="6" s="1"/>
  <c r="K2261" i="6"/>
  <c r="H2262" i="6"/>
  <c r="J2262" i="6" s="1"/>
  <c r="K2262" i="6"/>
  <c r="H2263" i="6"/>
  <c r="J2263" i="6" s="1"/>
  <c r="K2263" i="6"/>
  <c r="H2264" i="6"/>
  <c r="J2264" i="6" s="1"/>
  <c r="K2264" i="6"/>
  <c r="H2265" i="6"/>
  <c r="J2265" i="6" s="1"/>
  <c r="K2265" i="6"/>
  <c r="H2266" i="6"/>
  <c r="J2266" i="6" s="1"/>
  <c r="K2266" i="6"/>
  <c r="H2267" i="6"/>
  <c r="J2267" i="6" s="1"/>
  <c r="K2267" i="6"/>
  <c r="H2268" i="6"/>
  <c r="J2268" i="6" s="1"/>
  <c r="K2268" i="6"/>
  <c r="H2269" i="6"/>
  <c r="J2269" i="6" s="1"/>
  <c r="K2269" i="6"/>
  <c r="H2270" i="6"/>
  <c r="J2270" i="6" s="1"/>
  <c r="K2270" i="6"/>
  <c r="H2271" i="6"/>
  <c r="J2271" i="6" s="1"/>
  <c r="K2271" i="6"/>
  <c r="H2272" i="6"/>
  <c r="J2272" i="6" s="1"/>
  <c r="K2272" i="6"/>
  <c r="H2273" i="6"/>
  <c r="J2273" i="6" s="1"/>
  <c r="K2273" i="6"/>
  <c r="H2274" i="6"/>
  <c r="J2274" i="6" s="1"/>
  <c r="K2274" i="6"/>
  <c r="H2275" i="6"/>
  <c r="J2275" i="6" s="1"/>
  <c r="K2275" i="6"/>
  <c r="H2276" i="6"/>
  <c r="J2276" i="6" s="1"/>
  <c r="K2276" i="6"/>
  <c r="H2277" i="6"/>
  <c r="J2277" i="6" s="1"/>
  <c r="K2277" i="6"/>
  <c r="H2278" i="6"/>
  <c r="J2278" i="6" s="1"/>
  <c r="K2278" i="6"/>
  <c r="H2279" i="6"/>
  <c r="J2279" i="6" s="1"/>
  <c r="K2279" i="6"/>
  <c r="H2280" i="6"/>
  <c r="J2280" i="6" s="1"/>
  <c r="K2280" i="6"/>
  <c r="H2281" i="6"/>
  <c r="J2281" i="6" s="1"/>
  <c r="K2281" i="6"/>
  <c r="H2282" i="6"/>
  <c r="J2282" i="6" s="1"/>
  <c r="K2282" i="6"/>
  <c r="H2283" i="6"/>
  <c r="J2283" i="6" s="1"/>
  <c r="K2283" i="6"/>
  <c r="H2284" i="6"/>
  <c r="J2284" i="6" s="1"/>
  <c r="K2284" i="6"/>
  <c r="H2285" i="6"/>
  <c r="J2285" i="6" s="1"/>
  <c r="K2285" i="6"/>
  <c r="H2286" i="6"/>
  <c r="J2286" i="6" s="1"/>
  <c r="K2286" i="6"/>
  <c r="H2287" i="6"/>
  <c r="J2287" i="6" s="1"/>
  <c r="K2287" i="6"/>
  <c r="H2288" i="6"/>
  <c r="J2288" i="6" s="1"/>
  <c r="K2288" i="6"/>
  <c r="H2289" i="6"/>
  <c r="J2289" i="6" s="1"/>
  <c r="K2289" i="6"/>
  <c r="H2290" i="6"/>
  <c r="J2290" i="6" s="1"/>
  <c r="K2290" i="6"/>
  <c r="H2291" i="6"/>
  <c r="J2291" i="6" s="1"/>
  <c r="K2291" i="6"/>
  <c r="H2292" i="6"/>
  <c r="J2292" i="6" s="1"/>
  <c r="K2292" i="6"/>
  <c r="H2293" i="6"/>
  <c r="J2293" i="6" s="1"/>
  <c r="K2293" i="6"/>
  <c r="H2294" i="6"/>
  <c r="J2294" i="6" s="1"/>
  <c r="K2294" i="6"/>
  <c r="H2295" i="6"/>
  <c r="J2295" i="6" s="1"/>
  <c r="K2295" i="6"/>
  <c r="H2296" i="6"/>
  <c r="J2296" i="6" s="1"/>
  <c r="K2296" i="6"/>
  <c r="H2297" i="6"/>
  <c r="J2297" i="6" s="1"/>
  <c r="K2297" i="6"/>
  <c r="H2298" i="6"/>
  <c r="J2298" i="6" s="1"/>
  <c r="K2298" i="6"/>
  <c r="H2299" i="6"/>
  <c r="J2299" i="6" s="1"/>
  <c r="K2299" i="6"/>
  <c r="H2300" i="6"/>
  <c r="J2300" i="6" s="1"/>
  <c r="K2300" i="6"/>
  <c r="H2301" i="6"/>
  <c r="J2301" i="6" s="1"/>
  <c r="K2301" i="6"/>
  <c r="H2302" i="6"/>
  <c r="J2302" i="6" s="1"/>
  <c r="K2302" i="6"/>
  <c r="H2303" i="6"/>
  <c r="J2303" i="6" s="1"/>
  <c r="K2303" i="6"/>
  <c r="H2304" i="6"/>
  <c r="J2304" i="6" s="1"/>
  <c r="K2304" i="6"/>
  <c r="H2305" i="6"/>
  <c r="J2305" i="6" s="1"/>
  <c r="K2305" i="6"/>
  <c r="H2306" i="6"/>
  <c r="J2306" i="6" s="1"/>
  <c r="K2306" i="6"/>
  <c r="H2307" i="6"/>
  <c r="J2307" i="6" s="1"/>
  <c r="K2307" i="6"/>
  <c r="H2308" i="6"/>
  <c r="J2308" i="6" s="1"/>
  <c r="K2308" i="6"/>
  <c r="H2309" i="6"/>
  <c r="J2309" i="6" s="1"/>
  <c r="K2309" i="6"/>
  <c r="H2310" i="6"/>
  <c r="J2310" i="6" s="1"/>
  <c r="K2310" i="6"/>
  <c r="H2311" i="6"/>
  <c r="J2311" i="6" s="1"/>
  <c r="K2311" i="6"/>
  <c r="H2312" i="6"/>
  <c r="J2312" i="6" s="1"/>
  <c r="K2312" i="6"/>
  <c r="H2313" i="6"/>
  <c r="J2313" i="6" s="1"/>
  <c r="K2313" i="6"/>
  <c r="H2314" i="6"/>
  <c r="J2314" i="6" s="1"/>
  <c r="K2314" i="6"/>
  <c r="H2315" i="6"/>
  <c r="J2315" i="6" s="1"/>
  <c r="K2315" i="6"/>
  <c r="H2316" i="6"/>
  <c r="J2316" i="6" s="1"/>
  <c r="K2316" i="6"/>
  <c r="H2317" i="6"/>
  <c r="J2317" i="6" s="1"/>
  <c r="K2317" i="6"/>
  <c r="H2318" i="6"/>
  <c r="J2318" i="6" s="1"/>
  <c r="K2318" i="6"/>
  <c r="H2319" i="6"/>
  <c r="J2319" i="6" s="1"/>
  <c r="K2319" i="6"/>
  <c r="H2320" i="6"/>
  <c r="J2320" i="6" s="1"/>
  <c r="K2320" i="6"/>
  <c r="H2321" i="6"/>
  <c r="J2321" i="6" s="1"/>
  <c r="K2321" i="6"/>
  <c r="H2322" i="6"/>
  <c r="J2322" i="6" s="1"/>
  <c r="K2322" i="6"/>
  <c r="H2323" i="6"/>
  <c r="J2323" i="6" s="1"/>
  <c r="K2323" i="6"/>
  <c r="H2324" i="6"/>
  <c r="J2324" i="6" s="1"/>
  <c r="K2324" i="6"/>
  <c r="H2325" i="6"/>
  <c r="J2325" i="6" s="1"/>
  <c r="K2325" i="6"/>
  <c r="H2326" i="6"/>
  <c r="J2326" i="6" s="1"/>
  <c r="K2326" i="6"/>
  <c r="H2327" i="6"/>
  <c r="J2327" i="6" s="1"/>
  <c r="K2327" i="6"/>
  <c r="H2328" i="6"/>
  <c r="J2328" i="6" s="1"/>
  <c r="K2328" i="6"/>
  <c r="H2329" i="6"/>
  <c r="J2329" i="6" s="1"/>
  <c r="K2329" i="6"/>
  <c r="H2330" i="6"/>
  <c r="J2330" i="6" s="1"/>
  <c r="K2330" i="6"/>
  <c r="H2331" i="6"/>
  <c r="J2331" i="6" s="1"/>
  <c r="K2331" i="6"/>
  <c r="H2332" i="6"/>
  <c r="J2332" i="6" s="1"/>
  <c r="K2332" i="6"/>
  <c r="H2333" i="6"/>
  <c r="J2333" i="6" s="1"/>
  <c r="K2333" i="6"/>
  <c r="H2334" i="6"/>
  <c r="J2334" i="6" s="1"/>
  <c r="K2334" i="6"/>
  <c r="H2335" i="6"/>
  <c r="J2335" i="6" s="1"/>
  <c r="K2335" i="6"/>
  <c r="H2336" i="6"/>
  <c r="J2336" i="6" s="1"/>
  <c r="K2336" i="6"/>
  <c r="H2337" i="6"/>
  <c r="J2337" i="6" s="1"/>
  <c r="K2337" i="6"/>
  <c r="H2338" i="6"/>
  <c r="J2338" i="6" s="1"/>
  <c r="K2338" i="6"/>
  <c r="H2339" i="6"/>
  <c r="J2339" i="6" s="1"/>
  <c r="K2339" i="6"/>
  <c r="H2340" i="6"/>
  <c r="J2340" i="6" s="1"/>
  <c r="K2340" i="6"/>
  <c r="H2341" i="6"/>
  <c r="J2341" i="6" s="1"/>
  <c r="K2341" i="6"/>
  <c r="H2342" i="6"/>
  <c r="J2342" i="6" s="1"/>
  <c r="K2342" i="6"/>
  <c r="H2343" i="6"/>
  <c r="J2343" i="6" s="1"/>
  <c r="K2343" i="6"/>
  <c r="H2344" i="6"/>
  <c r="J2344" i="6" s="1"/>
  <c r="K2344" i="6"/>
  <c r="H2345" i="6"/>
  <c r="J2345" i="6" s="1"/>
  <c r="K2345" i="6"/>
  <c r="H2346" i="6"/>
  <c r="J2346" i="6" s="1"/>
  <c r="K2346" i="6"/>
  <c r="H2347" i="6"/>
  <c r="J2347" i="6" s="1"/>
  <c r="K2347" i="6"/>
  <c r="H2348" i="6"/>
  <c r="J2348" i="6" s="1"/>
  <c r="K2348" i="6"/>
  <c r="H2349" i="6"/>
  <c r="J2349" i="6" s="1"/>
  <c r="K2349" i="6"/>
  <c r="H2350" i="6"/>
  <c r="J2350" i="6" s="1"/>
  <c r="K2350" i="6"/>
  <c r="H2351" i="6"/>
  <c r="J2351" i="6" s="1"/>
  <c r="K2351" i="6"/>
  <c r="H2352" i="6"/>
  <c r="J2352" i="6" s="1"/>
  <c r="K2352" i="6"/>
  <c r="H2353" i="6"/>
  <c r="J2353" i="6" s="1"/>
  <c r="K2353" i="6"/>
  <c r="H2354" i="6"/>
  <c r="J2354" i="6" s="1"/>
  <c r="K2354" i="6"/>
  <c r="H2355" i="6"/>
  <c r="J2355" i="6" s="1"/>
  <c r="K2355" i="6"/>
  <c r="H2356" i="6"/>
  <c r="J2356" i="6" s="1"/>
  <c r="K2356" i="6"/>
  <c r="H2357" i="6"/>
  <c r="J2357" i="6" s="1"/>
  <c r="K2357" i="6"/>
  <c r="H2358" i="6"/>
  <c r="J2358" i="6" s="1"/>
  <c r="K2358" i="6"/>
  <c r="H2359" i="6"/>
  <c r="J2359" i="6" s="1"/>
  <c r="K2359" i="6"/>
  <c r="H2360" i="6"/>
  <c r="J2360" i="6" s="1"/>
  <c r="K2360" i="6"/>
  <c r="H2361" i="6"/>
  <c r="J2361" i="6" s="1"/>
  <c r="K2361" i="6"/>
  <c r="H2362" i="6"/>
  <c r="J2362" i="6" s="1"/>
  <c r="K2362" i="6"/>
  <c r="H2363" i="6"/>
  <c r="J2363" i="6" s="1"/>
  <c r="K2363" i="6"/>
  <c r="H2364" i="6"/>
  <c r="J2364" i="6" s="1"/>
  <c r="K2364" i="6"/>
  <c r="H2365" i="6"/>
  <c r="J2365" i="6" s="1"/>
  <c r="K2365" i="6"/>
  <c r="H2366" i="6"/>
  <c r="J2366" i="6" s="1"/>
  <c r="K2366" i="6"/>
  <c r="H2367" i="6"/>
  <c r="J2367" i="6" s="1"/>
  <c r="K2367" i="6"/>
  <c r="H2368" i="6"/>
  <c r="J2368" i="6" s="1"/>
  <c r="K2368" i="6"/>
  <c r="H2369" i="6"/>
  <c r="J2369" i="6" s="1"/>
  <c r="K2369" i="6"/>
  <c r="H2370" i="6"/>
  <c r="J2370" i="6" s="1"/>
  <c r="K2370" i="6"/>
  <c r="H2371" i="6"/>
  <c r="J2371" i="6" s="1"/>
  <c r="K2371" i="6"/>
  <c r="H2372" i="6"/>
  <c r="J2372" i="6" s="1"/>
  <c r="K2372" i="6"/>
  <c r="H2373" i="6"/>
  <c r="J2373" i="6" s="1"/>
  <c r="K2373" i="6"/>
  <c r="H2374" i="6"/>
  <c r="J2374" i="6" s="1"/>
  <c r="K2374" i="6"/>
  <c r="H2375" i="6"/>
  <c r="J2375" i="6" s="1"/>
  <c r="K2375" i="6"/>
  <c r="H2376" i="6"/>
  <c r="J2376" i="6" s="1"/>
  <c r="K2376" i="6"/>
  <c r="H2377" i="6"/>
  <c r="J2377" i="6" s="1"/>
  <c r="K2377" i="6"/>
  <c r="H2378" i="6"/>
  <c r="J2378" i="6" s="1"/>
  <c r="K2378" i="6"/>
  <c r="H2379" i="6"/>
  <c r="J2379" i="6" s="1"/>
  <c r="K2379" i="6"/>
  <c r="H2380" i="6"/>
  <c r="J2380" i="6" s="1"/>
  <c r="K2380" i="6"/>
  <c r="H2381" i="6"/>
  <c r="J2381" i="6" s="1"/>
  <c r="K2381" i="6"/>
  <c r="H2382" i="6"/>
  <c r="J2382" i="6" s="1"/>
  <c r="K2382" i="6"/>
  <c r="H2383" i="6"/>
  <c r="J2383" i="6" s="1"/>
  <c r="K2383" i="6"/>
  <c r="H2384" i="6"/>
  <c r="J2384" i="6" s="1"/>
  <c r="K2384" i="6"/>
  <c r="H2385" i="6"/>
  <c r="J2385" i="6" s="1"/>
  <c r="K2385" i="6"/>
  <c r="H2386" i="6"/>
  <c r="J2386" i="6" s="1"/>
  <c r="K2386" i="6"/>
  <c r="H2387" i="6"/>
  <c r="J2387" i="6" s="1"/>
  <c r="K2387" i="6"/>
  <c r="H2388" i="6"/>
  <c r="J2388" i="6" s="1"/>
  <c r="K2388" i="6"/>
  <c r="H2389" i="6"/>
  <c r="J2389" i="6" s="1"/>
  <c r="K2389" i="6"/>
  <c r="H2390" i="6"/>
  <c r="J2390" i="6" s="1"/>
  <c r="K2390" i="6"/>
  <c r="H2391" i="6"/>
  <c r="J2391" i="6" s="1"/>
  <c r="K2391" i="6"/>
  <c r="H2392" i="6"/>
  <c r="J2392" i="6" s="1"/>
  <c r="K2392" i="6"/>
  <c r="H2393" i="6"/>
  <c r="J2393" i="6" s="1"/>
  <c r="K2393" i="6"/>
  <c r="H2394" i="6"/>
  <c r="J2394" i="6" s="1"/>
  <c r="K2394" i="6"/>
  <c r="H2395" i="6"/>
  <c r="J2395" i="6" s="1"/>
  <c r="K2395" i="6"/>
  <c r="H2396" i="6"/>
  <c r="J2396" i="6" s="1"/>
  <c r="K2396" i="6"/>
  <c r="H2397" i="6"/>
  <c r="J2397" i="6" s="1"/>
  <c r="K2397" i="6"/>
  <c r="H2398" i="6"/>
  <c r="J2398" i="6" s="1"/>
  <c r="K2398" i="6"/>
  <c r="H2399" i="6"/>
  <c r="J2399" i="6" s="1"/>
  <c r="K2399" i="6"/>
  <c r="H2400" i="6"/>
  <c r="J2400" i="6" s="1"/>
  <c r="K2400" i="6"/>
  <c r="H2401" i="6"/>
  <c r="J2401" i="6" s="1"/>
  <c r="K2401" i="6"/>
  <c r="H2402" i="6"/>
  <c r="J2402" i="6" s="1"/>
  <c r="K2402" i="6"/>
  <c r="H2403" i="6"/>
  <c r="J2403" i="6" s="1"/>
  <c r="K2403" i="6"/>
  <c r="H2404" i="6"/>
  <c r="J2404" i="6" s="1"/>
  <c r="K2404" i="6"/>
  <c r="H2405" i="6"/>
  <c r="J2405" i="6" s="1"/>
  <c r="K2405" i="6"/>
  <c r="H2406" i="6"/>
  <c r="J2406" i="6" s="1"/>
  <c r="K2406" i="6"/>
  <c r="H2407" i="6"/>
  <c r="J2407" i="6" s="1"/>
  <c r="K2407" i="6"/>
  <c r="H2408" i="6"/>
  <c r="J2408" i="6" s="1"/>
  <c r="K2408" i="6"/>
  <c r="H2409" i="6"/>
  <c r="J2409" i="6" s="1"/>
  <c r="K2409" i="6"/>
  <c r="H2410" i="6"/>
  <c r="J2410" i="6" s="1"/>
  <c r="K2410" i="6"/>
  <c r="H2411" i="6"/>
  <c r="J2411" i="6" s="1"/>
  <c r="K2411" i="6"/>
  <c r="H2412" i="6"/>
  <c r="J2412" i="6" s="1"/>
  <c r="K2412" i="6"/>
  <c r="H2413" i="6"/>
  <c r="J2413" i="6" s="1"/>
  <c r="K2413" i="6"/>
  <c r="H2414" i="6"/>
  <c r="J2414" i="6" s="1"/>
  <c r="K2414" i="6"/>
  <c r="H2415" i="6"/>
  <c r="J2415" i="6" s="1"/>
  <c r="K2415" i="6"/>
  <c r="H2416" i="6"/>
  <c r="J2416" i="6" s="1"/>
  <c r="K2416" i="6"/>
  <c r="H2417" i="6"/>
  <c r="J2417" i="6" s="1"/>
  <c r="K2417" i="6"/>
  <c r="H2418" i="6"/>
  <c r="J2418" i="6" s="1"/>
  <c r="K2418" i="6"/>
  <c r="H2419" i="6"/>
  <c r="J2419" i="6" s="1"/>
  <c r="K2419" i="6"/>
  <c r="H2420" i="6"/>
  <c r="J2420" i="6" s="1"/>
  <c r="K2420" i="6"/>
  <c r="H2421" i="6"/>
  <c r="J2421" i="6" s="1"/>
  <c r="K2421" i="6"/>
  <c r="H2422" i="6"/>
  <c r="J2422" i="6" s="1"/>
  <c r="K2422" i="6"/>
  <c r="H2423" i="6"/>
  <c r="J2423" i="6" s="1"/>
  <c r="K2423" i="6"/>
  <c r="H2424" i="6"/>
  <c r="J2424" i="6" s="1"/>
  <c r="K2424" i="6"/>
  <c r="H2425" i="6"/>
  <c r="J2425" i="6" s="1"/>
  <c r="K2425" i="6"/>
  <c r="H2426" i="6"/>
  <c r="J2426" i="6" s="1"/>
  <c r="K2426" i="6"/>
  <c r="H2427" i="6"/>
  <c r="J2427" i="6" s="1"/>
  <c r="K2427" i="6"/>
  <c r="H2428" i="6"/>
  <c r="J2428" i="6" s="1"/>
  <c r="K2428" i="6"/>
  <c r="H2429" i="6"/>
  <c r="J2429" i="6" s="1"/>
  <c r="K2429" i="6"/>
  <c r="H2430" i="6"/>
  <c r="J2430" i="6" s="1"/>
  <c r="K2430" i="6"/>
  <c r="H2431" i="6"/>
  <c r="J2431" i="6" s="1"/>
  <c r="K2431" i="6"/>
  <c r="H2432" i="6"/>
  <c r="J2432" i="6" s="1"/>
  <c r="K2432" i="6"/>
  <c r="H2433" i="6"/>
  <c r="J2433" i="6" s="1"/>
  <c r="K2433" i="6"/>
  <c r="H2434" i="6"/>
  <c r="J2434" i="6" s="1"/>
  <c r="K2434" i="6"/>
  <c r="H2435" i="6"/>
  <c r="J2435" i="6" s="1"/>
  <c r="K2435" i="6"/>
  <c r="H2436" i="6"/>
  <c r="J2436" i="6" s="1"/>
  <c r="K2436" i="6"/>
  <c r="H2437" i="6"/>
  <c r="J2437" i="6" s="1"/>
  <c r="K2437" i="6"/>
  <c r="H2438" i="6"/>
  <c r="J2438" i="6" s="1"/>
  <c r="K2438" i="6"/>
  <c r="H2439" i="6"/>
  <c r="J2439" i="6" s="1"/>
  <c r="K2439" i="6"/>
  <c r="H2440" i="6"/>
  <c r="J2440" i="6" s="1"/>
  <c r="K2440" i="6"/>
  <c r="H2441" i="6"/>
  <c r="J2441" i="6" s="1"/>
  <c r="K2441" i="6"/>
  <c r="H2442" i="6"/>
  <c r="J2442" i="6" s="1"/>
  <c r="K2442" i="6"/>
  <c r="H2443" i="6"/>
  <c r="J2443" i="6" s="1"/>
  <c r="K2443" i="6"/>
  <c r="H2444" i="6"/>
  <c r="J2444" i="6" s="1"/>
  <c r="K2444" i="6"/>
  <c r="H2445" i="6"/>
  <c r="J2445" i="6" s="1"/>
  <c r="K2445" i="6"/>
  <c r="H2446" i="6"/>
  <c r="J2446" i="6" s="1"/>
  <c r="K2446" i="6"/>
  <c r="H2447" i="6"/>
  <c r="J2447" i="6" s="1"/>
  <c r="K2447" i="6"/>
  <c r="H2448" i="6"/>
  <c r="J2448" i="6" s="1"/>
  <c r="K2448" i="6"/>
  <c r="H2449" i="6"/>
  <c r="J2449" i="6" s="1"/>
  <c r="K2449" i="6"/>
  <c r="H2450" i="6"/>
  <c r="J2450" i="6" s="1"/>
  <c r="K2450" i="6"/>
  <c r="H2451" i="6"/>
  <c r="J2451" i="6" s="1"/>
  <c r="K2451" i="6"/>
  <c r="H2452" i="6"/>
  <c r="J2452" i="6" s="1"/>
  <c r="K2452" i="6"/>
  <c r="H2453" i="6"/>
  <c r="J2453" i="6" s="1"/>
  <c r="K2453" i="6"/>
  <c r="H2454" i="6"/>
  <c r="J2454" i="6" s="1"/>
  <c r="K2454" i="6"/>
  <c r="H2455" i="6"/>
  <c r="J2455" i="6" s="1"/>
  <c r="K2455" i="6"/>
  <c r="H2456" i="6"/>
  <c r="J2456" i="6" s="1"/>
  <c r="K2456" i="6"/>
  <c r="H2457" i="6"/>
  <c r="J2457" i="6" s="1"/>
  <c r="K2457" i="6"/>
  <c r="H2458" i="6"/>
  <c r="J2458" i="6" s="1"/>
  <c r="K2458" i="6"/>
  <c r="H2459" i="6"/>
  <c r="J2459" i="6" s="1"/>
  <c r="K2459" i="6"/>
  <c r="H2460" i="6"/>
  <c r="J2460" i="6" s="1"/>
  <c r="K2460" i="6"/>
  <c r="H1743" i="6"/>
  <c r="J1743" i="6" s="1"/>
  <c r="K1743" i="6"/>
  <c r="H1744" i="6"/>
  <c r="J1744" i="6" s="1"/>
  <c r="K1744" i="6"/>
  <c r="H1745" i="6"/>
  <c r="J1745" i="6" s="1"/>
  <c r="K1745" i="6"/>
  <c r="H1746" i="6"/>
  <c r="J1746" i="6" s="1"/>
  <c r="K1746" i="6"/>
  <c r="H1747" i="6"/>
  <c r="J1747" i="6" s="1"/>
  <c r="K1747" i="6"/>
  <c r="H1748" i="6"/>
  <c r="J1748" i="6" s="1"/>
  <c r="K1748" i="6"/>
  <c r="H1749" i="6"/>
  <c r="J1749" i="6" s="1"/>
  <c r="K1749" i="6"/>
  <c r="H1750" i="6"/>
  <c r="J1750" i="6" s="1"/>
  <c r="K1750" i="6"/>
  <c r="H1751" i="6"/>
  <c r="J1751" i="6" s="1"/>
  <c r="K1751" i="6"/>
  <c r="H1752" i="6"/>
  <c r="J1752" i="6" s="1"/>
  <c r="K1752" i="6"/>
  <c r="H1753" i="6"/>
  <c r="J1753" i="6" s="1"/>
  <c r="K1753" i="6"/>
  <c r="H1754" i="6"/>
  <c r="J1754" i="6" s="1"/>
  <c r="K1754" i="6"/>
  <c r="H1755" i="6"/>
  <c r="J1755" i="6" s="1"/>
  <c r="K1755" i="6"/>
  <c r="H1756" i="6"/>
  <c r="J1756" i="6" s="1"/>
  <c r="K1756" i="6"/>
  <c r="H1757" i="6"/>
  <c r="J1757" i="6" s="1"/>
  <c r="K1757" i="6"/>
  <c r="H1758" i="6"/>
  <c r="J1758" i="6" s="1"/>
  <c r="K1758" i="6"/>
  <c r="H1759" i="6"/>
  <c r="J1759" i="6" s="1"/>
  <c r="K1759" i="6"/>
  <c r="H1760" i="6"/>
  <c r="J1760" i="6" s="1"/>
  <c r="K1760" i="6"/>
  <c r="H1761" i="6"/>
  <c r="J1761" i="6" s="1"/>
  <c r="K1761" i="6"/>
  <c r="H1762" i="6"/>
  <c r="J1762" i="6" s="1"/>
  <c r="K1762" i="6"/>
  <c r="H1763" i="6"/>
  <c r="J1763" i="6" s="1"/>
  <c r="K1763" i="6"/>
  <c r="H1764" i="6"/>
  <c r="J1764" i="6" s="1"/>
  <c r="K1764" i="6"/>
  <c r="H1765" i="6"/>
  <c r="J1765" i="6" s="1"/>
  <c r="K1765" i="6"/>
  <c r="H1766" i="6"/>
  <c r="J1766" i="6" s="1"/>
  <c r="K1766" i="6"/>
  <c r="H1767" i="6"/>
  <c r="J1767" i="6" s="1"/>
  <c r="K1767" i="6"/>
  <c r="H1768" i="6"/>
  <c r="J1768" i="6" s="1"/>
  <c r="K1768" i="6"/>
  <c r="H1769" i="6"/>
  <c r="J1769" i="6" s="1"/>
  <c r="K1769" i="6"/>
  <c r="H1770" i="6"/>
  <c r="J1770" i="6" s="1"/>
  <c r="K1770" i="6"/>
  <c r="H1771" i="6"/>
  <c r="J1771" i="6" s="1"/>
  <c r="K1771" i="6"/>
  <c r="H1772" i="6"/>
  <c r="J1772" i="6" s="1"/>
  <c r="K1772" i="6"/>
  <c r="H1773" i="6"/>
  <c r="J1773" i="6" s="1"/>
  <c r="K1773" i="6"/>
  <c r="H1774" i="6"/>
  <c r="J1774" i="6" s="1"/>
  <c r="K1774" i="6"/>
  <c r="H1775" i="6"/>
  <c r="J1775" i="6" s="1"/>
  <c r="K1775" i="6"/>
  <c r="H1776" i="6"/>
  <c r="J1776" i="6" s="1"/>
  <c r="K1776" i="6"/>
  <c r="H1777" i="6"/>
  <c r="J1777" i="6" s="1"/>
  <c r="K1777" i="6"/>
  <c r="H1778" i="6"/>
  <c r="J1778" i="6" s="1"/>
  <c r="K1778" i="6"/>
  <c r="H1779" i="6"/>
  <c r="J1779" i="6" s="1"/>
  <c r="K1779" i="6"/>
  <c r="H1780" i="6"/>
  <c r="J1780" i="6" s="1"/>
  <c r="K1780" i="6"/>
  <c r="H1781" i="6"/>
  <c r="J1781" i="6" s="1"/>
  <c r="K1781" i="6"/>
  <c r="H1782" i="6"/>
  <c r="J1782" i="6" s="1"/>
  <c r="K1782" i="6"/>
  <c r="H1783" i="6"/>
  <c r="J1783" i="6" s="1"/>
  <c r="K1783" i="6"/>
  <c r="H1784" i="6"/>
  <c r="J1784" i="6" s="1"/>
  <c r="K1784" i="6"/>
  <c r="H1785" i="6"/>
  <c r="J1785" i="6" s="1"/>
  <c r="K1785" i="6"/>
  <c r="H1786" i="6"/>
  <c r="J1786" i="6" s="1"/>
  <c r="K1786" i="6"/>
  <c r="H1787" i="6"/>
  <c r="J1787" i="6" s="1"/>
  <c r="K1787" i="6"/>
  <c r="H1788" i="6"/>
  <c r="J1788" i="6" s="1"/>
  <c r="K1788" i="6"/>
  <c r="H1789" i="6"/>
  <c r="J1789" i="6" s="1"/>
  <c r="K1789" i="6"/>
  <c r="H1790" i="6"/>
  <c r="J1790" i="6" s="1"/>
  <c r="K1790" i="6"/>
  <c r="H1791" i="6"/>
  <c r="J1791" i="6" s="1"/>
  <c r="K1791" i="6"/>
  <c r="H1792" i="6"/>
  <c r="J1792" i="6" s="1"/>
  <c r="K1792" i="6"/>
  <c r="H1793" i="6"/>
  <c r="J1793" i="6" s="1"/>
  <c r="K1793" i="6"/>
  <c r="H1794" i="6"/>
  <c r="J1794" i="6" s="1"/>
  <c r="K1794" i="6"/>
  <c r="H1795" i="6"/>
  <c r="J1795" i="6" s="1"/>
  <c r="K1795" i="6"/>
  <c r="H1796" i="6"/>
  <c r="J1796" i="6" s="1"/>
  <c r="K1796" i="6"/>
  <c r="H1797" i="6"/>
  <c r="J1797" i="6" s="1"/>
  <c r="K1797" i="6"/>
  <c r="H1798" i="6"/>
  <c r="J1798" i="6" s="1"/>
  <c r="K1798" i="6"/>
  <c r="H1799" i="6"/>
  <c r="J1799" i="6" s="1"/>
  <c r="K1799" i="6"/>
  <c r="H1800" i="6"/>
  <c r="J1800" i="6" s="1"/>
  <c r="K1800" i="6"/>
  <c r="H1801" i="6"/>
  <c r="J1801" i="6" s="1"/>
  <c r="K1801" i="6"/>
  <c r="H1802" i="6"/>
  <c r="J1802" i="6" s="1"/>
  <c r="K1802" i="6"/>
  <c r="H1803" i="6"/>
  <c r="J1803" i="6" s="1"/>
  <c r="K1803" i="6"/>
  <c r="H1804" i="6"/>
  <c r="J1804" i="6" s="1"/>
  <c r="K1804" i="6"/>
  <c r="H1805" i="6"/>
  <c r="J1805" i="6" s="1"/>
  <c r="K1805" i="6"/>
  <c r="H1806" i="6"/>
  <c r="J1806" i="6" s="1"/>
  <c r="K1806" i="6"/>
  <c r="H1807" i="6"/>
  <c r="J1807" i="6" s="1"/>
  <c r="K1807" i="6"/>
  <c r="H1808" i="6"/>
  <c r="J1808" i="6" s="1"/>
  <c r="K1808" i="6"/>
  <c r="H1809" i="6"/>
  <c r="J1809" i="6" s="1"/>
  <c r="K1809" i="6"/>
  <c r="H1810" i="6"/>
  <c r="J1810" i="6" s="1"/>
  <c r="K1810" i="6"/>
  <c r="H1811" i="6"/>
  <c r="J1811" i="6" s="1"/>
  <c r="K1811" i="6"/>
  <c r="H1812" i="6"/>
  <c r="J1812" i="6" s="1"/>
  <c r="K1812" i="6"/>
  <c r="H1813" i="6"/>
  <c r="J1813" i="6" s="1"/>
  <c r="K1813" i="6"/>
  <c r="H1814" i="6"/>
  <c r="J1814" i="6" s="1"/>
  <c r="K1814" i="6"/>
  <c r="H1815" i="6"/>
  <c r="J1815" i="6" s="1"/>
  <c r="K1815" i="6"/>
  <c r="H1816" i="6"/>
  <c r="J1816" i="6" s="1"/>
  <c r="K1816" i="6"/>
  <c r="H1817" i="6"/>
  <c r="J1817" i="6" s="1"/>
  <c r="K1817" i="6"/>
  <c r="H1818" i="6"/>
  <c r="J1818" i="6" s="1"/>
  <c r="K1818" i="6"/>
  <c r="H1819" i="6"/>
  <c r="J1819" i="6" s="1"/>
  <c r="K1819" i="6"/>
  <c r="H1820" i="6"/>
  <c r="J1820" i="6" s="1"/>
  <c r="K1820" i="6"/>
  <c r="H1821" i="6"/>
  <c r="J1821" i="6" s="1"/>
  <c r="K1821" i="6"/>
  <c r="H1822" i="6"/>
  <c r="J1822" i="6" s="1"/>
  <c r="K1822" i="6"/>
  <c r="H1823" i="6"/>
  <c r="J1823" i="6" s="1"/>
  <c r="K1823" i="6"/>
  <c r="H1824" i="6"/>
  <c r="J1824" i="6" s="1"/>
  <c r="K1824" i="6"/>
  <c r="H1825" i="6"/>
  <c r="J1825" i="6" s="1"/>
  <c r="K1825" i="6"/>
  <c r="H1826" i="6"/>
  <c r="J1826" i="6" s="1"/>
  <c r="K1826" i="6"/>
  <c r="H1827" i="6"/>
  <c r="J1827" i="6" s="1"/>
  <c r="K1827" i="6"/>
  <c r="H1828" i="6"/>
  <c r="J1828" i="6" s="1"/>
  <c r="K1828" i="6"/>
  <c r="H1829" i="6"/>
  <c r="J1829" i="6" s="1"/>
  <c r="K1829" i="6"/>
  <c r="H1830" i="6"/>
  <c r="J1830" i="6" s="1"/>
  <c r="K1830" i="6"/>
  <c r="H1831" i="6"/>
  <c r="J1831" i="6" s="1"/>
  <c r="K1831" i="6"/>
  <c r="H1832" i="6"/>
  <c r="J1832" i="6" s="1"/>
  <c r="K1832" i="6"/>
  <c r="H1833" i="6"/>
  <c r="J1833" i="6" s="1"/>
  <c r="K1833" i="6"/>
  <c r="H1834" i="6"/>
  <c r="J1834" i="6" s="1"/>
  <c r="K1834" i="6"/>
  <c r="H1835" i="6"/>
  <c r="J1835" i="6" s="1"/>
  <c r="K1835" i="6"/>
  <c r="H1836" i="6"/>
  <c r="J1836" i="6" s="1"/>
  <c r="K1836" i="6"/>
  <c r="H1837" i="6"/>
  <c r="J1837" i="6" s="1"/>
  <c r="K1837" i="6"/>
  <c r="H1838" i="6"/>
  <c r="J1838" i="6" s="1"/>
  <c r="K1838" i="6"/>
  <c r="H1839" i="6"/>
  <c r="J1839" i="6" s="1"/>
  <c r="K1839" i="6"/>
  <c r="H1840" i="6"/>
  <c r="J1840" i="6" s="1"/>
  <c r="K1840" i="6"/>
  <c r="H1841" i="6"/>
  <c r="J1841" i="6" s="1"/>
  <c r="K1841" i="6"/>
  <c r="H1842" i="6"/>
  <c r="J1842" i="6" s="1"/>
  <c r="K1842" i="6"/>
  <c r="H1843" i="6"/>
  <c r="J1843" i="6" s="1"/>
  <c r="K1843" i="6"/>
  <c r="H1844" i="6"/>
  <c r="J1844" i="6" s="1"/>
  <c r="K1844" i="6"/>
  <c r="H1845" i="6"/>
  <c r="J1845" i="6" s="1"/>
  <c r="K1845" i="6"/>
  <c r="H1846" i="6"/>
  <c r="J1846" i="6" s="1"/>
  <c r="K1846" i="6"/>
  <c r="H1847" i="6"/>
  <c r="J1847" i="6" s="1"/>
  <c r="K1847" i="6"/>
  <c r="H1848" i="6"/>
  <c r="J1848" i="6" s="1"/>
  <c r="K1848" i="6"/>
  <c r="H1849" i="6"/>
  <c r="J1849" i="6" s="1"/>
  <c r="K1849" i="6"/>
  <c r="H1850" i="6"/>
  <c r="J1850" i="6" s="1"/>
  <c r="K1850" i="6"/>
  <c r="H1851" i="6"/>
  <c r="J1851" i="6" s="1"/>
  <c r="K1851" i="6"/>
  <c r="H1852" i="6"/>
  <c r="J1852" i="6" s="1"/>
  <c r="K1852" i="6"/>
  <c r="H1853" i="6"/>
  <c r="J1853" i="6" s="1"/>
  <c r="K1853" i="6"/>
  <c r="H1854" i="6"/>
  <c r="J1854" i="6" s="1"/>
  <c r="K1854" i="6"/>
  <c r="H1855" i="6"/>
  <c r="J1855" i="6" s="1"/>
  <c r="K1855" i="6"/>
  <c r="H1856" i="6"/>
  <c r="J1856" i="6" s="1"/>
  <c r="K1856" i="6"/>
  <c r="H1857" i="6"/>
  <c r="J1857" i="6" s="1"/>
  <c r="K1857" i="6"/>
  <c r="H1858" i="6"/>
  <c r="J1858" i="6" s="1"/>
  <c r="K1858" i="6"/>
  <c r="H1859" i="6"/>
  <c r="J1859" i="6" s="1"/>
  <c r="K1859" i="6"/>
  <c r="H1860" i="6"/>
  <c r="J1860" i="6" s="1"/>
  <c r="K1860" i="6"/>
  <c r="H1861" i="6"/>
  <c r="J1861" i="6" s="1"/>
  <c r="K1861" i="6"/>
  <c r="H1862" i="6"/>
  <c r="J1862" i="6" s="1"/>
  <c r="K1862" i="6"/>
  <c r="H1863" i="6"/>
  <c r="J1863" i="6" s="1"/>
  <c r="K1863" i="6"/>
  <c r="H1864" i="6"/>
  <c r="J1864" i="6" s="1"/>
  <c r="K1864" i="6"/>
  <c r="H1865" i="6"/>
  <c r="J1865" i="6" s="1"/>
  <c r="K1865" i="6"/>
  <c r="H1866" i="6"/>
  <c r="J1866" i="6" s="1"/>
  <c r="K1866" i="6"/>
  <c r="H1867" i="6"/>
  <c r="J1867" i="6" s="1"/>
  <c r="K1867" i="6"/>
  <c r="H1868" i="6"/>
  <c r="J1868" i="6" s="1"/>
  <c r="K1868" i="6"/>
  <c r="H1869" i="6"/>
  <c r="J1869" i="6" s="1"/>
  <c r="K1869" i="6"/>
  <c r="H1870" i="6"/>
  <c r="J1870" i="6" s="1"/>
  <c r="K1870" i="6"/>
  <c r="H1871" i="6"/>
  <c r="J1871" i="6" s="1"/>
  <c r="K1871" i="6"/>
  <c r="H1872" i="6"/>
  <c r="J1872" i="6" s="1"/>
  <c r="K1872" i="6"/>
  <c r="H1873" i="6"/>
  <c r="J1873" i="6" s="1"/>
  <c r="K1873" i="6"/>
  <c r="H1874" i="6"/>
  <c r="J1874" i="6" s="1"/>
  <c r="K1874" i="6"/>
  <c r="H1875" i="6"/>
  <c r="J1875" i="6" s="1"/>
  <c r="K1875" i="6"/>
  <c r="H1876" i="6"/>
  <c r="J1876" i="6" s="1"/>
  <c r="K1876" i="6"/>
  <c r="H1877" i="6"/>
  <c r="J1877" i="6" s="1"/>
  <c r="K1877" i="6"/>
  <c r="H1878" i="6"/>
  <c r="J1878" i="6" s="1"/>
  <c r="K1878" i="6"/>
  <c r="H1879" i="6"/>
  <c r="J1879" i="6" s="1"/>
  <c r="K1879" i="6"/>
  <c r="H1880" i="6"/>
  <c r="J1880" i="6" s="1"/>
  <c r="K1880" i="6"/>
  <c r="H1881" i="6"/>
  <c r="J1881" i="6" s="1"/>
  <c r="K1881" i="6"/>
  <c r="H1882" i="6"/>
  <c r="J1882" i="6" s="1"/>
  <c r="K1882" i="6"/>
  <c r="H1883" i="6"/>
  <c r="J1883" i="6" s="1"/>
  <c r="K1883" i="6"/>
  <c r="H1884" i="6"/>
  <c r="J1884" i="6" s="1"/>
  <c r="K1884" i="6"/>
  <c r="H1885" i="6"/>
  <c r="J1885" i="6" s="1"/>
  <c r="K1885" i="6"/>
  <c r="H1886" i="6"/>
  <c r="J1886" i="6" s="1"/>
  <c r="K1886" i="6"/>
  <c r="H1887" i="6"/>
  <c r="J1887" i="6" s="1"/>
  <c r="K1887" i="6"/>
  <c r="H1888" i="6"/>
  <c r="J1888" i="6" s="1"/>
  <c r="K1888" i="6"/>
  <c r="H1889" i="6"/>
  <c r="J1889" i="6" s="1"/>
  <c r="K1889" i="6"/>
  <c r="H1890" i="6"/>
  <c r="J1890" i="6" s="1"/>
  <c r="K1890" i="6"/>
  <c r="H1891" i="6"/>
  <c r="J1891" i="6" s="1"/>
  <c r="K1891" i="6"/>
  <c r="H1892" i="6"/>
  <c r="J1892" i="6" s="1"/>
  <c r="K1892" i="6"/>
  <c r="H1893" i="6"/>
  <c r="J1893" i="6" s="1"/>
  <c r="K1893" i="6"/>
  <c r="H1894" i="6"/>
  <c r="J1894" i="6" s="1"/>
  <c r="K1894" i="6"/>
  <c r="H1895" i="6"/>
  <c r="J1895" i="6" s="1"/>
  <c r="K1895" i="6"/>
  <c r="H1896" i="6"/>
  <c r="J1896" i="6" s="1"/>
  <c r="K1896" i="6"/>
  <c r="H1897" i="6"/>
  <c r="J1897" i="6" s="1"/>
  <c r="K1897" i="6"/>
  <c r="H1898" i="6"/>
  <c r="J1898" i="6" s="1"/>
  <c r="K1898" i="6"/>
  <c r="H1899" i="6"/>
  <c r="J1899" i="6" s="1"/>
  <c r="K1899" i="6"/>
  <c r="H1900" i="6"/>
  <c r="J1900" i="6" s="1"/>
  <c r="K1900" i="6"/>
  <c r="H1901" i="6"/>
  <c r="J1901" i="6" s="1"/>
  <c r="K1901" i="6"/>
  <c r="H1902" i="6"/>
  <c r="J1902" i="6" s="1"/>
  <c r="K1902" i="6"/>
  <c r="H1903" i="6"/>
  <c r="J1903" i="6" s="1"/>
  <c r="K1903" i="6"/>
  <c r="H1904" i="6"/>
  <c r="J1904" i="6" s="1"/>
  <c r="K1904" i="6"/>
  <c r="H1905" i="6"/>
  <c r="J1905" i="6" s="1"/>
  <c r="K1905" i="6"/>
  <c r="H1906" i="6"/>
  <c r="J1906" i="6" s="1"/>
  <c r="K1906" i="6"/>
  <c r="H1907" i="6"/>
  <c r="J1907" i="6" s="1"/>
  <c r="K1907" i="6"/>
  <c r="H1908" i="6"/>
  <c r="J1908" i="6" s="1"/>
  <c r="K1908" i="6"/>
  <c r="H1909" i="6"/>
  <c r="J1909" i="6" s="1"/>
  <c r="K1909" i="6"/>
  <c r="H1910" i="6"/>
  <c r="J1910" i="6" s="1"/>
  <c r="K1910" i="6"/>
  <c r="H1911" i="6"/>
  <c r="J1911" i="6" s="1"/>
  <c r="K1911" i="6"/>
  <c r="H1912" i="6"/>
  <c r="J1912" i="6" s="1"/>
  <c r="K1912" i="6"/>
  <c r="H1913" i="6"/>
  <c r="J1913" i="6" s="1"/>
  <c r="K1913" i="6"/>
  <c r="H1914" i="6"/>
  <c r="J1914" i="6" s="1"/>
  <c r="K1914" i="6"/>
  <c r="H1915" i="6"/>
  <c r="J1915" i="6" s="1"/>
  <c r="K1915" i="6"/>
  <c r="H1916" i="6"/>
  <c r="J1916" i="6" s="1"/>
  <c r="K1916" i="6"/>
  <c r="H1917" i="6"/>
  <c r="J1917" i="6" s="1"/>
  <c r="K1917" i="6"/>
  <c r="H1918" i="6"/>
  <c r="J1918" i="6" s="1"/>
  <c r="K1918" i="6"/>
  <c r="H1919" i="6"/>
  <c r="J1919" i="6" s="1"/>
  <c r="K1919" i="6"/>
  <c r="H1920" i="6"/>
  <c r="J1920" i="6" s="1"/>
  <c r="K1920" i="6"/>
  <c r="H1921" i="6"/>
  <c r="J1921" i="6" s="1"/>
  <c r="K1921" i="6"/>
  <c r="H1922" i="6"/>
  <c r="J1922" i="6" s="1"/>
  <c r="K1922" i="6"/>
  <c r="H1923" i="6"/>
  <c r="J1923" i="6" s="1"/>
  <c r="K1923" i="6"/>
  <c r="H1924" i="6"/>
  <c r="J1924" i="6" s="1"/>
  <c r="K1924" i="6"/>
  <c r="H1925" i="6"/>
  <c r="J1925" i="6" s="1"/>
  <c r="K1925" i="6"/>
  <c r="H1926" i="6"/>
  <c r="J1926" i="6" s="1"/>
  <c r="K1926" i="6"/>
  <c r="H1927" i="6"/>
  <c r="J1927" i="6" s="1"/>
  <c r="K1927" i="6"/>
  <c r="H1928" i="6"/>
  <c r="J1928" i="6" s="1"/>
  <c r="K1928" i="6"/>
  <c r="H1929" i="6"/>
  <c r="J1929" i="6" s="1"/>
  <c r="K1929" i="6"/>
  <c r="H1930" i="6"/>
  <c r="J1930" i="6" s="1"/>
  <c r="K1930" i="6"/>
  <c r="H1931" i="6"/>
  <c r="J1931" i="6" s="1"/>
  <c r="K1931" i="6"/>
  <c r="H1932" i="6"/>
  <c r="J1932" i="6" s="1"/>
  <c r="K1932" i="6"/>
  <c r="H1933" i="6"/>
  <c r="J1933" i="6" s="1"/>
  <c r="K1933" i="6"/>
  <c r="H1934" i="6"/>
  <c r="J1934" i="6" s="1"/>
  <c r="K1934" i="6"/>
  <c r="H1935" i="6"/>
  <c r="J1935" i="6" s="1"/>
  <c r="K1935" i="6"/>
  <c r="H1936" i="6"/>
  <c r="J1936" i="6" s="1"/>
  <c r="K1936" i="6"/>
  <c r="H1937" i="6"/>
  <c r="J1937" i="6" s="1"/>
  <c r="K1937" i="6"/>
  <c r="H1938" i="6"/>
  <c r="J1938" i="6" s="1"/>
  <c r="K1938" i="6"/>
  <c r="H1939" i="6"/>
  <c r="J1939" i="6" s="1"/>
  <c r="K1939" i="6"/>
  <c r="H1940" i="6"/>
  <c r="J1940" i="6" s="1"/>
  <c r="K1940" i="6"/>
  <c r="H1941" i="6"/>
  <c r="J1941" i="6" s="1"/>
  <c r="K1941" i="6"/>
  <c r="H1942" i="6"/>
  <c r="J1942" i="6" s="1"/>
  <c r="K1942" i="6"/>
  <c r="H1943" i="6"/>
  <c r="J1943" i="6" s="1"/>
  <c r="K1943" i="6"/>
  <c r="H1944" i="6"/>
  <c r="J1944" i="6" s="1"/>
  <c r="K1944" i="6"/>
  <c r="H1945" i="6"/>
  <c r="J1945" i="6" s="1"/>
  <c r="K1945" i="6"/>
  <c r="H1946" i="6"/>
  <c r="J1946" i="6" s="1"/>
  <c r="K1946" i="6"/>
  <c r="H1947" i="6"/>
  <c r="J1947" i="6" s="1"/>
  <c r="K1947" i="6"/>
  <c r="H1948" i="6"/>
  <c r="J1948" i="6" s="1"/>
  <c r="K1948" i="6"/>
  <c r="H1949" i="6"/>
  <c r="J1949" i="6" s="1"/>
  <c r="K1949" i="6"/>
  <c r="H1950" i="6"/>
  <c r="J1950" i="6" s="1"/>
  <c r="K1950" i="6"/>
  <c r="H1951" i="6"/>
  <c r="J1951" i="6" s="1"/>
  <c r="K1951" i="6"/>
  <c r="H1952" i="6"/>
  <c r="J1952" i="6" s="1"/>
  <c r="K1952" i="6"/>
  <c r="H1953" i="6"/>
  <c r="J1953" i="6" s="1"/>
  <c r="K1953" i="6"/>
  <c r="H1954" i="6"/>
  <c r="J1954" i="6" s="1"/>
  <c r="K1954" i="6"/>
  <c r="H1955" i="6"/>
  <c r="J1955" i="6" s="1"/>
  <c r="K1955" i="6"/>
  <c r="H1956" i="6"/>
  <c r="J1956" i="6" s="1"/>
  <c r="K1956" i="6"/>
  <c r="H1957" i="6"/>
  <c r="J1957" i="6" s="1"/>
  <c r="K1957" i="6"/>
  <c r="H1958" i="6"/>
  <c r="J1958" i="6" s="1"/>
  <c r="K1958" i="6"/>
  <c r="H1959" i="6"/>
  <c r="J1959" i="6" s="1"/>
  <c r="K1959" i="6"/>
  <c r="H1960" i="6"/>
  <c r="J1960" i="6" s="1"/>
  <c r="K1960" i="6"/>
  <c r="H1961" i="6"/>
  <c r="J1961" i="6" s="1"/>
  <c r="K1961" i="6"/>
  <c r="H1962" i="6"/>
  <c r="J1962" i="6" s="1"/>
  <c r="K1962" i="6"/>
  <c r="H1963" i="6"/>
  <c r="J1963" i="6" s="1"/>
  <c r="K1963" i="6"/>
  <c r="H1964" i="6"/>
  <c r="J1964" i="6" s="1"/>
  <c r="K1964" i="6"/>
  <c r="H1965" i="6"/>
  <c r="J1965" i="6" s="1"/>
  <c r="K1965" i="6"/>
  <c r="H1966" i="6"/>
  <c r="J1966" i="6" s="1"/>
  <c r="K1966" i="6"/>
  <c r="H1967" i="6"/>
  <c r="J1967" i="6" s="1"/>
  <c r="K1967" i="6"/>
  <c r="H1968" i="6"/>
  <c r="J1968" i="6" s="1"/>
  <c r="K1968" i="6"/>
  <c r="H1969" i="6"/>
  <c r="J1969" i="6" s="1"/>
  <c r="K1969" i="6"/>
  <c r="H1970" i="6"/>
  <c r="J1970" i="6" s="1"/>
  <c r="K1970" i="6"/>
  <c r="H1971" i="6"/>
  <c r="J1971" i="6" s="1"/>
  <c r="K1971" i="6"/>
  <c r="H1972" i="6"/>
  <c r="J1972" i="6" s="1"/>
  <c r="K1972" i="6"/>
  <c r="H1973" i="6"/>
  <c r="J1973" i="6" s="1"/>
  <c r="K1973" i="6"/>
  <c r="H1974" i="6"/>
  <c r="J1974" i="6" s="1"/>
  <c r="K1974" i="6"/>
  <c r="H1975" i="6"/>
  <c r="J1975" i="6" s="1"/>
  <c r="K1975" i="6"/>
  <c r="H1976" i="6"/>
  <c r="J1976" i="6" s="1"/>
  <c r="K1976" i="6"/>
  <c r="H1977" i="6"/>
  <c r="J1977" i="6" s="1"/>
  <c r="K1977" i="6"/>
  <c r="H1978" i="6"/>
  <c r="J1978" i="6" s="1"/>
  <c r="K1978" i="6"/>
  <c r="H1979" i="6"/>
  <c r="J1979" i="6" s="1"/>
  <c r="K1979" i="6"/>
  <c r="H1980" i="6"/>
  <c r="J1980" i="6" s="1"/>
  <c r="K1980" i="6"/>
  <c r="H1981" i="6"/>
  <c r="J1981" i="6" s="1"/>
  <c r="K1981" i="6"/>
  <c r="H1982" i="6"/>
  <c r="J1982" i="6" s="1"/>
  <c r="K1982" i="6"/>
  <c r="H1983" i="6"/>
  <c r="J1983" i="6" s="1"/>
  <c r="K1983" i="6"/>
  <c r="H1984" i="6"/>
  <c r="J1984" i="6" s="1"/>
  <c r="K1984" i="6"/>
  <c r="H1985" i="6"/>
  <c r="J1985" i="6" s="1"/>
  <c r="K1985" i="6"/>
  <c r="H1986" i="6"/>
  <c r="J1986" i="6" s="1"/>
  <c r="K1986" i="6"/>
  <c r="H1987" i="6"/>
  <c r="J1987" i="6" s="1"/>
  <c r="K1987" i="6"/>
  <c r="H1988" i="6"/>
  <c r="J1988" i="6" s="1"/>
  <c r="K1988" i="6"/>
  <c r="H1989" i="6"/>
  <c r="J1989" i="6" s="1"/>
  <c r="K1989" i="6"/>
  <c r="H1990" i="6"/>
  <c r="J1990" i="6" s="1"/>
  <c r="K1990" i="6"/>
  <c r="H1991" i="6"/>
  <c r="J1991" i="6" s="1"/>
  <c r="K1991" i="6"/>
  <c r="H1992" i="6"/>
  <c r="J1992" i="6" s="1"/>
  <c r="K1992" i="6"/>
  <c r="H1993" i="6"/>
  <c r="J1993" i="6" s="1"/>
  <c r="K1993" i="6"/>
  <c r="H1994" i="6"/>
  <c r="J1994" i="6" s="1"/>
  <c r="K1994" i="6"/>
  <c r="H1995" i="6"/>
  <c r="J1995" i="6" s="1"/>
  <c r="K1995" i="6"/>
  <c r="H1996" i="6"/>
  <c r="J1996" i="6" s="1"/>
  <c r="K1996" i="6"/>
  <c r="H1997" i="6"/>
  <c r="J1997" i="6" s="1"/>
  <c r="K1997" i="6"/>
  <c r="H1998" i="6"/>
  <c r="J1998" i="6" s="1"/>
  <c r="K1998" i="6"/>
  <c r="H1999" i="6"/>
  <c r="J1999" i="6" s="1"/>
  <c r="K1999" i="6"/>
  <c r="H2000" i="6"/>
  <c r="J2000" i="6" s="1"/>
  <c r="K2000" i="6"/>
  <c r="H2001" i="6"/>
  <c r="J2001" i="6" s="1"/>
  <c r="K2001" i="6"/>
  <c r="H2002" i="6"/>
  <c r="J2002" i="6" s="1"/>
  <c r="K2002" i="6"/>
  <c r="H2003" i="6"/>
  <c r="J2003" i="6" s="1"/>
  <c r="K2003" i="6"/>
  <c r="H2004" i="6"/>
  <c r="J2004" i="6" s="1"/>
  <c r="K2004" i="6"/>
  <c r="H2005" i="6"/>
  <c r="J2005" i="6" s="1"/>
  <c r="K2005" i="6"/>
  <c r="H2006" i="6"/>
  <c r="J2006" i="6" s="1"/>
  <c r="K2006" i="6"/>
  <c r="H2007" i="6"/>
  <c r="J2007" i="6" s="1"/>
  <c r="K2007" i="6"/>
  <c r="H2008" i="6"/>
  <c r="J2008" i="6" s="1"/>
  <c r="K2008" i="6"/>
  <c r="H2009" i="6"/>
  <c r="J2009" i="6" s="1"/>
  <c r="K2009" i="6"/>
  <c r="H2010" i="6"/>
  <c r="J2010" i="6" s="1"/>
  <c r="K2010" i="6"/>
  <c r="H2011" i="6"/>
  <c r="J2011" i="6" s="1"/>
  <c r="K2011" i="6"/>
  <c r="H2012" i="6"/>
  <c r="J2012" i="6" s="1"/>
  <c r="K2012" i="6"/>
  <c r="H2013" i="6"/>
  <c r="J2013" i="6" s="1"/>
  <c r="K2013" i="6"/>
  <c r="H2014" i="6"/>
  <c r="J2014" i="6" s="1"/>
  <c r="K2014" i="6"/>
  <c r="H2015" i="6"/>
  <c r="J2015" i="6" s="1"/>
  <c r="K2015" i="6"/>
  <c r="H2016" i="6"/>
  <c r="J2016" i="6" s="1"/>
  <c r="K2016" i="6"/>
  <c r="H2017" i="6"/>
  <c r="J2017" i="6" s="1"/>
  <c r="K2017" i="6"/>
  <c r="H2018" i="6"/>
  <c r="J2018" i="6" s="1"/>
  <c r="K2018" i="6"/>
  <c r="H2019" i="6"/>
  <c r="J2019" i="6" s="1"/>
  <c r="K2019" i="6"/>
  <c r="H2020" i="6"/>
  <c r="J2020" i="6" s="1"/>
  <c r="K2020" i="6"/>
  <c r="H2021" i="6"/>
  <c r="J2021" i="6" s="1"/>
  <c r="K2021" i="6"/>
  <c r="H2022" i="6"/>
  <c r="J2022" i="6" s="1"/>
  <c r="K2022" i="6"/>
  <c r="H2023" i="6"/>
  <c r="J2023" i="6" s="1"/>
  <c r="K2023" i="6"/>
  <c r="H2024" i="6"/>
  <c r="J2024" i="6" s="1"/>
  <c r="K2024" i="6"/>
  <c r="H2025" i="6"/>
  <c r="J2025" i="6" s="1"/>
  <c r="K2025" i="6"/>
  <c r="H2026" i="6"/>
  <c r="J2026" i="6" s="1"/>
  <c r="K2026" i="6"/>
  <c r="H2027" i="6"/>
  <c r="J2027" i="6" s="1"/>
  <c r="K2027" i="6"/>
  <c r="H2028" i="6"/>
  <c r="J2028" i="6" s="1"/>
  <c r="K2028" i="6"/>
  <c r="H2029" i="6"/>
  <c r="J2029" i="6" s="1"/>
  <c r="K2029" i="6"/>
  <c r="H2030" i="6"/>
  <c r="J2030" i="6" s="1"/>
  <c r="K2030" i="6"/>
  <c r="H2031" i="6"/>
  <c r="J2031" i="6" s="1"/>
  <c r="K2031" i="6"/>
  <c r="H2032" i="6"/>
  <c r="J2032" i="6" s="1"/>
  <c r="K2032" i="6"/>
  <c r="H2033" i="6"/>
  <c r="J2033" i="6" s="1"/>
  <c r="K2033" i="6"/>
  <c r="H2034" i="6"/>
  <c r="J2034" i="6" s="1"/>
  <c r="K2034" i="6"/>
  <c r="H2035" i="6"/>
  <c r="J2035" i="6" s="1"/>
  <c r="K2035" i="6"/>
  <c r="H2036" i="6"/>
  <c r="J2036" i="6" s="1"/>
  <c r="K2036" i="6"/>
  <c r="H2037" i="6"/>
  <c r="J2037" i="6" s="1"/>
  <c r="K2037" i="6"/>
  <c r="H2038" i="6"/>
  <c r="J2038" i="6" s="1"/>
  <c r="K2038" i="6"/>
  <c r="H2039" i="6"/>
  <c r="J2039" i="6" s="1"/>
  <c r="K2039" i="6"/>
  <c r="H2040" i="6"/>
  <c r="J2040" i="6" s="1"/>
  <c r="K2040" i="6"/>
  <c r="H2041" i="6"/>
  <c r="J2041" i="6" s="1"/>
  <c r="K2041" i="6"/>
  <c r="H2042" i="6"/>
  <c r="J2042" i="6" s="1"/>
  <c r="K2042" i="6"/>
  <c r="H2043" i="6"/>
  <c r="J2043" i="6" s="1"/>
  <c r="K2043" i="6"/>
  <c r="H2044" i="6"/>
  <c r="J2044" i="6" s="1"/>
  <c r="K2044" i="6"/>
  <c r="H2045" i="6"/>
  <c r="J2045" i="6" s="1"/>
  <c r="K2045" i="6"/>
  <c r="H2046" i="6"/>
  <c r="J2046" i="6" s="1"/>
  <c r="K2046" i="6"/>
  <c r="H2047" i="6"/>
  <c r="J2047" i="6" s="1"/>
  <c r="K2047" i="6"/>
  <c r="H2048" i="6"/>
  <c r="J2048" i="6" s="1"/>
  <c r="K2048" i="6"/>
  <c r="H2049" i="6"/>
  <c r="J2049" i="6" s="1"/>
  <c r="K2049" i="6"/>
  <c r="H2050" i="6"/>
  <c r="J2050" i="6" s="1"/>
  <c r="K2050" i="6"/>
  <c r="H2051" i="6"/>
  <c r="J2051" i="6" s="1"/>
  <c r="K2051" i="6"/>
  <c r="H2052" i="6"/>
  <c r="J2052" i="6" s="1"/>
  <c r="K2052" i="6"/>
  <c r="H2053" i="6"/>
  <c r="J2053" i="6" s="1"/>
  <c r="K2053" i="6"/>
  <c r="H2054" i="6"/>
  <c r="J2054" i="6" s="1"/>
  <c r="K2054" i="6"/>
  <c r="H2055" i="6"/>
  <c r="J2055" i="6" s="1"/>
  <c r="K2055" i="6"/>
  <c r="H2056" i="6"/>
  <c r="J2056" i="6" s="1"/>
  <c r="K2056" i="6"/>
  <c r="H2057" i="6"/>
  <c r="J2057" i="6" s="1"/>
  <c r="K2057" i="6"/>
  <c r="H2058" i="6"/>
  <c r="J2058" i="6" s="1"/>
  <c r="K2058" i="6"/>
  <c r="H2059" i="6"/>
  <c r="J2059" i="6" s="1"/>
  <c r="K2059" i="6"/>
  <c r="H2060" i="6"/>
  <c r="J2060" i="6" s="1"/>
  <c r="K2060" i="6"/>
  <c r="H2061" i="6"/>
  <c r="J2061" i="6" s="1"/>
  <c r="K2061" i="6"/>
  <c r="H2062" i="6"/>
  <c r="J2062" i="6" s="1"/>
  <c r="K2062" i="6"/>
  <c r="H2063" i="6"/>
  <c r="J2063" i="6" s="1"/>
  <c r="K2063" i="6"/>
  <c r="H2064" i="6"/>
  <c r="J2064" i="6" s="1"/>
  <c r="K2064" i="6"/>
  <c r="H2065" i="6"/>
  <c r="J2065" i="6" s="1"/>
  <c r="K2065" i="6"/>
  <c r="H2066" i="6"/>
  <c r="J2066" i="6" s="1"/>
  <c r="K2066" i="6"/>
  <c r="H2067" i="6"/>
  <c r="J2067" i="6" s="1"/>
  <c r="K2067" i="6"/>
  <c r="H2068" i="6"/>
  <c r="J2068" i="6" s="1"/>
  <c r="K2068" i="6"/>
  <c r="H2069" i="6"/>
  <c r="J2069" i="6" s="1"/>
  <c r="K2069" i="6"/>
  <c r="H2070" i="6"/>
  <c r="J2070" i="6" s="1"/>
  <c r="K2070" i="6"/>
  <c r="H2071" i="6"/>
  <c r="J2071" i="6" s="1"/>
  <c r="K2071" i="6"/>
  <c r="H2072" i="6"/>
  <c r="J2072" i="6" s="1"/>
  <c r="K2072" i="6"/>
  <c r="H2073" i="6"/>
  <c r="J2073" i="6" s="1"/>
  <c r="K2073" i="6"/>
  <c r="H2074" i="6"/>
  <c r="J2074" i="6" s="1"/>
  <c r="K2074" i="6"/>
  <c r="H2075" i="6"/>
  <c r="J2075" i="6" s="1"/>
  <c r="K2075" i="6"/>
  <c r="H2076" i="6"/>
  <c r="J2076" i="6" s="1"/>
  <c r="K2076" i="6"/>
  <c r="H2077" i="6"/>
  <c r="J2077" i="6" s="1"/>
  <c r="K2077" i="6"/>
  <c r="H2078" i="6"/>
  <c r="J2078" i="6" s="1"/>
  <c r="K2078" i="6"/>
  <c r="H2079" i="6"/>
  <c r="J2079" i="6" s="1"/>
  <c r="K2079" i="6"/>
  <c r="H2080" i="6"/>
  <c r="J2080" i="6" s="1"/>
  <c r="K2080" i="6"/>
  <c r="H2081" i="6"/>
  <c r="J2081" i="6" s="1"/>
  <c r="K2081" i="6"/>
  <c r="H2082" i="6"/>
  <c r="J2082" i="6" s="1"/>
  <c r="K2082" i="6"/>
  <c r="H2083" i="6"/>
  <c r="J2083" i="6" s="1"/>
  <c r="K2083" i="6"/>
  <c r="H2084" i="6"/>
  <c r="J2084" i="6" s="1"/>
  <c r="K2084" i="6"/>
  <c r="H2085" i="6"/>
  <c r="J2085" i="6" s="1"/>
  <c r="K2085" i="6"/>
  <c r="H2086" i="6"/>
  <c r="J2086" i="6" s="1"/>
  <c r="K2086" i="6"/>
  <c r="H2087" i="6"/>
  <c r="J2087" i="6" s="1"/>
  <c r="K2087" i="6"/>
  <c r="H2088" i="6"/>
  <c r="J2088" i="6" s="1"/>
  <c r="K2088" i="6"/>
  <c r="H2089" i="6"/>
  <c r="J2089" i="6" s="1"/>
  <c r="K2089" i="6"/>
  <c r="H2090" i="6"/>
  <c r="J2090" i="6" s="1"/>
  <c r="K2090" i="6"/>
  <c r="H2091" i="6"/>
  <c r="J2091" i="6" s="1"/>
  <c r="K2091" i="6"/>
  <c r="H2092" i="6"/>
  <c r="J2092" i="6" s="1"/>
  <c r="K2092" i="6"/>
  <c r="H2093" i="6"/>
  <c r="J2093" i="6" s="1"/>
  <c r="K2093" i="6"/>
  <c r="H2094" i="6"/>
  <c r="J2094" i="6" s="1"/>
  <c r="K2094" i="6"/>
  <c r="H2095" i="6"/>
  <c r="J2095" i="6" s="1"/>
  <c r="K2095" i="6"/>
  <c r="H2096" i="6"/>
  <c r="J2096" i="6" s="1"/>
  <c r="K2096" i="6"/>
  <c r="H2097" i="6"/>
  <c r="J2097" i="6" s="1"/>
  <c r="K2097" i="6"/>
  <c r="H2098" i="6"/>
  <c r="J2098" i="6" s="1"/>
  <c r="K2098" i="6"/>
  <c r="H2099" i="6"/>
  <c r="J2099" i="6" s="1"/>
  <c r="K2099" i="6"/>
  <c r="H2100" i="6"/>
  <c r="J2100" i="6" s="1"/>
  <c r="K2100" i="6"/>
  <c r="H2101" i="6"/>
  <c r="J2101" i="6" s="1"/>
  <c r="K2101" i="6"/>
  <c r="H2102" i="6"/>
  <c r="J2102" i="6" s="1"/>
  <c r="K2102" i="6"/>
  <c r="H2103" i="6"/>
  <c r="J2103" i="6" s="1"/>
  <c r="K2103" i="6"/>
  <c r="H2104" i="6"/>
  <c r="J2104" i="6" s="1"/>
  <c r="K2104" i="6"/>
  <c r="H2105" i="6"/>
  <c r="J2105" i="6" s="1"/>
  <c r="K2105" i="6"/>
  <c r="H2106" i="6"/>
  <c r="J2106" i="6" s="1"/>
  <c r="K2106" i="6"/>
  <c r="H2107" i="6"/>
  <c r="J2107" i="6" s="1"/>
  <c r="K2107" i="6"/>
  <c r="H2108" i="6"/>
  <c r="J2108" i="6" s="1"/>
  <c r="K2108" i="6"/>
  <c r="H2109" i="6"/>
  <c r="J2109" i="6" s="1"/>
  <c r="K2109" i="6"/>
  <c r="H2110" i="6"/>
  <c r="J2110" i="6" s="1"/>
  <c r="K2110" i="6"/>
  <c r="H2111" i="6"/>
  <c r="J2111" i="6" s="1"/>
  <c r="K2111" i="6"/>
  <c r="H2112" i="6"/>
  <c r="J2112" i="6" s="1"/>
  <c r="K2112" i="6"/>
  <c r="H2113" i="6"/>
  <c r="J2113" i="6" s="1"/>
  <c r="K2113" i="6"/>
  <c r="H2114" i="6"/>
  <c r="J2114" i="6" s="1"/>
  <c r="K2114" i="6"/>
  <c r="H2115" i="6"/>
  <c r="J2115" i="6" s="1"/>
  <c r="K2115" i="6"/>
  <c r="H2116" i="6"/>
  <c r="J2116" i="6" s="1"/>
  <c r="K2116" i="6"/>
  <c r="H2117" i="6"/>
  <c r="J2117" i="6" s="1"/>
  <c r="K2117" i="6"/>
  <c r="H2118" i="6"/>
  <c r="J2118" i="6" s="1"/>
  <c r="K2118" i="6"/>
  <c r="H2119" i="6"/>
  <c r="J2119" i="6" s="1"/>
  <c r="K2119" i="6"/>
  <c r="H2120" i="6"/>
  <c r="J2120" i="6" s="1"/>
  <c r="K2120" i="6"/>
  <c r="H2121" i="6"/>
  <c r="J2121" i="6" s="1"/>
  <c r="K2121" i="6"/>
  <c r="H2122" i="6"/>
  <c r="J2122" i="6" s="1"/>
  <c r="K2122" i="6"/>
  <c r="H2123" i="6"/>
  <c r="J2123" i="6" s="1"/>
  <c r="K2123" i="6"/>
  <c r="H2124" i="6"/>
  <c r="J2124" i="6" s="1"/>
  <c r="K2124" i="6"/>
  <c r="H2125" i="6"/>
  <c r="J2125" i="6" s="1"/>
  <c r="K2125" i="6"/>
  <c r="H2126" i="6"/>
  <c r="J2126" i="6" s="1"/>
  <c r="K2126" i="6"/>
  <c r="H2127" i="6"/>
  <c r="J2127" i="6" s="1"/>
  <c r="K2127" i="6"/>
  <c r="H2128" i="6"/>
  <c r="J2128" i="6" s="1"/>
  <c r="K2128" i="6"/>
  <c r="H2129" i="6"/>
  <c r="J2129" i="6" s="1"/>
  <c r="K2129" i="6"/>
  <c r="H2130" i="6"/>
  <c r="J2130" i="6" s="1"/>
  <c r="K2130" i="6"/>
  <c r="H2131" i="6"/>
  <c r="J2131" i="6" s="1"/>
  <c r="K2131" i="6"/>
  <c r="H2132" i="6"/>
  <c r="J2132" i="6" s="1"/>
  <c r="K2132" i="6"/>
  <c r="H2133" i="6"/>
  <c r="J2133" i="6" s="1"/>
  <c r="K2133" i="6"/>
  <c r="H2134" i="6"/>
  <c r="J2134" i="6" s="1"/>
  <c r="K2134" i="6"/>
  <c r="H2135" i="6"/>
  <c r="J2135" i="6" s="1"/>
  <c r="K2135" i="6"/>
  <c r="H2136" i="6"/>
  <c r="J2136" i="6" s="1"/>
  <c r="K2136" i="6"/>
  <c r="H2137" i="6"/>
  <c r="J2137" i="6" s="1"/>
  <c r="K2137" i="6"/>
  <c r="H2138" i="6"/>
  <c r="J2138" i="6" s="1"/>
  <c r="K2138" i="6"/>
  <c r="H2139" i="6"/>
  <c r="J2139" i="6" s="1"/>
  <c r="K2139" i="6"/>
  <c r="H2140" i="6"/>
  <c r="J2140" i="6" s="1"/>
  <c r="K2140" i="6"/>
  <c r="H2141" i="6"/>
  <c r="J2141" i="6" s="1"/>
  <c r="K2141" i="6"/>
  <c r="H2142" i="6"/>
  <c r="J2142" i="6" s="1"/>
  <c r="K2142" i="6"/>
  <c r="H2143" i="6"/>
  <c r="J2143" i="6" s="1"/>
  <c r="K2143" i="6"/>
  <c r="H2144" i="6"/>
  <c r="J2144" i="6" s="1"/>
  <c r="K2144" i="6"/>
  <c r="H2145" i="6"/>
  <c r="J2145" i="6" s="1"/>
  <c r="K2145" i="6"/>
  <c r="H2146" i="6"/>
  <c r="J2146" i="6" s="1"/>
  <c r="K2146" i="6"/>
  <c r="H2147" i="6"/>
  <c r="J2147" i="6" s="1"/>
  <c r="K2147" i="6"/>
  <c r="H2148" i="6"/>
  <c r="J2148" i="6" s="1"/>
  <c r="K2148" i="6"/>
  <c r="H2149" i="6"/>
  <c r="J2149" i="6" s="1"/>
  <c r="K2149" i="6"/>
  <c r="H2150" i="6"/>
  <c r="J2150" i="6" s="1"/>
  <c r="K2150" i="6"/>
  <c r="H2151" i="6"/>
  <c r="J2151" i="6" s="1"/>
  <c r="K2151" i="6"/>
  <c r="H2152" i="6"/>
  <c r="J2152" i="6" s="1"/>
  <c r="K2152" i="6"/>
  <c r="H2153" i="6"/>
  <c r="J2153" i="6" s="1"/>
  <c r="K2153" i="6"/>
  <c r="H2154" i="6"/>
  <c r="J2154" i="6" s="1"/>
  <c r="K2154" i="6"/>
  <c r="H2155" i="6"/>
  <c r="J2155" i="6" s="1"/>
  <c r="K2155" i="6"/>
  <c r="H2156" i="6"/>
  <c r="J2156" i="6" s="1"/>
  <c r="K2156" i="6"/>
  <c r="H2157" i="6"/>
  <c r="J2157" i="6" s="1"/>
  <c r="K2157" i="6"/>
  <c r="H2158" i="6"/>
  <c r="J2158" i="6" s="1"/>
  <c r="K2158" i="6"/>
  <c r="H2159" i="6"/>
  <c r="J2159" i="6" s="1"/>
  <c r="K2159" i="6"/>
  <c r="H2160" i="6"/>
  <c r="J2160" i="6" s="1"/>
  <c r="K2160" i="6"/>
  <c r="H2161" i="6"/>
  <c r="J2161" i="6" s="1"/>
  <c r="K2161" i="6"/>
  <c r="H2162" i="6"/>
  <c r="J2162" i="6" s="1"/>
  <c r="K2162" i="6"/>
  <c r="H2163" i="6"/>
  <c r="J2163" i="6" s="1"/>
  <c r="K2163" i="6"/>
  <c r="H2164" i="6"/>
  <c r="J2164" i="6" s="1"/>
  <c r="K2164" i="6"/>
  <c r="H2165" i="6"/>
  <c r="J2165" i="6" s="1"/>
  <c r="K2165" i="6"/>
  <c r="H2166" i="6"/>
  <c r="J2166" i="6" s="1"/>
  <c r="K2166" i="6"/>
  <c r="H2167" i="6"/>
  <c r="J2167" i="6" s="1"/>
  <c r="K2167" i="6"/>
  <c r="H2168" i="6"/>
  <c r="J2168" i="6" s="1"/>
  <c r="K2168" i="6"/>
  <c r="H2169" i="6"/>
  <c r="J2169" i="6" s="1"/>
  <c r="K2169" i="6"/>
  <c r="H2170" i="6"/>
  <c r="J2170" i="6" s="1"/>
  <c r="K2170" i="6"/>
  <c r="H2171" i="6"/>
  <c r="J2171" i="6" s="1"/>
  <c r="K2171" i="6"/>
  <c r="H2172" i="6"/>
  <c r="J2172" i="6" s="1"/>
  <c r="K2172" i="6"/>
  <c r="H2173" i="6"/>
  <c r="J2173" i="6" s="1"/>
  <c r="K2173" i="6"/>
  <c r="H2174" i="6"/>
  <c r="J2174" i="6" s="1"/>
  <c r="K2174" i="6"/>
  <c r="H2175" i="6"/>
  <c r="J2175" i="6" s="1"/>
  <c r="K2175" i="6"/>
  <c r="H2176" i="6"/>
  <c r="J2176" i="6" s="1"/>
  <c r="K2176" i="6"/>
  <c r="H2177" i="6"/>
  <c r="J2177" i="6" s="1"/>
  <c r="K2177" i="6"/>
  <c r="H2178" i="6"/>
  <c r="J2178" i="6" s="1"/>
  <c r="K2178" i="6"/>
  <c r="H2179" i="6"/>
  <c r="J2179" i="6" s="1"/>
  <c r="K2179" i="6"/>
  <c r="H2180" i="6"/>
  <c r="J2180" i="6" s="1"/>
  <c r="K2180" i="6"/>
  <c r="H2181" i="6"/>
  <c r="J2181" i="6" s="1"/>
  <c r="K2181" i="6"/>
  <c r="H2182" i="6"/>
  <c r="J2182" i="6" s="1"/>
  <c r="K2182" i="6"/>
  <c r="H2183" i="6"/>
  <c r="J2183" i="6" s="1"/>
  <c r="K2183" i="6"/>
  <c r="H2184" i="6"/>
  <c r="J2184" i="6" s="1"/>
  <c r="K2184" i="6"/>
  <c r="H2185" i="6"/>
  <c r="J2185" i="6" s="1"/>
  <c r="K2185" i="6"/>
  <c r="H2186" i="6"/>
  <c r="J2186" i="6" s="1"/>
  <c r="K2186" i="6"/>
  <c r="H2187" i="6"/>
  <c r="J2187" i="6" s="1"/>
  <c r="K2187" i="6"/>
  <c r="H2188" i="6"/>
  <c r="J2188" i="6" s="1"/>
  <c r="K2188" i="6"/>
  <c r="H2189" i="6"/>
  <c r="J2189" i="6" s="1"/>
  <c r="K2189" i="6"/>
  <c r="H2190" i="6"/>
  <c r="J2190" i="6" s="1"/>
  <c r="K2190" i="6"/>
  <c r="H2191" i="6"/>
  <c r="J2191" i="6" s="1"/>
  <c r="K2191" i="6"/>
  <c r="H2192" i="6"/>
  <c r="J2192" i="6" s="1"/>
  <c r="K2192" i="6"/>
  <c r="H2193" i="6"/>
  <c r="J2193" i="6" s="1"/>
  <c r="K2193" i="6"/>
  <c r="H2194" i="6"/>
  <c r="J2194" i="6" s="1"/>
  <c r="K2194" i="6"/>
  <c r="H1735" i="6"/>
  <c r="J1735" i="6" s="1"/>
  <c r="K1735" i="6"/>
  <c r="H1736" i="6"/>
  <c r="J1736" i="6" s="1"/>
  <c r="K1736" i="6"/>
  <c r="H1737" i="6"/>
  <c r="J1737" i="6" s="1"/>
  <c r="K1737" i="6"/>
  <c r="H1738" i="6"/>
  <c r="J1738" i="6" s="1"/>
  <c r="K1738" i="6"/>
  <c r="H1739" i="6"/>
  <c r="J1739" i="6" s="1"/>
  <c r="K1739" i="6"/>
  <c r="H1740" i="6"/>
  <c r="J1740" i="6" s="1"/>
  <c r="K1740" i="6"/>
  <c r="H1741" i="6"/>
  <c r="J1741" i="6" s="1"/>
  <c r="K1741" i="6"/>
  <c r="H1742" i="6"/>
  <c r="J1742" i="6" s="1"/>
  <c r="K1742" i="6"/>
  <c r="H1723" i="6"/>
  <c r="J1723" i="6" s="1"/>
  <c r="K1723" i="6"/>
  <c r="H1724" i="6"/>
  <c r="J1724" i="6" s="1"/>
  <c r="K1724" i="6"/>
  <c r="H1725" i="6"/>
  <c r="J1725" i="6" s="1"/>
  <c r="K1725" i="6"/>
  <c r="H1726" i="6"/>
  <c r="J1726" i="6" s="1"/>
  <c r="K1726" i="6"/>
  <c r="H1727" i="6"/>
  <c r="J1727" i="6" s="1"/>
  <c r="K1727" i="6"/>
  <c r="H1728" i="6"/>
  <c r="J1728" i="6" s="1"/>
  <c r="K1728" i="6"/>
  <c r="H1729" i="6"/>
  <c r="J1729" i="6" s="1"/>
  <c r="K1729" i="6"/>
  <c r="H1730" i="6"/>
  <c r="J1730" i="6" s="1"/>
  <c r="K1730" i="6"/>
  <c r="H1731" i="6"/>
  <c r="J1731" i="6" s="1"/>
  <c r="K1731" i="6"/>
  <c r="H1732" i="6"/>
  <c r="J1732" i="6" s="1"/>
  <c r="K1732" i="6"/>
  <c r="H1733" i="6"/>
  <c r="J1733" i="6" s="1"/>
  <c r="K1733" i="6"/>
  <c r="H1734" i="6"/>
  <c r="J1734" i="6" s="1"/>
  <c r="K1734" i="6"/>
  <c r="F3406" i="6"/>
  <c r="F3405" i="6"/>
  <c r="F3404" i="6"/>
  <c r="F3403" i="6"/>
  <c r="F3402" i="6"/>
  <c r="F3401" i="6"/>
  <c r="F3400" i="6"/>
  <c r="F3399" i="6"/>
  <c r="F3398" i="6"/>
  <c r="F3397" i="6"/>
  <c r="F3396" i="6"/>
  <c r="F3395" i="6"/>
  <c r="F3394" i="6"/>
  <c r="F3393" i="6"/>
  <c r="F3392" i="6"/>
  <c r="F3391" i="6"/>
  <c r="F3390" i="6"/>
  <c r="F3389" i="6"/>
  <c r="F3388" i="6"/>
  <c r="F3387" i="6"/>
  <c r="F3386" i="6"/>
  <c r="F3385" i="6"/>
  <c r="F3384" i="6"/>
  <c r="F3383" i="6"/>
  <c r="F3382" i="6"/>
  <c r="F3381" i="6"/>
  <c r="F3380" i="6"/>
  <c r="F3379" i="6"/>
  <c r="F3378" i="6"/>
  <c r="F3377" i="6"/>
  <c r="F3376" i="6"/>
  <c r="F3375" i="6"/>
  <c r="F3374" i="6"/>
  <c r="F3373" i="6"/>
  <c r="F3372" i="6"/>
  <c r="F3371" i="6"/>
  <c r="F3370" i="6"/>
  <c r="F3369" i="6"/>
  <c r="F3368" i="6"/>
  <c r="F3367" i="6"/>
  <c r="F3366" i="6"/>
  <c r="F3365" i="6"/>
  <c r="F3364" i="6"/>
  <c r="F3363" i="6"/>
  <c r="F3362" i="6"/>
  <c r="F3361" i="6"/>
  <c r="F3360" i="6"/>
  <c r="F3359" i="6"/>
  <c r="F3358" i="6"/>
  <c r="F3357" i="6"/>
  <c r="F3356" i="6"/>
  <c r="F3355" i="6"/>
  <c r="F3354" i="6"/>
  <c r="F3353" i="6"/>
  <c r="F3352" i="6"/>
  <c r="F3351" i="6"/>
  <c r="F3350" i="6"/>
  <c r="F3349" i="6"/>
  <c r="F3348" i="6"/>
  <c r="F3347" i="6"/>
  <c r="F3346" i="6"/>
  <c r="F3345" i="6"/>
  <c r="F3344" i="6"/>
  <c r="F3343" i="6"/>
  <c r="F3342" i="6"/>
  <c r="F3341" i="6"/>
  <c r="F3340" i="6"/>
  <c r="F3339" i="6"/>
  <c r="F3338" i="6"/>
  <c r="F3337" i="6"/>
  <c r="F3336" i="6"/>
  <c r="F3335" i="6"/>
  <c r="F3334" i="6"/>
  <c r="F3333" i="6"/>
  <c r="F3332" i="6"/>
  <c r="F3331" i="6"/>
  <c r="F3330" i="6"/>
  <c r="F3329" i="6"/>
  <c r="F3328" i="6"/>
  <c r="F3327" i="6"/>
  <c r="F3326" i="6"/>
  <c r="F3325" i="6"/>
  <c r="F3324" i="6"/>
  <c r="F3323" i="6"/>
  <c r="F3322" i="6"/>
  <c r="F3321" i="6"/>
  <c r="F3320" i="6"/>
  <c r="F3319" i="6"/>
  <c r="F3318" i="6"/>
  <c r="F3317" i="6"/>
  <c r="F3316" i="6"/>
  <c r="F3315" i="6"/>
  <c r="F3314" i="6"/>
  <c r="F3313" i="6"/>
  <c r="F3312" i="6"/>
  <c r="F3311" i="6"/>
  <c r="F3310" i="6"/>
  <c r="F3309" i="6"/>
  <c r="F3308" i="6"/>
  <c r="F3307" i="6"/>
  <c r="F3306" i="6"/>
  <c r="F3305" i="6"/>
  <c r="F3304" i="6"/>
  <c r="F3303" i="6"/>
  <c r="F3302" i="6"/>
  <c r="F3301" i="6"/>
  <c r="F3300" i="6"/>
  <c r="F3299" i="6"/>
  <c r="F3298" i="6"/>
  <c r="F3297" i="6"/>
  <c r="F3296" i="6"/>
  <c r="F3295" i="6"/>
  <c r="F3294" i="6"/>
  <c r="F3293" i="6"/>
  <c r="F3292" i="6"/>
  <c r="F3291" i="6"/>
  <c r="F3290" i="6"/>
  <c r="F3289" i="6"/>
  <c r="F3288" i="6"/>
  <c r="F3287" i="6"/>
  <c r="F3286" i="6"/>
  <c r="F3285" i="6"/>
  <c r="F3284" i="6"/>
  <c r="F3283" i="6"/>
  <c r="F3282" i="6"/>
  <c r="F3281" i="6"/>
  <c r="F3280" i="6"/>
  <c r="F3279" i="6"/>
  <c r="F3278" i="6"/>
  <c r="F3277" i="6"/>
  <c r="F3276" i="6"/>
  <c r="F3275" i="6"/>
  <c r="F3274" i="6"/>
  <c r="F3273" i="6"/>
  <c r="F3272" i="6"/>
  <c r="F3271" i="6"/>
  <c r="F3270" i="6"/>
  <c r="F3269" i="6"/>
  <c r="F3268" i="6"/>
  <c r="F3267" i="6"/>
  <c r="F3266" i="6"/>
  <c r="F3265" i="6"/>
  <c r="F3264" i="6"/>
  <c r="F3263" i="6"/>
  <c r="F3262" i="6"/>
  <c r="F3261" i="6"/>
  <c r="F3260" i="6"/>
  <c r="F3259" i="6"/>
  <c r="F3258" i="6"/>
  <c r="F3257" i="6"/>
  <c r="F3256" i="6"/>
  <c r="F3255" i="6"/>
  <c r="F3254" i="6"/>
  <c r="F3253" i="6"/>
  <c r="F3252" i="6"/>
  <c r="F3251" i="6"/>
  <c r="F3250" i="6"/>
  <c r="F3249" i="6"/>
  <c r="F3248" i="6"/>
  <c r="F3247" i="6"/>
  <c r="F3246" i="6"/>
  <c r="F3245" i="6"/>
  <c r="F3244" i="6"/>
  <c r="F3243" i="6"/>
  <c r="F3242" i="6"/>
  <c r="F3241" i="6"/>
  <c r="F3240" i="6"/>
  <c r="F3239" i="6"/>
  <c r="F3238" i="6"/>
  <c r="F3237" i="6"/>
  <c r="F3236" i="6"/>
  <c r="F3235" i="6"/>
  <c r="F3234" i="6"/>
  <c r="F3233" i="6"/>
  <c r="F3232" i="6"/>
  <c r="F3231" i="6"/>
  <c r="F3230" i="6"/>
  <c r="F3229" i="6"/>
  <c r="F3228" i="6"/>
  <c r="F3227" i="6"/>
  <c r="F3226" i="6"/>
  <c r="F3225" i="6"/>
  <c r="F3224" i="6"/>
  <c r="F3223" i="6"/>
  <c r="F3222" i="6"/>
  <c r="F3221" i="6"/>
  <c r="F3220" i="6"/>
  <c r="F3219" i="6"/>
  <c r="F3218" i="6"/>
  <c r="F3217" i="6"/>
  <c r="F3216" i="6"/>
  <c r="F3215" i="6"/>
  <c r="F3214" i="6"/>
  <c r="F3213" i="6"/>
  <c r="F3212" i="6"/>
  <c r="F3211" i="6"/>
  <c r="F3210" i="6"/>
  <c r="F3209" i="6"/>
  <c r="F3208" i="6"/>
  <c r="F3207" i="6"/>
  <c r="F3206" i="6"/>
  <c r="F3205" i="6"/>
  <c r="F3204" i="6"/>
  <c r="F3203" i="6"/>
  <c r="F3202" i="6"/>
  <c r="F3201" i="6"/>
  <c r="F3200" i="6"/>
  <c r="F3199" i="6"/>
  <c r="F3198" i="6"/>
  <c r="F3197" i="6"/>
  <c r="F3196" i="6"/>
  <c r="F3195" i="6"/>
  <c r="F3194" i="6"/>
  <c r="F3193" i="6"/>
  <c r="F3192" i="6"/>
  <c r="F3191" i="6"/>
  <c r="F3190" i="6"/>
  <c r="F3189" i="6"/>
  <c r="F3188" i="6"/>
  <c r="F3187" i="6"/>
  <c r="F3186" i="6"/>
  <c r="F3185" i="6"/>
  <c r="F3184" i="6"/>
  <c r="F3183" i="6"/>
  <c r="F3182" i="6"/>
  <c r="F3181" i="6"/>
  <c r="F3180" i="6"/>
  <c r="F3179" i="6"/>
  <c r="F3178" i="6"/>
  <c r="F3177" i="6"/>
  <c r="F3176" i="6"/>
  <c r="F3175" i="6"/>
  <c r="F3174" i="6"/>
  <c r="F3173" i="6"/>
  <c r="F3172" i="6"/>
  <c r="F3171" i="6"/>
  <c r="F3170" i="6"/>
  <c r="F3169" i="6"/>
  <c r="F3168" i="6"/>
  <c r="F3167" i="6"/>
  <c r="F3166" i="6"/>
  <c r="F3165" i="6"/>
  <c r="F3164" i="6"/>
  <c r="F3163" i="6"/>
  <c r="F3162" i="6"/>
  <c r="F3161" i="6"/>
  <c r="F3160" i="6"/>
  <c r="F3159" i="6"/>
  <c r="F3158" i="6"/>
  <c r="F3157" i="6"/>
  <c r="F3156" i="6"/>
  <c r="F3155" i="6"/>
  <c r="F3154" i="6"/>
  <c r="F3153" i="6"/>
  <c r="F3152" i="6"/>
  <c r="F3151" i="6"/>
  <c r="F3150" i="6"/>
  <c r="F3149" i="6"/>
  <c r="F3148" i="6"/>
  <c r="F3147" i="6"/>
  <c r="F3146" i="6"/>
  <c r="F3145" i="6"/>
  <c r="F3144" i="6"/>
  <c r="F3143" i="6"/>
  <c r="F3142" i="6"/>
  <c r="F3141" i="6"/>
  <c r="F3140" i="6"/>
  <c r="F3139" i="6"/>
  <c r="F3138" i="6"/>
  <c r="F3137" i="6"/>
  <c r="F3136" i="6"/>
  <c r="F3135" i="6"/>
  <c r="F3134" i="6"/>
  <c r="F3133" i="6"/>
  <c r="F3132" i="6"/>
  <c r="F3131" i="6"/>
  <c r="F3130" i="6"/>
  <c r="F3129" i="6"/>
  <c r="F3128" i="6"/>
  <c r="F3127" i="6"/>
  <c r="F3126" i="6"/>
  <c r="F3125" i="6"/>
  <c r="F3124" i="6"/>
  <c r="F3123" i="6"/>
  <c r="F3122" i="6"/>
  <c r="F3121" i="6"/>
  <c r="F3120" i="6"/>
  <c r="F3119" i="6"/>
  <c r="F3118" i="6"/>
  <c r="F3117" i="6"/>
  <c r="F3116" i="6"/>
  <c r="F3115" i="6"/>
  <c r="F3114" i="6"/>
  <c r="F3113" i="6"/>
  <c r="F3112" i="6"/>
  <c r="F3111" i="6"/>
  <c r="F3110" i="6"/>
  <c r="F3109" i="6"/>
  <c r="F3108" i="6"/>
  <c r="F3107" i="6"/>
  <c r="F3106" i="6"/>
  <c r="F3105" i="6"/>
  <c r="F3104" i="6"/>
  <c r="F3103" i="6"/>
  <c r="F3102" i="6"/>
  <c r="F3101" i="6"/>
  <c r="F3100" i="6"/>
  <c r="F3099" i="6"/>
  <c r="F3098" i="6"/>
  <c r="F3097" i="6"/>
  <c r="F3096" i="6"/>
  <c r="F3095" i="6"/>
  <c r="F3094" i="6"/>
  <c r="F3093" i="6"/>
  <c r="F3092" i="6"/>
  <c r="F3091" i="6"/>
  <c r="F3090" i="6"/>
  <c r="F3089" i="6"/>
  <c r="F3088" i="6"/>
  <c r="F3087" i="6"/>
  <c r="F3086" i="6"/>
  <c r="F3085" i="6"/>
  <c r="F3084" i="6"/>
  <c r="F3083" i="6"/>
  <c r="F3082" i="6"/>
  <c r="F3081" i="6"/>
  <c r="F3080" i="6"/>
  <c r="F3079" i="6"/>
  <c r="F3078" i="6"/>
  <c r="F3077" i="6"/>
  <c r="F3076" i="6"/>
  <c r="F3075" i="6"/>
  <c r="F3074" i="6"/>
  <c r="F3073" i="6"/>
  <c r="F3072" i="6"/>
  <c r="F3071" i="6"/>
  <c r="F3070" i="6"/>
  <c r="F3069" i="6"/>
  <c r="F3068" i="6"/>
  <c r="F3067" i="6"/>
  <c r="F3066" i="6"/>
  <c r="F3065" i="6"/>
  <c r="F3064" i="6"/>
  <c r="F3063" i="6"/>
  <c r="F3062" i="6"/>
  <c r="F3061" i="6"/>
  <c r="F3060" i="6"/>
  <c r="F3059" i="6"/>
  <c r="F3058" i="6"/>
  <c r="F3057" i="6"/>
  <c r="F3056" i="6"/>
  <c r="F3055" i="6"/>
  <c r="F3054" i="6"/>
  <c r="F3053" i="6"/>
  <c r="F3052" i="6"/>
  <c r="F3051" i="6"/>
  <c r="F3050" i="6"/>
  <c r="F3049" i="6"/>
  <c r="F3048" i="6"/>
  <c r="F3047" i="6"/>
  <c r="F3046" i="6"/>
  <c r="F3045" i="6"/>
  <c r="F3044" i="6"/>
  <c r="F3043" i="6"/>
  <c r="F3042" i="6"/>
  <c r="F3041" i="6"/>
  <c r="F3040" i="6"/>
  <c r="F3039" i="6"/>
  <c r="F3038" i="6"/>
  <c r="F3037" i="6"/>
  <c r="F3036" i="6"/>
  <c r="F3035" i="6"/>
  <c r="F3034" i="6"/>
  <c r="F3033" i="6"/>
  <c r="F3032" i="6"/>
  <c r="F3031" i="6"/>
  <c r="F3030" i="6"/>
  <c r="F3029" i="6"/>
  <c r="F3028" i="6"/>
  <c r="F3027" i="6"/>
  <c r="F3026" i="6"/>
  <c r="F3025" i="6"/>
  <c r="F3024" i="6"/>
  <c r="F3023" i="6"/>
  <c r="F3022" i="6"/>
  <c r="F3021" i="6"/>
  <c r="F3020" i="6"/>
  <c r="F3019" i="6"/>
  <c r="F3018" i="6"/>
  <c r="F3017" i="6"/>
  <c r="F3016" i="6"/>
  <c r="F3015" i="6"/>
  <c r="F3014" i="6"/>
  <c r="F3013" i="6"/>
  <c r="F3012" i="6"/>
  <c r="F3011" i="6"/>
  <c r="F3010" i="6"/>
  <c r="F3009" i="6"/>
  <c r="F3008" i="6"/>
  <c r="F3007" i="6"/>
  <c r="F3006" i="6"/>
  <c r="F3005" i="6"/>
  <c r="F3004" i="6"/>
  <c r="F3003" i="6"/>
  <c r="F3002" i="6"/>
  <c r="F3001" i="6"/>
  <c r="F3000" i="6"/>
  <c r="F2999" i="6"/>
  <c r="F2998" i="6"/>
  <c r="F2997" i="6"/>
  <c r="F2996" i="6"/>
  <c r="F2995" i="6"/>
  <c r="F2994" i="6"/>
  <c r="F2993" i="6"/>
  <c r="F2992" i="6"/>
  <c r="F2991" i="6"/>
  <c r="F2990" i="6"/>
  <c r="F2989" i="6"/>
  <c r="F2988" i="6"/>
  <c r="F2987" i="6"/>
  <c r="F2986" i="6"/>
  <c r="F2985" i="6"/>
  <c r="F2984" i="6"/>
  <c r="F2983" i="6"/>
  <c r="F2982" i="6"/>
  <c r="F2981" i="6"/>
  <c r="F2980" i="6"/>
  <c r="F2979" i="6"/>
  <c r="F2978" i="6"/>
  <c r="F2977" i="6"/>
  <c r="F2976" i="6"/>
  <c r="F2975" i="6"/>
  <c r="F2974" i="6"/>
  <c r="F2973" i="6"/>
  <c r="F2972" i="6"/>
  <c r="F2971" i="6"/>
  <c r="F2970" i="6"/>
  <c r="F2969" i="6"/>
  <c r="F2968" i="6"/>
  <c r="F2967" i="6"/>
  <c r="F2966" i="6"/>
  <c r="F2965" i="6"/>
  <c r="F2964" i="6"/>
  <c r="F2963" i="6"/>
  <c r="F2962" i="6"/>
  <c r="F2961" i="6"/>
  <c r="F2960" i="6"/>
  <c r="F2959" i="6"/>
  <c r="F2958" i="6"/>
  <c r="F2957" i="6"/>
  <c r="F2956" i="6"/>
  <c r="F2955" i="6"/>
  <c r="F2954" i="6"/>
  <c r="F2953" i="6"/>
  <c r="F2952" i="6"/>
  <c r="F2951" i="6"/>
  <c r="F2950" i="6"/>
  <c r="F2949" i="6"/>
  <c r="F2948" i="6"/>
  <c r="F2947" i="6"/>
  <c r="F2946" i="6"/>
  <c r="F2945" i="6"/>
  <c r="F2944" i="6"/>
  <c r="F2943" i="6"/>
  <c r="F2942" i="6"/>
  <c r="F2941" i="6"/>
  <c r="F2940" i="6"/>
  <c r="F2939" i="6"/>
  <c r="F2938" i="6"/>
  <c r="F2937" i="6"/>
  <c r="F2936" i="6"/>
  <c r="F2935" i="6"/>
  <c r="F2934" i="6"/>
  <c r="F2933" i="6"/>
  <c r="F2932" i="6"/>
  <c r="F2931" i="6"/>
  <c r="F2930" i="6"/>
  <c r="F2929" i="6"/>
  <c r="F2928" i="6"/>
  <c r="F2927" i="6"/>
  <c r="F2926" i="6"/>
  <c r="F2925" i="6"/>
  <c r="F2924" i="6"/>
  <c r="F2923" i="6"/>
  <c r="F2922" i="6"/>
  <c r="F2921" i="6"/>
  <c r="F2920" i="6"/>
  <c r="F2919" i="6"/>
  <c r="F2918" i="6"/>
  <c r="F2917" i="6"/>
  <c r="F2916" i="6"/>
  <c r="F2915" i="6"/>
  <c r="F2914" i="6"/>
  <c r="F2913" i="6"/>
  <c r="F2912" i="6"/>
  <c r="F2911" i="6"/>
  <c r="F2910" i="6"/>
  <c r="F2909" i="6"/>
  <c r="F2908" i="6"/>
  <c r="F2907" i="6"/>
  <c r="F2906" i="6"/>
  <c r="F2905" i="6"/>
  <c r="F2904" i="6"/>
  <c r="F2903" i="6"/>
  <c r="F2902" i="6"/>
  <c r="F2901" i="6"/>
  <c r="F2900" i="6"/>
  <c r="F2899" i="6"/>
  <c r="F2898" i="6"/>
  <c r="F2897" i="6"/>
  <c r="F2896" i="6"/>
  <c r="F2895" i="6"/>
  <c r="F2894" i="6"/>
  <c r="F2893" i="6"/>
  <c r="F2892" i="6"/>
  <c r="F2891" i="6"/>
  <c r="F2890" i="6"/>
  <c r="F2889" i="6"/>
  <c r="F2888" i="6"/>
  <c r="F2887" i="6"/>
  <c r="F2886" i="6"/>
  <c r="F2885" i="6"/>
  <c r="F2884" i="6"/>
  <c r="F2883" i="6"/>
  <c r="F2882" i="6"/>
  <c r="F2881" i="6"/>
  <c r="F2880" i="6"/>
  <c r="F2879" i="6"/>
  <c r="F2878" i="6"/>
  <c r="F2877" i="6"/>
  <c r="F2876" i="6"/>
  <c r="F2875" i="6"/>
  <c r="F2874" i="6"/>
  <c r="F2873" i="6"/>
  <c r="F2872" i="6"/>
  <c r="F2871" i="6"/>
  <c r="F2870" i="6"/>
  <c r="F2869" i="6"/>
  <c r="F2868" i="6"/>
  <c r="F2867" i="6"/>
  <c r="F2866" i="6"/>
  <c r="F2865" i="6"/>
  <c r="F2864" i="6"/>
  <c r="F2863" i="6"/>
  <c r="F2862" i="6"/>
  <c r="F2861" i="6"/>
  <c r="F2860" i="6"/>
  <c r="F2859" i="6"/>
  <c r="F2858" i="6"/>
  <c r="F2857" i="6"/>
  <c r="F2856" i="6"/>
  <c r="F2855" i="6"/>
  <c r="F2854" i="6"/>
  <c r="F2853" i="6"/>
  <c r="F2852" i="6"/>
  <c r="F2851" i="6"/>
  <c r="F2850" i="6"/>
  <c r="F2849" i="6"/>
  <c r="F2848" i="6"/>
  <c r="F2847" i="6"/>
  <c r="F2846" i="6"/>
  <c r="F2845" i="6"/>
  <c r="F2844" i="6"/>
  <c r="F2843" i="6"/>
  <c r="F2842" i="6"/>
  <c r="F2841" i="6"/>
  <c r="F2840" i="6"/>
  <c r="F2839" i="6"/>
  <c r="F2838" i="6"/>
  <c r="F2837" i="6"/>
  <c r="F2836" i="6"/>
  <c r="F2835" i="6"/>
  <c r="F2834" i="6"/>
  <c r="F2833" i="6"/>
  <c r="F2832" i="6"/>
  <c r="F2831" i="6"/>
  <c r="F2830" i="6"/>
  <c r="F2829" i="6"/>
  <c r="F2828" i="6"/>
  <c r="F2827" i="6"/>
  <c r="F2826" i="6"/>
  <c r="F2825" i="6"/>
  <c r="F2824" i="6"/>
  <c r="F2823" i="6"/>
  <c r="F2822" i="6"/>
  <c r="F2821" i="6"/>
  <c r="F2820" i="6"/>
  <c r="F2819" i="6"/>
  <c r="F2818" i="6"/>
  <c r="F2817" i="6"/>
  <c r="F2816" i="6"/>
  <c r="F2815" i="6"/>
  <c r="F2814" i="6"/>
  <c r="F2813" i="6"/>
  <c r="F2812" i="6"/>
  <c r="F2811" i="6"/>
  <c r="F2810" i="6"/>
  <c r="F2809" i="6"/>
  <c r="F2808" i="6"/>
  <c r="F2807" i="6"/>
  <c r="F2806" i="6"/>
  <c r="F2805" i="6"/>
  <c r="F2804" i="6"/>
  <c r="F2803" i="6"/>
  <c r="F2802" i="6"/>
  <c r="F2801" i="6"/>
  <c r="F2800" i="6"/>
  <c r="F2799" i="6"/>
  <c r="F2798" i="6"/>
  <c r="F2797" i="6"/>
  <c r="F2796" i="6"/>
  <c r="F2795" i="6"/>
  <c r="F2794" i="6"/>
  <c r="F2793" i="6"/>
  <c r="F2792" i="6"/>
  <c r="F2791" i="6"/>
  <c r="F2790" i="6"/>
  <c r="F2789" i="6"/>
  <c r="F2788" i="6"/>
  <c r="F2787" i="6"/>
  <c r="F2786" i="6"/>
  <c r="F2785" i="6"/>
  <c r="F2784" i="6"/>
  <c r="F2783" i="6"/>
  <c r="F2782" i="6"/>
  <c r="F2781" i="6"/>
  <c r="F2780" i="6"/>
  <c r="F2779" i="6"/>
  <c r="F2778" i="6"/>
  <c r="F2777" i="6"/>
  <c r="F2776" i="6"/>
  <c r="F2775" i="6"/>
  <c r="F2774" i="6"/>
  <c r="F2773" i="6"/>
  <c r="F2772" i="6"/>
  <c r="F2771" i="6"/>
  <c r="F2770" i="6"/>
  <c r="F2769" i="6"/>
  <c r="F2768" i="6"/>
  <c r="F2767" i="6"/>
  <c r="F2766" i="6"/>
  <c r="F2765" i="6"/>
  <c r="F2764" i="6"/>
  <c r="F2763" i="6"/>
  <c r="F2762" i="6"/>
  <c r="F2761" i="6"/>
  <c r="F2760" i="6"/>
  <c r="F2759" i="6"/>
  <c r="F2758" i="6"/>
  <c r="F2757" i="6"/>
  <c r="F2756" i="6"/>
  <c r="F2755" i="6"/>
  <c r="F2754" i="6"/>
  <c r="F2753" i="6"/>
  <c r="F2752" i="6"/>
  <c r="F2751" i="6"/>
  <c r="F2750" i="6"/>
  <c r="F2749" i="6"/>
  <c r="F2748" i="6"/>
  <c r="F2747" i="6"/>
  <c r="F2746" i="6"/>
  <c r="F2745" i="6"/>
  <c r="F2744" i="6"/>
  <c r="F2743" i="6"/>
  <c r="F2742" i="6"/>
  <c r="F2741" i="6"/>
  <c r="F2740" i="6"/>
  <c r="F2739" i="6"/>
  <c r="F2738" i="6"/>
  <c r="F2737" i="6"/>
  <c r="F2736" i="6"/>
  <c r="F2735" i="6"/>
  <c r="F2734" i="6"/>
  <c r="F2733" i="6"/>
  <c r="F2732" i="6"/>
  <c r="F2731" i="6"/>
  <c r="F2730" i="6"/>
  <c r="F2729" i="6"/>
  <c r="F2728" i="6"/>
  <c r="F2727" i="6"/>
  <c r="F2726" i="6"/>
  <c r="F2725" i="6"/>
  <c r="F2724" i="6"/>
  <c r="F2723" i="6"/>
  <c r="F2722" i="6"/>
  <c r="F2721" i="6"/>
  <c r="F2720" i="6"/>
  <c r="F2719" i="6"/>
  <c r="F2718" i="6"/>
  <c r="F2717" i="6"/>
  <c r="F2716" i="6"/>
  <c r="F2715" i="6"/>
  <c r="F2714" i="6"/>
  <c r="F2713" i="6"/>
  <c r="F2712" i="6"/>
  <c r="F2711" i="6"/>
  <c r="F2710" i="6"/>
  <c r="F2709" i="6"/>
  <c r="F2708" i="6"/>
  <c r="F2707" i="6"/>
  <c r="F2706" i="6"/>
  <c r="F2705" i="6"/>
  <c r="F2704" i="6"/>
  <c r="F2703" i="6"/>
  <c r="F2702" i="6"/>
  <c r="F2701" i="6"/>
  <c r="F2700" i="6"/>
  <c r="F2699" i="6"/>
  <c r="F2698" i="6"/>
  <c r="F2697" i="6"/>
  <c r="F2696" i="6"/>
  <c r="F2695" i="6"/>
  <c r="F2694" i="6"/>
  <c r="F2693" i="6"/>
  <c r="F2692" i="6"/>
  <c r="F2691" i="6"/>
  <c r="F2690" i="6"/>
  <c r="F2689" i="6"/>
  <c r="F2688" i="6"/>
  <c r="F2687" i="6"/>
  <c r="F2686" i="6"/>
  <c r="F2685" i="6"/>
  <c r="F2684" i="6"/>
  <c r="F2683" i="6"/>
  <c r="F2682" i="6"/>
  <c r="F2681" i="6"/>
  <c r="F2680" i="6"/>
  <c r="F2679" i="6"/>
  <c r="F2678" i="6"/>
  <c r="F2677" i="6"/>
  <c r="F2676" i="6"/>
  <c r="F2675" i="6"/>
  <c r="F2674" i="6"/>
  <c r="F2673" i="6"/>
  <c r="F2672" i="6"/>
  <c r="F2671" i="6"/>
  <c r="F2670" i="6"/>
  <c r="F2669" i="6"/>
  <c r="F2668" i="6"/>
  <c r="F2667" i="6"/>
  <c r="F2666" i="6"/>
  <c r="F2665" i="6"/>
  <c r="F2664" i="6"/>
  <c r="F2663" i="6"/>
  <c r="F2662" i="6"/>
  <c r="F2661" i="6"/>
  <c r="F2660" i="6"/>
  <c r="F2659" i="6"/>
  <c r="F2658" i="6"/>
  <c r="F2657" i="6"/>
  <c r="F2656" i="6"/>
  <c r="F2655" i="6"/>
  <c r="F2654" i="6"/>
  <c r="F2653" i="6"/>
  <c r="F2652" i="6"/>
  <c r="F2651" i="6"/>
  <c r="F2650" i="6"/>
  <c r="F2649" i="6"/>
  <c r="F2648" i="6"/>
  <c r="F2647" i="6"/>
  <c r="F2646" i="6"/>
  <c r="F2645" i="6"/>
  <c r="F2644" i="6"/>
  <c r="F2643" i="6"/>
  <c r="F2642" i="6"/>
  <c r="F2641" i="6"/>
  <c r="F2640" i="6"/>
  <c r="F2639" i="6"/>
  <c r="F2638" i="6"/>
  <c r="F2637" i="6"/>
  <c r="F2636" i="6"/>
  <c r="F2635" i="6"/>
  <c r="F2634" i="6"/>
  <c r="F2633" i="6"/>
  <c r="F2632" i="6"/>
  <c r="F2631" i="6"/>
  <c r="F2630" i="6"/>
  <c r="F2629" i="6"/>
  <c r="F2628" i="6"/>
  <c r="F2627" i="6"/>
  <c r="F2626" i="6"/>
  <c r="F2625" i="6"/>
  <c r="F2624" i="6"/>
  <c r="F2623" i="6"/>
  <c r="F2622" i="6"/>
  <c r="F2621" i="6"/>
  <c r="F2620" i="6"/>
  <c r="F2619" i="6"/>
  <c r="F2618" i="6"/>
  <c r="F2617" i="6"/>
  <c r="F2616" i="6"/>
  <c r="F2615" i="6"/>
  <c r="F2614" i="6"/>
  <c r="F2613" i="6"/>
  <c r="F2612" i="6"/>
  <c r="F2611" i="6"/>
  <c r="F2610" i="6"/>
  <c r="F2609" i="6"/>
  <c r="F2608" i="6"/>
  <c r="F2607" i="6"/>
  <c r="F2606" i="6"/>
  <c r="F2605" i="6"/>
  <c r="F2604" i="6"/>
  <c r="F2603" i="6"/>
  <c r="F2602" i="6"/>
  <c r="F2601" i="6"/>
  <c r="F2600" i="6"/>
  <c r="F2599" i="6"/>
  <c r="F2598" i="6"/>
  <c r="F2597" i="6"/>
  <c r="F2596" i="6"/>
  <c r="F2595" i="6"/>
  <c r="F2594" i="6"/>
  <c r="F2593" i="6"/>
  <c r="F2592" i="6"/>
  <c r="F2591" i="6"/>
  <c r="F2590" i="6"/>
  <c r="F2589" i="6"/>
  <c r="F2588" i="6"/>
  <c r="F2587" i="6"/>
  <c r="F2586" i="6"/>
  <c r="F2585" i="6"/>
  <c r="F2584" i="6"/>
  <c r="F2583" i="6"/>
  <c r="F2582" i="6"/>
  <c r="F2581" i="6"/>
  <c r="F2580" i="6"/>
  <c r="F2579" i="6"/>
  <c r="F2578" i="6"/>
  <c r="F2577" i="6"/>
  <c r="F2576" i="6"/>
  <c r="F2575" i="6"/>
  <c r="F2574" i="6"/>
  <c r="F2573" i="6"/>
  <c r="F2572" i="6"/>
  <c r="F2571" i="6"/>
  <c r="F2570" i="6"/>
  <c r="F2569" i="6"/>
  <c r="F2568" i="6"/>
  <c r="F2567" i="6"/>
  <c r="F2566" i="6"/>
  <c r="F2565" i="6"/>
  <c r="F2564" i="6"/>
  <c r="F2563" i="6"/>
  <c r="F2562" i="6"/>
  <c r="F2561" i="6"/>
  <c r="F2560" i="6"/>
  <c r="F2559" i="6"/>
  <c r="F2558" i="6"/>
  <c r="F2557" i="6"/>
  <c r="F2556" i="6"/>
  <c r="F2555" i="6"/>
  <c r="F2554" i="6"/>
  <c r="F2553" i="6"/>
  <c r="F2552" i="6"/>
  <c r="F2551" i="6"/>
  <c r="F2550" i="6"/>
  <c r="F2549" i="6"/>
  <c r="F2548" i="6"/>
  <c r="F2547" i="6"/>
  <c r="F2546" i="6"/>
  <c r="F2545" i="6"/>
  <c r="F2544" i="6"/>
  <c r="F2543" i="6"/>
  <c r="F2542" i="6"/>
  <c r="F2541" i="6"/>
  <c r="F2540" i="6"/>
  <c r="F2539" i="6"/>
  <c r="F2538" i="6"/>
  <c r="F2537" i="6"/>
  <c r="F2536" i="6"/>
  <c r="F2535" i="6"/>
  <c r="F2534" i="6"/>
  <c r="F2533" i="6"/>
  <c r="F2532" i="6"/>
  <c r="F2531" i="6"/>
  <c r="F2530" i="6"/>
  <c r="F2529" i="6"/>
  <c r="F2528" i="6"/>
  <c r="F2527" i="6"/>
  <c r="F2526" i="6"/>
  <c r="F2525" i="6"/>
  <c r="F2524" i="6"/>
  <c r="F2523" i="6"/>
  <c r="F2522" i="6"/>
  <c r="F2521" i="6"/>
  <c r="F2520" i="6"/>
  <c r="F2519" i="6"/>
  <c r="F2518" i="6"/>
  <c r="F2517" i="6"/>
  <c r="F2516" i="6"/>
  <c r="F2515" i="6"/>
  <c r="F2514" i="6"/>
  <c r="F2513" i="6"/>
  <c r="F2512" i="6"/>
  <c r="F2511" i="6"/>
  <c r="F2510" i="6"/>
  <c r="F2509" i="6"/>
  <c r="F2508" i="6"/>
  <c r="F2507" i="6"/>
  <c r="F2506" i="6"/>
  <c r="F2505" i="6"/>
  <c r="F2504" i="6"/>
  <c r="F2503" i="6"/>
  <c r="F2502" i="6"/>
  <c r="F2501" i="6"/>
  <c r="F2500" i="6"/>
  <c r="F2499" i="6"/>
  <c r="F2498" i="6"/>
  <c r="F2497" i="6"/>
  <c r="F2496" i="6"/>
  <c r="F2495" i="6"/>
  <c r="F2494" i="6"/>
  <c r="F2493" i="6"/>
  <c r="F2492" i="6"/>
  <c r="F2491" i="6"/>
  <c r="F2490" i="6"/>
  <c r="F2489" i="6"/>
  <c r="F2488" i="6"/>
  <c r="F2487" i="6"/>
  <c r="F2486" i="6"/>
  <c r="F2485" i="6"/>
  <c r="F2484" i="6"/>
  <c r="F2483" i="6"/>
  <c r="F2482" i="6"/>
  <c r="F2481" i="6"/>
  <c r="F2480" i="6"/>
  <c r="F2479" i="6"/>
  <c r="F2478" i="6"/>
  <c r="F2477" i="6"/>
  <c r="F2476" i="6"/>
  <c r="F2475" i="6"/>
  <c r="F2474" i="6"/>
  <c r="F2473" i="6"/>
  <c r="F2472" i="6"/>
  <c r="F2471" i="6"/>
  <c r="F2470" i="6"/>
  <c r="F2469" i="6"/>
  <c r="F2468" i="6"/>
  <c r="F2467" i="6"/>
  <c r="F2466" i="6"/>
  <c r="F2465" i="6"/>
  <c r="F2464" i="6"/>
  <c r="F2463" i="6"/>
  <c r="F2462" i="6"/>
  <c r="F2461" i="6"/>
  <c r="F2460" i="6"/>
  <c r="F2459" i="6"/>
  <c r="F2458" i="6"/>
  <c r="F2457" i="6"/>
  <c r="F2456" i="6"/>
  <c r="F2455" i="6"/>
  <c r="F2454" i="6"/>
  <c r="F2453" i="6"/>
  <c r="F2452" i="6"/>
  <c r="F2451" i="6"/>
  <c r="F2450" i="6"/>
  <c r="F2449" i="6"/>
  <c r="F2448" i="6"/>
  <c r="F2447" i="6"/>
  <c r="F2446" i="6"/>
  <c r="F2445" i="6"/>
  <c r="F2444" i="6"/>
  <c r="F2443" i="6"/>
  <c r="F2442" i="6"/>
  <c r="F2441" i="6"/>
  <c r="F2440" i="6"/>
  <c r="F2439" i="6"/>
  <c r="F2438" i="6"/>
  <c r="F2437" i="6"/>
  <c r="F2436" i="6"/>
  <c r="F2435" i="6"/>
  <c r="F2434" i="6"/>
  <c r="F2433" i="6"/>
  <c r="F2432" i="6"/>
  <c r="F2431" i="6"/>
  <c r="F2430" i="6"/>
  <c r="F2429" i="6"/>
  <c r="F2428" i="6"/>
  <c r="F2427" i="6"/>
  <c r="F2426" i="6"/>
  <c r="F2425" i="6"/>
  <c r="F2424" i="6"/>
  <c r="F2423" i="6"/>
  <c r="F2422" i="6"/>
  <c r="F2421" i="6"/>
  <c r="F2420" i="6"/>
  <c r="F2419" i="6"/>
  <c r="F2418" i="6"/>
  <c r="F2417" i="6"/>
  <c r="F2416" i="6"/>
  <c r="F2415" i="6"/>
  <c r="F2414" i="6"/>
  <c r="F2413" i="6"/>
  <c r="F2412" i="6"/>
  <c r="F2411" i="6"/>
  <c r="F2410" i="6"/>
  <c r="F2409" i="6"/>
  <c r="F2408" i="6"/>
  <c r="F2407" i="6"/>
  <c r="F2406" i="6"/>
  <c r="F2405" i="6"/>
  <c r="F2404" i="6"/>
  <c r="F2403" i="6"/>
  <c r="F2402" i="6"/>
  <c r="F2401" i="6"/>
  <c r="F2400" i="6"/>
  <c r="F2399" i="6"/>
  <c r="F2398" i="6"/>
  <c r="F2397" i="6"/>
  <c r="F2396" i="6"/>
  <c r="F2395" i="6"/>
  <c r="F2394" i="6"/>
  <c r="F2393" i="6"/>
  <c r="F2392" i="6"/>
  <c r="F2391" i="6"/>
  <c r="F2390" i="6"/>
  <c r="F2389" i="6"/>
  <c r="F2388" i="6"/>
  <c r="F2387" i="6"/>
  <c r="F2386" i="6"/>
  <c r="F2385" i="6"/>
  <c r="F2384" i="6"/>
  <c r="F2383" i="6"/>
  <c r="F2382" i="6"/>
  <c r="F2381" i="6"/>
  <c r="F2380" i="6"/>
  <c r="F2379" i="6"/>
  <c r="F2378" i="6"/>
  <c r="F2377" i="6"/>
  <c r="F2376" i="6"/>
  <c r="F2375" i="6"/>
  <c r="F2374" i="6"/>
  <c r="F2373" i="6"/>
  <c r="F2372" i="6"/>
  <c r="F2371" i="6"/>
  <c r="F2370" i="6"/>
  <c r="F2369" i="6"/>
  <c r="F2367" i="6"/>
  <c r="K1716" i="6"/>
  <c r="K1717" i="6"/>
  <c r="K1718" i="6"/>
  <c r="K1719" i="6"/>
  <c r="K1720" i="6"/>
  <c r="K1721" i="6"/>
  <c r="K1722" i="6"/>
  <c r="K1709" i="6"/>
  <c r="K1710" i="6"/>
  <c r="K1711" i="6"/>
  <c r="K1712" i="6"/>
  <c r="K1713" i="6"/>
  <c r="K1714" i="6"/>
  <c r="K1715" i="6"/>
  <c r="K1698" i="6"/>
  <c r="K1699" i="6"/>
  <c r="K1700" i="6"/>
  <c r="K1701" i="6"/>
  <c r="K1702" i="6"/>
  <c r="K1703" i="6"/>
  <c r="K1704" i="6"/>
  <c r="K1705" i="6"/>
  <c r="K1706" i="6"/>
  <c r="K1707" i="6"/>
  <c r="K1708" i="6"/>
  <c r="K1697" i="6"/>
  <c r="K3" i="6"/>
  <c r="K1553" i="6"/>
  <c r="H1713" i="6"/>
  <c r="J1713" i="6" s="1"/>
  <c r="H1714" i="6"/>
  <c r="J1714" i="6" s="1"/>
  <c r="H1715" i="6"/>
  <c r="J1715" i="6" s="1"/>
  <c r="H1716" i="6"/>
  <c r="J1716" i="6" s="1"/>
  <c r="H1717" i="6"/>
  <c r="J1717" i="6" s="1"/>
  <c r="H1718" i="6"/>
  <c r="J1718" i="6" s="1"/>
  <c r="H1719" i="6"/>
  <c r="J1719" i="6" s="1"/>
  <c r="H1720" i="6"/>
  <c r="J1720" i="6" s="1"/>
  <c r="H1721" i="6"/>
  <c r="J1721" i="6" s="1"/>
  <c r="H1722" i="6"/>
  <c r="J1722" i="6" s="1"/>
  <c r="H1696" i="6"/>
  <c r="J1696" i="6" s="1"/>
  <c r="H1697" i="6"/>
  <c r="J1697" i="6" s="1"/>
  <c r="H1698" i="6"/>
  <c r="J1698" i="6" s="1"/>
  <c r="H1699" i="6"/>
  <c r="J1699" i="6" s="1"/>
  <c r="H1700" i="6"/>
  <c r="J1700" i="6" s="1"/>
  <c r="H1701" i="6"/>
  <c r="J1701" i="6" s="1"/>
  <c r="H1702" i="6"/>
  <c r="J1702" i="6" s="1"/>
  <c r="H1703" i="6"/>
  <c r="J1703" i="6" s="1"/>
  <c r="H1704" i="6"/>
  <c r="J1704" i="6" s="1"/>
  <c r="H1705" i="6"/>
  <c r="J1705" i="6" s="1"/>
  <c r="H1706" i="6"/>
  <c r="J1706" i="6" s="1"/>
  <c r="H1707" i="6"/>
  <c r="J1707" i="6" s="1"/>
  <c r="H1708" i="6"/>
  <c r="J1708" i="6" s="1"/>
  <c r="H1709" i="6"/>
  <c r="J1709" i="6" s="1"/>
  <c r="H1710" i="6"/>
  <c r="J1710" i="6" s="1"/>
  <c r="H1711" i="6"/>
  <c r="J1711" i="6" s="1"/>
  <c r="H1712" i="6"/>
  <c r="J1712" i="6" s="1"/>
  <c r="K1694" i="6"/>
  <c r="K1695" i="6"/>
  <c r="K1696" i="6"/>
  <c r="K1674" i="6"/>
  <c r="K1675" i="6"/>
  <c r="K1676" i="6"/>
  <c r="K1677" i="6"/>
  <c r="K1678" i="6"/>
  <c r="K1679" i="6"/>
  <c r="K1680" i="6"/>
  <c r="K1681" i="6"/>
  <c r="K1682" i="6"/>
  <c r="K1683" i="6"/>
  <c r="K1684" i="6"/>
  <c r="K1685" i="6"/>
  <c r="K1686" i="6"/>
  <c r="K1687" i="6"/>
  <c r="K1688" i="6"/>
  <c r="K1689" i="6"/>
  <c r="K1690" i="6"/>
  <c r="K1691" i="6"/>
  <c r="K1692" i="6"/>
  <c r="K1693" i="6"/>
  <c r="K1662" i="6"/>
  <c r="K1663" i="6"/>
  <c r="K1664" i="6"/>
  <c r="K1665" i="6"/>
  <c r="K1666" i="6"/>
  <c r="K1667" i="6"/>
  <c r="K1668" i="6"/>
  <c r="K1669" i="6"/>
  <c r="K1670" i="6"/>
  <c r="K1671" i="6"/>
  <c r="K1672" i="6"/>
  <c r="K1673" i="6"/>
  <c r="K1641" i="6"/>
  <c r="K1642" i="6"/>
  <c r="K1643" i="6"/>
  <c r="K1644" i="6"/>
  <c r="K1645" i="6"/>
  <c r="K1646" i="6"/>
  <c r="K1647" i="6"/>
  <c r="K1648" i="6"/>
  <c r="K1649" i="6"/>
  <c r="K1650" i="6"/>
  <c r="K1651" i="6"/>
  <c r="K1652" i="6"/>
  <c r="K1653" i="6"/>
  <c r="K1654" i="6"/>
  <c r="K1655" i="6"/>
  <c r="K1656" i="6"/>
  <c r="K1657" i="6"/>
  <c r="K1658" i="6"/>
  <c r="K1659" i="6"/>
  <c r="K1660" i="6"/>
  <c r="K1661" i="6"/>
  <c r="K1626" i="6"/>
  <c r="K1627" i="6"/>
  <c r="K1628" i="6"/>
  <c r="K1629" i="6"/>
  <c r="K1630" i="6"/>
  <c r="K1631" i="6"/>
  <c r="K1632" i="6"/>
  <c r="K1633" i="6"/>
  <c r="K1634" i="6"/>
  <c r="K1635" i="6"/>
  <c r="K1636" i="6"/>
  <c r="K1637" i="6"/>
  <c r="K1638" i="6"/>
  <c r="K1639" i="6"/>
  <c r="K1640" i="6"/>
  <c r="K1607" i="6"/>
  <c r="K1608" i="6"/>
  <c r="K1609" i="6"/>
  <c r="K1610" i="6"/>
  <c r="K1611" i="6"/>
  <c r="K1612" i="6"/>
  <c r="K1613" i="6"/>
  <c r="K1614" i="6"/>
  <c r="K1615" i="6"/>
  <c r="K1616" i="6"/>
  <c r="K1617" i="6"/>
  <c r="K1618" i="6"/>
  <c r="K1619" i="6"/>
  <c r="K1620" i="6"/>
  <c r="K1621" i="6"/>
  <c r="K1622" i="6"/>
  <c r="K1623" i="6"/>
  <c r="K1624" i="6"/>
  <c r="K1625" i="6"/>
  <c r="K1598" i="6"/>
  <c r="K1599" i="6"/>
  <c r="K1600" i="6"/>
  <c r="K1601" i="6"/>
  <c r="K1602" i="6"/>
  <c r="K1603" i="6"/>
  <c r="K1604" i="6"/>
  <c r="K1605" i="6"/>
  <c r="K1606" i="6"/>
  <c r="H1598" i="6"/>
  <c r="J1598" i="6" s="1"/>
  <c r="H1599" i="6"/>
  <c r="J1599" i="6" s="1"/>
  <c r="H1600" i="6"/>
  <c r="J1600" i="6" s="1"/>
  <c r="H1601" i="6"/>
  <c r="J1601" i="6" s="1"/>
  <c r="H1602" i="6"/>
  <c r="J1602" i="6" s="1"/>
  <c r="H1603" i="6"/>
  <c r="J1603" i="6" s="1"/>
  <c r="H1604" i="6"/>
  <c r="J1604" i="6" s="1"/>
  <c r="H1605" i="6"/>
  <c r="J1605" i="6" s="1"/>
  <c r="H1606" i="6"/>
  <c r="J1606" i="6" s="1"/>
  <c r="H1607" i="6"/>
  <c r="J1607" i="6" s="1"/>
  <c r="H1608" i="6"/>
  <c r="J1608" i="6" s="1"/>
  <c r="H1609" i="6"/>
  <c r="J1609" i="6" s="1"/>
  <c r="H1610" i="6"/>
  <c r="J1610" i="6" s="1"/>
  <c r="H1611" i="6"/>
  <c r="J1611" i="6" s="1"/>
  <c r="H1612" i="6"/>
  <c r="J1612" i="6" s="1"/>
  <c r="H1613" i="6"/>
  <c r="J1613" i="6" s="1"/>
  <c r="H1614" i="6"/>
  <c r="J1614" i="6" s="1"/>
  <c r="H1615" i="6"/>
  <c r="J1615" i="6" s="1"/>
  <c r="H1616" i="6"/>
  <c r="J1616" i="6" s="1"/>
  <c r="H1617" i="6"/>
  <c r="J1617" i="6" s="1"/>
  <c r="H1618" i="6"/>
  <c r="J1618" i="6" s="1"/>
  <c r="H1619" i="6"/>
  <c r="J1619" i="6" s="1"/>
  <c r="H1620" i="6"/>
  <c r="J1620" i="6" s="1"/>
  <c r="H1621" i="6"/>
  <c r="J1621" i="6" s="1"/>
  <c r="H1622" i="6"/>
  <c r="J1622" i="6" s="1"/>
  <c r="H1623" i="6"/>
  <c r="J1623" i="6" s="1"/>
  <c r="H1624" i="6"/>
  <c r="J1624" i="6" s="1"/>
  <c r="H1625" i="6"/>
  <c r="J1625" i="6" s="1"/>
  <c r="H1626" i="6"/>
  <c r="J1626" i="6" s="1"/>
  <c r="H1627" i="6"/>
  <c r="J1627" i="6" s="1"/>
  <c r="H1628" i="6"/>
  <c r="J1628" i="6" s="1"/>
  <c r="H1629" i="6"/>
  <c r="J1629" i="6" s="1"/>
  <c r="H1630" i="6"/>
  <c r="J1630" i="6" s="1"/>
  <c r="H1631" i="6"/>
  <c r="J1631" i="6" s="1"/>
  <c r="H1632" i="6"/>
  <c r="J1632" i="6" s="1"/>
  <c r="H1633" i="6"/>
  <c r="J1633" i="6" s="1"/>
  <c r="H1634" i="6"/>
  <c r="J1634" i="6" s="1"/>
  <c r="H1635" i="6"/>
  <c r="J1635" i="6" s="1"/>
  <c r="H1636" i="6"/>
  <c r="J1636" i="6" s="1"/>
  <c r="H1637" i="6"/>
  <c r="J1637" i="6" s="1"/>
  <c r="H1638" i="6"/>
  <c r="J1638" i="6" s="1"/>
  <c r="H1639" i="6"/>
  <c r="J1639" i="6" s="1"/>
  <c r="H1640" i="6"/>
  <c r="J1640" i="6" s="1"/>
  <c r="H1641" i="6"/>
  <c r="J1641" i="6" s="1"/>
  <c r="H1642" i="6"/>
  <c r="J1642" i="6" s="1"/>
  <c r="H1643" i="6"/>
  <c r="J1643" i="6" s="1"/>
  <c r="H1644" i="6"/>
  <c r="J1644" i="6" s="1"/>
  <c r="H1645" i="6"/>
  <c r="J1645" i="6" s="1"/>
  <c r="H1646" i="6"/>
  <c r="J1646" i="6" s="1"/>
  <c r="H1647" i="6"/>
  <c r="J1647" i="6" s="1"/>
  <c r="H1648" i="6"/>
  <c r="J1648" i="6" s="1"/>
  <c r="H1649" i="6"/>
  <c r="J1649" i="6" s="1"/>
  <c r="H1650" i="6"/>
  <c r="J1650" i="6" s="1"/>
  <c r="H1651" i="6"/>
  <c r="J1651" i="6" s="1"/>
  <c r="H1652" i="6"/>
  <c r="J1652" i="6" s="1"/>
  <c r="H1653" i="6"/>
  <c r="J1653" i="6" s="1"/>
  <c r="H1654" i="6"/>
  <c r="J1654" i="6" s="1"/>
  <c r="H1655" i="6"/>
  <c r="J1655" i="6" s="1"/>
  <c r="H1656" i="6"/>
  <c r="J1656" i="6" s="1"/>
  <c r="H1657" i="6"/>
  <c r="J1657" i="6" s="1"/>
  <c r="H1658" i="6"/>
  <c r="J1658" i="6" s="1"/>
  <c r="H1659" i="6"/>
  <c r="J1659" i="6" s="1"/>
  <c r="H1660" i="6"/>
  <c r="J1660" i="6" s="1"/>
  <c r="H1661" i="6"/>
  <c r="J1661" i="6" s="1"/>
  <c r="H1662" i="6"/>
  <c r="J1662" i="6" s="1"/>
  <c r="H1663" i="6"/>
  <c r="J1663" i="6" s="1"/>
  <c r="H1664" i="6"/>
  <c r="J1664" i="6" s="1"/>
  <c r="H1665" i="6"/>
  <c r="J1665" i="6" s="1"/>
  <c r="H1666" i="6"/>
  <c r="J1666" i="6" s="1"/>
  <c r="H1667" i="6"/>
  <c r="J1667" i="6" s="1"/>
  <c r="H1668" i="6"/>
  <c r="J1668" i="6" s="1"/>
  <c r="H1669" i="6"/>
  <c r="J1669" i="6" s="1"/>
  <c r="H1670" i="6"/>
  <c r="J1670" i="6" s="1"/>
  <c r="H1671" i="6"/>
  <c r="J1671" i="6" s="1"/>
  <c r="H1672" i="6"/>
  <c r="J1672" i="6" s="1"/>
  <c r="H1673" i="6"/>
  <c r="J1673" i="6" s="1"/>
  <c r="H1674" i="6"/>
  <c r="J1674" i="6" s="1"/>
  <c r="H1675" i="6"/>
  <c r="J1675" i="6" s="1"/>
  <c r="H1676" i="6"/>
  <c r="J1676" i="6" s="1"/>
  <c r="H1677" i="6"/>
  <c r="J1677" i="6" s="1"/>
  <c r="H1678" i="6"/>
  <c r="J1678" i="6" s="1"/>
  <c r="H1679" i="6"/>
  <c r="J1679" i="6" s="1"/>
  <c r="H1680" i="6"/>
  <c r="J1680" i="6" s="1"/>
  <c r="H1681" i="6"/>
  <c r="J1681" i="6" s="1"/>
  <c r="H1682" i="6"/>
  <c r="J1682" i="6" s="1"/>
  <c r="H1683" i="6"/>
  <c r="J1683" i="6" s="1"/>
  <c r="H1684" i="6"/>
  <c r="J1684" i="6" s="1"/>
  <c r="H1685" i="6"/>
  <c r="J1685" i="6" s="1"/>
  <c r="H1686" i="6"/>
  <c r="J1686" i="6" s="1"/>
  <c r="H1687" i="6"/>
  <c r="J1687" i="6" s="1"/>
  <c r="H1688" i="6"/>
  <c r="J1688" i="6" s="1"/>
  <c r="H1689" i="6"/>
  <c r="J1689" i="6" s="1"/>
  <c r="H1690" i="6"/>
  <c r="J1690" i="6" s="1"/>
  <c r="H1691" i="6"/>
  <c r="J1691" i="6" s="1"/>
  <c r="H1692" i="6"/>
  <c r="J1692" i="6" s="1"/>
  <c r="H1693" i="6"/>
  <c r="J1693" i="6" s="1"/>
  <c r="H1694" i="6"/>
  <c r="J1694" i="6" s="1"/>
  <c r="H1695" i="6"/>
  <c r="J1695" i="6" s="1"/>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H1584" i="6"/>
  <c r="J1584" i="6" s="1"/>
  <c r="H1585" i="6"/>
  <c r="J1585" i="6" s="1"/>
  <c r="H1586" i="6"/>
  <c r="J1586" i="6" s="1"/>
  <c r="H1587" i="6"/>
  <c r="J1587" i="6" s="1"/>
  <c r="H1588" i="6"/>
  <c r="J1588" i="6" s="1"/>
  <c r="H1589" i="6"/>
  <c r="J1589" i="6" s="1"/>
  <c r="H1590" i="6"/>
  <c r="J1590" i="6" s="1"/>
  <c r="H1591" i="6"/>
  <c r="J1591" i="6" s="1"/>
  <c r="H1592" i="6"/>
  <c r="J1592" i="6" s="1"/>
  <c r="H1593" i="6"/>
  <c r="J1593" i="6" s="1"/>
  <c r="H1594" i="6"/>
  <c r="J1594" i="6" s="1"/>
  <c r="H1595" i="6"/>
  <c r="J1595" i="6" s="1"/>
  <c r="H1596" i="6"/>
  <c r="J1596" i="6" s="1"/>
  <c r="H1597" i="6"/>
  <c r="J1597" i="6" s="1"/>
  <c r="H1569" i="6"/>
  <c r="J1569" i="6" s="1"/>
  <c r="H1570" i="6"/>
  <c r="J1570" i="6" s="1"/>
  <c r="H1571" i="6"/>
  <c r="J1571" i="6" s="1"/>
  <c r="H1572" i="6"/>
  <c r="J1572" i="6" s="1"/>
  <c r="H1573" i="6"/>
  <c r="J1573" i="6" s="1"/>
  <c r="H1574" i="6"/>
  <c r="J1574" i="6" s="1"/>
  <c r="H1575" i="6"/>
  <c r="J1575" i="6" s="1"/>
  <c r="H1576" i="6"/>
  <c r="J1576" i="6" s="1"/>
  <c r="H1577" i="6"/>
  <c r="J1577" i="6" s="1"/>
  <c r="H1578" i="6"/>
  <c r="J1578" i="6" s="1"/>
  <c r="H1579" i="6"/>
  <c r="J1579" i="6" s="1"/>
  <c r="H1580" i="6"/>
  <c r="J1580" i="6" s="1"/>
  <c r="H1581" i="6"/>
  <c r="J1581" i="6" s="1"/>
  <c r="H1582" i="6"/>
  <c r="J1582" i="6" s="1"/>
  <c r="H1583" i="6"/>
  <c r="J1583" i="6" s="1"/>
  <c r="H1563" i="6"/>
  <c r="J1563" i="6" s="1"/>
  <c r="H1564" i="6"/>
  <c r="J1564" i="6" s="1"/>
  <c r="H1565" i="6"/>
  <c r="J1565" i="6" s="1"/>
  <c r="H1566" i="6"/>
  <c r="J1566" i="6" s="1"/>
  <c r="H1567" i="6"/>
  <c r="J1567" i="6" s="1"/>
  <c r="H1568" i="6"/>
  <c r="J1568" i="6" s="1"/>
  <c r="K1561" i="6"/>
  <c r="K1562"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4" i="6"/>
  <c r="K1555" i="6"/>
  <c r="K1556" i="6"/>
  <c r="K1557" i="6"/>
  <c r="K1558" i="6"/>
  <c r="K1559" i="6"/>
  <c r="K1560" i="6"/>
  <c r="K1448" i="6"/>
  <c r="K1449" i="6"/>
  <c r="K1450" i="6"/>
  <c r="K1451" i="6"/>
  <c r="K1452" i="6"/>
  <c r="K1453" i="6"/>
  <c r="K1454" i="6"/>
  <c r="K1455" i="6"/>
  <c r="K1456" i="6"/>
  <c r="K1457" i="6"/>
  <c r="K1458" i="6"/>
  <c r="K1459" i="6"/>
  <c r="K1447" i="6"/>
  <c r="K1445" i="6"/>
  <c r="H1452" i="6"/>
  <c r="J1452" i="6" s="1"/>
  <c r="H1453" i="6"/>
  <c r="J1453" i="6" s="1"/>
  <c r="H1454" i="6"/>
  <c r="J1454" i="6" s="1"/>
  <c r="H1455" i="6"/>
  <c r="J1455" i="6" s="1"/>
  <c r="H1456" i="6"/>
  <c r="J1456" i="6" s="1"/>
  <c r="H1457" i="6"/>
  <c r="J1457" i="6" s="1"/>
  <c r="H1458" i="6"/>
  <c r="J1458" i="6" s="1"/>
  <c r="H1459" i="6"/>
  <c r="J1459" i="6" s="1"/>
  <c r="H1460" i="6"/>
  <c r="J1460" i="6" s="1"/>
  <c r="H1461" i="6"/>
  <c r="J1461" i="6" s="1"/>
  <c r="H1462" i="6"/>
  <c r="J1462" i="6" s="1"/>
  <c r="H1463" i="6"/>
  <c r="J1463" i="6" s="1"/>
  <c r="H1464" i="6"/>
  <c r="J1464" i="6" s="1"/>
  <c r="H1465" i="6"/>
  <c r="J1465" i="6" s="1"/>
  <c r="H1466" i="6"/>
  <c r="J1466" i="6" s="1"/>
  <c r="H1467" i="6"/>
  <c r="J1467" i="6" s="1"/>
  <c r="H1468" i="6"/>
  <c r="J1468" i="6" s="1"/>
  <c r="H1469" i="6"/>
  <c r="J1469" i="6" s="1"/>
  <c r="H1470" i="6"/>
  <c r="J1470" i="6" s="1"/>
  <c r="H1471" i="6"/>
  <c r="J1471" i="6" s="1"/>
  <c r="H1472" i="6"/>
  <c r="J1472" i="6" s="1"/>
  <c r="H1473" i="6"/>
  <c r="J1473" i="6" s="1"/>
  <c r="H1474" i="6"/>
  <c r="J1474" i="6" s="1"/>
  <c r="H1475" i="6"/>
  <c r="J1475" i="6" s="1"/>
  <c r="H1476" i="6"/>
  <c r="J1476" i="6" s="1"/>
  <c r="H1477" i="6"/>
  <c r="J1477" i="6" s="1"/>
  <c r="H1478" i="6"/>
  <c r="J1478" i="6" s="1"/>
  <c r="H1479" i="6"/>
  <c r="J1479" i="6" s="1"/>
  <c r="H1480" i="6"/>
  <c r="J1480" i="6" s="1"/>
  <c r="H1481" i="6"/>
  <c r="J1481" i="6" s="1"/>
  <c r="H1482" i="6"/>
  <c r="J1482" i="6" s="1"/>
  <c r="H1483" i="6"/>
  <c r="J1483" i="6" s="1"/>
  <c r="H1484" i="6"/>
  <c r="J1484" i="6" s="1"/>
  <c r="H1485" i="6"/>
  <c r="J1485" i="6" s="1"/>
  <c r="H1486" i="6"/>
  <c r="J1486" i="6" s="1"/>
  <c r="H1487" i="6"/>
  <c r="J1487" i="6" s="1"/>
  <c r="H1488" i="6"/>
  <c r="J1488" i="6" s="1"/>
  <c r="H1489" i="6"/>
  <c r="J1489" i="6" s="1"/>
  <c r="H1490" i="6"/>
  <c r="J1490" i="6" s="1"/>
  <c r="H1491" i="6"/>
  <c r="J1491" i="6" s="1"/>
  <c r="H1492" i="6"/>
  <c r="J1492" i="6" s="1"/>
  <c r="H1493" i="6"/>
  <c r="J1493" i="6" s="1"/>
  <c r="H1494" i="6"/>
  <c r="J1494" i="6" s="1"/>
  <c r="H1495" i="6"/>
  <c r="J1495" i="6" s="1"/>
  <c r="H1496" i="6"/>
  <c r="J1496" i="6" s="1"/>
  <c r="H1497" i="6"/>
  <c r="J1497" i="6" s="1"/>
  <c r="H1498" i="6"/>
  <c r="J1498" i="6" s="1"/>
  <c r="H1499" i="6"/>
  <c r="J1499" i="6" s="1"/>
  <c r="H1500" i="6"/>
  <c r="J1500" i="6" s="1"/>
  <c r="H1501" i="6"/>
  <c r="J1501" i="6" s="1"/>
  <c r="H1502" i="6"/>
  <c r="J1502" i="6" s="1"/>
  <c r="H1503" i="6"/>
  <c r="J1503" i="6" s="1"/>
  <c r="H1504" i="6"/>
  <c r="J1504" i="6" s="1"/>
  <c r="H1505" i="6"/>
  <c r="J1505" i="6" s="1"/>
  <c r="H1506" i="6"/>
  <c r="J1506" i="6" s="1"/>
  <c r="H1507" i="6"/>
  <c r="J1507" i="6" s="1"/>
  <c r="H1508" i="6"/>
  <c r="J1508" i="6" s="1"/>
  <c r="H1509" i="6"/>
  <c r="J1509" i="6" s="1"/>
  <c r="H1510" i="6"/>
  <c r="J1510" i="6" s="1"/>
  <c r="H1511" i="6"/>
  <c r="J1511" i="6" s="1"/>
  <c r="H1512" i="6"/>
  <c r="J1512" i="6" s="1"/>
  <c r="H1513" i="6"/>
  <c r="J1513" i="6" s="1"/>
  <c r="H1514" i="6"/>
  <c r="J1514" i="6" s="1"/>
  <c r="H1515" i="6"/>
  <c r="J1515" i="6" s="1"/>
  <c r="H1516" i="6"/>
  <c r="J1516" i="6" s="1"/>
  <c r="H1517" i="6"/>
  <c r="J1517" i="6" s="1"/>
  <c r="H1518" i="6"/>
  <c r="J1518" i="6" s="1"/>
  <c r="H1519" i="6"/>
  <c r="J1519" i="6" s="1"/>
  <c r="H1520" i="6"/>
  <c r="J1520" i="6" s="1"/>
  <c r="H1521" i="6"/>
  <c r="J1521" i="6" s="1"/>
  <c r="H1522" i="6"/>
  <c r="J1522" i="6" s="1"/>
  <c r="H1523" i="6"/>
  <c r="J1523" i="6" s="1"/>
  <c r="H1524" i="6"/>
  <c r="J1524" i="6" s="1"/>
  <c r="H1525" i="6"/>
  <c r="J1525" i="6" s="1"/>
  <c r="H1526" i="6"/>
  <c r="J1526" i="6" s="1"/>
  <c r="H1527" i="6"/>
  <c r="J1527" i="6" s="1"/>
  <c r="H1528" i="6"/>
  <c r="J1528" i="6" s="1"/>
  <c r="H1529" i="6"/>
  <c r="J1529" i="6" s="1"/>
  <c r="H1530" i="6"/>
  <c r="J1530" i="6" s="1"/>
  <c r="H1531" i="6"/>
  <c r="J1531" i="6" s="1"/>
  <c r="H1532" i="6"/>
  <c r="J1532" i="6" s="1"/>
  <c r="H1533" i="6"/>
  <c r="J1533" i="6" s="1"/>
  <c r="H1534" i="6"/>
  <c r="J1534" i="6" s="1"/>
  <c r="H1535" i="6"/>
  <c r="J1535" i="6" s="1"/>
  <c r="H1536" i="6"/>
  <c r="J1536" i="6" s="1"/>
  <c r="H1537" i="6"/>
  <c r="J1537" i="6" s="1"/>
  <c r="H1538" i="6"/>
  <c r="J1538" i="6" s="1"/>
  <c r="H1539" i="6"/>
  <c r="J1539" i="6" s="1"/>
  <c r="H1540" i="6"/>
  <c r="J1540" i="6" s="1"/>
  <c r="H1541" i="6"/>
  <c r="J1541" i="6" s="1"/>
  <c r="H1542" i="6"/>
  <c r="J1542" i="6" s="1"/>
  <c r="H1543" i="6"/>
  <c r="J1543" i="6" s="1"/>
  <c r="H1544" i="6"/>
  <c r="J1544" i="6" s="1"/>
  <c r="H1545" i="6"/>
  <c r="J1545" i="6" s="1"/>
  <c r="H1546" i="6"/>
  <c r="J1546" i="6" s="1"/>
  <c r="H1547" i="6"/>
  <c r="J1547" i="6" s="1"/>
  <c r="H1548" i="6"/>
  <c r="J1548" i="6" s="1"/>
  <c r="H1549" i="6"/>
  <c r="J1549" i="6" s="1"/>
  <c r="H1550" i="6"/>
  <c r="J1550" i="6" s="1"/>
  <c r="H1551" i="6"/>
  <c r="J1551" i="6" s="1"/>
  <c r="H1552" i="6"/>
  <c r="J1552" i="6" s="1"/>
  <c r="H1553" i="6"/>
  <c r="J1553" i="6" s="1"/>
  <c r="H1554" i="6"/>
  <c r="J1554" i="6" s="1"/>
  <c r="H1555" i="6"/>
  <c r="J1555" i="6" s="1"/>
  <c r="H1556" i="6"/>
  <c r="J1556" i="6" s="1"/>
  <c r="H1557" i="6"/>
  <c r="J1557" i="6" s="1"/>
  <c r="H1558" i="6"/>
  <c r="J1558" i="6" s="1"/>
  <c r="H1559" i="6"/>
  <c r="J1559" i="6" s="1"/>
  <c r="H1560" i="6"/>
  <c r="J1560" i="6" s="1"/>
  <c r="H1561" i="6"/>
  <c r="J1561" i="6" s="1"/>
  <c r="H1562" i="6"/>
  <c r="J1562" i="6" s="1"/>
  <c r="H1447" i="6"/>
  <c r="J1447" i="6" s="1"/>
  <c r="H1448" i="6"/>
  <c r="J1448" i="6" s="1"/>
  <c r="H1449" i="6"/>
  <c r="J1449" i="6" s="1"/>
  <c r="H1450" i="6"/>
  <c r="J1450" i="6" s="1"/>
  <c r="H1451" i="6"/>
  <c r="J1451" i="6" s="1"/>
  <c r="K1264" i="6"/>
  <c r="K397" i="6"/>
  <c r="K1446" i="6"/>
  <c r="K1444" i="6"/>
  <c r="K1443" i="6"/>
  <c r="K1442" i="6"/>
  <c r="K1441" i="6"/>
  <c r="K1440" i="6"/>
  <c r="K1439" i="6"/>
  <c r="K1438" i="6"/>
  <c r="K1437" i="6"/>
  <c r="K1430" i="6"/>
  <c r="K1427" i="6"/>
  <c r="K1428" i="6"/>
  <c r="K1429" i="6"/>
  <c r="K1431" i="6"/>
  <c r="K1432" i="6"/>
  <c r="K1433" i="6"/>
  <c r="K1434" i="6"/>
  <c r="K1435" i="6"/>
  <c r="K1436" i="6"/>
  <c r="K1426" i="6"/>
  <c r="K1425" i="6"/>
  <c r="K1424" i="6"/>
  <c r="K1423" i="6"/>
  <c r="K1422" i="6"/>
  <c r="K1421" i="6"/>
  <c r="K1419" i="6"/>
  <c r="K1414" i="6"/>
  <c r="K1415" i="6"/>
  <c r="K1416" i="6"/>
  <c r="K1417" i="6"/>
  <c r="K1413" i="6"/>
  <c r="K1412" i="6"/>
  <c r="K1411" i="6"/>
  <c r="K1410" i="6"/>
  <c r="K1408" i="6"/>
  <c r="K1406" i="6"/>
  <c r="K1404" i="6"/>
  <c r="K1400" i="6"/>
  <c r="K1401" i="6"/>
  <c r="K1402" i="6"/>
  <c r="K1399" i="6"/>
  <c r="K1397" i="6"/>
  <c r="K1396" i="6"/>
  <c r="K1395" i="6"/>
  <c r="K1394" i="6"/>
  <c r="K1393" i="6"/>
  <c r="K1392" i="6"/>
  <c r="K1390" i="6"/>
  <c r="K1388" i="6"/>
  <c r="K1379" i="6"/>
  <c r="K1373" i="6"/>
  <c r="K1374" i="6"/>
  <c r="K1375" i="6"/>
  <c r="K1376" i="6"/>
  <c r="K1377" i="6"/>
  <c r="K1378" i="6"/>
  <c r="K1380" i="6"/>
  <c r="K1381" i="6"/>
  <c r="K1382" i="6"/>
  <c r="K1383" i="6"/>
  <c r="K1384" i="6"/>
  <c r="K1385" i="6"/>
  <c r="K1386" i="6"/>
  <c r="K1387" i="6"/>
  <c r="K1389" i="6"/>
  <c r="K1372" i="6"/>
  <c r="K1369" i="6"/>
  <c r="K1367" i="6"/>
  <c r="K1363" i="6"/>
  <c r="K1364" i="6"/>
  <c r="K1365" i="6"/>
  <c r="K1366" i="6"/>
  <c r="K1368" i="6"/>
  <c r="K1370" i="6"/>
  <c r="K1362" i="6"/>
  <c r="K1359" i="6"/>
  <c r="K1356" i="6"/>
  <c r="K1357" i="6"/>
  <c r="K1358" i="6"/>
  <c r="K1360" i="6"/>
  <c r="K1355" i="6"/>
  <c r="K1354" i="6"/>
  <c r="K1353" i="6"/>
  <c r="K1352" i="6"/>
  <c r="K1351" i="6"/>
  <c r="K1350" i="6"/>
  <c r="K1347" i="6"/>
  <c r="K1348" i="6"/>
  <c r="K1349" i="6"/>
  <c r="K1346" i="6"/>
  <c r="K1343" i="6"/>
  <c r="K1340" i="6"/>
  <c r="K1330" i="6"/>
  <c r="K1331" i="6"/>
  <c r="K1332" i="6"/>
  <c r="K1333" i="6"/>
  <c r="K1334" i="6"/>
  <c r="K1335" i="6"/>
  <c r="K1336" i="6"/>
  <c r="K1337" i="6"/>
  <c r="K1338" i="6"/>
  <c r="K1339" i="6"/>
  <c r="K1341" i="6"/>
  <c r="K1329" i="6"/>
  <c r="K1328" i="6"/>
  <c r="K1327" i="6"/>
  <c r="K1326" i="6"/>
  <c r="K1317" i="6"/>
  <c r="K1318" i="6"/>
  <c r="K1319" i="6"/>
  <c r="K1320" i="6"/>
  <c r="K1321" i="6"/>
  <c r="K1322" i="6"/>
  <c r="K1323" i="6"/>
  <c r="K1324" i="6"/>
  <c r="K1311" i="6"/>
  <c r="K1305" i="6"/>
  <c r="K1306" i="6"/>
  <c r="K1307" i="6"/>
  <c r="K1308" i="6"/>
  <c r="K1309" i="6"/>
  <c r="K1310" i="6"/>
  <c r="K1312" i="6"/>
  <c r="K1313" i="6"/>
  <c r="K1314" i="6"/>
  <c r="K1315" i="6"/>
  <c r="K1316" i="6"/>
  <c r="K1304" i="6"/>
  <c r="K1302" i="6"/>
  <c r="K1293" i="6"/>
  <c r="K1294" i="6"/>
  <c r="K1295" i="6"/>
  <c r="K1296" i="6"/>
  <c r="K1297" i="6"/>
  <c r="K1298" i="6"/>
  <c r="K1299" i="6"/>
  <c r="K1300" i="6"/>
  <c r="K1301" i="6"/>
  <c r="K1292" i="6"/>
  <c r="K1291" i="6"/>
  <c r="K1290" i="6"/>
  <c r="K1284" i="6"/>
  <c r="K1285" i="6"/>
  <c r="K1286" i="6"/>
  <c r="K1287" i="6"/>
  <c r="K1288" i="6"/>
  <c r="K1289" i="6"/>
  <c r="K1283" i="6"/>
  <c r="K1280" i="6"/>
  <c r="K1279" i="6"/>
  <c r="K1278" i="6"/>
  <c r="K1276" i="6"/>
  <c r="K1274" i="6"/>
  <c r="K1273" i="6"/>
  <c r="K1272" i="6"/>
  <c r="K1270" i="6"/>
  <c r="K1271" i="6"/>
  <c r="K1265" i="6"/>
  <c r="K1266" i="6"/>
  <c r="K1267" i="6"/>
  <c r="K1268" i="6"/>
  <c r="K1269" i="6"/>
  <c r="K1251" i="6"/>
  <c r="K1252" i="6"/>
  <c r="K1253" i="6"/>
  <c r="K1254" i="6"/>
  <c r="K1255" i="6"/>
  <c r="K1256" i="6"/>
  <c r="K1257" i="6"/>
  <c r="K1258" i="6"/>
  <c r="K1259" i="6"/>
  <c r="K1260" i="6"/>
  <c r="K1261" i="6"/>
  <c r="K1262" i="6"/>
  <c r="K1263" i="6"/>
  <c r="K1235" i="6"/>
  <c r="K1236" i="6"/>
  <c r="K1237" i="6"/>
  <c r="K1238" i="6"/>
  <c r="K1239" i="6"/>
  <c r="K1240" i="6"/>
  <c r="K1241" i="6"/>
  <c r="K1242" i="6"/>
  <c r="K1243" i="6"/>
  <c r="K1244" i="6"/>
  <c r="K1245" i="6"/>
  <c r="K1246" i="6"/>
  <c r="K1247" i="6"/>
  <c r="K1248" i="6"/>
  <c r="K1249" i="6"/>
  <c r="K1250" i="6"/>
  <c r="K1217" i="6"/>
  <c r="K1218" i="6"/>
  <c r="K1219" i="6"/>
  <c r="K1220" i="6"/>
  <c r="K1221" i="6"/>
  <c r="K1222" i="6"/>
  <c r="K1223" i="6"/>
  <c r="K1224" i="6"/>
  <c r="K1225" i="6"/>
  <c r="K1226" i="6"/>
  <c r="K1227" i="6"/>
  <c r="K1228" i="6"/>
  <c r="K1229" i="6"/>
  <c r="K1230" i="6"/>
  <c r="K1231" i="6"/>
  <c r="K1232" i="6"/>
  <c r="K1233" i="6"/>
  <c r="K1234" i="6"/>
  <c r="K1212" i="6"/>
  <c r="K1213" i="6"/>
  <c r="K1214" i="6"/>
  <c r="K1215" i="6"/>
  <c r="K1216" i="6"/>
  <c r="K1211" i="6"/>
  <c r="K912" i="6"/>
  <c r="K913" i="6"/>
  <c r="K908" i="6"/>
  <c r="K909" i="6"/>
  <c r="K910" i="6"/>
  <c r="K911" i="6"/>
  <c r="K914" i="6"/>
  <c r="K915" i="6"/>
  <c r="K896" i="6"/>
  <c r="K897" i="6"/>
  <c r="K898" i="6"/>
  <c r="K899" i="6"/>
  <c r="K900" i="6"/>
  <c r="K901" i="6"/>
  <c r="K902" i="6"/>
  <c r="K903" i="6"/>
  <c r="K904" i="6"/>
  <c r="K905" i="6"/>
  <c r="K906" i="6"/>
  <c r="K907" i="6"/>
  <c r="K890" i="6"/>
  <c r="K891" i="6"/>
  <c r="K892" i="6"/>
  <c r="K893" i="6"/>
  <c r="K894" i="6"/>
  <c r="K895" i="6"/>
  <c r="K877" i="6"/>
  <c r="K878" i="6"/>
  <c r="K879" i="6"/>
  <c r="K880" i="6"/>
  <c r="K881" i="6"/>
  <c r="K882" i="6"/>
  <c r="K883" i="6"/>
  <c r="K884" i="6"/>
  <c r="K885" i="6"/>
  <c r="K886" i="6"/>
  <c r="K887" i="6"/>
  <c r="K888" i="6"/>
  <c r="K889" i="6"/>
  <c r="K870" i="6"/>
  <c r="K871" i="6"/>
  <c r="K872" i="6"/>
  <c r="K873" i="6"/>
  <c r="K874" i="6"/>
  <c r="K875" i="6"/>
  <c r="K876" i="6"/>
  <c r="K864" i="6"/>
  <c r="K865" i="6"/>
  <c r="K866" i="6"/>
  <c r="K867" i="6"/>
  <c r="K868" i="6"/>
  <c r="K869" i="6"/>
  <c r="K849" i="6"/>
  <c r="K850" i="6"/>
  <c r="K851" i="6"/>
  <c r="K852" i="6"/>
  <c r="K853" i="6"/>
  <c r="K854" i="6"/>
  <c r="K855" i="6"/>
  <c r="K856" i="6"/>
  <c r="K857" i="6"/>
  <c r="K858" i="6"/>
  <c r="K859" i="6"/>
  <c r="K860" i="6"/>
  <c r="K861" i="6"/>
  <c r="K862" i="6"/>
  <c r="K863" i="6"/>
  <c r="K833" i="6"/>
  <c r="K834" i="6"/>
  <c r="K835" i="6"/>
  <c r="K836" i="6"/>
  <c r="K837" i="6"/>
  <c r="K838" i="6"/>
  <c r="K839" i="6"/>
  <c r="K840" i="6"/>
  <c r="K841" i="6"/>
  <c r="K842" i="6"/>
  <c r="K843" i="6"/>
  <c r="K844" i="6"/>
  <c r="K845" i="6"/>
  <c r="K846" i="6"/>
  <c r="K847" i="6"/>
  <c r="K848" i="6"/>
  <c r="K820" i="6"/>
  <c r="K821" i="6"/>
  <c r="K822" i="6"/>
  <c r="K823" i="6"/>
  <c r="K824" i="6"/>
  <c r="K825" i="6"/>
  <c r="K826" i="6"/>
  <c r="K827" i="6"/>
  <c r="K828" i="6"/>
  <c r="K829" i="6"/>
  <c r="K830" i="6"/>
  <c r="K831" i="6"/>
  <c r="K832" i="6"/>
  <c r="K809" i="6"/>
  <c r="K810" i="6"/>
  <c r="K811" i="6"/>
  <c r="K812" i="6"/>
  <c r="K813" i="6"/>
  <c r="K814" i="6"/>
  <c r="K815" i="6"/>
  <c r="K816" i="6"/>
  <c r="K817" i="6"/>
  <c r="K818" i="6"/>
  <c r="K819" i="6"/>
  <c r="K793" i="6"/>
  <c r="K794" i="6"/>
  <c r="K795" i="6"/>
  <c r="K796" i="6"/>
  <c r="K797" i="6"/>
  <c r="K798" i="6"/>
  <c r="K799" i="6"/>
  <c r="K800" i="6"/>
  <c r="K801" i="6"/>
  <c r="K802" i="6"/>
  <c r="K803" i="6"/>
  <c r="K804" i="6"/>
  <c r="K805" i="6"/>
  <c r="K806" i="6"/>
  <c r="K807" i="6"/>
  <c r="K808" i="6"/>
  <c r="K784" i="6"/>
  <c r="K785" i="6"/>
  <c r="K786" i="6"/>
  <c r="K787" i="6"/>
  <c r="K788" i="6"/>
  <c r="K789" i="6"/>
  <c r="K790" i="6"/>
  <c r="K791" i="6"/>
  <c r="K792" i="6"/>
  <c r="K779" i="6"/>
  <c r="K780" i="6"/>
  <c r="K781" i="6"/>
  <c r="K782" i="6"/>
  <c r="K783" i="6"/>
  <c r="K778" i="6"/>
  <c r="K1275" i="6"/>
  <c r="K1277" i="6"/>
  <c r="K1281" i="6"/>
  <c r="K1282" i="6"/>
  <c r="K1303" i="6"/>
  <c r="K1325" i="6"/>
  <c r="K1342" i="6"/>
  <c r="K1345" i="6"/>
  <c r="K1361" i="6"/>
  <c r="K1371" i="6"/>
  <c r="K1391" i="6"/>
  <c r="K1398" i="6"/>
  <c r="K1403" i="6"/>
  <c r="K1405" i="6"/>
  <c r="K1407" i="6"/>
  <c r="K1409" i="6"/>
  <c r="K1418" i="6"/>
  <c r="K1420" i="6"/>
  <c r="H1285" i="6"/>
  <c r="J1285" i="6" s="1"/>
  <c r="H1286" i="6"/>
  <c r="J1286" i="6" s="1"/>
  <c r="H1287" i="6"/>
  <c r="J1287" i="6" s="1"/>
  <c r="H1288" i="6"/>
  <c r="J1288" i="6" s="1"/>
  <c r="H1289" i="6"/>
  <c r="J1289" i="6" s="1"/>
  <c r="H1290" i="6"/>
  <c r="J1290" i="6" s="1"/>
  <c r="H1291" i="6"/>
  <c r="J1291" i="6" s="1"/>
  <c r="H1292" i="6"/>
  <c r="J1292" i="6" s="1"/>
  <c r="H1293" i="6"/>
  <c r="J1293" i="6" s="1"/>
  <c r="H1294" i="6"/>
  <c r="J1294" i="6" s="1"/>
  <c r="H1295" i="6"/>
  <c r="J1295" i="6" s="1"/>
  <c r="H1296" i="6"/>
  <c r="J1296" i="6" s="1"/>
  <c r="H1297" i="6"/>
  <c r="J1297" i="6" s="1"/>
  <c r="H1298" i="6"/>
  <c r="J1298" i="6" s="1"/>
  <c r="H1299" i="6"/>
  <c r="J1299" i="6" s="1"/>
  <c r="H1300" i="6"/>
  <c r="J1300" i="6" s="1"/>
  <c r="H1301" i="6"/>
  <c r="J1301" i="6" s="1"/>
  <c r="H1302" i="6"/>
  <c r="J1302" i="6" s="1"/>
  <c r="H1303" i="6"/>
  <c r="J1303" i="6" s="1"/>
  <c r="H1304" i="6"/>
  <c r="J1304" i="6" s="1"/>
  <c r="H1305" i="6"/>
  <c r="J1305" i="6" s="1"/>
  <c r="H1306" i="6"/>
  <c r="J1306" i="6" s="1"/>
  <c r="H1307" i="6"/>
  <c r="J1307" i="6" s="1"/>
  <c r="H1308" i="6"/>
  <c r="J1308" i="6" s="1"/>
  <c r="H1309" i="6"/>
  <c r="J1309" i="6" s="1"/>
  <c r="H1310" i="6"/>
  <c r="J1310" i="6" s="1"/>
  <c r="H1311" i="6"/>
  <c r="J1311" i="6" s="1"/>
  <c r="H1312" i="6"/>
  <c r="J1312" i="6" s="1"/>
  <c r="H1313" i="6"/>
  <c r="J1313" i="6" s="1"/>
  <c r="H1314" i="6"/>
  <c r="J1314" i="6" s="1"/>
  <c r="H1315" i="6"/>
  <c r="J1315" i="6" s="1"/>
  <c r="H1316" i="6"/>
  <c r="J1316" i="6" s="1"/>
  <c r="H1317" i="6"/>
  <c r="J1317" i="6" s="1"/>
  <c r="H1318" i="6"/>
  <c r="J1318" i="6" s="1"/>
  <c r="H1319" i="6"/>
  <c r="J1319" i="6" s="1"/>
  <c r="H1320" i="6"/>
  <c r="J1320" i="6" s="1"/>
  <c r="H1321" i="6"/>
  <c r="J1321" i="6" s="1"/>
  <c r="H1322" i="6"/>
  <c r="J1322" i="6" s="1"/>
  <c r="H1323" i="6"/>
  <c r="J1323" i="6" s="1"/>
  <c r="H1324" i="6"/>
  <c r="J1324" i="6" s="1"/>
  <c r="H1325" i="6"/>
  <c r="J1325" i="6" s="1"/>
  <c r="H1326" i="6"/>
  <c r="J1326" i="6" s="1"/>
  <c r="H1327" i="6"/>
  <c r="J1327" i="6" s="1"/>
  <c r="H1328" i="6"/>
  <c r="J1328" i="6" s="1"/>
  <c r="H1329" i="6"/>
  <c r="J1329" i="6" s="1"/>
  <c r="H1330" i="6"/>
  <c r="J1330" i="6" s="1"/>
  <c r="H1331" i="6"/>
  <c r="J1331" i="6" s="1"/>
  <c r="H1332" i="6"/>
  <c r="J1332" i="6" s="1"/>
  <c r="H1333" i="6"/>
  <c r="J1333" i="6" s="1"/>
  <c r="H1334" i="6"/>
  <c r="J1334" i="6" s="1"/>
  <c r="H1335" i="6"/>
  <c r="J1335" i="6" s="1"/>
  <c r="H1336" i="6"/>
  <c r="J1336" i="6" s="1"/>
  <c r="H1337" i="6"/>
  <c r="J1337" i="6" s="1"/>
  <c r="H1338" i="6"/>
  <c r="J1338" i="6" s="1"/>
  <c r="H1339" i="6"/>
  <c r="J1339" i="6" s="1"/>
  <c r="H1340" i="6"/>
  <c r="J1340" i="6" s="1"/>
  <c r="H1341" i="6"/>
  <c r="J1341" i="6" s="1"/>
  <c r="H1342" i="6"/>
  <c r="J1342" i="6" s="1"/>
  <c r="H1343" i="6"/>
  <c r="J1343" i="6" s="1"/>
  <c r="H1344" i="6"/>
  <c r="J1344" i="6" s="1"/>
  <c r="H1345" i="6"/>
  <c r="J1345" i="6" s="1"/>
  <c r="H1346" i="6"/>
  <c r="J1346" i="6" s="1"/>
  <c r="H1347" i="6"/>
  <c r="J1347" i="6" s="1"/>
  <c r="H1348" i="6"/>
  <c r="J1348" i="6" s="1"/>
  <c r="H1349" i="6"/>
  <c r="J1349" i="6" s="1"/>
  <c r="H1350" i="6"/>
  <c r="J1350" i="6" s="1"/>
  <c r="H1351" i="6"/>
  <c r="J1351" i="6" s="1"/>
  <c r="H1352" i="6"/>
  <c r="J1352" i="6" s="1"/>
  <c r="H1353" i="6"/>
  <c r="J1353" i="6" s="1"/>
  <c r="H1354" i="6"/>
  <c r="J1354" i="6" s="1"/>
  <c r="H1355" i="6"/>
  <c r="J1355" i="6" s="1"/>
  <c r="H1356" i="6"/>
  <c r="J1356" i="6" s="1"/>
  <c r="H1357" i="6"/>
  <c r="J1357" i="6" s="1"/>
  <c r="H1358" i="6"/>
  <c r="J1358" i="6" s="1"/>
  <c r="H1359" i="6"/>
  <c r="J1359" i="6" s="1"/>
  <c r="H1360" i="6"/>
  <c r="J1360" i="6" s="1"/>
  <c r="H1361" i="6"/>
  <c r="J1361" i="6" s="1"/>
  <c r="H1362" i="6"/>
  <c r="J1362" i="6" s="1"/>
  <c r="H1363" i="6"/>
  <c r="J1363" i="6" s="1"/>
  <c r="H1364" i="6"/>
  <c r="J1364" i="6" s="1"/>
  <c r="H1365" i="6"/>
  <c r="J1365" i="6" s="1"/>
  <c r="H1366" i="6"/>
  <c r="J1366" i="6" s="1"/>
  <c r="H1367" i="6"/>
  <c r="J1367" i="6" s="1"/>
  <c r="H1368" i="6"/>
  <c r="J1368" i="6" s="1"/>
  <c r="H1369" i="6"/>
  <c r="J1369" i="6" s="1"/>
  <c r="H1370" i="6"/>
  <c r="J1370" i="6" s="1"/>
  <c r="H1371" i="6"/>
  <c r="J1371" i="6" s="1"/>
  <c r="H1372" i="6"/>
  <c r="J1372" i="6" s="1"/>
  <c r="H1373" i="6"/>
  <c r="J1373" i="6" s="1"/>
  <c r="H1374" i="6"/>
  <c r="J1374" i="6" s="1"/>
  <c r="H1375" i="6"/>
  <c r="J1375" i="6" s="1"/>
  <c r="H1376" i="6"/>
  <c r="J1376" i="6" s="1"/>
  <c r="H1377" i="6"/>
  <c r="J1377" i="6" s="1"/>
  <c r="H1378" i="6"/>
  <c r="J1378" i="6" s="1"/>
  <c r="H1379" i="6"/>
  <c r="J1379" i="6" s="1"/>
  <c r="H1380" i="6"/>
  <c r="J1380" i="6" s="1"/>
  <c r="H1381" i="6"/>
  <c r="J1381" i="6" s="1"/>
  <c r="H1382" i="6"/>
  <c r="J1382" i="6" s="1"/>
  <c r="H1383" i="6"/>
  <c r="J1383" i="6" s="1"/>
  <c r="H1384" i="6"/>
  <c r="J1384" i="6" s="1"/>
  <c r="H1385" i="6"/>
  <c r="J1385" i="6" s="1"/>
  <c r="H1386" i="6"/>
  <c r="J1386" i="6" s="1"/>
  <c r="H1387" i="6"/>
  <c r="J1387" i="6" s="1"/>
  <c r="H1388" i="6"/>
  <c r="J1388" i="6" s="1"/>
  <c r="H1389" i="6"/>
  <c r="J1389" i="6" s="1"/>
  <c r="H1390" i="6"/>
  <c r="J1390" i="6" s="1"/>
  <c r="H1391" i="6"/>
  <c r="J1391" i="6" s="1"/>
  <c r="H1392" i="6"/>
  <c r="J1392" i="6" s="1"/>
  <c r="H1393" i="6"/>
  <c r="J1393" i="6" s="1"/>
  <c r="H1394" i="6"/>
  <c r="J1394" i="6" s="1"/>
  <c r="H1395" i="6"/>
  <c r="J1395" i="6" s="1"/>
  <c r="H1396" i="6"/>
  <c r="J1396" i="6" s="1"/>
  <c r="H1397" i="6"/>
  <c r="J1397" i="6" s="1"/>
  <c r="H1398" i="6"/>
  <c r="J1398" i="6" s="1"/>
  <c r="H1399" i="6"/>
  <c r="J1399" i="6" s="1"/>
  <c r="H1400" i="6"/>
  <c r="J1400" i="6" s="1"/>
  <c r="H1401" i="6"/>
  <c r="J1401" i="6" s="1"/>
  <c r="H1402" i="6"/>
  <c r="J1402" i="6" s="1"/>
  <c r="H1403" i="6"/>
  <c r="J1403" i="6" s="1"/>
  <c r="H1404" i="6"/>
  <c r="J1404" i="6" s="1"/>
  <c r="H1405" i="6"/>
  <c r="J1405" i="6" s="1"/>
  <c r="H1406" i="6"/>
  <c r="J1406" i="6" s="1"/>
  <c r="H1407" i="6"/>
  <c r="J1407" i="6" s="1"/>
  <c r="H1408" i="6"/>
  <c r="J1408" i="6" s="1"/>
  <c r="H1409" i="6"/>
  <c r="J1409" i="6" s="1"/>
  <c r="H1410" i="6"/>
  <c r="J1410" i="6" s="1"/>
  <c r="H1411" i="6"/>
  <c r="J1411" i="6" s="1"/>
  <c r="H1412" i="6"/>
  <c r="J1412" i="6" s="1"/>
  <c r="H1413" i="6"/>
  <c r="J1413" i="6" s="1"/>
  <c r="H1414" i="6"/>
  <c r="J1414" i="6" s="1"/>
  <c r="H1415" i="6"/>
  <c r="J1415" i="6" s="1"/>
  <c r="H1416" i="6"/>
  <c r="J1416" i="6" s="1"/>
  <c r="H1417" i="6"/>
  <c r="J1417" i="6" s="1"/>
  <c r="H1418" i="6"/>
  <c r="J1418" i="6" s="1"/>
  <c r="H1419" i="6"/>
  <c r="J1419" i="6" s="1"/>
  <c r="H1420" i="6"/>
  <c r="J1420" i="6" s="1"/>
  <c r="H1421" i="6"/>
  <c r="J1421" i="6" s="1"/>
  <c r="H1422" i="6"/>
  <c r="J1422" i="6" s="1"/>
  <c r="H1423" i="6"/>
  <c r="J1423" i="6" s="1"/>
  <c r="H1424" i="6"/>
  <c r="J1424" i="6" s="1"/>
  <c r="H1425" i="6"/>
  <c r="J1425" i="6" s="1"/>
  <c r="H1426" i="6"/>
  <c r="J1426" i="6" s="1"/>
  <c r="H1427" i="6"/>
  <c r="J1427" i="6" s="1"/>
  <c r="H1428" i="6"/>
  <c r="J1428" i="6" s="1"/>
  <c r="H1429" i="6"/>
  <c r="J1429" i="6" s="1"/>
  <c r="H1430" i="6"/>
  <c r="J1430" i="6" s="1"/>
  <c r="H1431" i="6"/>
  <c r="J1431" i="6" s="1"/>
  <c r="H1432" i="6"/>
  <c r="J1432" i="6" s="1"/>
  <c r="H1433" i="6"/>
  <c r="J1433" i="6" s="1"/>
  <c r="H1434" i="6"/>
  <c r="J1434" i="6" s="1"/>
  <c r="H1435" i="6"/>
  <c r="J1435" i="6" s="1"/>
  <c r="H1436" i="6"/>
  <c r="J1436" i="6" s="1"/>
  <c r="H1437" i="6"/>
  <c r="J1437" i="6" s="1"/>
  <c r="H1438" i="6"/>
  <c r="J1438" i="6" s="1"/>
  <c r="H1439" i="6"/>
  <c r="J1439" i="6" s="1"/>
  <c r="H1440" i="6"/>
  <c r="J1440" i="6" s="1"/>
  <c r="H1441" i="6"/>
  <c r="J1441" i="6" s="1"/>
  <c r="H1442" i="6"/>
  <c r="J1442" i="6" s="1"/>
  <c r="H1443" i="6"/>
  <c r="J1443" i="6" s="1"/>
  <c r="H1444" i="6"/>
  <c r="J1444" i="6" s="1"/>
  <c r="H1445" i="6"/>
  <c r="J1445" i="6" s="1"/>
  <c r="H1446" i="6"/>
  <c r="J1446" i="6" s="1"/>
  <c r="H1276" i="6"/>
  <c r="J1276" i="6" s="1"/>
  <c r="H1277" i="6"/>
  <c r="J1277" i="6" s="1"/>
  <c r="H1278" i="6"/>
  <c r="J1278" i="6" s="1"/>
  <c r="H1279" i="6"/>
  <c r="J1279" i="6" s="1"/>
  <c r="H1280" i="6"/>
  <c r="J1280" i="6" s="1"/>
  <c r="H1281" i="6"/>
  <c r="J1281" i="6" s="1"/>
  <c r="H1282" i="6"/>
  <c r="J1282" i="6" s="1"/>
  <c r="H1283" i="6"/>
  <c r="J1283" i="6" s="1"/>
  <c r="H1284" i="6"/>
  <c r="J1284" i="6" s="1"/>
  <c r="H1260" i="6"/>
  <c r="J1260" i="6" s="1"/>
  <c r="H1261" i="6"/>
  <c r="J1261" i="6" s="1"/>
  <c r="H1262" i="6"/>
  <c r="J1262" i="6" s="1"/>
  <c r="H1263" i="6"/>
  <c r="J1263" i="6" s="1"/>
  <c r="H1264" i="6"/>
  <c r="J1264" i="6" s="1"/>
  <c r="H1265" i="6"/>
  <c r="J1265" i="6" s="1"/>
  <c r="H1266" i="6"/>
  <c r="J1266" i="6" s="1"/>
  <c r="H1267" i="6"/>
  <c r="J1267" i="6" s="1"/>
  <c r="H1268" i="6"/>
  <c r="J1268" i="6" s="1"/>
  <c r="H1269" i="6"/>
  <c r="J1269" i="6" s="1"/>
  <c r="H1270" i="6"/>
  <c r="J1270" i="6" s="1"/>
  <c r="H1271" i="6"/>
  <c r="J1271" i="6" s="1"/>
  <c r="H1272" i="6"/>
  <c r="J1272" i="6" s="1"/>
  <c r="H1273" i="6"/>
  <c r="J1273" i="6" s="1"/>
  <c r="H1274" i="6"/>
  <c r="J1274" i="6" s="1"/>
  <c r="H1275" i="6"/>
  <c r="J1275" i="6" s="1"/>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26" i="6"/>
  <c r="K27" i="6"/>
  <c r="K28" i="6"/>
  <c r="K29" i="6"/>
  <c r="K30" i="6"/>
  <c r="K31" i="6"/>
  <c r="K32" i="6"/>
  <c r="K33" i="6"/>
  <c r="K34" i="6"/>
  <c r="K35" i="6"/>
  <c r="K36" i="6"/>
  <c r="K37" i="6"/>
  <c r="K20" i="6"/>
  <c r="K21" i="6"/>
  <c r="K22" i="6"/>
  <c r="K23" i="6"/>
  <c r="K24" i="6"/>
  <c r="K25" i="6"/>
  <c r="K4" i="6"/>
  <c r="K5" i="6"/>
  <c r="K6" i="6"/>
  <c r="K7" i="6"/>
  <c r="K8" i="6"/>
  <c r="K9" i="6"/>
  <c r="K10" i="6"/>
  <c r="K11" i="6"/>
  <c r="K12" i="6"/>
  <c r="K13" i="6"/>
  <c r="K14" i="6"/>
  <c r="K15" i="6"/>
  <c r="K16" i="6"/>
  <c r="K17" i="6"/>
  <c r="K18" i="6"/>
  <c r="K19" i="6"/>
  <c r="K2" i="6"/>
  <c r="H36" i="6"/>
  <c r="J36" i="6" s="1"/>
  <c r="H37" i="6"/>
  <c r="J37" i="6" s="1"/>
  <c r="H38" i="6"/>
  <c r="J38" i="6" s="1"/>
  <c r="H39" i="6"/>
  <c r="J39" i="6" s="1"/>
  <c r="H40" i="6"/>
  <c r="J40" i="6" s="1"/>
  <c r="H41" i="6"/>
  <c r="J41" i="6" s="1"/>
  <c r="H42" i="6"/>
  <c r="J42" i="6" s="1"/>
  <c r="H43" i="6"/>
  <c r="J43" i="6" s="1"/>
  <c r="H44" i="6"/>
  <c r="J44" i="6" s="1"/>
  <c r="H45" i="6"/>
  <c r="J45" i="6" s="1"/>
  <c r="H46" i="6"/>
  <c r="J46" i="6" s="1"/>
  <c r="H47" i="6"/>
  <c r="J47" i="6" s="1"/>
  <c r="H48" i="6"/>
  <c r="J48" i="6" s="1"/>
  <c r="H49" i="6"/>
  <c r="J49" i="6" s="1"/>
  <c r="H50" i="6"/>
  <c r="J50" i="6" s="1"/>
  <c r="H51" i="6"/>
  <c r="J51" i="6" s="1"/>
  <c r="H52" i="6"/>
  <c r="J52" i="6" s="1"/>
  <c r="H53" i="6"/>
  <c r="J53" i="6" s="1"/>
  <c r="H54" i="6"/>
  <c r="J54" i="6" s="1"/>
  <c r="H55" i="6"/>
  <c r="J55" i="6" s="1"/>
  <c r="H56" i="6"/>
  <c r="J56" i="6" s="1"/>
  <c r="H57" i="6"/>
  <c r="J57" i="6" s="1"/>
  <c r="H58" i="6"/>
  <c r="J58" i="6" s="1"/>
  <c r="H59" i="6"/>
  <c r="J59" i="6" s="1"/>
  <c r="H60" i="6"/>
  <c r="J60" i="6" s="1"/>
  <c r="H61" i="6"/>
  <c r="J61" i="6" s="1"/>
  <c r="H62" i="6"/>
  <c r="J62" i="6" s="1"/>
  <c r="H63" i="6"/>
  <c r="J63" i="6" s="1"/>
  <c r="H64" i="6"/>
  <c r="J64" i="6" s="1"/>
  <c r="H65" i="6"/>
  <c r="J65" i="6" s="1"/>
  <c r="H66" i="6"/>
  <c r="J66" i="6" s="1"/>
  <c r="H67" i="6"/>
  <c r="J67" i="6" s="1"/>
  <c r="H68" i="6"/>
  <c r="J68" i="6" s="1"/>
  <c r="H69" i="6"/>
  <c r="J69" i="6" s="1"/>
  <c r="H70" i="6"/>
  <c r="J70" i="6" s="1"/>
  <c r="H71" i="6"/>
  <c r="J71" i="6" s="1"/>
  <c r="H72" i="6"/>
  <c r="J72" i="6" s="1"/>
  <c r="H73" i="6"/>
  <c r="J73" i="6" s="1"/>
  <c r="H74" i="6"/>
  <c r="J74" i="6" s="1"/>
  <c r="H75" i="6"/>
  <c r="J75" i="6" s="1"/>
  <c r="H76" i="6"/>
  <c r="J76" i="6" s="1"/>
  <c r="H77" i="6"/>
  <c r="J77" i="6" s="1"/>
  <c r="H78" i="6"/>
  <c r="J78" i="6" s="1"/>
  <c r="H79" i="6"/>
  <c r="J79" i="6" s="1"/>
  <c r="H80" i="6"/>
  <c r="J80" i="6" s="1"/>
  <c r="H81" i="6"/>
  <c r="J81" i="6" s="1"/>
  <c r="H82" i="6"/>
  <c r="J82" i="6" s="1"/>
  <c r="H83" i="6"/>
  <c r="J83" i="6" s="1"/>
  <c r="H84" i="6"/>
  <c r="J84" i="6" s="1"/>
  <c r="H85" i="6"/>
  <c r="J85" i="6" s="1"/>
  <c r="H86" i="6"/>
  <c r="J86" i="6" s="1"/>
  <c r="H87" i="6"/>
  <c r="J87" i="6" s="1"/>
  <c r="H88" i="6"/>
  <c r="J88" i="6" s="1"/>
  <c r="H89" i="6"/>
  <c r="J89" i="6" s="1"/>
  <c r="H90" i="6"/>
  <c r="J90" i="6" s="1"/>
  <c r="H91" i="6"/>
  <c r="J91" i="6" s="1"/>
  <c r="H92" i="6"/>
  <c r="J92" i="6" s="1"/>
  <c r="H93" i="6"/>
  <c r="J93" i="6" s="1"/>
  <c r="H94" i="6"/>
  <c r="J94" i="6" s="1"/>
  <c r="H95" i="6"/>
  <c r="J95" i="6" s="1"/>
  <c r="H96" i="6"/>
  <c r="J96" i="6" s="1"/>
  <c r="H97" i="6"/>
  <c r="J97" i="6" s="1"/>
  <c r="H98" i="6"/>
  <c r="J98" i="6" s="1"/>
  <c r="H99" i="6"/>
  <c r="J99" i="6" s="1"/>
  <c r="H100" i="6"/>
  <c r="J100" i="6" s="1"/>
  <c r="H101" i="6"/>
  <c r="J101" i="6" s="1"/>
  <c r="H102" i="6"/>
  <c r="J102" i="6" s="1"/>
  <c r="H103" i="6"/>
  <c r="J103" i="6" s="1"/>
  <c r="H104" i="6"/>
  <c r="J104" i="6" s="1"/>
  <c r="H105" i="6"/>
  <c r="J105" i="6" s="1"/>
  <c r="H106" i="6"/>
  <c r="J106" i="6" s="1"/>
  <c r="H107" i="6"/>
  <c r="J107" i="6" s="1"/>
  <c r="H108" i="6"/>
  <c r="J108" i="6" s="1"/>
  <c r="H109" i="6"/>
  <c r="J109" i="6" s="1"/>
  <c r="H110" i="6"/>
  <c r="J110" i="6" s="1"/>
  <c r="H111" i="6"/>
  <c r="J111" i="6" s="1"/>
  <c r="H112" i="6"/>
  <c r="J112" i="6" s="1"/>
  <c r="H113" i="6"/>
  <c r="J113" i="6" s="1"/>
  <c r="H114" i="6"/>
  <c r="J114" i="6" s="1"/>
  <c r="H115" i="6"/>
  <c r="J115" i="6" s="1"/>
  <c r="H116" i="6"/>
  <c r="J116" i="6" s="1"/>
  <c r="H117" i="6"/>
  <c r="J117" i="6" s="1"/>
  <c r="H118" i="6"/>
  <c r="J118" i="6" s="1"/>
  <c r="H119" i="6"/>
  <c r="J119" i="6" s="1"/>
  <c r="H120" i="6"/>
  <c r="J120" i="6" s="1"/>
  <c r="H121" i="6"/>
  <c r="J121" i="6" s="1"/>
  <c r="H122" i="6"/>
  <c r="J122" i="6" s="1"/>
  <c r="H123" i="6"/>
  <c r="J123" i="6" s="1"/>
  <c r="H124" i="6"/>
  <c r="J124" i="6" s="1"/>
  <c r="H125" i="6"/>
  <c r="J125" i="6" s="1"/>
  <c r="H126" i="6"/>
  <c r="J126" i="6" s="1"/>
  <c r="H127" i="6"/>
  <c r="J127" i="6" s="1"/>
  <c r="H128" i="6"/>
  <c r="J128" i="6" s="1"/>
  <c r="H129" i="6"/>
  <c r="J129" i="6" s="1"/>
  <c r="H130" i="6"/>
  <c r="J130" i="6" s="1"/>
  <c r="H131" i="6"/>
  <c r="J131" i="6" s="1"/>
  <c r="H132" i="6"/>
  <c r="J132" i="6" s="1"/>
  <c r="H133" i="6"/>
  <c r="J133" i="6" s="1"/>
  <c r="H134" i="6"/>
  <c r="J134" i="6" s="1"/>
  <c r="H135" i="6"/>
  <c r="J135" i="6" s="1"/>
  <c r="H136" i="6"/>
  <c r="J136" i="6" s="1"/>
  <c r="H137" i="6"/>
  <c r="J137" i="6" s="1"/>
  <c r="H138" i="6"/>
  <c r="J138" i="6" s="1"/>
  <c r="H139" i="6"/>
  <c r="J139" i="6" s="1"/>
  <c r="H140" i="6"/>
  <c r="J140" i="6" s="1"/>
  <c r="H141" i="6"/>
  <c r="J141" i="6" s="1"/>
  <c r="H142" i="6"/>
  <c r="J142" i="6" s="1"/>
  <c r="H143" i="6"/>
  <c r="J143" i="6" s="1"/>
  <c r="H144" i="6"/>
  <c r="J144" i="6" s="1"/>
  <c r="H145" i="6"/>
  <c r="J145" i="6" s="1"/>
  <c r="H146" i="6"/>
  <c r="J146" i="6" s="1"/>
  <c r="H147" i="6"/>
  <c r="J147" i="6" s="1"/>
  <c r="H148" i="6"/>
  <c r="J148" i="6" s="1"/>
  <c r="H149" i="6"/>
  <c r="J149" i="6" s="1"/>
  <c r="H150" i="6"/>
  <c r="J150" i="6" s="1"/>
  <c r="H151" i="6"/>
  <c r="J151" i="6" s="1"/>
  <c r="H152" i="6"/>
  <c r="J152" i="6" s="1"/>
  <c r="H153" i="6"/>
  <c r="J153" i="6" s="1"/>
  <c r="H154" i="6"/>
  <c r="J154" i="6" s="1"/>
  <c r="H155" i="6"/>
  <c r="J155" i="6" s="1"/>
  <c r="H156" i="6"/>
  <c r="J156" i="6" s="1"/>
  <c r="H157" i="6"/>
  <c r="J157" i="6" s="1"/>
  <c r="H158" i="6"/>
  <c r="J158" i="6" s="1"/>
  <c r="H159" i="6"/>
  <c r="J159" i="6" s="1"/>
  <c r="H160" i="6"/>
  <c r="J160" i="6" s="1"/>
  <c r="H161" i="6"/>
  <c r="J161" i="6" s="1"/>
  <c r="H162" i="6"/>
  <c r="J162" i="6" s="1"/>
  <c r="H163" i="6"/>
  <c r="J163" i="6" s="1"/>
  <c r="H164" i="6"/>
  <c r="J164" i="6" s="1"/>
  <c r="H165" i="6"/>
  <c r="J165" i="6" s="1"/>
  <c r="H166" i="6"/>
  <c r="J166" i="6" s="1"/>
  <c r="H167" i="6"/>
  <c r="J167" i="6" s="1"/>
  <c r="H168" i="6"/>
  <c r="J168" i="6" s="1"/>
  <c r="H169" i="6"/>
  <c r="J169" i="6" s="1"/>
  <c r="H170" i="6"/>
  <c r="J170" i="6" s="1"/>
  <c r="H171" i="6"/>
  <c r="J171" i="6" s="1"/>
  <c r="H172" i="6"/>
  <c r="J172" i="6" s="1"/>
  <c r="H173" i="6"/>
  <c r="J173" i="6" s="1"/>
  <c r="H174" i="6"/>
  <c r="J174" i="6" s="1"/>
  <c r="H175" i="6"/>
  <c r="J175" i="6" s="1"/>
  <c r="H176" i="6"/>
  <c r="J176" i="6" s="1"/>
  <c r="H177" i="6"/>
  <c r="J177" i="6" s="1"/>
  <c r="H178" i="6"/>
  <c r="J178" i="6" s="1"/>
  <c r="H179" i="6"/>
  <c r="J179" i="6" s="1"/>
  <c r="H180" i="6"/>
  <c r="J180" i="6" s="1"/>
  <c r="H181" i="6"/>
  <c r="J181" i="6" s="1"/>
  <c r="H182" i="6"/>
  <c r="J182" i="6" s="1"/>
  <c r="H183" i="6"/>
  <c r="J183" i="6" s="1"/>
  <c r="H184" i="6"/>
  <c r="J184" i="6" s="1"/>
  <c r="H185" i="6"/>
  <c r="J185" i="6" s="1"/>
  <c r="H186" i="6"/>
  <c r="J186" i="6" s="1"/>
  <c r="H187" i="6"/>
  <c r="J187" i="6" s="1"/>
  <c r="H188" i="6"/>
  <c r="J188" i="6" s="1"/>
  <c r="H189" i="6"/>
  <c r="J189" i="6" s="1"/>
  <c r="H190" i="6"/>
  <c r="J190" i="6" s="1"/>
  <c r="H191" i="6"/>
  <c r="J191" i="6" s="1"/>
  <c r="H192" i="6"/>
  <c r="J192" i="6" s="1"/>
  <c r="H193" i="6"/>
  <c r="J193" i="6" s="1"/>
  <c r="H194" i="6"/>
  <c r="J194" i="6" s="1"/>
  <c r="H195" i="6"/>
  <c r="J195" i="6" s="1"/>
  <c r="H196" i="6"/>
  <c r="J196" i="6" s="1"/>
  <c r="H197" i="6"/>
  <c r="J197" i="6" s="1"/>
  <c r="H198" i="6"/>
  <c r="J198" i="6" s="1"/>
  <c r="H199" i="6"/>
  <c r="J199" i="6" s="1"/>
  <c r="H200" i="6"/>
  <c r="J200" i="6" s="1"/>
  <c r="H201" i="6"/>
  <c r="J201" i="6" s="1"/>
  <c r="H202" i="6"/>
  <c r="J202" i="6" s="1"/>
  <c r="H203" i="6"/>
  <c r="J203" i="6" s="1"/>
  <c r="H204" i="6"/>
  <c r="J204" i="6" s="1"/>
  <c r="H205" i="6"/>
  <c r="J205" i="6" s="1"/>
  <c r="H206" i="6"/>
  <c r="J206" i="6" s="1"/>
  <c r="H207" i="6"/>
  <c r="J207" i="6" s="1"/>
  <c r="H208" i="6"/>
  <c r="J208" i="6" s="1"/>
  <c r="H209" i="6"/>
  <c r="J209" i="6" s="1"/>
  <c r="H210" i="6"/>
  <c r="J210" i="6" s="1"/>
  <c r="H211" i="6"/>
  <c r="J211" i="6" s="1"/>
  <c r="H212" i="6"/>
  <c r="J212" i="6" s="1"/>
  <c r="H213" i="6"/>
  <c r="J213" i="6" s="1"/>
  <c r="H214" i="6"/>
  <c r="J214" i="6" s="1"/>
  <c r="H215" i="6"/>
  <c r="J215" i="6" s="1"/>
  <c r="H216" i="6"/>
  <c r="J216" i="6" s="1"/>
  <c r="H217" i="6"/>
  <c r="J217" i="6" s="1"/>
  <c r="H218" i="6"/>
  <c r="J218" i="6" s="1"/>
  <c r="H219" i="6"/>
  <c r="J219" i="6" s="1"/>
  <c r="H220" i="6"/>
  <c r="J220" i="6" s="1"/>
  <c r="H221" i="6"/>
  <c r="J221" i="6" s="1"/>
  <c r="H222" i="6"/>
  <c r="J222" i="6" s="1"/>
  <c r="H223" i="6"/>
  <c r="J223" i="6" s="1"/>
  <c r="H224" i="6"/>
  <c r="J224" i="6" s="1"/>
  <c r="H225" i="6"/>
  <c r="J225" i="6" s="1"/>
  <c r="H226" i="6"/>
  <c r="J226" i="6" s="1"/>
  <c r="H227" i="6"/>
  <c r="J227" i="6" s="1"/>
  <c r="H228" i="6"/>
  <c r="J228" i="6" s="1"/>
  <c r="H229" i="6"/>
  <c r="J229" i="6" s="1"/>
  <c r="H230" i="6"/>
  <c r="J230" i="6" s="1"/>
  <c r="H231" i="6"/>
  <c r="J231" i="6" s="1"/>
  <c r="H232" i="6"/>
  <c r="J232" i="6" s="1"/>
  <c r="H233" i="6"/>
  <c r="J233" i="6" s="1"/>
  <c r="H234" i="6"/>
  <c r="J234" i="6" s="1"/>
  <c r="H235" i="6"/>
  <c r="J235" i="6" s="1"/>
  <c r="H236" i="6"/>
  <c r="J236" i="6" s="1"/>
  <c r="H237" i="6"/>
  <c r="J237" i="6" s="1"/>
  <c r="H238" i="6"/>
  <c r="J238" i="6" s="1"/>
  <c r="H239" i="6"/>
  <c r="J239" i="6" s="1"/>
  <c r="H240" i="6"/>
  <c r="J240" i="6" s="1"/>
  <c r="H241" i="6"/>
  <c r="J241" i="6" s="1"/>
  <c r="H242" i="6"/>
  <c r="J242" i="6" s="1"/>
  <c r="H243" i="6"/>
  <c r="J243" i="6" s="1"/>
  <c r="H244" i="6"/>
  <c r="J244" i="6" s="1"/>
  <c r="H245" i="6"/>
  <c r="J245" i="6" s="1"/>
  <c r="H246" i="6"/>
  <c r="J246" i="6" s="1"/>
  <c r="H247" i="6"/>
  <c r="J247" i="6" s="1"/>
  <c r="H248" i="6"/>
  <c r="J248" i="6" s="1"/>
  <c r="H249" i="6"/>
  <c r="J249" i="6" s="1"/>
  <c r="H250" i="6"/>
  <c r="J250" i="6" s="1"/>
  <c r="H251" i="6"/>
  <c r="J251" i="6" s="1"/>
  <c r="H252" i="6"/>
  <c r="J252" i="6" s="1"/>
  <c r="H253" i="6"/>
  <c r="J253" i="6" s="1"/>
  <c r="H254" i="6"/>
  <c r="J254" i="6" s="1"/>
  <c r="H255" i="6"/>
  <c r="J255" i="6" s="1"/>
  <c r="H256" i="6"/>
  <c r="J256" i="6" s="1"/>
  <c r="H257" i="6"/>
  <c r="J257" i="6" s="1"/>
  <c r="H258" i="6"/>
  <c r="J258" i="6" s="1"/>
  <c r="H259" i="6"/>
  <c r="J259" i="6" s="1"/>
  <c r="H260" i="6"/>
  <c r="J260" i="6" s="1"/>
  <c r="H261" i="6"/>
  <c r="J261" i="6" s="1"/>
  <c r="H262" i="6"/>
  <c r="J262" i="6" s="1"/>
  <c r="H263" i="6"/>
  <c r="J263" i="6" s="1"/>
  <c r="H264" i="6"/>
  <c r="J264" i="6" s="1"/>
  <c r="H265" i="6"/>
  <c r="J265" i="6" s="1"/>
  <c r="H266" i="6"/>
  <c r="J266" i="6" s="1"/>
  <c r="H267" i="6"/>
  <c r="J267" i="6" s="1"/>
  <c r="H268" i="6"/>
  <c r="J268" i="6" s="1"/>
  <c r="H269" i="6"/>
  <c r="J269" i="6" s="1"/>
  <c r="H270" i="6"/>
  <c r="J270" i="6" s="1"/>
  <c r="H271" i="6"/>
  <c r="J271" i="6" s="1"/>
  <c r="H272" i="6"/>
  <c r="J272" i="6" s="1"/>
  <c r="H273" i="6"/>
  <c r="J273" i="6" s="1"/>
  <c r="H274" i="6"/>
  <c r="J274" i="6" s="1"/>
  <c r="H275" i="6"/>
  <c r="J275" i="6" s="1"/>
  <c r="H276" i="6"/>
  <c r="J276" i="6" s="1"/>
  <c r="H277" i="6"/>
  <c r="J277" i="6" s="1"/>
  <c r="H278" i="6"/>
  <c r="J278" i="6" s="1"/>
  <c r="H279" i="6"/>
  <c r="J279" i="6" s="1"/>
  <c r="H280" i="6"/>
  <c r="J280" i="6" s="1"/>
  <c r="H281" i="6"/>
  <c r="J281" i="6" s="1"/>
  <c r="H282" i="6"/>
  <c r="J282" i="6" s="1"/>
  <c r="H283" i="6"/>
  <c r="J283" i="6" s="1"/>
  <c r="H284" i="6"/>
  <c r="J284" i="6" s="1"/>
  <c r="H285" i="6"/>
  <c r="J285" i="6" s="1"/>
  <c r="H286" i="6"/>
  <c r="J286" i="6" s="1"/>
  <c r="H287" i="6"/>
  <c r="J287" i="6" s="1"/>
  <c r="H288" i="6"/>
  <c r="J288" i="6" s="1"/>
  <c r="H289" i="6"/>
  <c r="J289" i="6" s="1"/>
  <c r="H290" i="6"/>
  <c r="J290" i="6" s="1"/>
  <c r="H291" i="6"/>
  <c r="J291" i="6" s="1"/>
  <c r="H292" i="6"/>
  <c r="J292" i="6" s="1"/>
  <c r="H293" i="6"/>
  <c r="J293" i="6" s="1"/>
  <c r="H294" i="6"/>
  <c r="J294" i="6" s="1"/>
  <c r="H295" i="6"/>
  <c r="J295" i="6" s="1"/>
  <c r="H296" i="6"/>
  <c r="J296" i="6" s="1"/>
  <c r="H297" i="6"/>
  <c r="J297" i="6" s="1"/>
  <c r="H298" i="6"/>
  <c r="J298" i="6" s="1"/>
  <c r="H299" i="6"/>
  <c r="J299" i="6" s="1"/>
  <c r="H300" i="6"/>
  <c r="J300" i="6" s="1"/>
  <c r="H301" i="6"/>
  <c r="J301" i="6" s="1"/>
  <c r="H302" i="6"/>
  <c r="J302" i="6" s="1"/>
  <c r="H303" i="6"/>
  <c r="J303" i="6" s="1"/>
  <c r="H304" i="6"/>
  <c r="J304" i="6" s="1"/>
  <c r="H305" i="6"/>
  <c r="J305" i="6" s="1"/>
  <c r="H306" i="6"/>
  <c r="J306" i="6" s="1"/>
  <c r="H307" i="6"/>
  <c r="J307" i="6" s="1"/>
  <c r="H308" i="6"/>
  <c r="J308" i="6" s="1"/>
  <c r="H309" i="6"/>
  <c r="J309" i="6" s="1"/>
  <c r="H310" i="6"/>
  <c r="J310" i="6" s="1"/>
  <c r="H311" i="6"/>
  <c r="J311" i="6" s="1"/>
  <c r="H312" i="6"/>
  <c r="J312" i="6" s="1"/>
  <c r="H313" i="6"/>
  <c r="J313" i="6" s="1"/>
  <c r="H314" i="6"/>
  <c r="J314" i="6" s="1"/>
  <c r="H315" i="6"/>
  <c r="J315" i="6" s="1"/>
  <c r="H316" i="6"/>
  <c r="J316" i="6" s="1"/>
  <c r="H317" i="6"/>
  <c r="J317" i="6" s="1"/>
  <c r="H318" i="6"/>
  <c r="J318" i="6" s="1"/>
  <c r="H319" i="6"/>
  <c r="J319" i="6" s="1"/>
  <c r="H320" i="6"/>
  <c r="J320" i="6" s="1"/>
  <c r="H321" i="6"/>
  <c r="J321" i="6" s="1"/>
  <c r="H322" i="6"/>
  <c r="J322" i="6" s="1"/>
  <c r="H323" i="6"/>
  <c r="J323" i="6" s="1"/>
  <c r="H324" i="6"/>
  <c r="J324" i="6" s="1"/>
  <c r="H325" i="6"/>
  <c r="J325" i="6" s="1"/>
  <c r="H326" i="6"/>
  <c r="J326" i="6" s="1"/>
  <c r="H327" i="6"/>
  <c r="J327" i="6" s="1"/>
  <c r="H328" i="6"/>
  <c r="J328" i="6" s="1"/>
  <c r="H329" i="6"/>
  <c r="J329" i="6" s="1"/>
  <c r="H330" i="6"/>
  <c r="J330" i="6" s="1"/>
  <c r="H331" i="6"/>
  <c r="J331" i="6" s="1"/>
  <c r="H332" i="6"/>
  <c r="J332" i="6" s="1"/>
  <c r="H333" i="6"/>
  <c r="J333" i="6" s="1"/>
  <c r="H334" i="6"/>
  <c r="J334" i="6" s="1"/>
  <c r="H335" i="6"/>
  <c r="J335" i="6" s="1"/>
  <c r="H336" i="6"/>
  <c r="J336" i="6" s="1"/>
  <c r="H337" i="6"/>
  <c r="J337" i="6" s="1"/>
  <c r="H338" i="6"/>
  <c r="J338" i="6" s="1"/>
  <c r="H339" i="6"/>
  <c r="J339" i="6" s="1"/>
  <c r="H340" i="6"/>
  <c r="J340" i="6" s="1"/>
  <c r="H341" i="6"/>
  <c r="J341" i="6" s="1"/>
  <c r="H342" i="6"/>
  <c r="J342" i="6" s="1"/>
  <c r="H343" i="6"/>
  <c r="J343" i="6" s="1"/>
  <c r="H344" i="6"/>
  <c r="J344" i="6" s="1"/>
  <c r="H345" i="6"/>
  <c r="J345" i="6" s="1"/>
  <c r="H346" i="6"/>
  <c r="J346" i="6" s="1"/>
  <c r="H347" i="6"/>
  <c r="J347" i="6" s="1"/>
  <c r="H348" i="6"/>
  <c r="J348" i="6" s="1"/>
  <c r="H349" i="6"/>
  <c r="J349" i="6" s="1"/>
  <c r="H350" i="6"/>
  <c r="J350" i="6" s="1"/>
  <c r="H351" i="6"/>
  <c r="J351" i="6" s="1"/>
  <c r="H352" i="6"/>
  <c r="J352" i="6" s="1"/>
  <c r="H353" i="6"/>
  <c r="J353" i="6" s="1"/>
  <c r="H354" i="6"/>
  <c r="J354" i="6" s="1"/>
  <c r="H355" i="6"/>
  <c r="J355" i="6" s="1"/>
  <c r="H356" i="6"/>
  <c r="J356" i="6" s="1"/>
  <c r="H357" i="6"/>
  <c r="J357" i="6" s="1"/>
  <c r="H358" i="6"/>
  <c r="J358" i="6" s="1"/>
  <c r="H359" i="6"/>
  <c r="J359" i="6" s="1"/>
  <c r="H360" i="6"/>
  <c r="J360" i="6" s="1"/>
  <c r="H361" i="6"/>
  <c r="J361" i="6" s="1"/>
  <c r="H362" i="6"/>
  <c r="J362" i="6" s="1"/>
  <c r="H363" i="6"/>
  <c r="J363" i="6" s="1"/>
  <c r="H364" i="6"/>
  <c r="J364" i="6" s="1"/>
  <c r="H365" i="6"/>
  <c r="J365" i="6" s="1"/>
  <c r="H366" i="6"/>
  <c r="J366" i="6" s="1"/>
  <c r="H367" i="6"/>
  <c r="J367" i="6" s="1"/>
  <c r="H368" i="6"/>
  <c r="J368" i="6" s="1"/>
  <c r="H369" i="6"/>
  <c r="J369" i="6" s="1"/>
  <c r="H370" i="6"/>
  <c r="J370" i="6" s="1"/>
  <c r="H371" i="6"/>
  <c r="J371" i="6" s="1"/>
  <c r="H372" i="6"/>
  <c r="J372" i="6" s="1"/>
  <c r="H373" i="6"/>
  <c r="J373" i="6" s="1"/>
  <c r="H374" i="6"/>
  <c r="J374" i="6" s="1"/>
  <c r="H375" i="6"/>
  <c r="J375" i="6" s="1"/>
  <c r="H376" i="6"/>
  <c r="J376" i="6" s="1"/>
  <c r="H377" i="6"/>
  <c r="J377" i="6" s="1"/>
  <c r="H378" i="6"/>
  <c r="J378" i="6" s="1"/>
  <c r="H379" i="6"/>
  <c r="J379" i="6" s="1"/>
  <c r="H380" i="6"/>
  <c r="J380" i="6" s="1"/>
  <c r="H381" i="6"/>
  <c r="J381" i="6" s="1"/>
  <c r="H382" i="6"/>
  <c r="J382" i="6" s="1"/>
  <c r="H383" i="6"/>
  <c r="J383" i="6" s="1"/>
  <c r="H384" i="6"/>
  <c r="J384" i="6" s="1"/>
  <c r="H385" i="6"/>
  <c r="J385" i="6" s="1"/>
  <c r="H386" i="6"/>
  <c r="J386" i="6" s="1"/>
  <c r="H387" i="6"/>
  <c r="J387" i="6" s="1"/>
  <c r="H388" i="6"/>
  <c r="J388" i="6" s="1"/>
  <c r="H389" i="6"/>
  <c r="J389" i="6" s="1"/>
  <c r="H390" i="6"/>
  <c r="J390" i="6" s="1"/>
  <c r="H391" i="6"/>
  <c r="J391" i="6" s="1"/>
  <c r="H392" i="6"/>
  <c r="J392" i="6" s="1"/>
  <c r="H393" i="6"/>
  <c r="J393" i="6" s="1"/>
  <c r="H394" i="6"/>
  <c r="J394" i="6" s="1"/>
  <c r="H395" i="6"/>
  <c r="J395" i="6" s="1"/>
  <c r="H396" i="6"/>
  <c r="J396" i="6" s="1"/>
  <c r="H397" i="6"/>
  <c r="J397" i="6" s="1"/>
  <c r="H398" i="6"/>
  <c r="J398" i="6" s="1"/>
  <c r="H399" i="6"/>
  <c r="J399" i="6" s="1"/>
  <c r="H400" i="6"/>
  <c r="J400" i="6" s="1"/>
  <c r="H401" i="6"/>
  <c r="J401" i="6" s="1"/>
  <c r="H402" i="6"/>
  <c r="J402" i="6" s="1"/>
  <c r="H403" i="6"/>
  <c r="J403" i="6" s="1"/>
  <c r="H404" i="6"/>
  <c r="J404" i="6" s="1"/>
  <c r="H405" i="6"/>
  <c r="J405" i="6" s="1"/>
  <c r="H406" i="6"/>
  <c r="J406" i="6" s="1"/>
  <c r="H407" i="6"/>
  <c r="J407" i="6" s="1"/>
  <c r="H408" i="6"/>
  <c r="J408" i="6" s="1"/>
  <c r="H409" i="6"/>
  <c r="J409" i="6" s="1"/>
  <c r="H410" i="6"/>
  <c r="J410" i="6" s="1"/>
  <c r="H411" i="6"/>
  <c r="J411" i="6" s="1"/>
  <c r="H412" i="6"/>
  <c r="J412" i="6" s="1"/>
  <c r="H413" i="6"/>
  <c r="J413" i="6" s="1"/>
  <c r="H414" i="6"/>
  <c r="J414" i="6" s="1"/>
  <c r="H415" i="6"/>
  <c r="J415" i="6" s="1"/>
  <c r="H416" i="6"/>
  <c r="J416" i="6" s="1"/>
  <c r="H417" i="6"/>
  <c r="J417" i="6" s="1"/>
  <c r="H418" i="6"/>
  <c r="J418" i="6" s="1"/>
  <c r="H419" i="6"/>
  <c r="J419" i="6" s="1"/>
  <c r="H420" i="6"/>
  <c r="J420" i="6" s="1"/>
  <c r="H421" i="6"/>
  <c r="J421" i="6" s="1"/>
  <c r="H422" i="6"/>
  <c r="J422" i="6" s="1"/>
  <c r="H423" i="6"/>
  <c r="J423" i="6" s="1"/>
  <c r="H424" i="6"/>
  <c r="J424" i="6" s="1"/>
  <c r="H425" i="6"/>
  <c r="J425" i="6" s="1"/>
  <c r="H426" i="6"/>
  <c r="J426" i="6" s="1"/>
  <c r="H427" i="6"/>
  <c r="J427" i="6" s="1"/>
  <c r="H428" i="6"/>
  <c r="J428" i="6" s="1"/>
  <c r="H429" i="6"/>
  <c r="J429" i="6" s="1"/>
  <c r="H430" i="6"/>
  <c r="J430" i="6" s="1"/>
  <c r="H431" i="6"/>
  <c r="J431" i="6" s="1"/>
  <c r="H432" i="6"/>
  <c r="J432" i="6" s="1"/>
  <c r="H433" i="6"/>
  <c r="J433" i="6" s="1"/>
  <c r="H434" i="6"/>
  <c r="J434" i="6" s="1"/>
  <c r="H435" i="6"/>
  <c r="J435" i="6" s="1"/>
  <c r="H436" i="6"/>
  <c r="J436" i="6" s="1"/>
  <c r="H437" i="6"/>
  <c r="J437" i="6" s="1"/>
  <c r="H438" i="6"/>
  <c r="J438" i="6" s="1"/>
  <c r="H439" i="6"/>
  <c r="J439" i="6" s="1"/>
  <c r="H440" i="6"/>
  <c r="J440" i="6" s="1"/>
  <c r="H441" i="6"/>
  <c r="J441" i="6" s="1"/>
  <c r="H442" i="6"/>
  <c r="J442" i="6" s="1"/>
  <c r="H443" i="6"/>
  <c r="J443" i="6" s="1"/>
  <c r="H444" i="6"/>
  <c r="J444" i="6" s="1"/>
  <c r="H445" i="6"/>
  <c r="J445" i="6" s="1"/>
  <c r="H446" i="6"/>
  <c r="J446" i="6" s="1"/>
  <c r="H447" i="6"/>
  <c r="J447" i="6" s="1"/>
  <c r="H448" i="6"/>
  <c r="J448" i="6" s="1"/>
  <c r="H449" i="6"/>
  <c r="J449" i="6" s="1"/>
  <c r="H450" i="6"/>
  <c r="J450" i="6" s="1"/>
  <c r="H451" i="6"/>
  <c r="J451" i="6" s="1"/>
  <c r="H452" i="6"/>
  <c r="J452" i="6" s="1"/>
  <c r="H453" i="6"/>
  <c r="J453" i="6" s="1"/>
  <c r="H454" i="6"/>
  <c r="J454" i="6" s="1"/>
  <c r="H455" i="6"/>
  <c r="J455" i="6" s="1"/>
  <c r="H456" i="6"/>
  <c r="J456" i="6" s="1"/>
  <c r="H457" i="6"/>
  <c r="J457" i="6" s="1"/>
  <c r="H458" i="6"/>
  <c r="J458" i="6" s="1"/>
  <c r="H459" i="6"/>
  <c r="J459" i="6" s="1"/>
  <c r="H460" i="6"/>
  <c r="J460" i="6" s="1"/>
  <c r="H461" i="6"/>
  <c r="J461" i="6" s="1"/>
  <c r="H462" i="6"/>
  <c r="J462" i="6" s="1"/>
  <c r="H463" i="6"/>
  <c r="J463" i="6" s="1"/>
  <c r="H464" i="6"/>
  <c r="J464" i="6" s="1"/>
  <c r="H465" i="6"/>
  <c r="J465" i="6" s="1"/>
  <c r="H466" i="6"/>
  <c r="J466" i="6" s="1"/>
  <c r="H467" i="6"/>
  <c r="J467" i="6" s="1"/>
  <c r="H468" i="6"/>
  <c r="J468" i="6" s="1"/>
  <c r="H469" i="6"/>
  <c r="J469" i="6" s="1"/>
  <c r="H470" i="6"/>
  <c r="J470" i="6" s="1"/>
  <c r="H471" i="6"/>
  <c r="J471" i="6" s="1"/>
  <c r="H472" i="6"/>
  <c r="J472" i="6" s="1"/>
  <c r="H473" i="6"/>
  <c r="J473" i="6" s="1"/>
  <c r="H474" i="6"/>
  <c r="J474" i="6" s="1"/>
  <c r="H475" i="6"/>
  <c r="J475" i="6" s="1"/>
  <c r="H476" i="6"/>
  <c r="J476" i="6" s="1"/>
  <c r="H477" i="6"/>
  <c r="J477" i="6" s="1"/>
  <c r="H478" i="6"/>
  <c r="J478" i="6" s="1"/>
  <c r="H479" i="6"/>
  <c r="J479" i="6" s="1"/>
  <c r="H480" i="6"/>
  <c r="J480" i="6" s="1"/>
  <c r="H481" i="6"/>
  <c r="J481" i="6" s="1"/>
  <c r="H482" i="6"/>
  <c r="J482" i="6" s="1"/>
  <c r="H483" i="6"/>
  <c r="J483" i="6" s="1"/>
  <c r="H484" i="6"/>
  <c r="J484" i="6" s="1"/>
  <c r="H485" i="6"/>
  <c r="J485" i="6" s="1"/>
  <c r="H486" i="6"/>
  <c r="J486" i="6" s="1"/>
  <c r="H487" i="6"/>
  <c r="J487" i="6" s="1"/>
  <c r="H488" i="6"/>
  <c r="J488" i="6" s="1"/>
  <c r="H489" i="6"/>
  <c r="J489" i="6" s="1"/>
  <c r="H490" i="6"/>
  <c r="J490" i="6" s="1"/>
  <c r="H491" i="6"/>
  <c r="J491" i="6" s="1"/>
  <c r="H492" i="6"/>
  <c r="J492" i="6" s="1"/>
  <c r="H493" i="6"/>
  <c r="J493" i="6" s="1"/>
  <c r="H494" i="6"/>
  <c r="J494" i="6" s="1"/>
  <c r="H495" i="6"/>
  <c r="J495" i="6" s="1"/>
  <c r="H496" i="6"/>
  <c r="J496" i="6" s="1"/>
  <c r="H497" i="6"/>
  <c r="J497" i="6" s="1"/>
  <c r="H498" i="6"/>
  <c r="J498" i="6" s="1"/>
  <c r="H499" i="6"/>
  <c r="J499" i="6" s="1"/>
  <c r="H500" i="6"/>
  <c r="J500" i="6" s="1"/>
  <c r="H501" i="6"/>
  <c r="J501" i="6" s="1"/>
  <c r="H502" i="6"/>
  <c r="J502" i="6" s="1"/>
  <c r="H503" i="6"/>
  <c r="J503" i="6" s="1"/>
  <c r="H504" i="6"/>
  <c r="J504" i="6" s="1"/>
  <c r="H505" i="6"/>
  <c r="J505" i="6" s="1"/>
  <c r="H506" i="6"/>
  <c r="J506" i="6" s="1"/>
  <c r="H507" i="6"/>
  <c r="J507" i="6" s="1"/>
  <c r="H508" i="6"/>
  <c r="J508" i="6" s="1"/>
  <c r="H509" i="6"/>
  <c r="J509" i="6" s="1"/>
  <c r="H510" i="6"/>
  <c r="J510" i="6" s="1"/>
  <c r="H511" i="6"/>
  <c r="J511" i="6" s="1"/>
  <c r="H512" i="6"/>
  <c r="J512" i="6" s="1"/>
  <c r="H513" i="6"/>
  <c r="J513" i="6" s="1"/>
  <c r="H514" i="6"/>
  <c r="J514" i="6" s="1"/>
  <c r="H515" i="6"/>
  <c r="J515" i="6" s="1"/>
  <c r="H516" i="6"/>
  <c r="J516" i="6" s="1"/>
  <c r="H517" i="6"/>
  <c r="J517" i="6" s="1"/>
  <c r="H518" i="6"/>
  <c r="J518" i="6" s="1"/>
  <c r="H519" i="6"/>
  <c r="J519" i="6" s="1"/>
  <c r="H520" i="6"/>
  <c r="J520" i="6" s="1"/>
  <c r="H521" i="6"/>
  <c r="J521" i="6" s="1"/>
  <c r="H522" i="6"/>
  <c r="J522" i="6" s="1"/>
  <c r="H523" i="6"/>
  <c r="J523" i="6" s="1"/>
  <c r="H524" i="6"/>
  <c r="J524" i="6" s="1"/>
  <c r="H525" i="6"/>
  <c r="J525" i="6" s="1"/>
  <c r="H526" i="6"/>
  <c r="J526" i="6" s="1"/>
  <c r="H527" i="6"/>
  <c r="J527" i="6" s="1"/>
  <c r="H528" i="6"/>
  <c r="J528" i="6" s="1"/>
  <c r="H529" i="6"/>
  <c r="J529" i="6" s="1"/>
  <c r="H530" i="6"/>
  <c r="J530" i="6" s="1"/>
  <c r="H531" i="6"/>
  <c r="J531" i="6" s="1"/>
  <c r="H532" i="6"/>
  <c r="J532" i="6" s="1"/>
  <c r="H533" i="6"/>
  <c r="J533" i="6" s="1"/>
  <c r="H534" i="6"/>
  <c r="J534" i="6" s="1"/>
  <c r="H535" i="6"/>
  <c r="J535" i="6" s="1"/>
  <c r="H536" i="6"/>
  <c r="J536" i="6" s="1"/>
  <c r="H537" i="6"/>
  <c r="J537" i="6" s="1"/>
  <c r="H538" i="6"/>
  <c r="J538" i="6" s="1"/>
  <c r="H539" i="6"/>
  <c r="J539" i="6" s="1"/>
  <c r="H540" i="6"/>
  <c r="J540" i="6" s="1"/>
  <c r="H541" i="6"/>
  <c r="J541" i="6" s="1"/>
  <c r="H542" i="6"/>
  <c r="J542" i="6" s="1"/>
  <c r="H543" i="6"/>
  <c r="J543" i="6" s="1"/>
  <c r="H544" i="6"/>
  <c r="J544" i="6" s="1"/>
  <c r="H545" i="6"/>
  <c r="J545" i="6" s="1"/>
  <c r="H546" i="6"/>
  <c r="J546" i="6" s="1"/>
  <c r="H547" i="6"/>
  <c r="J547" i="6" s="1"/>
  <c r="H548" i="6"/>
  <c r="J548" i="6" s="1"/>
  <c r="H549" i="6"/>
  <c r="J549" i="6" s="1"/>
  <c r="H550" i="6"/>
  <c r="J550" i="6" s="1"/>
  <c r="H551" i="6"/>
  <c r="J551" i="6" s="1"/>
  <c r="H552" i="6"/>
  <c r="J552" i="6" s="1"/>
  <c r="H553" i="6"/>
  <c r="J553" i="6" s="1"/>
  <c r="H554" i="6"/>
  <c r="J554" i="6" s="1"/>
  <c r="H555" i="6"/>
  <c r="J555" i="6" s="1"/>
  <c r="H556" i="6"/>
  <c r="J556" i="6" s="1"/>
  <c r="H557" i="6"/>
  <c r="J557" i="6" s="1"/>
  <c r="H558" i="6"/>
  <c r="J558" i="6" s="1"/>
  <c r="H559" i="6"/>
  <c r="J559" i="6" s="1"/>
  <c r="H560" i="6"/>
  <c r="J560" i="6" s="1"/>
  <c r="H561" i="6"/>
  <c r="J561" i="6" s="1"/>
  <c r="H562" i="6"/>
  <c r="J562" i="6" s="1"/>
  <c r="H563" i="6"/>
  <c r="J563" i="6" s="1"/>
  <c r="H564" i="6"/>
  <c r="J564" i="6" s="1"/>
  <c r="H565" i="6"/>
  <c r="J565" i="6" s="1"/>
  <c r="H566" i="6"/>
  <c r="J566" i="6" s="1"/>
  <c r="H567" i="6"/>
  <c r="J567" i="6" s="1"/>
  <c r="H568" i="6"/>
  <c r="J568" i="6" s="1"/>
  <c r="H569" i="6"/>
  <c r="J569" i="6" s="1"/>
  <c r="H570" i="6"/>
  <c r="J570" i="6" s="1"/>
  <c r="H571" i="6"/>
  <c r="J571" i="6" s="1"/>
  <c r="H572" i="6"/>
  <c r="J572" i="6" s="1"/>
  <c r="H573" i="6"/>
  <c r="J573" i="6" s="1"/>
  <c r="H574" i="6"/>
  <c r="J574" i="6" s="1"/>
  <c r="H575" i="6"/>
  <c r="J575" i="6" s="1"/>
  <c r="H576" i="6"/>
  <c r="J576" i="6" s="1"/>
  <c r="H577" i="6"/>
  <c r="J577" i="6" s="1"/>
  <c r="H578" i="6"/>
  <c r="J578" i="6" s="1"/>
  <c r="H579" i="6"/>
  <c r="J579" i="6" s="1"/>
  <c r="H580" i="6"/>
  <c r="J580" i="6" s="1"/>
  <c r="H581" i="6"/>
  <c r="J581" i="6" s="1"/>
  <c r="H582" i="6"/>
  <c r="J582" i="6" s="1"/>
  <c r="H583" i="6"/>
  <c r="J583" i="6" s="1"/>
  <c r="H584" i="6"/>
  <c r="J584" i="6" s="1"/>
  <c r="H585" i="6"/>
  <c r="J585" i="6" s="1"/>
  <c r="H586" i="6"/>
  <c r="J586" i="6" s="1"/>
  <c r="H587" i="6"/>
  <c r="J587" i="6" s="1"/>
  <c r="H588" i="6"/>
  <c r="J588" i="6" s="1"/>
  <c r="H589" i="6"/>
  <c r="J589" i="6" s="1"/>
  <c r="H590" i="6"/>
  <c r="J590" i="6" s="1"/>
  <c r="H591" i="6"/>
  <c r="J591" i="6" s="1"/>
  <c r="H592" i="6"/>
  <c r="J592" i="6" s="1"/>
  <c r="H593" i="6"/>
  <c r="J593" i="6" s="1"/>
  <c r="H594" i="6"/>
  <c r="J594" i="6" s="1"/>
  <c r="H595" i="6"/>
  <c r="J595" i="6" s="1"/>
  <c r="H596" i="6"/>
  <c r="J596" i="6" s="1"/>
  <c r="H597" i="6"/>
  <c r="J597" i="6" s="1"/>
  <c r="H598" i="6"/>
  <c r="J598" i="6" s="1"/>
  <c r="H599" i="6"/>
  <c r="J599" i="6" s="1"/>
  <c r="H600" i="6"/>
  <c r="J600" i="6" s="1"/>
  <c r="H601" i="6"/>
  <c r="J601" i="6" s="1"/>
  <c r="H602" i="6"/>
  <c r="J602" i="6" s="1"/>
  <c r="H603" i="6"/>
  <c r="J603" i="6" s="1"/>
  <c r="H604" i="6"/>
  <c r="J604" i="6" s="1"/>
  <c r="H605" i="6"/>
  <c r="J605" i="6" s="1"/>
  <c r="H606" i="6"/>
  <c r="J606" i="6" s="1"/>
  <c r="H607" i="6"/>
  <c r="J607" i="6" s="1"/>
  <c r="H608" i="6"/>
  <c r="J608" i="6" s="1"/>
  <c r="H609" i="6"/>
  <c r="J609" i="6" s="1"/>
  <c r="H610" i="6"/>
  <c r="J610" i="6" s="1"/>
  <c r="H611" i="6"/>
  <c r="J611" i="6" s="1"/>
  <c r="H612" i="6"/>
  <c r="J612" i="6" s="1"/>
  <c r="H613" i="6"/>
  <c r="J613" i="6" s="1"/>
  <c r="H614" i="6"/>
  <c r="J614" i="6" s="1"/>
  <c r="H615" i="6"/>
  <c r="J615" i="6" s="1"/>
  <c r="H616" i="6"/>
  <c r="J616" i="6" s="1"/>
  <c r="H617" i="6"/>
  <c r="J617" i="6" s="1"/>
  <c r="H618" i="6"/>
  <c r="J618" i="6" s="1"/>
  <c r="H619" i="6"/>
  <c r="J619" i="6" s="1"/>
  <c r="H620" i="6"/>
  <c r="J620" i="6" s="1"/>
  <c r="H621" i="6"/>
  <c r="J621" i="6" s="1"/>
  <c r="H622" i="6"/>
  <c r="J622" i="6" s="1"/>
  <c r="H623" i="6"/>
  <c r="J623" i="6" s="1"/>
  <c r="H624" i="6"/>
  <c r="J624" i="6" s="1"/>
  <c r="H625" i="6"/>
  <c r="J625" i="6" s="1"/>
  <c r="H626" i="6"/>
  <c r="J626" i="6" s="1"/>
  <c r="H627" i="6"/>
  <c r="J627" i="6" s="1"/>
  <c r="H628" i="6"/>
  <c r="J628" i="6" s="1"/>
  <c r="H629" i="6"/>
  <c r="J629" i="6" s="1"/>
  <c r="H630" i="6"/>
  <c r="J630" i="6" s="1"/>
  <c r="H631" i="6"/>
  <c r="J631" i="6" s="1"/>
  <c r="H632" i="6"/>
  <c r="J632" i="6" s="1"/>
  <c r="H633" i="6"/>
  <c r="J633" i="6" s="1"/>
  <c r="H634" i="6"/>
  <c r="J634" i="6" s="1"/>
  <c r="H635" i="6"/>
  <c r="J635" i="6" s="1"/>
  <c r="H636" i="6"/>
  <c r="J636" i="6" s="1"/>
  <c r="H637" i="6"/>
  <c r="J637" i="6" s="1"/>
  <c r="H638" i="6"/>
  <c r="J638" i="6" s="1"/>
  <c r="H639" i="6"/>
  <c r="J639" i="6" s="1"/>
  <c r="H640" i="6"/>
  <c r="J640" i="6" s="1"/>
  <c r="H641" i="6"/>
  <c r="J641" i="6" s="1"/>
  <c r="H642" i="6"/>
  <c r="J642" i="6" s="1"/>
  <c r="H643" i="6"/>
  <c r="J643" i="6" s="1"/>
  <c r="H644" i="6"/>
  <c r="J644" i="6" s="1"/>
  <c r="H645" i="6"/>
  <c r="J645" i="6" s="1"/>
  <c r="H646" i="6"/>
  <c r="J646" i="6" s="1"/>
  <c r="H647" i="6"/>
  <c r="J647" i="6" s="1"/>
  <c r="H648" i="6"/>
  <c r="J648" i="6" s="1"/>
  <c r="H649" i="6"/>
  <c r="J649" i="6" s="1"/>
  <c r="H650" i="6"/>
  <c r="J650" i="6" s="1"/>
  <c r="H651" i="6"/>
  <c r="J651" i="6" s="1"/>
  <c r="H652" i="6"/>
  <c r="J652" i="6" s="1"/>
  <c r="H653" i="6"/>
  <c r="J653" i="6" s="1"/>
  <c r="H654" i="6"/>
  <c r="J654" i="6" s="1"/>
  <c r="H655" i="6"/>
  <c r="J655" i="6" s="1"/>
  <c r="H656" i="6"/>
  <c r="J656" i="6" s="1"/>
  <c r="H657" i="6"/>
  <c r="J657" i="6" s="1"/>
  <c r="H658" i="6"/>
  <c r="J658" i="6" s="1"/>
  <c r="H659" i="6"/>
  <c r="J659" i="6" s="1"/>
  <c r="H660" i="6"/>
  <c r="J660" i="6" s="1"/>
  <c r="H661" i="6"/>
  <c r="J661" i="6" s="1"/>
  <c r="H662" i="6"/>
  <c r="J662" i="6" s="1"/>
  <c r="H663" i="6"/>
  <c r="J663" i="6" s="1"/>
  <c r="H664" i="6"/>
  <c r="J664" i="6" s="1"/>
  <c r="H665" i="6"/>
  <c r="J665" i="6" s="1"/>
  <c r="H666" i="6"/>
  <c r="J666" i="6" s="1"/>
  <c r="H667" i="6"/>
  <c r="J667" i="6" s="1"/>
  <c r="H668" i="6"/>
  <c r="J668" i="6" s="1"/>
  <c r="H669" i="6"/>
  <c r="J669" i="6" s="1"/>
  <c r="H670" i="6"/>
  <c r="J670" i="6" s="1"/>
  <c r="H671" i="6"/>
  <c r="J671" i="6" s="1"/>
  <c r="H672" i="6"/>
  <c r="J672" i="6" s="1"/>
  <c r="H673" i="6"/>
  <c r="J673" i="6" s="1"/>
  <c r="H674" i="6"/>
  <c r="J674" i="6" s="1"/>
  <c r="H675" i="6"/>
  <c r="J675" i="6" s="1"/>
  <c r="H676" i="6"/>
  <c r="J676" i="6" s="1"/>
  <c r="H677" i="6"/>
  <c r="J677" i="6" s="1"/>
  <c r="H678" i="6"/>
  <c r="J678" i="6" s="1"/>
  <c r="H679" i="6"/>
  <c r="J679" i="6" s="1"/>
  <c r="H680" i="6"/>
  <c r="J680" i="6" s="1"/>
  <c r="H681" i="6"/>
  <c r="J681" i="6" s="1"/>
  <c r="H682" i="6"/>
  <c r="J682" i="6" s="1"/>
  <c r="H683" i="6"/>
  <c r="J683" i="6" s="1"/>
  <c r="H684" i="6"/>
  <c r="J684" i="6" s="1"/>
  <c r="H685" i="6"/>
  <c r="J685" i="6" s="1"/>
  <c r="H686" i="6"/>
  <c r="J686" i="6" s="1"/>
  <c r="H687" i="6"/>
  <c r="J687" i="6" s="1"/>
  <c r="H688" i="6"/>
  <c r="J688" i="6" s="1"/>
  <c r="H689" i="6"/>
  <c r="J689" i="6" s="1"/>
  <c r="H690" i="6"/>
  <c r="J690" i="6" s="1"/>
  <c r="H691" i="6"/>
  <c r="J691" i="6" s="1"/>
  <c r="H692" i="6"/>
  <c r="J692" i="6" s="1"/>
  <c r="H693" i="6"/>
  <c r="J693" i="6" s="1"/>
  <c r="H694" i="6"/>
  <c r="J694" i="6" s="1"/>
  <c r="H695" i="6"/>
  <c r="J695" i="6" s="1"/>
  <c r="H696" i="6"/>
  <c r="J696" i="6" s="1"/>
  <c r="H697" i="6"/>
  <c r="J697" i="6" s="1"/>
  <c r="H698" i="6"/>
  <c r="J698" i="6" s="1"/>
  <c r="H699" i="6"/>
  <c r="J699" i="6" s="1"/>
  <c r="H700" i="6"/>
  <c r="J700" i="6" s="1"/>
  <c r="H701" i="6"/>
  <c r="J701" i="6" s="1"/>
  <c r="H702" i="6"/>
  <c r="J702" i="6" s="1"/>
  <c r="H703" i="6"/>
  <c r="J703" i="6" s="1"/>
  <c r="H704" i="6"/>
  <c r="J704" i="6" s="1"/>
  <c r="H705" i="6"/>
  <c r="J705" i="6" s="1"/>
  <c r="H706" i="6"/>
  <c r="J706" i="6" s="1"/>
  <c r="H707" i="6"/>
  <c r="J707" i="6" s="1"/>
  <c r="H708" i="6"/>
  <c r="J708" i="6" s="1"/>
  <c r="H709" i="6"/>
  <c r="J709" i="6" s="1"/>
  <c r="H710" i="6"/>
  <c r="J710" i="6" s="1"/>
  <c r="H711" i="6"/>
  <c r="J711" i="6" s="1"/>
  <c r="H712" i="6"/>
  <c r="J712" i="6" s="1"/>
  <c r="H713" i="6"/>
  <c r="J713" i="6" s="1"/>
  <c r="H714" i="6"/>
  <c r="J714" i="6" s="1"/>
  <c r="H715" i="6"/>
  <c r="J715" i="6" s="1"/>
  <c r="H716" i="6"/>
  <c r="J716" i="6" s="1"/>
  <c r="H717" i="6"/>
  <c r="J717" i="6" s="1"/>
  <c r="H718" i="6"/>
  <c r="J718" i="6" s="1"/>
  <c r="H719" i="6"/>
  <c r="J719" i="6" s="1"/>
  <c r="H720" i="6"/>
  <c r="J720" i="6" s="1"/>
  <c r="H721" i="6"/>
  <c r="J721" i="6" s="1"/>
  <c r="H722" i="6"/>
  <c r="J722" i="6" s="1"/>
  <c r="H723" i="6"/>
  <c r="J723" i="6" s="1"/>
  <c r="H724" i="6"/>
  <c r="J724" i="6" s="1"/>
  <c r="H725" i="6"/>
  <c r="J725" i="6" s="1"/>
  <c r="H726" i="6"/>
  <c r="J726" i="6" s="1"/>
  <c r="H727" i="6"/>
  <c r="J727" i="6" s="1"/>
  <c r="H728" i="6"/>
  <c r="J728" i="6" s="1"/>
  <c r="H729" i="6"/>
  <c r="J729" i="6" s="1"/>
  <c r="H730" i="6"/>
  <c r="J730" i="6" s="1"/>
  <c r="H731" i="6"/>
  <c r="J731" i="6" s="1"/>
  <c r="H732" i="6"/>
  <c r="J732" i="6" s="1"/>
  <c r="H733" i="6"/>
  <c r="J733" i="6" s="1"/>
  <c r="H734" i="6"/>
  <c r="J734" i="6" s="1"/>
  <c r="H735" i="6"/>
  <c r="J735" i="6" s="1"/>
  <c r="H736" i="6"/>
  <c r="J736" i="6" s="1"/>
  <c r="H737" i="6"/>
  <c r="J737" i="6" s="1"/>
  <c r="H738" i="6"/>
  <c r="J738" i="6" s="1"/>
  <c r="H739" i="6"/>
  <c r="J739" i="6" s="1"/>
  <c r="H740" i="6"/>
  <c r="J740" i="6" s="1"/>
  <c r="H741" i="6"/>
  <c r="J741" i="6" s="1"/>
  <c r="H742" i="6"/>
  <c r="J742" i="6" s="1"/>
  <c r="H743" i="6"/>
  <c r="J743" i="6" s="1"/>
  <c r="H744" i="6"/>
  <c r="J744" i="6" s="1"/>
  <c r="H745" i="6"/>
  <c r="J745" i="6" s="1"/>
  <c r="H746" i="6"/>
  <c r="J746" i="6" s="1"/>
  <c r="H747" i="6"/>
  <c r="J747" i="6" s="1"/>
  <c r="H748" i="6"/>
  <c r="J748" i="6" s="1"/>
  <c r="H749" i="6"/>
  <c r="J749" i="6" s="1"/>
  <c r="H750" i="6"/>
  <c r="J750" i="6" s="1"/>
  <c r="H751" i="6"/>
  <c r="J751" i="6" s="1"/>
  <c r="H752" i="6"/>
  <c r="J752" i="6" s="1"/>
  <c r="H753" i="6"/>
  <c r="J753" i="6" s="1"/>
  <c r="H754" i="6"/>
  <c r="J754" i="6" s="1"/>
  <c r="H755" i="6"/>
  <c r="J755" i="6" s="1"/>
  <c r="H756" i="6"/>
  <c r="J756" i="6" s="1"/>
  <c r="H757" i="6"/>
  <c r="J757" i="6" s="1"/>
  <c r="H758" i="6"/>
  <c r="J758" i="6" s="1"/>
  <c r="H759" i="6"/>
  <c r="J759" i="6" s="1"/>
  <c r="H760" i="6"/>
  <c r="J760" i="6" s="1"/>
  <c r="H761" i="6"/>
  <c r="J761" i="6" s="1"/>
  <c r="H762" i="6"/>
  <c r="J762" i="6" s="1"/>
  <c r="H763" i="6"/>
  <c r="J763" i="6" s="1"/>
  <c r="H764" i="6"/>
  <c r="J764" i="6" s="1"/>
  <c r="H765" i="6"/>
  <c r="J765" i="6" s="1"/>
  <c r="H766" i="6"/>
  <c r="J766" i="6" s="1"/>
  <c r="H767" i="6"/>
  <c r="J767" i="6" s="1"/>
  <c r="H768" i="6"/>
  <c r="J768" i="6" s="1"/>
  <c r="H769" i="6"/>
  <c r="J769" i="6" s="1"/>
  <c r="H770" i="6"/>
  <c r="J770" i="6" s="1"/>
  <c r="H771" i="6"/>
  <c r="J771" i="6" s="1"/>
  <c r="H772" i="6"/>
  <c r="J772" i="6" s="1"/>
  <c r="H773" i="6"/>
  <c r="J773" i="6" s="1"/>
  <c r="H774" i="6"/>
  <c r="J774" i="6" s="1"/>
  <c r="H775" i="6"/>
  <c r="J775" i="6" s="1"/>
  <c r="H776" i="6"/>
  <c r="J776" i="6" s="1"/>
  <c r="H777" i="6"/>
  <c r="J777" i="6" s="1"/>
  <c r="H778" i="6"/>
  <c r="J778" i="6" s="1"/>
  <c r="H779" i="6"/>
  <c r="J779" i="6" s="1"/>
  <c r="H780" i="6"/>
  <c r="J780" i="6" s="1"/>
  <c r="H781" i="6"/>
  <c r="J781" i="6" s="1"/>
  <c r="H782" i="6"/>
  <c r="J782" i="6" s="1"/>
  <c r="H783" i="6"/>
  <c r="J783" i="6" s="1"/>
  <c r="H784" i="6"/>
  <c r="J784" i="6" s="1"/>
  <c r="H785" i="6"/>
  <c r="J785" i="6" s="1"/>
  <c r="H786" i="6"/>
  <c r="J786" i="6" s="1"/>
  <c r="H787" i="6"/>
  <c r="J787" i="6" s="1"/>
  <c r="H788" i="6"/>
  <c r="J788" i="6" s="1"/>
  <c r="H789" i="6"/>
  <c r="J789" i="6" s="1"/>
  <c r="H790" i="6"/>
  <c r="J790" i="6" s="1"/>
  <c r="H791" i="6"/>
  <c r="J791" i="6" s="1"/>
  <c r="H792" i="6"/>
  <c r="J792" i="6" s="1"/>
  <c r="H793" i="6"/>
  <c r="J793" i="6" s="1"/>
  <c r="H794" i="6"/>
  <c r="J794" i="6" s="1"/>
  <c r="H795" i="6"/>
  <c r="J795" i="6" s="1"/>
  <c r="H796" i="6"/>
  <c r="J796" i="6" s="1"/>
  <c r="H797" i="6"/>
  <c r="J797" i="6" s="1"/>
  <c r="H798" i="6"/>
  <c r="J798" i="6" s="1"/>
  <c r="H799" i="6"/>
  <c r="J799" i="6" s="1"/>
  <c r="H800" i="6"/>
  <c r="J800" i="6" s="1"/>
  <c r="H801" i="6"/>
  <c r="J801" i="6" s="1"/>
  <c r="H802" i="6"/>
  <c r="J802" i="6" s="1"/>
  <c r="H803" i="6"/>
  <c r="J803" i="6" s="1"/>
  <c r="H804" i="6"/>
  <c r="J804" i="6" s="1"/>
  <c r="H805" i="6"/>
  <c r="J805" i="6" s="1"/>
  <c r="H806" i="6"/>
  <c r="J806" i="6" s="1"/>
  <c r="H807" i="6"/>
  <c r="J807" i="6" s="1"/>
  <c r="H808" i="6"/>
  <c r="J808" i="6" s="1"/>
  <c r="H809" i="6"/>
  <c r="J809" i="6" s="1"/>
  <c r="H810" i="6"/>
  <c r="J810" i="6" s="1"/>
  <c r="H811" i="6"/>
  <c r="J811" i="6" s="1"/>
  <c r="H812" i="6"/>
  <c r="J812" i="6" s="1"/>
  <c r="H813" i="6"/>
  <c r="J813" i="6" s="1"/>
  <c r="H814" i="6"/>
  <c r="J814" i="6" s="1"/>
  <c r="H815" i="6"/>
  <c r="J815" i="6" s="1"/>
  <c r="H816" i="6"/>
  <c r="J816" i="6" s="1"/>
  <c r="H817" i="6"/>
  <c r="J817" i="6" s="1"/>
  <c r="H818" i="6"/>
  <c r="J818" i="6" s="1"/>
  <c r="H819" i="6"/>
  <c r="J819" i="6" s="1"/>
  <c r="H820" i="6"/>
  <c r="J820" i="6" s="1"/>
  <c r="H821" i="6"/>
  <c r="J821" i="6" s="1"/>
  <c r="H822" i="6"/>
  <c r="J822" i="6" s="1"/>
  <c r="H823" i="6"/>
  <c r="J823" i="6" s="1"/>
  <c r="H824" i="6"/>
  <c r="J824" i="6" s="1"/>
  <c r="H825" i="6"/>
  <c r="J825" i="6" s="1"/>
  <c r="H826" i="6"/>
  <c r="J826" i="6" s="1"/>
  <c r="H827" i="6"/>
  <c r="J827" i="6" s="1"/>
  <c r="H828" i="6"/>
  <c r="J828" i="6" s="1"/>
  <c r="H829" i="6"/>
  <c r="J829" i="6" s="1"/>
  <c r="H830" i="6"/>
  <c r="J830" i="6" s="1"/>
  <c r="H831" i="6"/>
  <c r="J831" i="6" s="1"/>
  <c r="H832" i="6"/>
  <c r="J832" i="6" s="1"/>
  <c r="H833" i="6"/>
  <c r="J833" i="6" s="1"/>
  <c r="H834" i="6"/>
  <c r="J834" i="6" s="1"/>
  <c r="H835" i="6"/>
  <c r="J835" i="6" s="1"/>
  <c r="H836" i="6"/>
  <c r="J836" i="6" s="1"/>
  <c r="H837" i="6"/>
  <c r="J837" i="6" s="1"/>
  <c r="H838" i="6"/>
  <c r="J838" i="6" s="1"/>
  <c r="H839" i="6"/>
  <c r="J839" i="6" s="1"/>
  <c r="H840" i="6"/>
  <c r="J840" i="6" s="1"/>
  <c r="H841" i="6"/>
  <c r="J841" i="6" s="1"/>
  <c r="H842" i="6"/>
  <c r="J842" i="6" s="1"/>
  <c r="H843" i="6"/>
  <c r="J843" i="6" s="1"/>
  <c r="H844" i="6"/>
  <c r="J844" i="6" s="1"/>
  <c r="H845" i="6"/>
  <c r="J845" i="6" s="1"/>
  <c r="H846" i="6"/>
  <c r="J846" i="6" s="1"/>
  <c r="H847" i="6"/>
  <c r="J847" i="6" s="1"/>
  <c r="H848" i="6"/>
  <c r="J848" i="6" s="1"/>
  <c r="H849" i="6"/>
  <c r="J849" i="6" s="1"/>
  <c r="H850" i="6"/>
  <c r="J850" i="6" s="1"/>
  <c r="H851" i="6"/>
  <c r="J851" i="6" s="1"/>
  <c r="H852" i="6"/>
  <c r="J852" i="6" s="1"/>
  <c r="H853" i="6"/>
  <c r="J853" i="6" s="1"/>
  <c r="H854" i="6"/>
  <c r="J854" i="6" s="1"/>
  <c r="H855" i="6"/>
  <c r="J855" i="6" s="1"/>
  <c r="H856" i="6"/>
  <c r="J856" i="6" s="1"/>
  <c r="H857" i="6"/>
  <c r="J857" i="6" s="1"/>
  <c r="H858" i="6"/>
  <c r="J858" i="6" s="1"/>
  <c r="H859" i="6"/>
  <c r="J859" i="6" s="1"/>
  <c r="H860" i="6"/>
  <c r="J860" i="6" s="1"/>
  <c r="H861" i="6"/>
  <c r="J861" i="6" s="1"/>
  <c r="H862" i="6"/>
  <c r="J862" i="6" s="1"/>
  <c r="H863" i="6"/>
  <c r="J863" i="6" s="1"/>
  <c r="H864" i="6"/>
  <c r="J864" i="6" s="1"/>
  <c r="H865" i="6"/>
  <c r="J865" i="6" s="1"/>
  <c r="H866" i="6"/>
  <c r="J866" i="6" s="1"/>
  <c r="H867" i="6"/>
  <c r="J867" i="6" s="1"/>
  <c r="H868" i="6"/>
  <c r="J868" i="6" s="1"/>
  <c r="H869" i="6"/>
  <c r="J869" i="6" s="1"/>
  <c r="H870" i="6"/>
  <c r="J870" i="6" s="1"/>
  <c r="H871" i="6"/>
  <c r="J871" i="6" s="1"/>
  <c r="H872" i="6"/>
  <c r="J872" i="6" s="1"/>
  <c r="H873" i="6"/>
  <c r="J873" i="6" s="1"/>
  <c r="H874" i="6"/>
  <c r="J874" i="6" s="1"/>
  <c r="H875" i="6"/>
  <c r="J875" i="6" s="1"/>
  <c r="H876" i="6"/>
  <c r="J876" i="6" s="1"/>
  <c r="H877" i="6"/>
  <c r="J877" i="6" s="1"/>
  <c r="H878" i="6"/>
  <c r="J878" i="6" s="1"/>
  <c r="H879" i="6"/>
  <c r="J879" i="6" s="1"/>
  <c r="H880" i="6"/>
  <c r="J880" i="6" s="1"/>
  <c r="H881" i="6"/>
  <c r="J881" i="6" s="1"/>
  <c r="H882" i="6"/>
  <c r="J882" i="6" s="1"/>
  <c r="H883" i="6"/>
  <c r="J883" i="6" s="1"/>
  <c r="H884" i="6"/>
  <c r="J884" i="6" s="1"/>
  <c r="H885" i="6"/>
  <c r="J885" i="6" s="1"/>
  <c r="H886" i="6"/>
  <c r="J886" i="6" s="1"/>
  <c r="H887" i="6"/>
  <c r="J887" i="6" s="1"/>
  <c r="H888" i="6"/>
  <c r="J888" i="6" s="1"/>
  <c r="H889" i="6"/>
  <c r="J889" i="6" s="1"/>
  <c r="H890" i="6"/>
  <c r="J890" i="6" s="1"/>
  <c r="H891" i="6"/>
  <c r="J891" i="6" s="1"/>
  <c r="H892" i="6"/>
  <c r="J892" i="6" s="1"/>
  <c r="H893" i="6"/>
  <c r="J893" i="6" s="1"/>
  <c r="H894" i="6"/>
  <c r="J894" i="6" s="1"/>
  <c r="H895" i="6"/>
  <c r="J895" i="6" s="1"/>
  <c r="H896" i="6"/>
  <c r="J896" i="6" s="1"/>
  <c r="H897" i="6"/>
  <c r="J897" i="6" s="1"/>
  <c r="H898" i="6"/>
  <c r="J898" i="6" s="1"/>
  <c r="H899" i="6"/>
  <c r="J899" i="6" s="1"/>
  <c r="H900" i="6"/>
  <c r="J900" i="6" s="1"/>
  <c r="H901" i="6"/>
  <c r="J901" i="6" s="1"/>
  <c r="H902" i="6"/>
  <c r="J902" i="6" s="1"/>
  <c r="H903" i="6"/>
  <c r="J903" i="6" s="1"/>
  <c r="H904" i="6"/>
  <c r="J904" i="6" s="1"/>
  <c r="H905" i="6"/>
  <c r="J905" i="6" s="1"/>
  <c r="H906" i="6"/>
  <c r="J906" i="6" s="1"/>
  <c r="H907" i="6"/>
  <c r="J907" i="6" s="1"/>
  <c r="H908" i="6"/>
  <c r="J908" i="6" s="1"/>
  <c r="H909" i="6"/>
  <c r="J909" i="6" s="1"/>
  <c r="H910" i="6"/>
  <c r="J910" i="6" s="1"/>
  <c r="H911" i="6"/>
  <c r="J911" i="6" s="1"/>
  <c r="H912" i="6"/>
  <c r="J912" i="6" s="1"/>
  <c r="H913" i="6"/>
  <c r="J913" i="6" s="1"/>
  <c r="H914" i="6"/>
  <c r="J914" i="6" s="1"/>
  <c r="H915" i="6"/>
  <c r="J915" i="6" s="1"/>
  <c r="H916" i="6"/>
  <c r="J916" i="6" s="1"/>
  <c r="H917" i="6"/>
  <c r="J917" i="6" s="1"/>
  <c r="H918" i="6"/>
  <c r="J918" i="6" s="1"/>
  <c r="H919" i="6"/>
  <c r="J919" i="6" s="1"/>
  <c r="H920" i="6"/>
  <c r="J920" i="6" s="1"/>
  <c r="H921" i="6"/>
  <c r="J921" i="6" s="1"/>
  <c r="H922" i="6"/>
  <c r="J922" i="6" s="1"/>
  <c r="H923" i="6"/>
  <c r="J923" i="6" s="1"/>
  <c r="H924" i="6"/>
  <c r="J924" i="6" s="1"/>
  <c r="H925" i="6"/>
  <c r="J925" i="6" s="1"/>
  <c r="H926" i="6"/>
  <c r="J926" i="6" s="1"/>
  <c r="H927" i="6"/>
  <c r="J927" i="6" s="1"/>
  <c r="H928" i="6"/>
  <c r="J928" i="6" s="1"/>
  <c r="H929" i="6"/>
  <c r="J929" i="6" s="1"/>
  <c r="H930" i="6"/>
  <c r="J930" i="6" s="1"/>
  <c r="H931" i="6"/>
  <c r="J931" i="6" s="1"/>
  <c r="H932" i="6"/>
  <c r="J932" i="6" s="1"/>
  <c r="H933" i="6"/>
  <c r="J933" i="6" s="1"/>
  <c r="H934" i="6"/>
  <c r="J934" i="6" s="1"/>
  <c r="H935" i="6"/>
  <c r="J935" i="6" s="1"/>
  <c r="H936" i="6"/>
  <c r="J936" i="6" s="1"/>
  <c r="H937" i="6"/>
  <c r="J937" i="6" s="1"/>
  <c r="H938" i="6"/>
  <c r="J938" i="6" s="1"/>
  <c r="H939" i="6"/>
  <c r="J939" i="6" s="1"/>
  <c r="H940" i="6"/>
  <c r="J940" i="6" s="1"/>
  <c r="H941" i="6"/>
  <c r="J941" i="6" s="1"/>
  <c r="H942" i="6"/>
  <c r="J942" i="6" s="1"/>
  <c r="H943" i="6"/>
  <c r="J943" i="6" s="1"/>
  <c r="H944" i="6"/>
  <c r="J944" i="6" s="1"/>
  <c r="H945" i="6"/>
  <c r="J945" i="6" s="1"/>
  <c r="H946" i="6"/>
  <c r="J946" i="6" s="1"/>
  <c r="H947" i="6"/>
  <c r="J947" i="6" s="1"/>
  <c r="H948" i="6"/>
  <c r="J948" i="6" s="1"/>
  <c r="H949" i="6"/>
  <c r="J949" i="6" s="1"/>
  <c r="H950" i="6"/>
  <c r="J950" i="6" s="1"/>
  <c r="H951" i="6"/>
  <c r="J951" i="6" s="1"/>
  <c r="H952" i="6"/>
  <c r="J952" i="6" s="1"/>
  <c r="H953" i="6"/>
  <c r="J953" i="6" s="1"/>
  <c r="H954" i="6"/>
  <c r="J954" i="6" s="1"/>
  <c r="H955" i="6"/>
  <c r="J955" i="6" s="1"/>
  <c r="H956" i="6"/>
  <c r="J956" i="6" s="1"/>
  <c r="H957" i="6"/>
  <c r="J957" i="6" s="1"/>
  <c r="H958" i="6"/>
  <c r="J958" i="6" s="1"/>
  <c r="H959" i="6"/>
  <c r="J959" i="6" s="1"/>
  <c r="H960" i="6"/>
  <c r="J960" i="6" s="1"/>
  <c r="H961" i="6"/>
  <c r="J961" i="6" s="1"/>
  <c r="H962" i="6"/>
  <c r="J962" i="6" s="1"/>
  <c r="H963" i="6"/>
  <c r="J963" i="6" s="1"/>
  <c r="H964" i="6"/>
  <c r="J964" i="6" s="1"/>
  <c r="H965" i="6"/>
  <c r="J965" i="6" s="1"/>
  <c r="H966" i="6"/>
  <c r="J966" i="6" s="1"/>
  <c r="H967" i="6"/>
  <c r="J967" i="6" s="1"/>
  <c r="H968" i="6"/>
  <c r="J968" i="6" s="1"/>
  <c r="H969" i="6"/>
  <c r="J969" i="6" s="1"/>
  <c r="H970" i="6"/>
  <c r="J970" i="6" s="1"/>
  <c r="H971" i="6"/>
  <c r="J971" i="6" s="1"/>
  <c r="H972" i="6"/>
  <c r="J972" i="6" s="1"/>
  <c r="H973" i="6"/>
  <c r="J973" i="6" s="1"/>
  <c r="H974" i="6"/>
  <c r="J974" i="6" s="1"/>
  <c r="H975" i="6"/>
  <c r="J975" i="6" s="1"/>
  <c r="H976" i="6"/>
  <c r="J976" i="6" s="1"/>
  <c r="H977" i="6"/>
  <c r="J977" i="6" s="1"/>
  <c r="H978" i="6"/>
  <c r="J978" i="6" s="1"/>
  <c r="H979" i="6"/>
  <c r="J979" i="6" s="1"/>
  <c r="H980" i="6"/>
  <c r="J980" i="6" s="1"/>
  <c r="H981" i="6"/>
  <c r="J981" i="6" s="1"/>
  <c r="H982" i="6"/>
  <c r="J982" i="6" s="1"/>
  <c r="H983" i="6"/>
  <c r="J983" i="6" s="1"/>
  <c r="H984" i="6"/>
  <c r="J984" i="6" s="1"/>
  <c r="H985" i="6"/>
  <c r="J985" i="6" s="1"/>
  <c r="H986" i="6"/>
  <c r="J986" i="6" s="1"/>
  <c r="H987" i="6"/>
  <c r="J987" i="6" s="1"/>
  <c r="H988" i="6"/>
  <c r="J988" i="6" s="1"/>
  <c r="H989" i="6"/>
  <c r="J989" i="6" s="1"/>
  <c r="H990" i="6"/>
  <c r="J990" i="6" s="1"/>
  <c r="H991" i="6"/>
  <c r="J991" i="6" s="1"/>
  <c r="H992" i="6"/>
  <c r="J992" i="6" s="1"/>
  <c r="H993" i="6"/>
  <c r="J993" i="6" s="1"/>
  <c r="H994" i="6"/>
  <c r="J994" i="6" s="1"/>
  <c r="H995" i="6"/>
  <c r="J995" i="6" s="1"/>
  <c r="H996" i="6"/>
  <c r="J996" i="6" s="1"/>
  <c r="H997" i="6"/>
  <c r="J997" i="6" s="1"/>
  <c r="H998" i="6"/>
  <c r="J998" i="6" s="1"/>
  <c r="H999" i="6"/>
  <c r="J999" i="6" s="1"/>
  <c r="H1000" i="6"/>
  <c r="J1000" i="6" s="1"/>
  <c r="H1001" i="6"/>
  <c r="J1001" i="6" s="1"/>
  <c r="H1002" i="6"/>
  <c r="J1002" i="6" s="1"/>
  <c r="H1003" i="6"/>
  <c r="J1003" i="6" s="1"/>
  <c r="H1004" i="6"/>
  <c r="J1004" i="6" s="1"/>
  <c r="H1005" i="6"/>
  <c r="J1005" i="6" s="1"/>
  <c r="H1006" i="6"/>
  <c r="J1006" i="6" s="1"/>
  <c r="H1007" i="6"/>
  <c r="J1007" i="6" s="1"/>
  <c r="H1008" i="6"/>
  <c r="J1008" i="6" s="1"/>
  <c r="H1009" i="6"/>
  <c r="J1009" i="6" s="1"/>
  <c r="H1010" i="6"/>
  <c r="J1010" i="6" s="1"/>
  <c r="H1011" i="6"/>
  <c r="J1011" i="6" s="1"/>
  <c r="H1012" i="6"/>
  <c r="J1012" i="6" s="1"/>
  <c r="H1013" i="6"/>
  <c r="J1013" i="6" s="1"/>
  <c r="H1014" i="6"/>
  <c r="J1014" i="6" s="1"/>
  <c r="H1015" i="6"/>
  <c r="J1015" i="6" s="1"/>
  <c r="H1016" i="6"/>
  <c r="J1016" i="6" s="1"/>
  <c r="H1017" i="6"/>
  <c r="J1017" i="6" s="1"/>
  <c r="H1018" i="6"/>
  <c r="J1018" i="6" s="1"/>
  <c r="H1019" i="6"/>
  <c r="J1019" i="6" s="1"/>
  <c r="H1020" i="6"/>
  <c r="J1020" i="6" s="1"/>
  <c r="H1021" i="6"/>
  <c r="J1021" i="6" s="1"/>
  <c r="H1022" i="6"/>
  <c r="J1022" i="6" s="1"/>
  <c r="H1023" i="6"/>
  <c r="J1023" i="6" s="1"/>
  <c r="H1024" i="6"/>
  <c r="J1024" i="6" s="1"/>
  <c r="H1025" i="6"/>
  <c r="J1025" i="6" s="1"/>
  <c r="H1026" i="6"/>
  <c r="J1026" i="6" s="1"/>
  <c r="H1027" i="6"/>
  <c r="J1027" i="6" s="1"/>
  <c r="H1028" i="6"/>
  <c r="J1028" i="6" s="1"/>
  <c r="H1029" i="6"/>
  <c r="J1029" i="6" s="1"/>
  <c r="H1030" i="6"/>
  <c r="J1030" i="6" s="1"/>
  <c r="H1031" i="6"/>
  <c r="J1031" i="6" s="1"/>
  <c r="H1032" i="6"/>
  <c r="J1032" i="6" s="1"/>
  <c r="H1033" i="6"/>
  <c r="J1033" i="6" s="1"/>
  <c r="H1034" i="6"/>
  <c r="J1034" i="6" s="1"/>
  <c r="H1035" i="6"/>
  <c r="J1035" i="6" s="1"/>
  <c r="H1036" i="6"/>
  <c r="J1036" i="6" s="1"/>
  <c r="H1037" i="6"/>
  <c r="J1037" i="6" s="1"/>
  <c r="H1038" i="6"/>
  <c r="J1038" i="6" s="1"/>
  <c r="H1039" i="6"/>
  <c r="J1039" i="6" s="1"/>
  <c r="H1040" i="6"/>
  <c r="J1040" i="6" s="1"/>
  <c r="H1041" i="6"/>
  <c r="J1041" i="6" s="1"/>
  <c r="H1042" i="6"/>
  <c r="J1042" i="6" s="1"/>
  <c r="H1043" i="6"/>
  <c r="J1043" i="6" s="1"/>
  <c r="H1044" i="6"/>
  <c r="J1044" i="6" s="1"/>
  <c r="H1045" i="6"/>
  <c r="J1045" i="6" s="1"/>
  <c r="H1046" i="6"/>
  <c r="J1046" i="6" s="1"/>
  <c r="H1047" i="6"/>
  <c r="J1047" i="6" s="1"/>
  <c r="H1048" i="6"/>
  <c r="J1048" i="6" s="1"/>
  <c r="H1049" i="6"/>
  <c r="J1049" i="6" s="1"/>
  <c r="H1050" i="6"/>
  <c r="J1050" i="6" s="1"/>
  <c r="H1051" i="6"/>
  <c r="J1051" i="6" s="1"/>
  <c r="H1052" i="6"/>
  <c r="J1052" i="6" s="1"/>
  <c r="H1053" i="6"/>
  <c r="J1053" i="6" s="1"/>
  <c r="H1054" i="6"/>
  <c r="J1054" i="6" s="1"/>
  <c r="H1055" i="6"/>
  <c r="J1055" i="6" s="1"/>
  <c r="H1056" i="6"/>
  <c r="J1056" i="6" s="1"/>
  <c r="H1057" i="6"/>
  <c r="J1057" i="6" s="1"/>
  <c r="H1058" i="6"/>
  <c r="J1058" i="6" s="1"/>
  <c r="H1059" i="6"/>
  <c r="J1059" i="6" s="1"/>
  <c r="H1060" i="6"/>
  <c r="J1060" i="6" s="1"/>
  <c r="H1061" i="6"/>
  <c r="J1061" i="6" s="1"/>
  <c r="H1062" i="6"/>
  <c r="J1062" i="6" s="1"/>
  <c r="H1063" i="6"/>
  <c r="J1063" i="6" s="1"/>
  <c r="H1064" i="6"/>
  <c r="J1064" i="6" s="1"/>
  <c r="H1065" i="6"/>
  <c r="J1065" i="6" s="1"/>
  <c r="H1066" i="6"/>
  <c r="J1066" i="6" s="1"/>
  <c r="H1067" i="6"/>
  <c r="J1067" i="6" s="1"/>
  <c r="H1068" i="6"/>
  <c r="J1068" i="6" s="1"/>
  <c r="H1069" i="6"/>
  <c r="J1069" i="6" s="1"/>
  <c r="H1070" i="6"/>
  <c r="J1070" i="6" s="1"/>
  <c r="H1071" i="6"/>
  <c r="J1071" i="6" s="1"/>
  <c r="H1072" i="6"/>
  <c r="J1072" i="6" s="1"/>
  <c r="H1073" i="6"/>
  <c r="J1073" i="6" s="1"/>
  <c r="H1074" i="6"/>
  <c r="J1074" i="6" s="1"/>
  <c r="H1075" i="6"/>
  <c r="J1075" i="6" s="1"/>
  <c r="H1076" i="6"/>
  <c r="J1076" i="6" s="1"/>
  <c r="H1077" i="6"/>
  <c r="J1077" i="6" s="1"/>
  <c r="H1078" i="6"/>
  <c r="J1078" i="6" s="1"/>
  <c r="H1079" i="6"/>
  <c r="J1079" i="6" s="1"/>
  <c r="H1080" i="6"/>
  <c r="J1080" i="6" s="1"/>
  <c r="H1081" i="6"/>
  <c r="J1081" i="6" s="1"/>
  <c r="H1082" i="6"/>
  <c r="J1082" i="6" s="1"/>
  <c r="H1083" i="6"/>
  <c r="J1083" i="6" s="1"/>
  <c r="H1084" i="6"/>
  <c r="J1084" i="6" s="1"/>
  <c r="H1085" i="6"/>
  <c r="J1085" i="6" s="1"/>
  <c r="H1086" i="6"/>
  <c r="J1086" i="6" s="1"/>
  <c r="H1087" i="6"/>
  <c r="J1087" i="6" s="1"/>
  <c r="H1088" i="6"/>
  <c r="J1088" i="6" s="1"/>
  <c r="H1089" i="6"/>
  <c r="J1089" i="6" s="1"/>
  <c r="H1090" i="6"/>
  <c r="J1090" i="6" s="1"/>
  <c r="H1091" i="6"/>
  <c r="J1091" i="6" s="1"/>
  <c r="H1092" i="6"/>
  <c r="J1092" i="6" s="1"/>
  <c r="H1093" i="6"/>
  <c r="J1093" i="6" s="1"/>
  <c r="H1094" i="6"/>
  <c r="J1094" i="6" s="1"/>
  <c r="H1095" i="6"/>
  <c r="J1095" i="6" s="1"/>
  <c r="H1096" i="6"/>
  <c r="J1096" i="6" s="1"/>
  <c r="H1097" i="6"/>
  <c r="J1097" i="6" s="1"/>
  <c r="H1098" i="6"/>
  <c r="J1098" i="6" s="1"/>
  <c r="H1099" i="6"/>
  <c r="J1099" i="6" s="1"/>
  <c r="H1100" i="6"/>
  <c r="J1100" i="6" s="1"/>
  <c r="H1101" i="6"/>
  <c r="J1101" i="6" s="1"/>
  <c r="H1102" i="6"/>
  <c r="J1102" i="6" s="1"/>
  <c r="H1103" i="6"/>
  <c r="J1103" i="6" s="1"/>
  <c r="H1104" i="6"/>
  <c r="J1104" i="6" s="1"/>
  <c r="H1105" i="6"/>
  <c r="J1105" i="6" s="1"/>
  <c r="H1106" i="6"/>
  <c r="J1106" i="6" s="1"/>
  <c r="H1107" i="6"/>
  <c r="J1107" i="6" s="1"/>
  <c r="H1108" i="6"/>
  <c r="J1108" i="6" s="1"/>
  <c r="H1109" i="6"/>
  <c r="J1109" i="6" s="1"/>
  <c r="H1110" i="6"/>
  <c r="J1110" i="6" s="1"/>
  <c r="H1111" i="6"/>
  <c r="J1111" i="6" s="1"/>
  <c r="H1112" i="6"/>
  <c r="J1112" i="6" s="1"/>
  <c r="H1113" i="6"/>
  <c r="J1113" i="6" s="1"/>
  <c r="H1114" i="6"/>
  <c r="J1114" i="6" s="1"/>
  <c r="H1115" i="6"/>
  <c r="J1115" i="6" s="1"/>
  <c r="H1116" i="6"/>
  <c r="J1116" i="6" s="1"/>
  <c r="H1117" i="6"/>
  <c r="J1117" i="6" s="1"/>
  <c r="H1118" i="6"/>
  <c r="J1118" i="6" s="1"/>
  <c r="H1119" i="6"/>
  <c r="J1119" i="6" s="1"/>
  <c r="H1120" i="6"/>
  <c r="J1120" i="6" s="1"/>
  <c r="H1121" i="6"/>
  <c r="J1121" i="6" s="1"/>
  <c r="H1122" i="6"/>
  <c r="J1122" i="6" s="1"/>
  <c r="H1123" i="6"/>
  <c r="J1123" i="6" s="1"/>
  <c r="H1124" i="6"/>
  <c r="J1124" i="6" s="1"/>
  <c r="H1125" i="6"/>
  <c r="J1125" i="6" s="1"/>
  <c r="H1126" i="6"/>
  <c r="J1126" i="6" s="1"/>
  <c r="H1127" i="6"/>
  <c r="J1127" i="6" s="1"/>
  <c r="H1128" i="6"/>
  <c r="J1128" i="6" s="1"/>
  <c r="H1129" i="6"/>
  <c r="J1129" i="6" s="1"/>
  <c r="H1130" i="6"/>
  <c r="J1130" i="6" s="1"/>
  <c r="H1131" i="6"/>
  <c r="J1131" i="6" s="1"/>
  <c r="H1132" i="6"/>
  <c r="J1132" i="6" s="1"/>
  <c r="H1133" i="6"/>
  <c r="J1133" i="6" s="1"/>
  <c r="H1134" i="6"/>
  <c r="J1134" i="6" s="1"/>
  <c r="H1135" i="6"/>
  <c r="J1135" i="6" s="1"/>
  <c r="H1136" i="6"/>
  <c r="J1136" i="6" s="1"/>
  <c r="H1137" i="6"/>
  <c r="J1137" i="6" s="1"/>
  <c r="H1138" i="6"/>
  <c r="J1138" i="6" s="1"/>
  <c r="H1139" i="6"/>
  <c r="J1139" i="6" s="1"/>
  <c r="H1140" i="6"/>
  <c r="J1140" i="6" s="1"/>
  <c r="H1141" i="6"/>
  <c r="J1141" i="6" s="1"/>
  <c r="H1142" i="6"/>
  <c r="J1142" i="6" s="1"/>
  <c r="H1143" i="6"/>
  <c r="J1143" i="6" s="1"/>
  <c r="H1144" i="6"/>
  <c r="J1144" i="6" s="1"/>
  <c r="H1145" i="6"/>
  <c r="J1145" i="6" s="1"/>
  <c r="H1146" i="6"/>
  <c r="J1146" i="6" s="1"/>
  <c r="H1147" i="6"/>
  <c r="J1147" i="6" s="1"/>
  <c r="H1148" i="6"/>
  <c r="J1148" i="6" s="1"/>
  <c r="H1149" i="6"/>
  <c r="J1149" i="6" s="1"/>
  <c r="H1150" i="6"/>
  <c r="J1150" i="6" s="1"/>
  <c r="H1151" i="6"/>
  <c r="J1151" i="6" s="1"/>
  <c r="H1152" i="6"/>
  <c r="J1152" i="6" s="1"/>
  <c r="H1153" i="6"/>
  <c r="J1153" i="6" s="1"/>
  <c r="H1154" i="6"/>
  <c r="J1154" i="6" s="1"/>
  <c r="H1155" i="6"/>
  <c r="J1155" i="6" s="1"/>
  <c r="H1156" i="6"/>
  <c r="J1156" i="6" s="1"/>
  <c r="H1157" i="6"/>
  <c r="J1157" i="6" s="1"/>
  <c r="H1158" i="6"/>
  <c r="J1158" i="6" s="1"/>
  <c r="H1159" i="6"/>
  <c r="J1159" i="6" s="1"/>
  <c r="H1160" i="6"/>
  <c r="J1160" i="6" s="1"/>
  <c r="H1161" i="6"/>
  <c r="J1161" i="6" s="1"/>
  <c r="H1162" i="6"/>
  <c r="J1162" i="6" s="1"/>
  <c r="H1163" i="6"/>
  <c r="J1163" i="6" s="1"/>
  <c r="H1164" i="6"/>
  <c r="J1164" i="6" s="1"/>
  <c r="H1165" i="6"/>
  <c r="J1165" i="6" s="1"/>
  <c r="H1166" i="6"/>
  <c r="J1166" i="6" s="1"/>
  <c r="H1167" i="6"/>
  <c r="J1167" i="6" s="1"/>
  <c r="H1168" i="6"/>
  <c r="J1168" i="6" s="1"/>
  <c r="H1169" i="6"/>
  <c r="J1169" i="6" s="1"/>
  <c r="H1170" i="6"/>
  <c r="J1170" i="6" s="1"/>
  <c r="H1171" i="6"/>
  <c r="J1171" i="6" s="1"/>
  <c r="H1172" i="6"/>
  <c r="J1172" i="6" s="1"/>
  <c r="H1173" i="6"/>
  <c r="J1173" i="6" s="1"/>
  <c r="H1174" i="6"/>
  <c r="J1174" i="6" s="1"/>
  <c r="H1175" i="6"/>
  <c r="J1175" i="6" s="1"/>
  <c r="H1176" i="6"/>
  <c r="J1176" i="6" s="1"/>
  <c r="H1177" i="6"/>
  <c r="J1177" i="6" s="1"/>
  <c r="H1178" i="6"/>
  <c r="J1178" i="6" s="1"/>
  <c r="H1179" i="6"/>
  <c r="J1179" i="6" s="1"/>
  <c r="H1180" i="6"/>
  <c r="J1180" i="6" s="1"/>
  <c r="H1181" i="6"/>
  <c r="J1181" i="6" s="1"/>
  <c r="H1182" i="6"/>
  <c r="J1182" i="6" s="1"/>
  <c r="H1183" i="6"/>
  <c r="J1183" i="6" s="1"/>
  <c r="H1184" i="6"/>
  <c r="J1184" i="6" s="1"/>
  <c r="H1185" i="6"/>
  <c r="J1185" i="6" s="1"/>
  <c r="H1186" i="6"/>
  <c r="J1186" i="6" s="1"/>
  <c r="H1187" i="6"/>
  <c r="J1187" i="6" s="1"/>
  <c r="H1188" i="6"/>
  <c r="J1188" i="6" s="1"/>
  <c r="H1189" i="6"/>
  <c r="J1189" i="6" s="1"/>
  <c r="H1190" i="6"/>
  <c r="J1190" i="6" s="1"/>
  <c r="H1191" i="6"/>
  <c r="J1191" i="6" s="1"/>
  <c r="H1192" i="6"/>
  <c r="J1192" i="6" s="1"/>
  <c r="H1193" i="6"/>
  <c r="J1193" i="6" s="1"/>
  <c r="H1194" i="6"/>
  <c r="J1194" i="6" s="1"/>
  <c r="H1195" i="6"/>
  <c r="J1195" i="6" s="1"/>
  <c r="H1196" i="6"/>
  <c r="J1196" i="6" s="1"/>
  <c r="H1197" i="6"/>
  <c r="J1197" i="6" s="1"/>
  <c r="H1198" i="6"/>
  <c r="J1198" i="6" s="1"/>
  <c r="H1199" i="6"/>
  <c r="J1199" i="6" s="1"/>
  <c r="H1200" i="6"/>
  <c r="J1200" i="6" s="1"/>
  <c r="H1201" i="6"/>
  <c r="J1201" i="6" s="1"/>
  <c r="H1202" i="6"/>
  <c r="J1202" i="6" s="1"/>
  <c r="H1203" i="6"/>
  <c r="J1203" i="6" s="1"/>
  <c r="H1204" i="6"/>
  <c r="J1204" i="6" s="1"/>
  <c r="H1205" i="6"/>
  <c r="J1205" i="6" s="1"/>
  <c r="H1206" i="6"/>
  <c r="J1206" i="6" s="1"/>
  <c r="H1207" i="6"/>
  <c r="J1207" i="6" s="1"/>
  <c r="H1208" i="6"/>
  <c r="J1208" i="6" s="1"/>
  <c r="H1209" i="6"/>
  <c r="J1209" i="6" s="1"/>
  <c r="H1210" i="6"/>
  <c r="J1210" i="6" s="1"/>
  <c r="H1211" i="6"/>
  <c r="J1211" i="6" s="1"/>
  <c r="H1212" i="6"/>
  <c r="J1212" i="6" s="1"/>
  <c r="H1213" i="6"/>
  <c r="J1213" i="6" s="1"/>
  <c r="H1214" i="6"/>
  <c r="J1214" i="6" s="1"/>
  <c r="H1215" i="6"/>
  <c r="J1215" i="6" s="1"/>
  <c r="H1216" i="6"/>
  <c r="J1216" i="6" s="1"/>
  <c r="H1217" i="6"/>
  <c r="J1217" i="6" s="1"/>
  <c r="H1218" i="6"/>
  <c r="J1218" i="6" s="1"/>
  <c r="H1219" i="6"/>
  <c r="J1219" i="6" s="1"/>
  <c r="H1220" i="6"/>
  <c r="J1220" i="6" s="1"/>
  <c r="H1221" i="6"/>
  <c r="J1221" i="6" s="1"/>
  <c r="H1222" i="6"/>
  <c r="J1222" i="6" s="1"/>
  <c r="H1223" i="6"/>
  <c r="J1223" i="6" s="1"/>
  <c r="H1224" i="6"/>
  <c r="J1224" i="6" s="1"/>
  <c r="H1225" i="6"/>
  <c r="J1225" i="6" s="1"/>
  <c r="H1226" i="6"/>
  <c r="J1226" i="6" s="1"/>
  <c r="H1227" i="6"/>
  <c r="J1227" i="6" s="1"/>
  <c r="H1228" i="6"/>
  <c r="J1228" i="6" s="1"/>
  <c r="H1229" i="6"/>
  <c r="J1229" i="6" s="1"/>
  <c r="H1230" i="6"/>
  <c r="J1230" i="6" s="1"/>
  <c r="H1231" i="6"/>
  <c r="J1231" i="6" s="1"/>
  <c r="H1232" i="6"/>
  <c r="J1232" i="6" s="1"/>
  <c r="H1233" i="6"/>
  <c r="J1233" i="6" s="1"/>
  <c r="H1234" i="6"/>
  <c r="J1234" i="6" s="1"/>
  <c r="H1235" i="6"/>
  <c r="J1235" i="6" s="1"/>
  <c r="H1236" i="6"/>
  <c r="J1236" i="6" s="1"/>
  <c r="H1237" i="6"/>
  <c r="J1237" i="6" s="1"/>
  <c r="H1238" i="6"/>
  <c r="J1238" i="6" s="1"/>
  <c r="H1239" i="6"/>
  <c r="J1239" i="6" s="1"/>
  <c r="H1240" i="6"/>
  <c r="J1240" i="6" s="1"/>
  <c r="H1241" i="6"/>
  <c r="J1241" i="6" s="1"/>
  <c r="H1242" i="6"/>
  <c r="J1242" i="6" s="1"/>
  <c r="H1243" i="6"/>
  <c r="J1243" i="6" s="1"/>
  <c r="H1244" i="6"/>
  <c r="J1244" i="6" s="1"/>
  <c r="H1245" i="6"/>
  <c r="J1245" i="6" s="1"/>
  <c r="H1246" i="6"/>
  <c r="J1246" i="6" s="1"/>
  <c r="H1247" i="6"/>
  <c r="J1247" i="6" s="1"/>
  <c r="H1248" i="6"/>
  <c r="J1248" i="6" s="1"/>
  <c r="H1249" i="6"/>
  <c r="J1249" i="6" s="1"/>
  <c r="H1250" i="6"/>
  <c r="J1250" i="6" s="1"/>
  <c r="H1251" i="6"/>
  <c r="J1251" i="6" s="1"/>
  <c r="H1252" i="6"/>
  <c r="J1252" i="6" s="1"/>
  <c r="H1253" i="6"/>
  <c r="J1253" i="6" s="1"/>
  <c r="H1254" i="6"/>
  <c r="J1254" i="6" s="1"/>
  <c r="H1255" i="6"/>
  <c r="J1255" i="6" s="1"/>
  <c r="H1256" i="6"/>
  <c r="J1256" i="6" s="1"/>
  <c r="H1257" i="6"/>
  <c r="J1257" i="6" s="1"/>
  <c r="H1258" i="6"/>
  <c r="J1258" i="6" s="1"/>
  <c r="H1259" i="6"/>
  <c r="J1259" i="6" s="1"/>
  <c r="H11" i="6"/>
  <c r="J11" i="6" s="1"/>
  <c r="H12" i="6"/>
  <c r="J12" i="6" s="1"/>
  <c r="H13" i="6"/>
  <c r="J13" i="6" s="1"/>
  <c r="H14" i="6"/>
  <c r="J14" i="6" s="1"/>
  <c r="H15" i="6"/>
  <c r="J15" i="6" s="1"/>
  <c r="H16" i="6"/>
  <c r="J16" i="6" s="1"/>
  <c r="H17" i="6"/>
  <c r="J17" i="6" s="1"/>
  <c r="H18" i="6"/>
  <c r="J18" i="6" s="1"/>
  <c r="H19" i="6"/>
  <c r="J19" i="6" s="1"/>
  <c r="H20" i="6"/>
  <c r="J20" i="6" s="1"/>
  <c r="H21" i="6"/>
  <c r="J21" i="6" s="1"/>
  <c r="H22" i="6"/>
  <c r="J22" i="6" s="1"/>
  <c r="H23" i="6"/>
  <c r="J23" i="6" s="1"/>
  <c r="H24" i="6"/>
  <c r="J24" i="6" s="1"/>
  <c r="H25" i="6"/>
  <c r="J25" i="6" s="1"/>
  <c r="H26" i="6"/>
  <c r="J26" i="6" s="1"/>
  <c r="H27" i="6"/>
  <c r="J27" i="6" s="1"/>
  <c r="H28" i="6"/>
  <c r="J28" i="6" s="1"/>
  <c r="H29" i="6"/>
  <c r="J29" i="6" s="1"/>
  <c r="H30" i="6"/>
  <c r="J30" i="6" s="1"/>
  <c r="H31" i="6"/>
  <c r="J31" i="6" s="1"/>
  <c r="H32" i="6"/>
  <c r="J32" i="6" s="1"/>
  <c r="H33" i="6"/>
  <c r="J33" i="6" s="1"/>
  <c r="H34" i="6"/>
  <c r="J34" i="6" s="1"/>
  <c r="H35" i="6"/>
  <c r="J35" i="6" s="1"/>
  <c r="H3" i="6"/>
  <c r="J3" i="6" s="1"/>
  <c r="H4" i="6"/>
  <c r="J4" i="6" s="1"/>
  <c r="H5" i="6"/>
  <c r="J5" i="6" s="1"/>
  <c r="H6" i="6"/>
  <c r="J6" i="6" s="1"/>
  <c r="H7" i="6"/>
  <c r="J7" i="6" s="1"/>
  <c r="H8" i="6"/>
  <c r="J8" i="6" s="1"/>
  <c r="H9" i="6"/>
  <c r="J9" i="6" s="1"/>
  <c r="H10" i="6"/>
  <c r="J10" i="6" s="1"/>
  <c r="H2" i="6"/>
  <c r="J2" i="6" s="1"/>
  <c r="L3187" i="6" l="1"/>
  <c r="L3183" i="6"/>
  <c r="L3179" i="6"/>
  <c r="L3175" i="6"/>
  <c r="L3171" i="6"/>
  <c r="L3155" i="6"/>
  <c r="L3151" i="6"/>
  <c r="L3147" i="6"/>
  <c r="L3143" i="6"/>
  <c r="L3139" i="6"/>
  <c r="L3135" i="6"/>
  <c r="L3131" i="6"/>
  <c r="L3127" i="6"/>
  <c r="L3123" i="6"/>
  <c r="L3119" i="6"/>
  <c r="L3115" i="6"/>
  <c r="L3111" i="6"/>
  <c r="L3107" i="6"/>
  <c r="L3103" i="6"/>
  <c r="L3099" i="6"/>
  <c r="L3095" i="6"/>
  <c r="L3091" i="6"/>
  <c r="L3087" i="6"/>
  <c r="L31" i="6"/>
  <c r="L81" i="6"/>
  <c r="L2" i="6"/>
  <c r="L9" i="6"/>
  <c r="L5" i="6"/>
  <c r="L77" i="6"/>
  <c r="L73" i="6"/>
  <c r="L69" i="6"/>
  <c r="L65" i="6"/>
  <c r="L61" i="6"/>
  <c r="L57" i="6"/>
  <c r="L53" i="6"/>
  <c r="L49" i="6"/>
  <c r="L45" i="6"/>
  <c r="L41" i="6"/>
  <c r="L37" i="6"/>
  <c r="L33" i="6"/>
  <c r="L29" i="6"/>
  <c r="L25" i="6"/>
  <c r="L21" i="6"/>
  <c r="L17" i="6"/>
  <c r="L13" i="6"/>
  <c r="L95" i="6"/>
  <c r="L91" i="6"/>
  <c r="L87" i="6"/>
  <c r="L83" i="6"/>
  <c r="L79" i="6"/>
  <c r="L3403" i="6"/>
  <c r="L3399" i="6"/>
  <c r="L3395" i="6"/>
  <c r="L3391" i="6"/>
  <c r="L3387" i="6"/>
  <c r="L3383" i="6"/>
  <c r="L3379" i="6"/>
  <c r="L3375" i="6"/>
  <c r="L3371" i="6"/>
  <c r="L3367" i="6"/>
  <c r="L3363" i="6"/>
  <c r="L3359" i="6"/>
  <c r="L3355" i="6"/>
  <c r="L3351" i="6"/>
  <c r="L3347" i="6"/>
  <c r="L3343" i="6"/>
  <c r="L3339" i="6"/>
  <c r="L3335" i="6"/>
  <c r="L3331" i="6"/>
  <c r="L3327" i="6"/>
  <c r="L3323" i="6"/>
  <c r="L3319" i="6"/>
  <c r="L3315" i="6"/>
  <c r="L3311" i="6"/>
  <c r="L3307" i="6"/>
  <c r="L3303" i="6"/>
  <c r="L3299" i="6"/>
  <c r="L3295" i="6"/>
  <c r="L3291" i="6"/>
  <c r="L3287" i="6"/>
  <c r="L3283" i="6"/>
  <c r="L3279" i="6"/>
  <c r="L3275" i="6"/>
  <c r="L3271" i="6"/>
  <c r="L3267" i="6"/>
  <c r="L3263" i="6"/>
  <c r="L3259" i="6"/>
  <c r="L3255" i="6"/>
  <c r="L3251" i="6"/>
  <c r="L3247" i="6"/>
  <c r="L3243" i="6"/>
  <c r="L3239" i="6"/>
  <c r="L3235" i="6"/>
  <c r="L3231" i="6"/>
  <c r="L3227" i="6"/>
  <c r="L3223" i="6"/>
  <c r="L3219" i="6"/>
  <c r="L3215" i="6"/>
  <c r="L3211" i="6"/>
  <c r="L3207" i="6"/>
  <c r="L3203" i="6"/>
  <c r="L3199" i="6"/>
  <c r="L3195" i="6"/>
  <c r="L3191" i="6"/>
  <c r="L3167" i="6"/>
  <c r="L3163" i="6"/>
  <c r="L3159" i="6"/>
  <c r="L3083" i="6"/>
  <c r="L3079" i="6"/>
  <c r="L3075" i="6"/>
  <c r="L3071" i="6"/>
  <c r="L3067" i="6"/>
  <c r="L3063" i="6"/>
  <c r="L3059" i="6"/>
  <c r="L3055" i="6"/>
  <c r="L3051" i="6"/>
  <c r="L3047" i="6"/>
  <c r="L3043" i="6"/>
  <c r="L3039" i="6"/>
  <c r="L3035" i="6"/>
  <c r="L3031" i="6"/>
  <c r="L3027" i="6"/>
  <c r="L3023" i="6"/>
  <c r="L3019" i="6"/>
  <c r="L3015" i="6"/>
  <c r="L3011" i="6"/>
  <c r="L3007" i="6"/>
  <c r="L3003" i="6"/>
  <c r="L2999" i="6"/>
  <c r="L2995" i="6"/>
  <c r="L2991" i="6"/>
  <c r="L2987" i="6"/>
  <c r="L2983" i="6"/>
  <c r="L2979" i="6"/>
  <c r="L2975" i="6"/>
  <c r="L2971" i="6"/>
  <c r="L2967" i="6"/>
  <c r="L2963" i="6"/>
  <c r="L2959" i="6"/>
  <c r="L2955" i="6"/>
  <c r="L2951" i="6"/>
  <c r="L2947" i="6"/>
  <c r="L2943" i="6"/>
  <c r="L2939" i="6"/>
  <c r="L2935" i="6"/>
  <c r="L2931" i="6"/>
  <c r="L2927" i="6"/>
  <c r="L2923" i="6"/>
  <c r="L2919" i="6"/>
  <c r="L2915" i="6"/>
  <c r="L2911" i="6"/>
  <c r="L2907" i="6"/>
  <c r="L2903" i="6"/>
  <c r="L2899" i="6"/>
  <c r="L2895" i="6"/>
  <c r="L2891" i="6"/>
  <c r="L2887" i="6"/>
  <c r="L2883" i="6"/>
  <c r="L2879" i="6"/>
  <c r="L2875" i="6"/>
  <c r="L2871" i="6"/>
  <c r="L2867" i="6"/>
  <c r="L2863" i="6"/>
  <c r="L2859" i="6"/>
  <c r="L2855" i="6"/>
  <c r="L2851" i="6"/>
  <c r="L2847" i="6"/>
  <c r="L2843" i="6"/>
  <c r="L2839" i="6"/>
  <c r="L2835" i="6"/>
  <c r="L2831" i="6"/>
  <c r="L2827" i="6"/>
  <c r="L2823" i="6"/>
  <c r="L2819" i="6"/>
  <c r="L2815" i="6"/>
  <c r="L2811" i="6"/>
  <c r="L2807" i="6"/>
  <c r="L2803" i="6"/>
  <c r="L2799" i="6"/>
  <c r="L2795" i="6"/>
  <c r="L2791" i="6"/>
  <c r="L2787" i="6"/>
  <c r="L2783" i="6"/>
  <c r="L2779" i="6"/>
  <c r="L2775" i="6"/>
  <c r="L2771" i="6"/>
  <c r="L2767" i="6"/>
  <c r="L2763" i="6"/>
  <c r="L2759" i="6"/>
  <c r="L2755" i="6"/>
  <c r="L2751" i="6"/>
  <c r="L2747" i="6"/>
  <c r="L2743" i="6"/>
  <c r="L2739" i="6"/>
  <c r="L2735" i="6"/>
  <c r="L2731" i="6"/>
  <c r="L2727" i="6"/>
  <c r="L2723" i="6"/>
  <c r="L2719" i="6"/>
  <c r="L2715" i="6"/>
  <c r="L2711" i="6"/>
  <c r="L2707" i="6"/>
  <c r="L2703" i="6"/>
  <c r="L2699" i="6"/>
  <c r="L2695" i="6"/>
  <c r="L2691" i="6"/>
  <c r="L2687" i="6"/>
  <c r="L2683" i="6"/>
  <c r="L2679" i="6"/>
  <c r="L2675" i="6"/>
  <c r="L2671" i="6"/>
  <c r="L2667" i="6"/>
  <c r="L2663" i="6"/>
  <c r="L2659" i="6"/>
  <c r="L2655" i="6"/>
  <c r="L2651" i="6"/>
  <c r="L2647" i="6"/>
  <c r="L2643" i="6"/>
  <c r="L2639" i="6"/>
  <c r="L2635" i="6"/>
  <c r="L2631" i="6"/>
  <c r="L2627" i="6"/>
  <c r="L2623" i="6"/>
  <c r="L2619" i="6"/>
  <c r="L2615" i="6"/>
  <c r="L2611" i="6"/>
  <c r="L2607" i="6"/>
  <c r="L2603" i="6"/>
  <c r="L2599" i="6"/>
  <c r="L2595" i="6"/>
  <c r="L2591" i="6"/>
  <c r="L2587" i="6"/>
  <c r="L2583" i="6"/>
  <c r="L2579" i="6"/>
  <c r="L2575" i="6"/>
  <c r="L2571" i="6"/>
  <c r="L2567" i="6"/>
  <c r="L2563" i="6"/>
  <c r="L2559" i="6"/>
  <c r="L2555" i="6"/>
  <c r="L2551" i="6"/>
  <c r="L2547" i="6"/>
  <c r="L2543" i="6"/>
  <c r="L2539" i="6"/>
  <c r="L2535" i="6"/>
  <c r="L2531" i="6"/>
  <c r="L2527" i="6"/>
  <c r="L2523" i="6"/>
  <c r="L2519" i="6"/>
  <c r="L2515" i="6"/>
  <c r="L2511" i="6"/>
  <c r="L2507" i="6"/>
  <c r="L2503" i="6"/>
  <c r="L2499" i="6"/>
  <c r="L2495" i="6"/>
  <c r="L2491" i="6"/>
  <c r="L2487" i="6"/>
  <c r="L2483" i="6"/>
  <c r="L2479" i="6"/>
  <c r="L2475" i="6"/>
  <c r="L2471" i="6"/>
  <c r="L2467" i="6"/>
  <c r="L2463" i="6"/>
  <c r="L2459" i="6"/>
  <c r="L2455" i="6"/>
  <c r="L2451" i="6"/>
  <c r="L2447" i="6"/>
  <c r="L2443" i="6"/>
  <c r="L2439" i="6"/>
  <c r="L2435" i="6"/>
  <c r="L2431" i="6"/>
  <c r="L2427" i="6"/>
  <c r="L2423" i="6"/>
  <c r="L2419" i="6"/>
  <c r="L2415" i="6"/>
  <c r="L2411" i="6"/>
  <c r="L2407" i="6"/>
  <c r="L2403" i="6"/>
  <c r="L2399" i="6"/>
  <c r="L2395" i="6"/>
  <c r="L2391" i="6"/>
  <c r="L2387" i="6"/>
  <c r="L2383" i="6"/>
  <c r="L2379" i="6"/>
  <c r="L2375" i="6"/>
  <c r="L2371" i="6"/>
  <c r="L2367" i="6"/>
  <c r="L2363" i="6"/>
  <c r="L2359" i="6"/>
  <c r="L2355" i="6"/>
  <c r="L2351" i="6"/>
  <c r="L2347" i="6"/>
  <c r="L2343" i="6"/>
  <c r="L2339" i="6"/>
  <c r="L2335" i="6"/>
  <c r="L2331" i="6"/>
  <c r="L2327" i="6"/>
  <c r="L2323" i="6"/>
  <c r="L2319" i="6"/>
  <c r="L2315" i="6"/>
  <c r="L2311" i="6"/>
  <c r="L2307" i="6"/>
  <c r="L2303" i="6"/>
  <c r="L2299" i="6"/>
  <c r="L2295" i="6"/>
  <c r="L2291" i="6"/>
  <c r="L2287" i="6"/>
  <c r="L2283" i="6"/>
  <c r="L2279" i="6"/>
  <c r="L2275" i="6"/>
  <c r="L2271" i="6"/>
  <c r="L2267" i="6"/>
  <c r="L2263" i="6"/>
  <c r="L2259" i="6"/>
  <c r="L2255" i="6"/>
  <c r="L2251" i="6"/>
  <c r="L2247" i="6"/>
  <c r="L2243" i="6"/>
  <c r="L2239" i="6"/>
  <c r="L2235" i="6"/>
  <c r="L2231" i="6"/>
  <c r="L2227" i="6"/>
  <c r="L2223" i="6"/>
  <c r="L2219" i="6"/>
  <c r="L2215" i="6"/>
  <c r="L2211" i="6"/>
  <c r="L2207" i="6"/>
  <c r="L2203" i="6"/>
  <c r="L2199" i="6"/>
  <c r="L2195" i="6"/>
  <c r="L2191" i="6"/>
  <c r="L2187" i="6"/>
  <c r="L2183" i="6"/>
  <c r="L2179" i="6"/>
  <c r="L2175" i="6"/>
  <c r="L2171" i="6"/>
  <c r="L2167" i="6"/>
  <c r="L2163" i="6"/>
  <c r="L2159" i="6"/>
  <c r="L2155" i="6"/>
  <c r="L2151" i="6"/>
  <c r="L2147" i="6"/>
  <c r="L2143" i="6"/>
  <c r="L2139" i="6"/>
  <c r="L2135" i="6"/>
  <c r="L2131" i="6"/>
  <c r="L2127" i="6"/>
  <c r="L2123" i="6"/>
  <c r="L2119" i="6"/>
  <c r="L2115" i="6"/>
  <c r="L2111" i="6"/>
  <c r="L2107" i="6"/>
  <c r="L2103" i="6"/>
  <c r="L2099" i="6"/>
  <c r="L2095" i="6"/>
  <c r="L2091" i="6"/>
  <c r="L2087" i="6"/>
  <c r="L2083" i="6"/>
  <c r="L2079" i="6"/>
  <c r="L2075" i="6"/>
  <c r="L2071" i="6"/>
  <c r="L2067" i="6"/>
  <c r="L2063" i="6"/>
  <c r="L2059" i="6"/>
  <c r="L2055" i="6"/>
  <c r="L2051" i="6"/>
  <c r="L2047" i="6"/>
  <c r="L2043" i="6"/>
  <c r="L2039" i="6"/>
  <c r="L2035" i="6"/>
  <c r="L2031" i="6"/>
  <c r="L2027" i="6"/>
  <c r="L2023" i="6"/>
  <c r="L2019" i="6"/>
  <c r="L2015" i="6"/>
  <c r="L2011" i="6"/>
  <c r="L2007" i="6"/>
  <c r="L2003" i="6"/>
  <c r="L1999" i="6"/>
  <c r="L1995" i="6"/>
  <c r="L1991" i="6"/>
  <c r="L1987" i="6"/>
  <c r="L1983" i="6"/>
  <c r="L1979" i="6"/>
  <c r="L1975" i="6"/>
  <c r="L1971" i="6"/>
  <c r="L1967" i="6"/>
  <c r="L1963" i="6"/>
  <c r="L1959" i="6"/>
  <c r="L1955" i="6"/>
  <c r="L1951" i="6"/>
  <c r="L1947" i="6"/>
  <c r="L1943" i="6"/>
  <c r="L1939" i="6"/>
  <c r="L1935" i="6"/>
  <c r="L1931" i="6"/>
  <c r="L1927" i="6"/>
  <c r="L1923" i="6"/>
  <c r="L1919" i="6"/>
  <c r="L1915" i="6"/>
  <c r="L1911" i="6"/>
  <c r="L1907" i="6"/>
  <c r="L1903" i="6"/>
  <c r="L1899" i="6"/>
  <c r="L1895" i="6"/>
  <c r="L1891" i="6"/>
  <c r="L1887" i="6"/>
  <c r="L1883" i="6"/>
  <c r="L1879" i="6"/>
  <c r="L1875" i="6"/>
  <c r="L1871" i="6"/>
  <c r="L1867" i="6"/>
  <c r="L1863" i="6"/>
  <c r="L1859" i="6"/>
  <c r="L1855" i="6"/>
  <c r="L1851" i="6"/>
  <c r="L1847" i="6"/>
  <c r="L1843" i="6"/>
  <c r="L1839" i="6"/>
  <c r="L1835" i="6"/>
  <c r="L1831" i="6"/>
  <c r="L1827" i="6"/>
  <c r="L1823" i="6"/>
  <c r="L1819" i="6"/>
  <c r="L1815" i="6"/>
  <c r="L1811" i="6"/>
  <c r="L1807" i="6"/>
  <c r="L1803" i="6"/>
  <c r="L1799" i="6"/>
  <c r="L1795" i="6"/>
  <c r="L1791" i="6"/>
  <c r="L1787" i="6"/>
  <c r="L1783" i="6"/>
  <c r="L1779" i="6"/>
  <c r="L1775" i="6"/>
  <c r="L1771" i="6"/>
  <c r="L1767" i="6"/>
  <c r="L1763" i="6"/>
  <c r="L1759" i="6"/>
  <c r="L1755" i="6"/>
  <c r="L1751" i="6"/>
  <c r="L1747" i="6"/>
  <c r="L1743" i="6"/>
  <c r="L1739" i="6"/>
  <c r="L1735" i="6"/>
  <c r="L1731" i="6"/>
  <c r="L1727" i="6"/>
  <c r="L1723" i="6"/>
  <c r="L1719" i="6"/>
  <c r="L1715" i="6"/>
  <c r="L1711" i="6"/>
  <c r="L1707" i="6"/>
  <c r="L1703" i="6"/>
  <c r="L1699" i="6"/>
  <c r="L1695" i="6"/>
  <c r="L1691" i="6"/>
  <c r="L1687" i="6"/>
  <c r="L1683" i="6"/>
  <c r="L1679" i="6"/>
  <c r="L1675" i="6"/>
  <c r="L1671" i="6"/>
  <c r="L1667" i="6"/>
  <c r="L1663" i="6"/>
  <c r="L1659" i="6"/>
  <c r="L1655" i="6"/>
  <c r="L1651" i="6"/>
  <c r="L1647" i="6"/>
  <c r="L1643" i="6"/>
  <c r="L1639" i="6"/>
  <c r="L1635" i="6"/>
  <c r="L1631" i="6"/>
  <c r="L1627" i="6"/>
  <c r="L1623" i="6"/>
  <c r="L1619" i="6"/>
  <c r="L1615" i="6"/>
  <c r="L1611" i="6"/>
  <c r="L1607" i="6"/>
  <c r="L1603" i="6"/>
  <c r="L1599" i="6"/>
  <c r="L1595" i="6"/>
  <c r="L1591" i="6"/>
  <c r="L1587" i="6"/>
  <c r="L1583" i="6"/>
  <c r="L1579" i="6"/>
  <c r="L1575" i="6"/>
  <c r="L1571" i="6"/>
  <c r="L1567" i="6"/>
  <c r="L1563" i="6"/>
  <c r="L1559" i="6"/>
  <c r="L1555" i="6"/>
  <c r="L1551" i="6"/>
  <c r="L1547" i="6"/>
  <c r="L1543" i="6"/>
  <c r="L1539" i="6"/>
  <c r="L1535" i="6"/>
  <c r="L1531" i="6"/>
  <c r="L1527" i="6"/>
  <c r="L1523" i="6"/>
  <c r="L1519" i="6"/>
  <c r="L1515" i="6"/>
  <c r="L1511" i="6"/>
  <c r="L1507" i="6"/>
  <c r="L1503" i="6"/>
  <c r="L1499" i="6"/>
  <c r="L1495" i="6"/>
  <c r="L1491" i="6"/>
  <c r="L1487" i="6"/>
  <c r="L1483" i="6"/>
  <c r="L1479" i="6"/>
  <c r="L1475" i="6"/>
  <c r="L1471" i="6"/>
  <c r="L1467" i="6"/>
  <c r="L1463" i="6"/>
  <c r="L1459" i="6"/>
  <c r="L1455" i="6"/>
  <c r="L1451" i="6"/>
  <c r="L1447" i="6"/>
  <c r="L1443" i="6"/>
  <c r="L1439" i="6"/>
  <c r="L1435" i="6"/>
  <c r="L1431" i="6"/>
  <c r="L1427" i="6"/>
  <c r="L1423" i="6"/>
  <c r="L1419" i="6"/>
  <c r="L1415" i="6"/>
  <c r="L1411" i="6"/>
  <c r="L1407" i="6"/>
  <c r="L1403" i="6"/>
  <c r="L1399" i="6"/>
  <c r="L1395" i="6"/>
  <c r="L1391" i="6"/>
  <c r="L1387" i="6"/>
  <c r="L1383" i="6"/>
  <c r="L1379" i="6"/>
  <c r="L1375" i="6"/>
  <c r="L1371" i="6"/>
  <c r="L1367" i="6"/>
  <c r="L1363" i="6"/>
  <c r="L1359" i="6"/>
  <c r="L1355" i="6"/>
  <c r="L1351" i="6"/>
  <c r="L1347" i="6"/>
  <c r="L1343" i="6"/>
  <c r="L1339" i="6"/>
  <c r="L1335" i="6"/>
  <c r="L1331" i="6"/>
  <c r="L1327" i="6"/>
  <c r="L1323" i="6"/>
  <c r="L1319" i="6"/>
  <c r="L1315" i="6"/>
  <c r="L1311" i="6"/>
  <c r="L1307" i="6"/>
  <c r="L1303" i="6"/>
  <c r="L1299" i="6"/>
  <c r="L1295" i="6"/>
  <c r="L1291" i="6"/>
  <c r="L1287" i="6"/>
  <c r="L1283" i="6"/>
  <c r="L1279" i="6"/>
  <c r="L1275" i="6"/>
  <c r="L1271" i="6"/>
  <c r="L1267" i="6"/>
  <c r="L1263" i="6"/>
  <c r="L1259" i="6"/>
  <c r="L1255" i="6"/>
  <c r="L1251" i="6"/>
  <c r="L1247" i="6"/>
  <c r="L1243" i="6"/>
  <c r="L1239" i="6"/>
  <c r="L1235" i="6"/>
  <c r="L1231" i="6"/>
  <c r="L1227" i="6"/>
  <c r="L1223" i="6"/>
  <c r="L1219" i="6"/>
  <c r="L1215" i="6"/>
  <c r="L1211" i="6"/>
  <c r="L1207" i="6"/>
  <c r="L1203" i="6"/>
  <c r="L1199" i="6"/>
  <c r="L1195" i="6"/>
  <c r="L1191" i="6"/>
  <c r="L1187" i="6"/>
  <c r="L1183" i="6"/>
  <c r="L1179" i="6"/>
  <c r="L1175" i="6"/>
  <c r="L1171" i="6"/>
  <c r="L1167" i="6"/>
  <c r="L1163" i="6"/>
  <c r="L1159" i="6"/>
  <c r="L1155" i="6"/>
  <c r="L1151" i="6"/>
  <c r="L1147" i="6"/>
  <c r="L1143" i="6"/>
  <c r="L1139" i="6"/>
  <c r="L1135" i="6"/>
  <c r="L1131" i="6"/>
  <c r="L1127" i="6"/>
  <c r="L1123" i="6"/>
  <c r="L1119" i="6"/>
  <c r="L1115" i="6"/>
  <c r="L1111" i="6"/>
  <c r="L1107" i="6"/>
  <c r="L1103" i="6"/>
  <c r="L1099" i="6"/>
  <c r="L1095" i="6"/>
  <c r="L1091" i="6"/>
  <c r="L1087" i="6"/>
  <c r="L1083" i="6"/>
  <c r="L1079" i="6"/>
  <c r="L1075" i="6"/>
  <c r="L1071" i="6"/>
  <c r="L1067" i="6"/>
  <c r="L1063" i="6"/>
  <c r="L1059" i="6"/>
  <c r="L1055" i="6"/>
  <c r="L1051" i="6"/>
  <c r="L1047" i="6"/>
  <c r="L1043" i="6"/>
  <c r="L1039" i="6"/>
  <c r="L1035" i="6"/>
  <c r="L1031" i="6"/>
  <c r="L1027" i="6"/>
  <c r="L1023" i="6"/>
  <c r="L1019" i="6"/>
  <c r="L1015" i="6"/>
  <c r="L1011" i="6"/>
  <c r="L1007" i="6"/>
  <c r="L1003" i="6"/>
  <c r="L999" i="6"/>
  <c r="L995" i="6"/>
  <c r="L991" i="6"/>
  <c r="L987" i="6"/>
  <c r="L983" i="6"/>
  <c r="L979" i="6"/>
  <c r="L975" i="6"/>
  <c r="L971" i="6"/>
  <c r="L967" i="6"/>
  <c r="L963" i="6"/>
  <c r="L959" i="6"/>
  <c r="L955" i="6"/>
  <c r="L951" i="6"/>
  <c r="L947" i="6"/>
  <c r="L943" i="6"/>
  <c r="L939" i="6"/>
  <c r="L935" i="6"/>
  <c r="L931" i="6"/>
  <c r="L927" i="6"/>
  <c r="L923" i="6"/>
  <c r="L919" i="6"/>
  <c r="L915" i="6"/>
  <c r="L911" i="6"/>
  <c r="L907" i="6"/>
  <c r="L903" i="6"/>
  <c r="L899" i="6"/>
  <c r="L895" i="6"/>
  <c r="L891" i="6"/>
  <c r="L887" i="6"/>
  <c r="L883" i="6"/>
  <c r="L879" i="6"/>
  <c r="L875" i="6"/>
  <c r="L871" i="6"/>
  <c r="L867" i="6"/>
  <c r="L863" i="6"/>
  <c r="L859" i="6"/>
  <c r="L855" i="6"/>
  <c r="L851" i="6"/>
  <c r="L847" i="6"/>
  <c r="L843" i="6"/>
  <c r="L839" i="6"/>
  <c r="L835" i="6"/>
  <c r="L12" i="6"/>
  <c r="L8" i="6"/>
  <c r="L4" i="6"/>
  <c r="L76" i="6"/>
  <c r="L72" i="6"/>
  <c r="L68" i="6"/>
  <c r="L64" i="6"/>
  <c r="L60" i="6"/>
  <c r="L56" i="6"/>
  <c r="L52" i="6"/>
  <c r="L48" i="6"/>
  <c r="L44" i="6"/>
  <c r="L40" i="6"/>
  <c r="L36" i="6"/>
  <c r="L32" i="6"/>
  <c r="L28" i="6"/>
  <c r="L24" i="6"/>
  <c r="L20" i="6"/>
  <c r="L16" i="6"/>
  <c r="L98" i="6"/>
  <c r="L94" i="6"/>
  <c r="L90" i="6"/>
  <c r="L86" i="6"/>
  <c r="L82" i="6"/>
  <c r="L3406" i="6"/>
  <c r="L3402" i="6"/>
  <c r="L3398" i="6"/>
  <c r="L3394" i="6"/>
  <c r="L3390" i="6"/>
  <c r="L3386" i="6"/>
  <c r="L3382" i="6"/>
  <c r="L3378" i="6"/>
  <c r="L3374" i="6"/>
  <c r="L3370" i="6"/>
  <c r="L3366" i="6"/>
  <c r="L3362" i="6"/>
  <c r="L3358" i="6"/>
  <c r="L3354" i="6"/>
  <c r="L3350" i="6"/>
  <c r="L3346" i="6"/>
  <c r="L3342" i="6"/>
  <c r="L3338" i="6"/>
  <c r="L3334" i="6"/>
  <c r="L3330" i="6"/>
  <c r="L3326" i="6"/>
  <c r="L3322" i="6"/>
  <c r="L3318" i="6"/>
  <c r="L3314" i="6"/>
  <c r="L3310" i="6"/>
  <c r="L3306" i="6"/>
  <c r="L3302" i="6"/>
  <c r="L3298" i="6"/>
  <c r="L3294" i="6"/>
  <c r="L3290" i="6"/>
  <c r="L3286" i="6"/>
  <c r="L3282" i="6"/>
  <c r="L3278" i="6"/>
  <c r="L3274" i="6"/>
  <c r="L3270" i="6"/>
  <c r="L3266" i="6"/>
  <c r="L3262" i="6"/>
  <c r="L3258" i="6"/>
  <c r="L3254" i="6"/>
  <c r="L3250" i="6"/>
  <c r="L3246" i="6"/>
  <c r="L3242" i="6"/>
  <c r="L3238" i="6"/>
  <c r="L3234" i="6"/>
  <c r="L3230" i="6"/>
  <c r="L3226" i="6"/>
  <c r="L3222" i="6"/>
  <c r="L3218" i="6"/>
  <c r="L3214" i="6"/>
  <c r="L3210" i="6"/>
  <c r="L3206" i="6"/>
  <c r="L3202" i="6"/>
  <c r="L3198" i="6"/>
  <c r="L3194" i="6"/>
  <c r="L3190" i="6"/>
  <c r="L3186" i="6"/>
  <c r="L3182" i="6"/>
  <c r="L3178" i="6"/>
  <c r="L3174" i="6"/>
  <c r="L3170" i="6"/>
  <c r="L3166" i="6"/>
  <c r="L3162" i="6"/>
  <c r="L3158" i="6"/>
  <c r="L3154" i="6"/>
  <c r="L3150" i="6"/>
  <c r="L3146" i="6"/>
  <c r="L3142" i="6"/>
  <c r="L3138" i="6"/>
  <c r="L3134" i="6"/>
  <c r="L3130" i="6"/>
  <c r="L3126" i="6"/>
  <c r="L3122" i="6"/>
  <c r="L3118" i="6"/>
  <c r="L3114" i="6"/>
  <c r="L3110" i="6"/>
  <c r="L3106" i="6"/>
  <c r="L3102" i="6"/>
  <c r="L3098" i="6"/>
  <c r="L3094" i="6"/>
  <c r="L3090" i="6"/>
  <c r="L3086" i="6"/>
  <c r="L3082" i="6"/>
  <c r="L3078" i="6"/>
  <c r="L3074" i="6"/>
  <c r="L3070" i="6"/>
  <c r="L3066" i="6"/>
  <c r="L3062" i="6"/>
  <c r="L3058" i="6"/>
  <c r="L3054" i="6"/>
  <c r="L3050" i="6"/>
  <c r="L3046" i="6"/>
  <c r="L3042" i="6"/>
  <c r="L3038" i="6"/>
  <c r="L3034" i="6"/>
  <c r="L3030" i="6"/>
  <c r="L3026" i="6"/>
  <c r="L3022" i="6"/>
  <c r="L3018" i="6"/>
  <c r="L3014" i="6"/>
  <c r="L3010" i="6"/>
  <c r="L3006" i="6"/>
  <c r="L3002" i="6"/>
  <c r="L2998" i="6"/>
  <c r="L2994" i="6"/>
  <c r="L2990" i="6"/>
  <c r="L2986" i="6"/>
  <c r="L2982" i="6"/>
  <c r="L2978" i="6"/>
  <c r="L2974" i="6"/>
  <c r="L2970" i="6"/>
  <c r="L2966" i="6"/>
  <c r="L2962" i="6"/>
  <c r="L2958" i="6"/>
  <c r="L2954" i="6"/>
  <c r="L2950" i="6"/>
  <c r="L2946" i="6"/>
  <c r="L2942" i="6"/>
  <c r="L2938" i="6"/>
  <c r="L2934" i="6"/>
  <c r="L2930" i="6"/>
  <c r="L2926" i="6"/>
  <c r="L2922" i="6"/>
  <c r="L2918" i="6"/>
  <c r="L2914" i="6"/>
  <c r="L2910" i="6"/>
  <c r="L2906" i="6"/>
  <c r="L2902" i="6"/>
  <c r="L2898" i="6"/>
  <c r="L2894" i="6"/>
  <c r="L2890" i="6"/>
  <c r="L2886" i="6"/>
  <c r="L2882" i="6"/>
  <c r="L2878" i="6"/>
  <c r="L2874" i="6"/>
  <c r="L2870" i="6"/>
  <c r="L2866" i="6"/>
  <c r="L2862" i="6"/>
  <c r="L2858" i="6"/>
  <c r="L2854" i="6"/>
  <c r="L2850" i="6"/>
  <c r="L2846" i="6"/>
  <c r="L2842" i="6"/>
  <c r="L2838" i="6"/>
  <c r="L2834" i="6"/>
  <c r="L2830" i="6"/>
  <c r="L2826" i="6"/>
  <c r="L2822" i="6"/>
  <c r="L2818" i="6"/>
  <c r="L2814" i="6"/>
  <c r="L2810" i="6"/>
  <c r="L2806" i="6"/>
  <c r="L2802" i="6"/>
  <c r="L2798" i="6"/>
  <c r="L2794" i="6"/>
  <c r="L2790" i="6"/>
  <c r="L2786" i="6"/>
  <c r="L2782" i="6"/>
  <c r="L2778" i="6"/>
  <c r="L2774" i="6"/>
  <c r="L2770" i="6"/>
  <c r="L2766" i="6"/>
  <c r="L2762" i="6"/>
  <c r="L2758" i="6"/>
  <c r="L2754" i="6"/>
  <c r="L2750" i="6"/>
  <c r="L2746" i="6"/>
  <c r="L2742" i="6"/>
  <c r="L2738" i="6"/>
  <c r="L2734" i="6"/>
  <c r="L2730" i="6"/>
  <c r="L2726" i="6"/>
  <c r="L2722" i="6"/>
  <c r="L2718" i="6"/>
  <c r="L2714" i="6"/>
  <c r="L2710" i="6"/>
  <c r="L2706" i="6"/>
  <c r="L2702" i="6"/>
  <c r="L2698" i="6"/>
  <c r="L2694" i="6"/>
  <c r="L2690" i="6"/>
  <c r="L2686" i="6"/>
  <c r="L2682" i="6"/>
  <c r="L2678" i="6"/>
  <c r="L2674" i="6"/>
  <c r="L2670" i="6"/>
  <c r="L2666" i="6"/>
  <c r="L2662" i="6"/>
  <c r="L2658" i="6"/>
  <c r="L2654" i="6"/>
  <c r="L2650" i="6"/>
  <c r="L2646" i="6"/>
  <c r="L2642" i="6"/>
  <c r="L2638" i="6"/>
  <c r="L2634" i="6"/>
  <c r="L2630" i="6"/>
  <c r="L2626" i="6"/>
  <c r="L2622" i="6"/>
  <c r="L2618" i="6"/>
  <c r="L2614" i="6"/>
  <c r="L2610" i="6"/>
  <c r="L2606" i="6"/>
  <c r="L2602" i="6"/>
  <c r="L2598" i="6"/>
  <c r="L2594" i="6"/>
  <c r="L2590" i="6"/>
  <c r="L2586" i="6"/>
  <c r="L2582" i="6"/>
  <c r="L2578" i="6"/>
  <c r="L2574" i="6"/>
  <c r="L2570" i="6"/>
  <c r="L2566" i="6"/>
  <c r="L2562" i="6"/>
  <c r="L2558" i="6"/>
  <c r="L2554" i="6"/>
  <c r="L2550" i="6"/>
  <c r="L2546" i="6"/>
  <c r="L2542" i="6"/>
  <c r="L2538" i="6"/>
  <c r="L2534" i="6"/>
  <c r="L2530" i="6"/>
  <c r="L2526" i="6"/>
  <c r="L2522" i="6"/>
  <c r="L2518" i="6"/>
  <c r="L2514" i="6"/>
  <c r="L2510" i="6"/>
  <c r="L2506" i="6"/>
  <c r="L2502" i="6"/>
  <c r="L2498" i="6"/>
  <c r="L2494" i="6"/>
  <c r="L2490" i="6"/>
  <c r="L2486" i="6"/>
  <c r="L2482" i="6"/>
  <c r="L2478" i="6"/>
  <c r="L2474" i="6"/>
  <c r="L2470" i="6"/>
  <c r="L2466" i="6"/>
  <c r="L2462" i="6"/>
  <c r="L2458" i="6"/>
  <c r="L2454" i="6"/>
  <c r="L2450" i="6"/>
  <c r="L2446" i="6"/>
  <c r="L2442" i="6"/>
  <c r="L2438" i="6"/>
  <c r="L2434" i="6"/>
  <c r="L2430" i="6"/>
  <c r="L2426" i="6"/>
  <c r="L2422" i="6"/>
  <c r="L2418" i="6"/>
  <c r="L2414" i="6"/>
  <c r="L2410" i="6"/>
  <c r="L2406" i="6"/>
  <c r="L2402" i="6"/>
  <c r="L2398" i="6"/>
  <c r="L2394" i="6"/>
  <c r="L2390" i="6"/>
  <c r="L2386" i="6"/>
  <c r="L2382" i="6"/>
  <c r="L2378" i="6"/>
  <c r="L2374" i="6"/>
  <c r="L2370" i="6"/>
  <c r="L2366" i="6"/>
  <c r="L2362" i="6"/>
  <c r="L2358" i="6"/>
  <c r="L2354" i="6"/>
  <c r="L2350" i="6"/>
  <c r="L2346" i="6"/>
  <c r="L2342" i="6"/>
  <c r="L2338" i="6"/>
  <c r="L2334" i="6"/>
  <c r="L2330" i="6"/>
  <c r="L2326" i="6"/>
  <c r="L2322" i="6"/>
  <c r="L2318" i="6"/>
  <c r="L2314" i="6"/>
  <c r="L2310" i="6"/>
  <c r="L2306" i="6"/>
  <c r="L2302" i="6"/>
  <c r="L2298" i="6"/>
  <c r="L2294" i="6"/>
  <c r="L2290" i="6"/>
  <c r="L2286" i="6"/>
  <c r="L2282" i="6"/>
  <c r="L2278" i="6"/>
  <c r="L2274" i="6"/>
  <c r="L2270" i="6"/>
  <c r="L2266" i="6"/>
  <c r="L2262" i="6"/>
  <c r="L2258" i="6"/>
  <c r="L2254" i="6"/>
  <c r="L2250" i="6"/>
  <c r="L2246" i="6"/>
  <c r="L2242" i="6"/>
  <c r="L2238" i="6"/>
  <c r="L2234" i="6"/>
  <c r="L2230" i="6"/>
  <c r="L2226" i="6"/>
  <c r="L2222" i="6"/>
  <c r="L2218" i="6"/>
  <c r="L2214" i="6"/>
  <c r="L2210" i="6"/>
  <c r="L2206" i="6"/>
  <c r="L2202" i="6"/>
  <c r="L2198" i="6"/>
  <c r="L2194" i="6"/>
  <c r="L2190" i="6"/>
  <c r="L2186" i="6"/>
  <c r="L2182" i="6"/>
  <c r="L2178" i="6"/>
  <c r="L2174" i="6"/>
  <c r="L2170" i="6"/>
  <c r="L2166" i="6"/>
  <c r="L2162" i="6"/>
  <c r="L2158" i="6"/>
  <c r="L2154" i="6"/>
  <c r="L2150" i="6"/>
  <c r="L2146" i="6"/>
  <c r="L2142" i="6"/>
  <c r="L2138" i="6"/>
  <c r="L2134" i="6"/>
  <c r="L2130" i="6"/>
  <c r="L2126" i="6"/>
  <c r="L2122" i="6"/>
  <c r="L2118" i="6"/>
  <c r="L2114" i="6"/>
  <c r="L2110" i="6"/>
  <c r="L2106" i="6"/>
  <c r="L2102" i="6"/>
  <c r="L2098" i="6"/>
  <c r="L2094" i="6"/>
  <c r="L2090" i="6"/>
  <c r="L2086" i="6"/>
  <c r="L2082" i="6"/>
  <c r="L2078" i="6"/>
  <c r="L2074" i="6"/>
  <c r="L2070" i="6"/>
  <c r="L2066" i="6"/>
  <c r="L2062" i="6"/>
  <c r="L2058" i="6"/>
  <c r="L2054" i="6"/>
  <c r="L2050" i="6"/>
  <c r="L2046" i="6"/>
  <c r="L2042" i="6"/>
  <c r="L2038" i="6"/>
  <c r="L2034" i="6"/>
  <c r="L2030" i="6"/>
  <c r="L2026" i="6"/>
  <c r="L2022" i="6"/>
  <c r="L2018" i="6"/>
  <c r="L2014" i="6"/>
  <c r="L2010" i="6"/>
  <c r="L2006" i="6"/>
  <c r="L2002" i="6"/>
  <c r="L1998" i="6"/>
  <c r="L1994" i="6"/>
  <c r="L1990" i="6"/>
  <c r="L1986" i="6"/>
  <c r="L1982" i="6"/>
  <c r="L1978" i="6"/>
  <c r="L1974" i="6"/>
  <c r="L1970" i="6"/>
  <c r="L1966" i="6"/>
  <c r="L1962" i="6"/>
  <c r="L1958" i="6"/>
  <c r="L1954" i="6"/>
  <c r="L1950" i="6"/>
  <c r="L1946" i="6"/>
  <c r="L1942" i="6"/>
  <c r="L1938" i="6"/>
  <c r="L1934" i="6"/>
  <c r="L1930" i="6"/>
  <c r="L1926" i="6"/>
  <c r="L1922" i="6"/>
  <c r="L1918" i="6"/>
  <c r="L1914" i="6"/>
  <c r="L1910" i="6"/>
  <c r="L1906" i="6"/>
  <c r="L1902" i="6"/>
  <c r="L1898" i="6"/>
  <c r="L1894" i="6"/>
  <c r="L1890" i="6"/>
  <c r="L1886" i="6"/>
  <c r="L1882" i="6"/>
  <c r="L1878" i="6"/>
  <c r="L1874" i="6"/>
  <c r="L1870" i="6"/>
  <c r="L1866" i="6"/>
  <c r="L1862" i="6"/>
  <c r="L1858" i="6"/>
  <c r="L1854" i="6"/>
  <c r="L1850" i="6"/>
  <c r="L1846" i="6"/>
  <c r="L1842" i="6"/>
  <c r="L1838" i="6"/>
  <c r="L1834" i="6"/>
  <c r="L1830" i="6"/>
  <c r="L1826" i="6"/>
  <c r="L1822" i="6"/>
  <c r="L1818" i="6"/>
  <c r="L1814" i="6"/>
  <c r="L1810" i="6"/>
  <c r="L1806" i="6"/>
  <c r="L1802" i="6"/>
  <c r="L1798" i="6"/>
  <c r="L1794" i="6"/>
  <c r="L1790" i="6"/>
  <c r="L1786" i="6"/>
  <c r="L1782" i="6"/>
  <c r="L1778" i="6"/>
  <c r="L1774" i="6"/>
  <c r="L1770" i="6"/>
  <c r="L1766" i="6"/>
  <c r="L1762" i="6"/>
  <c r="L1758" i="6"/>
  <c r="L1754" i="6"/>
  <c r="L1750" i="6"/>
  <c r="L1746" i="6"/>
  <c r="L1742" i="6"/>
  <c r="L1738" i="6"/>
  <c r="L1734" i="6"/>
  <c r="L1730" i="6"/>
  <c r="L1726" i="6"/>
  <c r="L1722" i="6"/>
  <c r="L1718" i="6"/>
  <c r="L1714" i="6"/>
  <c r="L1710" i="6"/>
  <c r="L1706" i="6"/>
  <c r="L1702" i="6"/>
  <c r="L1698" i="6"/>
  <c r="L1694" i="6"/>
  <c r="L1690" i="6"/>
  <c r="L1686" i="6"/>
  <c r="L1682" i="6"/>
  <c r="L1678" i="6"/>
  <c r="L1674" i="6"/>
  <c r="L1670" i="6"/>
  <c r="L1666" i="6"/>
  <c r="L1662" i="6"/>
  <c r="L1658" i="6"/>
  <c r="L1654" i="6"/>
  <c r="L1650" i="6"/>
  <c r="L1646" i="6"/>
  <c r="L1642" i="6"/>
  <c r="L1638" i="6"/>
  <c r="L1634" i="6"/>
  <c r="L1630" i="6"/>
  <c r="L1626" i="6"/>
  <c r="L1622" i="6"/>
  <c r="L1618" i="6"/>
  <c r="L1614" i="6"/>
  <c r="L1610" i="6"/>
  <c r="L1606" i="6"/>
  <c r="L1602" i="6"/>
  <c r="L1598" i="6"/>
  <c r="L1594" i="6"/>
  <c r="L1590" i="6"/>
  <c r="L1586" i="6"/>
  <c r="L1582" i="6"/>
  <c r="L1578" i="6"/>
  <c r="L1574" i="6"/>
  <c r="L1570" i="6"/>
  <c r="L1566" i="6"/>
  <c r="L1562" i="6"/>
  <c r="L1558" i="6"/>
  <c r="L1554" i="6"/>
  <c r="L1550" i="6"/>
  <c r="L1546" i="6"/>
  <c r="L1542" i="6"/>
  <c r="L1538" i="6"/>
  <c r="L1534" i="6"/>
  <c r="L1530" i="6"/>
  <c r="L1526" i="6"/>
  <c r="L1522" i="6"/>
  <c r="L1518" i="6"/>
  <c r="L1514" i="6"/>
  <c r="L1510" i="6"/>
  <c r="L1506" i="6"/>
  <c r="L1502" i="6"/>
  <c r="L1498" i="6"/>
  <c r="L1494" i="6"/>
  <c r="L1490" i="6"/>
  <c r="L1486" i="6"/>
  <c r="L1482" i="6"/>
  <c r="L1478" i="6"/>
  <c r="L1474" i="6"/>
  <c r="L1470" i="6"/>
  <c r="L1466" i="6"/>
  <c r="L1462" i="6"/>
  <c r="L1458" i="6"/>
  <c r="L1454" i="6"/>
  <c r="L1450" i="6"/>
  <c r="L1446" i="6"/>
  <c r="L1442" i="6"/>
  <c r="L1438" i="6"/>
  <c r="L1434" i="6"/>
  <c r="L1430" i="6"/>
  <c r="L1426" i="6"/>
  <c r="L1422" i="6"/>
  <c r="L1418" i="6"/>
  <c r="L1414" i="6"/>
  <c r="L1410" i="6"/>
  <c r="L1406" i="6"/>
  <c r="L1402" i="6"/>
  <c r="L1398" i="6"/>
  <c r="L1394" i="6"/>
  <c r="L1390" i="6"/>
  <c r="L1386" i="6"/>
  <c r="L1382" i="6"/>
  <c r="L1378" i="6"/>
  <c r="L1374" i="6"/>
  <c r="L1370" i="6"/>
  <c r="L1366" i="6"/>
  <c r="L1362" i="6"/>
  <c r="L1358" i="6"/>
  <c r="L1354" i="6"/>
  <c r="L1350" i="6"/>
  <c r="L1346" i="6"/>
  <c r="L1342" i="6"/>
  <c r="L1338" i="6"/>
  <c r="L1334" i="6"/>
  <c r="L1330" i="6"/>
  <c r="L1326" i="6"/>
  <c r="L1322" i="6"/>
  <c r="L1318" i="6"/>
  <c r="L1314" i="6"/>
  <c r="L1310" i="6"/>
  <c r="L1306" i="6"/>
  <c r="L1302" i="6"/>
  <c r="L1298" i="6"/>
  <c r="L1294" i="6"/>
  <c r="L1290" i="6"/>
  <c r="L1286" i="6"/>
  <c r="L1282" i="6"/>
  <c r="L1278" i="6"/>
  <c r="L1274" i="6"/>
  <c r="L1270" i="6"/>
  <c r="L1266" i="6"/>
  <c r="L1262" i="6"/>
  <c r="L1258" i="6"/>
  <c r="L1254" i="6"/>
  <c r="L1250" i="6"/>
  <c r="L1246" i="6"/>
  <c r="L1242" i="6"/>
  <c r="L1238" i="6"/>
  <c r="L1234" i="6"/>
  <c r="L1230" i="6"/>
  <c r="L1226" i="6"/>
  <c r="L1222" i="6"/>
  <c r="L1218" i="6"/>
  <c r="L1214" i="6"/>
  <c r="L1210" i="6"/>
  <c r="L1206" i="6"/>
  <c r="L1202" i="6"/>
  <c r="L11" i="6"/>
  <c r="L7" i="6"/>
  <c r="L3" i="6"/>
  <c r="L75" i="6"/>
  <c r="L71" i="6"/>
  <c r="L67" i="6"/>
  <c r="L63" i="6"/>
  <c r="L59" i="6"/>
  <c r="L55" i="6"/>
  <c r="L51" i="6"/>
  <c r="L47" i="6"/>
  <c r="L43" i="6"/>
  <c r="L39" i="6"/>
  <c r="L35" i="6"/>
  <c r="L27" i="6"/>
  <c r="L23" i="6"/>
  <c r="L19" i="6"/>
  <c r="L15" i="6"/>
  <c r="L97" i="6"/>
  <c r="L93" i="6"/>
  <c r="L89" i="6"/>
  <c r="L85" i="6"/>
  <c r="L3405" i="6"/>
  <c r="L3401" i="6"/>
  <c r="L3397" i="6"/>
  <c r="L3393" i="6"/>
  <c r="L3389" i="6"/>
  <c r="L3385" i="6"/>
  <c r="L3381" i="6"/>
  <c r="L3377" i="6"/>
  <c r="L3373" i="6"/>
  <c r="L3369" i="6"/>
  <c r="L3365" i="6"/>
  <c r="L3361" i="6"/>
  <c r="L3357" i="6"/>
  <c r="L3353" i="6"/>
  <c r="L3349" i="6"/>
  <c r="L3345" i="6"/>
  <c r="L3341" i="6"/>
  <c r="L3337" i="6"/>
  <c r="L3333" i="6"/>
  <c r="L3329" i="6"/>
  <c r="L3325" i="6"/>
  <c r="L3321" i="6"/>
  <c r="L3317" i="6"/>
  <c r="L3313" i="6"/>
  <c r="L3309" i="6"/>
  <c r="L3305" i="6"/>
  <c r="L3301" i="6"/>
  <c r="L3297" i="6"/>
  <c r="L3293" i="6"/>
  <c r="L3289" i="6"/>
  <c r="L3285" i="6"/>
  <c r="L3281" i="6"/>
  <c r="L3277" i="6"/>
  <c r="L3273" i="6"/>
  <c r="L3269" i="6"/>
  <c r="L3265" i="6"/>
  <c r="L3261" i="6"/>
  <c r="L3257" i="6"/>
  <c r="L3253" i="6"/>
  <c r="L3249" i="6"/>
  <c r="L3245" i="6"/>
  <c r="L3241" i="6"/>
  <c r="L3237" i="6"/>
  <c r="L3233" i="6"/>
  <c r="L3229" i="6"/>
  <c r="L3225" i="6"/>
  <c r="L3221" i="6"/>
  <c r="L3217" i="6"/>
  <c r="L3213" i="6"/>
  <c r="L3209" i="6"/>
  <c r="L3205" i="6"/>
  <c r="L3201" i="6"/>
  <c r="L3197" i="6"/>
  <c r="L3193" i="6"/>
  <c r="L3189" i="6"/>
  <c r="L3185" i="6"/>
  <c r="L3181" i="6"/>
  <c r="L3177" i="6"/>
  <c r="L3173" i="6"/>
  <c r="L3169" i="6"/>
  <c r="L3165" i="6"/>
  <c r="L3161" i="6"/>
  <c r="L3157" i="6"/>
  <c r="L3153" i="6"/>
  <c r="L3149" i="6"/>
  <c r="L3145" i="6"/>
  <c r="L3141" i="6"/>
  <c r="L3137" i="6"/>
  <c r="L3133" i="6"/>
  <c r="L3129" i="6"/>
  <c r="L3125" i="6"/>
  <c r="L3121" i="6"/>
  <c r="L3117" i="6"/>
  <c r="L3113" i="6"/>
  <c r="L3109" i="6"/>
  <c r="L3105" i="6"/>
  <c r="L3101" i="6"/>
  <c r="L3097" i="6"/>
  <c r="L3093" i="6"/>
  <c r="L3089" i="6"/>
  <c r="L3085" i="6"/>
  <c r="L3081" i="6"/>
  <c r="L3077" i="6"/>
  <c r="L3073" i="6"/>
  <c r="L3069" i="6"/>
  <c r="L3065" i="6"/>
  <c r="L3061" i="6"/>
  <c r="L3057" i="6"/>
  <c r="L3053" i="6"/>
  <c r="L3049" i="6"/>
  <c r="L3045" i="6"/>
  <c r="L3041" i="6"/>
  <c r="L3037" i="6"/>
  <c r="L3033" i="6"/>
  <c r="L3029" i="6"/>
  <c r="L3025" i="6"/>
  <c r="L3021" i="6"/>
  <c r="L3017" i="6"/>
  <c r="L3013" i="6"/>
  <c r="L3009" i="6"/>
  <c r="L3005" i="6"/>
  <c r="L3001" i="6"/>
  <c r="L2997" i="6"/>
  <c r="L2993" i="6"/>
  <c r="L2989" i="6"/>
  <c r="L2985" i="6"/>
  <c r="L2981" i="6"/>
  <c r="L2977" i="6"/>
  <c r="L2973" i="6"/>
  <c r="L2969" i="6"/>
  <c r="L2965" i="6"/>
  <c r="L2961" i="6"/>
  <c r="L2957" i="6"/>
  <c r="L2953" i="6"/>
  <c r="L2949" i="6"/>
  <c r="L2945" i="6"/>
  <c r="L2941" i="6"/>
  <c r="L2937" i="6"/>
  <c r="L2933" i="6"/>
  <c r="L2929" i="6"/>
  <c r="L2925" i="6"/>
  <c r="L2921" i="6"/>
  <c r="L2917" i="6"/>
  <c r="L2913" i="6"/>
  <c r="L2909" i="6"/>
  <c r="L2905" i="6"/>
  <c r="L2901" i="6"/>
  <c r="L2897" i="6"/>
  <c r="L2893" i="6"/>
  <c r="L2889" i="6"/>
  <c r="L2885" i="6"/>
  <c r="L2881" i="6"/>
  <c r="L2877" i="6"/>
  <c r="L2873" i="6"/>
  <c r="L2869" i="6"/>
  <c r="L2865" i="6"/>
  <c r="L2861" i="6"/>
  <c r="L2857" i="6"/>
  <c r="L2853" i="6"/>
  <c r="L2849" i="6"/>
  <c r="L2845" i="6"/>
  <c r="L2841" i="6"/>
  <c r="L2837" i="6"/>
  <c r="L2833" i="6"/>
  <c r="L2829" i="6"/>
  <c r="L2825" i="6"/>
  <c r="L2821" i="6"/>
  <c r="L2817" i="6"/>
  <c r="L2813" i="6"/>
  <c r="L2809" i="6"/>
  <c r="L2805" i="6"/>
  <c r="L2801" i="6"/>
  <c r="L2797" i="6"/>
  <c r="L2793" i="6"/>
  <c r="L2789" i="6"/>
  <c r="L2785" i="6"/>
  <c r="L2781" i="6"/>
  <c r="L2777" i="6"/>
  <c r="L2773" i="6"/>
  <c r="L2769" i="6"/>
  <c r="L2765" i="6"/>
  <c r="L2761" i="6"/>
  <c r="L2757" i="6"/>
  <c r="L2753" i="6"/>
  <c r="L2749" i="6"/>
  <c r="L2745" i="6"/>
  <c r="L2741" i="6"/>
  <c r="L2737" i="6"/>
  <c r="L2733" i="6"/>
  <c r="L2729" i="6"/>
  <c r="L2725" i="6"/>
  <c r="L2721" i="6"/>
  <c r="L2717" i="6"/>
  <c r="L2713" i="6"/>
  <c r="L2709" i="6"/>
  <c r="L2705" i="6"/>
  <c r="L2701" i="6"/>
  <c r="L2697" i="6"/>
  <c r="L2693" i="6"/>
  <c r="L2689" i="6"/>
  <c r="L2685" i="6"/>
  <c r="L2681" i="6"/>
  <c r="L2677" i="6"/>
  <c r="L2673" i="6"/>
  <c r="L2669" i="6"/>
  <c r="L2665" i="6"/>
  <c r="L2661" i="6"/>
  <c r="L2657" i="6"/>
  <c r="L2653" i="6"/>
  <c r="L2649" i="6"/>
  <c r="L2645" i="6"/>
  <c r="L2641" i="6"/>
  <c r="L2637" i="6"/>
  <c r="L2633" i="6"/>
  <c r="L2629" i="6"/>
  <c r="L2625" i="6"/>
  <c r="L2621" i="6"/>
  <c r="L2617" i="6"/>
  <c r="L2613" i="6"/>
  <c r="L2609" i="6"/>
  <c r="L2605" i="6"/>
  <c r="L2601" i="6"/>
  <c r="L2597" i="6"/>
  <c r="L2593" i="6"/>
  <c r="L2589" i="6"/>
  <c r="L2585" i="6"/>
  <c r="L2581" i="6"/>
  <c r="L2577" i="6"/>
  <c r="L2573" i="6"/>
  <c r="L2569" i="6"/>
  <c r="L2565" i="6"/>
  <c r="L2561" i="6"/>
  <c r="L2557" i="6"/>
  <c r="L2553" i="6"/>
  <c r="L2549" i="6"/>
  <c r="L2545" i="6"/>
  <c r="L2541" i="6"/>
  <c r="L2537" i="6"/>
  <c r="L2533" i="6"/>
  <c r="L2529" i="6"/>
  <c r="L2525" i="6"/>
  <c r="L2521" i="6"/>
  <c r="L2517" i="6"/>
  <c r="L2513" i="6"/>
  <c r="L2509" i="6"/>
  <c r="L2505" i="6"/>
  <c r="L2501" i="6"/>
  <c r="L2497" i="6"/>
  <c r="L2493" i="6"/>
  <c r="L2489" i="6"/>
  <c r="L2485" i="6"/>
  <c r="L2481" i="6"/>
  <c r="L2477" i="6"/>
  <c r="L2473" i="6"/>
  <c r="L2469" i="6"/>
  <c r="L2465" i="6"/>
  <c r="L2461" i="6"/>
  <c r="L2457" i="6"/>
  <c r="L2453" i="6"/>
  <c r="L2449" i="6"/>
  <c r="L2445" i="6"/>
  <c r="L2441" i="6"/>
  <c r="L2437" i="6"/>
  <c r="L2433" i="6"/>
  <c r="L2429" i="6"/>
  <c r="L2425" i="6"/>
  <c r="L2421" i="6"/>
  <c r="L2417" i="6"/>
  <c r="L2413" i="6"/>
  <c r="L2409" i="6"/>
  <c r="L2405" i="6"/>
  <c r="L2401" i="6"/>
  <c r="L2397" i="6"/>
  <c r="L2393" i="6"/>
  <c r="L2389" i="6"/>
  <c r="L2385" i="6"/>
  <c r="L2381" i="6"/>
  <c r="L2377" i="6"/>
  <c r="L2373" i="6"/>
  <c r="L2369" i="6"/>
  <c r="L2365" i="6"/>
  <c r="L2361" i="6"/>
  <c r="L2357" i="6"/>
  <c r="L2353" i="6"/>
  <c r="L2349" i="6"/>
  <c r="L2345" i="6"/>
  <c r="L2341" i="6"/>
  <c r="L2337" i="6"/>
  <c r="L2333" i="6"/>
  <c r="L2329" i="6"/>
  <c r="L2325" i="6"/>
  <c r="L2321" i="6"/>
  <c r="L2317" i="6"/>
  <c r="L2313" i="6"/>
  <c r="L2309" i="6"/>
  <c r="L2305" i="6"/>
  <c r="L2301" i="6"/>
  <c r="L2297" i="6"/>
  <c r="L2293" i="6"/>
  <c r="L2289" i="6"/>
  <c r="L2285" i="6"/>
  <c r="L2281" i="6"/>
  <c r="L2277" i="6"/>
  <c r="L2273" i="6"/>
  <c r="L2269" i="6"/>
  <c r="L2265" i="6"/>
  <c r="L2261" i="6"/>
  <c r="L2257" i="6"/>
  <c r="L2253" i="6"/>
  <c r="L2249" i="6"/>
  <c r="L2245" i="6"/>
  <c r="L2241" i="6"/>
  <c r="L2237" i="6"/>
  <c r="L2233" i="6"/>
  <c r="L2229" i="6"/>
  <c r="L2225" i="6"/>
  <c r="L2221" i="6"/>
  <c r="L2217" i="6"/>
  <c r="L2213" i="6"/>
  <c r="L2209" i="6"/>
  <c r="L2205" i="6"/>
  <c r="L2201" i="6"/>
  <c r="L2197" i="6"/>
  <c r="L2193" i="6"/>
  <c r="L2189" i="6"/>
  <c r="L2185" i="6"/>
  <c r="L2181" i="6"/>
  <c r="L2177" i="6"/>
  <c r="L2173" i="6"/>
  <c r="L2169" i="6"/>
  <c r="L2165" i="6"/>
  <c r="L2161" i="6"/>
  <c r="L2157" i="6"/>
  <c r="L2153" i="6"/>
  <c r="L2149" i="6"/>
  <c r="L2145" i="6"/>
  <c r="L2141" i="6"/>
  <c r="L2137" i="6"/>
  <c r="L2133" i="6"/>
  <c r="L2129" i="6"/>
  <c r="L2125" i="6"/>
  <c r="L2121" i="6"/>
  <c r="L2117" i="6"/>
  <c r="L2113" i="6"/>
  <c r="L2109" i="6"/>
  <c r="L2105" i="6"/>
  <c r="L2101" i="6"/>
  <c r="L2097" i="6"/>
  <c r="L2093" i="6"/>
  <c r="L2089" i="6"/>
  <c r="L2085" i="6"/>
  <c r="L2081" i="6"/>
  <c r="L2077" i="6"/>
  <c r="L2073" i="6"/>
  <c r="L2069" i="6"/>
  <c r="L2065" i="6"/>
  <c r="L2061" i="6"/>
  <c r="L2057" i="6"/>
  <c r="L2053" i="6"/>
  <c r="L2049" i="6"/>
  <c r="L2045" i="6"/>
  <c r="L2041" i="6"/>
  <c r="L2037" i="6"/>
  <c r="L2033" i="6"/>
  <c r="L2029" i="6"/>
  <c r="L2025" i="6"/>
  <c r="L2021" i="6"/>
  <c r="L2017" i="6"/>
  <c r="L2013" i="6"/>
  <c r="L2009" i="6"/>
  <c r="L2005" i="6"/>
  <c r="L2001" i="6"/>
  <c r="L1997" i="6"/>
  <c r="L1993" i="6"/>
  <c r="L1989" i="6"/>
  <c r="L1985" i="6"/>
  <c r="L1981" i="6"/>
  <c r="L1977" i="6"/>
  <c r="L1973" i="6"/>
  <c r="L1969" i="6"/>
  <c r="L1965" i="6"/>
  <c r="L1961" i="6"/>
  <c r="L1957" i="6"/>
  <c r="L1953" i="6"/>
  <c r="L1949" i="6"/>
  <c r="L1945" i="6"/>
  <c r="L1941" i="6"/>
  <c r="L1937" i="6"/>
  <c r="L1933" i="6"/>
  <c r="L1929" i="6"/>
  <c r="L1925" i="6"/>
  <c r="L1921" i="6"/>
  <c r="L1917" i="6"/>
  <c r="L1913" i="6"/>
  <c r="L1909" i="6"/>
  <c r="L1905" i="6"/>
  <c r="L1901" i="6"/>
  <c r="L1897" i="6"/>
  <c r="L1893" i="6"/>
  <c r="L1889" i="6"/>
  <c r="L1885" i="6"/>
  <c r="L1881" i="6"/>
  <c r="L1877" i="6"/>
  <c r="L1873" i="6"/>
  <c r="L1869" i="6"/>
  <c r="L1865" i="6"/>
  <c r="L1861" i="6"/>
  <c r="L1857" i="6"/>
  <c r="L1853" i="6"/>
  <c r="L1849" i="6"/>
  <c r="L1845" i="6"/>
  <c r="L1841" i="6"/>
  <c r="L1837" i="6"/>
  <c r="L1833" i="6"/>
  <c r="L1829" i="6"/>
  <c r="L1825" i="6"/>
  <c r="L1821" i="6"/>
  <c r="L1817" i="6"/>
  <c r="L1813" i="6"/>
  <c r="L1809" i="6"/>
  <c r="L1805" i="6"/>
  <c r="L1801" i="6"/>
  <c r="L1797" i="6"/>
  <c r="L1793" i="6"/>
  <c r="L1789" i="6"/>
  <c r="L1785" i="6"/>
  <c r="L1781" i="6"/>
  <c r="L1777" i="6"/>
  <c r="L1773" i="6"/>
  <c r="L1769" i="6"/>
  <c r="L1765" i="6"/>
  <c r="L1761" i="6"/>
  <c r="L1757" i="6"/>
  <c r="L1753" i="6"/>
  <c r="L1749" i="6"/>
  <c r="L1745" i="6"/>
  <c r="L1741" i="6"/>
  <c r="L1737" i="6"/>
  <c r="L1733" i="6"/>
  <c r="L1729" i="6"/>
  <c r="L1725" i="6"/>
  <c r="L1721" i="6"/>
  <c r="L1717" i="6"/>
  <c r="L1713" i="6"/>
  <c r="L1709" i="6"/>
  <c r="L1705" i="6"/>
  <c r="L1701" i="6"/>
  <c r="L1697" i="6"/>
  <c r="L1693" i="6"/>
  <c r="L1689" i="6"/>
  <c r="L1685" i="6"/>
  <c r="L1681" i="6"/>
  <c r="L1677" i="6"/>
  <c r="L1673" i="6"/>
  <c r="L1669" i="6"/>
  <c r="L1665" i="6"/>
  <c r="L1661" i="6"/>
  <c r="L1657" i="6"/>
  <c r="L1653" i="6"/>
  <c r="L1649" i="6"/>
  <c r="L1645" i="6"/>
  <c r="L1641" i="6"/>
  <c r="L1637" i="6"/>
  <c r="L1633" i="6"/>
  <c r="L1629" i="6"/>
  <c r="L1625" i="6"/>
  <c r="L1621" i="6"/>
  <c r="L1617" i="6"/>
  <c r="L1613" i="6"/>
  <c r="L1609" i="6"/>
  <c r="L1605" i="6"/>
  <c r="L1601" i="6"/>
  <c r="L1597" i="6"/>
  <c r="L1593" i="6"/>
  <c r="L1589" i="6"/>
  <c r="L1585" i="6"/>
  <c r="L1581" i="6"/>
  <c r="L1577" i="6"/>
  <c r="L1573" i="6"/>
  <c r="L1569" i="6"/>
  <c r="L1565" i="6"/>
  <c r="L1561" i="6"/>
  <c r="L1557" i="6"/>
  <c r="L1553" i="6"/>
  <c r="L1549" i="6"/>
  <c r="L1545" i="6"/>
  <c r="L1541" i="6"/>
  <c r="L1537" i="6"/>
  <c r="L1533" i="6"/>
  <c r="L1529" i="6"/>
  <c r="L1525" i="6"/>
  <c r="L1521" i="6"/>
  <c r="L1517" i="6"/>
  <c r="L1513" i="6"/>
  <c r="L1509" i="6"/>
  <c r="L1505" i="6"/>
  <c r="L1501" i="6"/>
  <c r="L1497" i="6"/>
  <c r="L10" i="6"/>
  <c r="L6" i="6"/>
  <c r="L78" i="6"/>
  <c r="L74" i="6"/>
  <c r="L70" i="6"/>
  <c r="L66" i="6"/>
  <c r="L62" i="6"/>
  <c r="L58" i="6"/>
  <c r="L54" i="6"/>
  <c r="L50" i="6"/>
  <c r="L46" i="6"/>
  <c r="L42" i="6"/>
  <c r="L38" i="6"/>
  <c r="L34" i="6"/>
  <c r="L30" i="6"/>
  <c r="L26" i="6"/>
  <c r="L22" i="6"/>
  <c r="L18" i="6"/>
  <c r="L14" i="6"/>
  <c r="L96" i="6"/>
  <c r="L92" i="6"/>
  <c r="L88" i="6"/>
  <c r="L84" i="6"/>
  <c r="L80" i="6"/>
  <c r="L3404" i="6"/>
  <c r="L3400" i="6"/>
  <c r="L3396" i="6"/>
  <c r="L3392" i="6"/>
  <c r="L3388" i="6"/>
  <c r="L3384" i="6"/>
  <c r="L3380" i="6"/>
  <c r="L3376" i="6"/>
  <c r="L3372" i="6"/>
  <c r="L3368" i="6"/>
  <c r="L3364" i="6"/>
  <c r="L3360" i="6"/>
  <c r="L3356" i="6"/>
  <c r="L3352" i="6"/>
  <c r="L3348" i="6"/>
  <c r="L3344" i="6"/>
  <c r="L3340" i="6"/>
  <c r="L3336" i="6"/>
  <c r="L3332" i="6"/>
  <c r="L3328" i="6"/>
  <c r="L3324" i="6"/>
  <c r="L3320" i="6"/>
  <c r="L3316" i="6"/>
  <c r="L3312" i="6"/>
  <c r="L3308" i="6"/>
  <c r="L3304" i="6"/>
  <c r="L3300" i="6"/>
  <c r="L3296" i="6"/>
  <c r="L3292" i="6"/>
  <c r="L3288" i="6"/>
  <c r="L3284" i="6"/>
  <c r="L3280" i="6"/>
  <c r="L3276" i="6"/>
  <c r="L3272" i="6"/>
  <c r="L3268" i="6"/>
  <c r="L3264" i="6"/>
  <c r="L3260" i="6"/>
  <c r="L3256" i="6"/>
  <c r="L3252" i="6"/>
  <c r="L3248" i="6"/>
  <c r="L3244" i="6"/>
  <c r="L3240" i="6"/>
  <c r="L3236" i="6"/>
  <c r="L3232" i="6"/>
  <c r="L3228" i="6"/>
  <c r="L3224" i="6"/>
  <c r="L3220" i="6"/>
  <c r="L3216" i="6"/>
  <c r="L3212" i="6"/>
  <c r="L3208" i="6"/>
  <c r="L3204" i="6"/>
  <c r="L3200" i="6"/>
  <c r="L3196" i="6"/>
  <c r="L3192" i="6"/>
  <c r="L3188" i="6"/>
  <c r="L3184" i="6"/>
  <c r="L3180" i="6"/>
  <c r="L3176" i="6"/>
  <c r="L3172" i="6"/>
  <c r="L3168" i="6"/>
  <c r="L3164" i="6"/>
  <c r="L3160" i="6"/>
  <c r="L3156" i="6"/>
  <c r="L3152" i="6"/>
  <c r="L3148" i="6"/>
  <c r="L3144" i="6"/>
  <c r="L3140" i="6"/>
  <c r="L3136" i="6"/>
  <c r="L3132" i="6"/>
  <c r="L3128" i="6"/>
  <c r="L3124" i="6"/>
  <c r="L3120" i="6"/>
  <c r="L3116" i="6"/>
  <c r="L3112" i="6"/>
  <c r="L3108" i="6"/>
  <c r="L3104" i="6"/>
  <c r="L3100" i="6"/>
  <c r="L3096" i="6"/>
  <c r="L3092" i="6"/>
  <c r="L3088" i="6"/>
  <c r="L3084" i="6"/>
  <c r="L3080" i="6"/>
  <c r="L3076" i="6"/>
  <c r="L3072" i="6"/>
  <c r="L3068" i="6"/>
  <c r="L3064" i="6"/>
  <c r="L3060" i="6"/>
  <c r="L3056" i="6"/>
  <c r="L3052" i="6"/>
  <c r="L3048" i="6"/>
  <c r="L3044" i="6"/>
  <c r="L3040" i="6"/>
  <c r="L3036" i="6"/>
  <c r="L3032" i="6"/>
  <c r="L3028" i="6"/>
  <c r="L3024" i="6"/>
  <c r="L3020" i="6"/>
  <c r="L3016" i="6"/>
  <c r="L3012" i="6"/>
  <c r="L3008" i="6"/>
  <c r="L3004" i="6"/>
  <c r="L3000" i="6"/>
  <c r="L2996" i="6"/>
  <c r="L2992" i="6"/>
  <c r="L2988" i="6"/>
  <c r="L2984" i="6"/>
  <c r="L2980" i="6"/>
  <c r="L2976" i="6"/>
  <c r="L2972" i="6"/>
  <c r="L2968" i="6"/>
  <c r="L2964" i="6"/>
  <c r="L2960" i="6"/>
  <c r="L2956" i="6"/>
  <c r="L2952" i="6"/>
  <c r="L2948" i="6"/>
  <c r="L2944" i="6"/>
  <c r="L2940" i="6"/>
  <c r="L2936" i="6"/>
  <c r="L2932" i="6"/>
  <c r="L2928" i="6"/>
  <c r="L2924" i="6"/>
  <c r="L2920" i="6"/>
  <c r="L2916" i="6"/>
  <c r="L2912" i="6"/>
  <c r="L2908" i="6"/>
  <c r="L2904" i="6"/>
  <c r="L2900" i="6"/>
  <c r="L2896" i="6"/>
  <c r="L2892" i="6"/>
  <c r="L2888" i="6"/>
  <c r="L2884" i="6"/>
  <c r="L2880" i="6"/>
  <c r="L2876" i="6"/>
  <c r="L2872" i="6"/>
  <c r="L2868" i="6"/>
  <c r="L2864" i="6"/>
  <c r="L2860" i="6"/>
  <c r="L2856" i="6"/>
  <c r="L2852" i="6"/>
  <c r="L2848" i="6"/>
  <c r="L2844" i="6"/>
  <c r="L2840" i="6"/>
  <c r="L2836" i="6"/>
  <c r="L2832" i="6"/>
  <c r="L2828" i="6"/>
  <c r="L2824" i="6"/>
  <c r="L2820" i="6"/>
  <c r="L2816" i="6"/>
  <c r="L2812" i="6"/>
  <c r="L2808" i="6"/>
  <c r="L2804" i="6"/>
  <c r="L2800" i="6"/>
  <c r="L2796" i="6"/>
  <c r="L2792" i="6"/>
  <c r="L2788" i="6"/>
  <c r="L2784" i="6"/>
  <c r="L2780" i="6"/>
  <c r="L2776" i="6"/>
  <c r="L2772" i="6"/>
  <c r="L2768" i="6"/>
  <c r="L2764" i="6"/>
  <c r="L2760" i="6"/>
  <c r="L2756" i="6"/>
  <c r="L2752" i="6"/>
  <c r="L2748" i="6"/>
  <c r="L2744" i="6"/>
  <c r="L2740" i="6"/>
  <c r="L2736" i="6"/>
  <c r="L2732" i="6"/>
  <c r="L2728" i="6"/>
  <c r="L2724" i="6"/>
  <c r="L2720" i="6"/>
  <c r="L2716" i="6"/>
  <c r="L2712" i="6"/>
  <c r="L2708" i="6"/>
  <c r="L2704" i="6"/>
  <c r="L2700" i="6"/>
  <c r="L2696" i="6"/>
  <c r="L2692" i="6"/>
  <c r="L2688" i="6"/>
  <c r="L2684" i="6"/>
  <c r="L2680" i="6"/>
  <c r="L2676" i="6"/>
  <c r="L2672" i="6"/>
  <c r="L2668" i="6"/>
  <c r="L2664" i="6"/>
  <c r="L2660" i="6"/>
  <c r="L2656" i="6"/>
  <c r="L2652" i="6"/>
  <c r="L2648" i="6"/>
  <c r="L2644" i="6"/>
  <c r="L2640" i="6"/>
  <c r="L2636" i="6"/>
  <c r="L2632" i="6"/>
  <c r="L2628" i="6"/>
  <c r="L2624" i="6"/>
  <c r="L2620" i="6"/>
  <c r="L2616" i="6"/>
  <c r="L2612" i="6"/>
  <c r="L2608" i="6"/>
  <c r="L2604" i="6"/>
  <c r="L2600" i="6"/>
  <c r="L2596" i="6"/>
  <c r="L2592" i="6"/>
  <c r="L2588" i="6"/>
  <c r="L2584" i="6"/>
  <c r="L2580" i="6"/>
  <c r="L2576" i="6"/>
  <c r="L2572" i="6"/>
  <c r="L2568" i="6"/>
  <c r="L2564" i="6"/>
  <c r="L2560" i="6"/>
  <c r="L2556" i="6"/>
  <c r="L2552" i="6"/>
  <c r="L2548" i="6"/>
  <c r="L2544" i="6"/>
  <c r="L2540" i="6"/>
  <c r="L2536" i="6"/>
  <c r="L2532" i="6"/>
  <c r="L2528" i="6"/>
  <c r="L2524" i="6"/>
  <c r="L2520" i="6"/>
  <c r="L2516" i="6"/>
  <c r="L2512" i="6"/>
  <c r="L2508" i="6"/>
  <c r="L2504" i="6"/>
  <c r="L2500" i="6"/>
  <c r="L2496" i="6"/>
  <c r="L2492" i="6"/>
  <c r="L2488" i="6"/>
  <c r="L2484" i="6"/>
  <c r="L2480" i="6"/>
  <c r="L2476" i="6"/>
  <c r="L2472" i="6"/>
  <c r="L2468" i="6"/>
  <c r="L2464" i="6"/>
  <c r="L2460" i="6"/>
  <c r="L2456" i="6"/>
  <c r="L2452" i="6"/>
  <c r="L2448" i="6"/>
  <c r="L2444" i="6"/>
  <c r="L2440" i="6"/>
  <c r="L2436" i="6"/>
  <c r="L2432" i="6"/>
  <c r="L2428" i="6"/>
  <c r="L2424" i="6"/>
  <c r="L2420" i="6"/>
  <c r="L2416" i="6"/>
  <c r="L2412" i="6"/>
  <c r="L2408" i="6"/>
  <c r="L2404" i="6"/>
  <c r="L2400" i="6"/>
  <c r="L2396" i="6"/>
  <c r="L2392" i="6"/>
  <c r="L2388" i="6"/>
  <c r="L2384" i="6"/>
  <c r="L2380" i="6"/>
  <c r="L2376" i="6"/>
  <c r="L2372" i="6"/>
  <c r="L2368" i="6"/>
  <c r="L2364" i="6"/>
  <c r="L2360" i="6"/>
  <c r="L2356" i="6"/>
  <c r="L2352" i="6"/>
  <c r="L2348" i="6"/>
  <c r="L2344" i="6"/>
  <c r="L2340" i="6"/>
  <c r="L2336" i="6"/>
  <c r="L2332" i="6"/>
  <c r="L2328" i="6"/>
  <c r="L2324" i="6"/>
  <c r="L2320" i="6"/>
  <c r="L2316" i="6"/>
  <c r="L2312" i="6"/>
  <c r="L2308" i="6"/>
  <c r="L2304" i="6"/>
  <c r="L2300" i="6"/>
  <c r="L2296" i="6"/>
  <c r="L2292" i="6"/>
  <c r="L2288" i="6"/>
  <c r="L2284" i="6"/>
  <c r="L2280" i="6"/>
  <c r="L2276" i="6"/>
  <c r="L2272" i="6"/>
  <c r="L2268" i="6"/>
  <c r="L2264" i="6"/>
  <c r="L2260" i="6"/>
  <c r="L2256" i="6"/>
  <c r="L2252" i="6"/>
  <c r="L2248" i="6"/>
  <c r="L2244" i="6"/>
  <c r="L2240" i="6"/>
  <c r="L2236" i="6"/>
  <c r="L2232" i="6"/>
  <c r="L2228" i="6"/>
  <c r="L2224" i="6"/>
  <c r="L2220" i="6"/>
  <c r="L2216" i="6"/>
  <c r="L2212" i="6"/>
  <c r="L2208" i="6"/>
  <c r="L2204" i="6"/>
  <c r="L2200" i="6"/>
  <c r="L2196" i="6"/>
  <c r="L2192" i="6"/>
  <c r="L2188" i="6"/>
  <c r="L2184" i="6"/>
  <c r="L2180" i="6"/>
  <c r="L2176" i="6"/>
  <c r="L2172" i="6"/>
  <c r="L2168" i="6"/>
  <c r="L2164" i="6"/>
  <c r="L2160" i="6"/>
  <c r="L2156" i="6"/>
  <c r="L2152" i="6"/>
  <c r="L2148" i="6"/>
  <c r="L2144" i="6"/>
  <c r="L2140" i="6"/>
  <c r="L2136" i="6"/>
  <c r="L2132" i="6"/>
  <c r="L2128" i="6"/>
  <c r="L2124" i="6"/>
  <c r="L2120" i="6"/>
  <c r="L2116" i="6"/>
  <c r="L2112" i="6"/>
  <c r="L2108" i="6"/>
  <c r="L2104" i="6"/>
  <c r="L2100" i="6"/>
  <c r="L2096" i="6"/>
  <c r="L2092" i="6"/>
  <c r="L2088" i="6"/>
  <c r="L2084" i="6"/>
  <c r="L2080" i="6"/>
  <c r="L2076" i="6"/>
  <c r="L2072" i="6"/>
  <c r="L2068" i="6"/>
  <c r="L2064" i="6"/>
  <c r="L2060" i="6"/>
  <c r="L2056" i="6"/>
  <c r="L2052" i="6"/>
  <c r="L2048" i="6"/>
  <c r="L2044" i="6"/>
  <c r="L2040" i="6"/>
  <c r="L2036" i="6"/>
  <c r="L2032" i="6"/>
  <c r="L2028" i="6"/>
  <c r="L2024" i="6"/>
  <c r="L2020" i="6"/>
  <c r="L2016" i="6"/>
  <c r="L2012" i="6"/>
  <c r="L2008" i="6"/>
  <c r="L2004" i="6"/>
  <c r="L2000" i="6"/>
  <c r="L1996" i="6"/>
  <c r="L1992" i="6"/>
  <c r="L1988" i="6"/>
  <c r="L1984" i="6"/>
  <c r="L1980" i="6"/>
  <c r="L1976" i="6"/>
  <c r="L1972" i="6"/>
  <c r="L1968" i="6"/>
  <c r="L1964" i="6"/>
  <c r="L1960" i="6"/>
  <c r="L1956" i="6"/>
  <c r="L1952" i="6"/>
  <c r="L1948" i="6"/>
  <c r="L1944" i="6"/>
  <c r="L1940" i="6"/>
  <c r="L1936" i="6"/>
  <c r="L1932" i="6"/>
  <c r="L1928" i="6"/>
  <c r="L1924" i="6"/>
  <c r="L1920" i="6"/>
  <c r="L1916" i="6"/>
  <c r="L1912" i="6"/>
  <c r="L1908" i="6"/>
  <c r="L1904" i="6"/>
  <c r="L1900" i="6"/>
  <c r="L1896" i="6"/>
  <c r="L1892" i="6"/>
  <c r="L1888" i="6"/>
  <c r="L1884" i="6"/>
  <c r="L1880" i="6"/>
  <c r="L1876" i="6"/>
  <c r="L1872" i="6"/>
  <c r="L1868" i="6"/>
  <c r="L1864" i="6"/>
  <c r="L1860" i="6"/>
  <c r="L1856" i="6"/>
  <c r="L1852" i="6"/>
  <c r="L1848" i="6"/>
  <c r="L1844" i="6"/>
  <c r="L1840" i="6"/>
  <c r="L1836" i="6"/>
  <c r="L1832" i="6"/>
  <c r="L1828" i="6"/>
  <c r="L1824" i="6"/>
  <c r="L1820" i="6"/>
  <c r="L1816" i="6"/>
  <c r="L1812" i="6"/>
  <c r="L1808" i="6"/>
  <c r="L1804" i="6"/>
  <c r="L1800" i="6"/>
  <c r="L1796" i="6"/>
  <c r="L1792" i="6"/>
  <c r="L1788" i="6"/>
  <c r="L1784" i="6"/>
  <c r="L1780" i="6"/>
  <c r="L1776" i="6"/>
  <c r="L1772" i="6"/>
  <c r="L1768" i="6"/>
  <c r="L1764" i="6"/>
  <c r="L1760" i="6"/>
  <c r="L1756" i="6"/>
  <c r="L1752" i="6"/>
  <c r="L1748" i="6"/>
  <c r="L1744" i="6"/>
  <c r="L1740" i="6"/>
  <c r="L1736" i="6"/>
  <c r="L1732" i="6"/>
  <c r="L1728" i="6"/>
  <c r="L1724" i="6"/>
  <c r="L1720" i="6"/>
  <c r="L1716" i="6"/>
  <c r="L1712" i="6"/>
  <c r="L1708" i="6"/>
  <c r="L1704" i="6"/>
  <c r="L1700" i="6"/>
  <c r="L1696" i="6"/>
  <c r="L1692" i="6"/>
  <c r="L1688" i="6"/>
  <c r="L1684" i="6"/>
  <c r="L1680" i="6"/>
  <c r="L1676" i="6"/>
  <c r="L1672" i="6"/>
  <c r="L1668" i="6"/>
  <c r="L1664" i="6"/>
  <c r="L1660" i="6"/>
  <c r="L1656" i="6"/>
  <c r="L1652" i="6"/>
  <c r="L1648" i="6"/>
  <c r="L1644" i="6"/>
  <c r="L1640" i="6"/>
  <c r="L1636" i="6"/>
  <c r="L1632" i="6"/>
  <c r="L1628" i="6"/>
  <c r="L1624" i="6"/>
  <c r="L1620" i="6"/>
  <c r="L1616" i="6"/>
  <c r="L1612" i="6"/>
  <c r="L1608" i="6"/>
  <c r="L1604" i="6"/>
  <c r="L1600" i="6"/>
  <c r="L1596" i="6"/>
  <c r="L1592" i="6"/>
  <c r="L1588" i="6"/>
  <c r="L1584" i="6"/>
  <c r="L1580" i="6"/>
  <c r="L1576" i="6"/>
  <c r="L1572" i="6"/>
  <c r="L1568" i="6"/>
  <c r="L1564" i="6"/>
  <c r="L1560" i="6"/>
  <c r="L1556" i="6"/>
  <c r="L1552" i="6"/>
  <c r="L1548" i="6"/>
  <c r="L1544" i="6"/>
  <c r="L1540" i="6"/>
  <c r="L1536" i="6"/>
  <c r="L1532" i="6"/>
  <c r="L1528" i="6"/>
  <c r="L1524" i="6"/>
  <c r="L1520" i="6"/>
  <c r="L1516" i="6"/>
  <c r="L1512" i="6"/>
  <c r="L1508" i="6"/>
  <c r="L1504" i="6"/>
  <c r="L1500" i="6"/>
  <c r="L1496" i="6"/>
  <c r="L1492" i="6"/>
  <c r="L1488" i="6"/>
  <c r="L1484" i="6"/>
  <c r="L1480" i="6"/>
  <c r="L1476" i="6"/>
  <c r="L1472" i="6"/>
  <c r="L1468" i="6"/>
  <c r="L1464" i="6"/>
  <c r="L1460" i="6"/>
  <c r="L1456" i="6"/>
  <c r="L1452" i="6"/>
  <c r="L1493" i="6"/>
  <c r="L1489" i="6"/>
  <c r="L1485" i="6"/>
  <c r="L1481" i="6"/>
  <c r="L1477" i="6"/>
  <c r="L1473" i="6"/>
  <c r="L1469" i="6"/>
  <c r="L1465" i="6"/>
  <c r="L1461" i="6"/>
  <c r="L1457" i="6"/>
  <c r="L1453" i="6"/>
  <c r="L1449" i="6"/>
  <c r="L1445" i="6"/>
  <c r="L1441" i="6"/>
  <c r="L1437" i="6"/>
  <c r="L1448" i="6"/>
  <c r="L1444" i="6"/>
  <c r="L1440" i="6"/>
  <c r="L1436" i="6"/>
  <c r="L1432" i="6"/>
  <c r="L1428" i="6"/>
  <c r="L1424" i="6"/>
  <c r="L1420" i="6"/>
  <c r="L1416" i="6"/>
  <c r="L1412" i="6"/>
  <c r="L1408" i="6"/>
  <c r="L1404" i="6"/>
  <c r="L1400" i="6"/>
  <c r="L1396" i="6"/>
  <c r="L1392" i="6"/>
  <c r="L1388" i="6"/>
  <c r="L1384" i="6"/>
  <c r="L1380" i="6"/>
  <c r="L1376" i="6"/>
  <c r="L1372" i="6"/>
  <c r="L1368" i="6"/>
  <c r="L1364" i="6"/>
  <c r="L1360" i="6"/>
  <c r="L1356" i="6"/>
  <c r="L1352" i="6"/>
  <c r="L1348" i="6"/>
  <c r="L1344" i="6"/>
  <c r="L1340" i="6"/>
  <c r="L1336" i="6"/>
  <c r="L1332" i="6"/>
  <c r="L1328" i="6"/>
  <c r="L1324" i="6"/>
  <c r="L1320" i="6"/>
  <c r="L1316" i="6"/>
  <c r="L1312" i="6"/>
  <c r="L1308" i="6"/>
  <c r="L1304" i="6"/>
  <c r="L1300" i="6"/>
  <c r="L1296" i="6"/>
  <c r="L1292" i="6"/>
  <c r="L1288" i="6"/>
  <c r="L1284" i="6"/>
  <c r="L1280" i="6"/>
  <c r="L1276" i="6"/>
  <c r="L1272" i="6"/>
  <c r="L1268" i="6"/>
  <c r="L1264" i="6"/>
  <c r="L1260" i="6"/>
  <c r="L1256" i="6"/>
  <c r="L1252" i="6"/>
  <c r="L1248" i="6"/>
  <c r="L1244" i="6"/>
  <c r="L1240" i="6"/>
  <c r="L1236" i="6"/>
  <c r="L1232" i="6"/>
  <c r="L1228" i="6"/>
  <c r="L1224" i="6"/>
  <c r="L1220" i="6"/>
  <c r="L1216" i="6"/>
  <c r="L1212" i="6"/>
  <c r="L1208" i="6"/>
  <c r="L1204" i="6"/>
  <c r="L1200" i="6"/>
  <c r="L1196" i="6"/>
  <c r="L1192" i="6"/>
  <c r="L1188" i="6"/>
  <c r="L1184" i="6"/>
  <c r="L1180" i="6"/>
  <c r="L1176" i="6"/>
  <c r="L1172" i="6"/>
  <c r="L1168" i="6"/>
  <c r="L1164" i="6"/>
  <c r="L1160" i="6"/>
  <c r="L1156" i="6"/>
  <c r="L1152" i="6"/>
  <c r="L1148" i="6"/>
  <c r="L1144" i="6"/>
  <c r="L1140" i="6"/>
  <c r="L1136" i="6"/>
  <c r="L1132" i="6"/>
  <c r="L1128" i="6"/>
  <c r="L1124" i="6"/>
  <c r="L1120" i="6"/>
  <c r="L1116" i="6"/>
  <c r="L1112" i="6"/>
  <c r="L1108" i="6"/>
  <c r="L1104" i="6"/>
  <c r="L1100" i="6"/>
  <c r="L1096" i="6"/>
  <c r="L1092" i="6"/>
  <c r="L1088" i="6"/>
  <c r="L1084" i="6"/>
  <c r="L1080" i="6"/>
  <c r="L1076" i="6"/>
  <c r="L1072" i="6"/>
  <c r="L1068" i="6"/>
  <c r="L1064" i="6"/>
  <c r="L1060" i="6"/>
  <c r="L1056" i="6"/>
  <c r="L1052" i="6"/>
  <c r="L1048" i="6"/>
  <c r="L1044" i="6"/>
  <c r="L1040" i="6"/>
  <c r="L1036" i="6"/>
  <c r="L1032" i="6"/>
  <c r="L1028" i="6"/>
  <c r="L1024" i="6"/>
  <c r="L1020" i="6"/>
  <c r="L1016" i="6"/>
  <c r="L1012" i="6"/>
  <c r="L1008" i="6"/>
  <c r="L1004" i="6"/>
  <c r="L1000" i="6"/>
  <c r="L996" i="6"/>
  <c r="L992" i="6"/>
  <c r="L988" i="6"/>
  <c r="L984" i="6"/>
  <c r="L980" i="6"/>
  <c r="L976" i="6"/>
  <c r="L972" i="6"/>
  <c r="L968" i="6"/>
  <c r="L964" i="6"/>
  <c r="L960" i="6"/>
  <c r="L956" i="6"/>
  <c r="L952" i="6"/>
  <c r="L948" i="6"/>
  <c r="L944" i="6"/>
  <c r="L940" i="6"/>
  <c r="L936" i="6"/>
  <c r="L932" i="6"/>
  <c r="L928" i="6"/>
  <c r="L924" i="6"/>
  <c r="L920" i="6"/>
  <c r="L916" i="6"/>
  <c r="L912" i="6"/>
  <c r="L908" i="6"/>
  <c r="L904" i="6"/>
  <c r="L900" i="6"/>
  <c r="L896" i="6"/>
  <c r="L892" i="6"/>
  <c r="L888" i="6"/>
  <c r="L884" i="6"/>
  <c r="L880" i="6"/>
  <c r="L876" i="6"/>
  <c r="L872" i="6"/>
  <c r="L868" i="6"/>
  <c r="L864" i="6"/>
  <c r="L860" i="6"/>
  <c r="L856" i="6"/>
  <c r="L852" i="6"/>
  <c r="L848" i="6"/>
  <c r="L844" i="6"/>
  <c r="L840" i="6"/>
  <c r="L836" i="6"/>
  <c r="L832" i="6"/>
  <c r="L828" i="6"/>
  <c r="L824" i="6"/>
  <c r="L820" i="6"/>
  <c r="L816" i="6"/>
  <c r="L812" i="6"/>
  <c r="L808" i="6"/>
  <c r="L804" i="6"/>
  <c r="L800" i="6"/>
  <c r="L796" i="6"/>
  <c r="L792" i="6"/>
  <c r="L788" i="6"/>
  <c r="L784" i="6"/>
  <c r="L780" i="6"/>
  <c r="L776" i="6"/>
  <c r="L772" i="6"/>
  <c r="L768" i="6"/>
  <c r="L764" i="6"/>
  <c r="L760" i="6"/>
  <c r="L756" i="6"/>
  <c r="L752" i="6"/>
  <c r="L748" i="6"/>
  <c r="L744" i="6"/>
  <c r="L740" i="6"/>
  <c r="L736" i="6"/>
  <c r="L732" i="6"/>
  <c r="L728" i="6"/>
  <c r="L724" i="6"/>
  <c r="L720" i="6"/>
  <c r="L716" i="6"/>
  <c r="L712" i="6"/>
  <c r="L708" i="6"/>
  <c r="L704" i="6"/>
  <c r="L700" i="6"/>
  <c r="L696" i="6"/>
  <c r="L692" i="6"/>
  <c r="L688" i="6"/>
  <c r="L684" i="6"/>
  <c r="L680" i="6"/>
  <c r="L676" i="6"/>
  <c r="L672" i="6"/>
  <c r="L668" i="6"/>
  <c r="L664" i="6"/>
  <c r="L660" i="6"/>
  <c r="L656" i="6"/>
  <c r="L652" i="6"/>
  <c r="L648" i="6"/>
  <c r="L644" i="6"/>
  <c r="L640" i="6"/>
  <c r="L636" i="6"/>
  <c r="L632" i="6"/>
  <c r="L628" i="6"/>
  <c r="L624" i="6"/>
  <c r="L620" i="6"/>
  <c r="L616" i="6"/>
  <c r="L612" i="6"/>
  <c r="L608" i="6"/>
  <c r="L604" i="6"/>
  <c r="L600" i="6"/>
  <c r="L596" i="6"/>
  <c r="L592" i="6"/>
  <c r="L588" i="6"/>
  <c r="L584" i="6"/>
  <c r="L580" i="6"/>
  <c r="L576" i="6"/>
  <c r="L572" i="6"/>
  <c r="L568" i="6"/>
  <c r="L564" i="6"/>
  <c r="L560" i="6"/>
  <c r="L556" i="6"/>
  <c r="L552" i="6"/>
  <c r="L548" i="6"/>
  <c r="L544" i="6"/>
  <c r="L540" i="6"/>
  <c r="L536" i="6"/>
  <c r="L532" i="6"/>
  <c r="L528" i="6"/>
  <c r="L524" i="6"/>
  <c r="L520" i="6"/>
  <c r="L516" i="6"/>
  <c r="L512" i="6"/>
  <c r="L508" i="6"/>
  <c r="L504" i="6"/>
  <c r="L500" i="6"/>
  <c r="L496" i="6"/>
  <c r="L492" i="6"/>
  <c r="L488" i="6"/>
  <c r="L484" i="6"/>
  <c r="L480" i="6"/>
  <c r="L476" i="6"/>
  <c r="L472" i="6"/>
  <c r="L468" i="6"/>
  <c r="L464" i="6"/>
  <c r="L460" i="6"/>
  <c r="L456" i="6"/>
  <c r="L452" i="6"/>
  <c r="L448" i="6"/>
  <c r="L444" i="6"/>
  <c r="L440" i="6"/>
  <c r="L436" i="6"/>
  <c r="L432" i="6"/>
  <c r="L428" i="6"/>
  <c r="L424" i="6"/>
  <c r="L420" i="6"/>
  <c r="L416" i="6"/>
  <c r="L412" i="6"/>
  <c r="L408" i="6"/>
  <c r="L404" i="6"/>
  <c r="L400" i="6"/>
  <c r="L396" i="6"/>
  <c r="L392" i="6"/>
  <c r="L388" i="6"/>
  <c r="L384" i="6"/>
  <c r="L380" i="6"/>
  <c r="L376" i="6"/>
  <c r="L372" i="6"/>
  <c r="L368" i="6"/>
  <c r="L364" i="6"/>
  <c r="L360" i="6"/>
  <c r="L356" i="6"/>
  <c r="L352" i="6"/>
  <c r="L348" i="6"/>
  <c r="L344" i="6"/>
  <c r="L340" i="6"/>
  <c r="L336" i="6"/>
  <c r="L332" i="6"/>
  <c r="L328" i="6"/>
  <c r="L324" i="6"/>
  <c r="L320" i="6"/>
  <c r="L316" i="6"/>
  <c r="L312" i="6"/>
  <c r="L308" i="6"/>
  <c r="L304" i="6"/>
  <c r="L300" i="6"/>
  <c r="L296" i="6"/>
  <c r="L292" i="6"/>
  <c r="L288" i="6"/>
  <c r="L284" i="6"/>
  <c r="L280" i="6"/>
  <c r="L276" i="6"/>
  <c r="L272" i="6"/>
  <c r="L268" i="6"/>
  <c r="L264" i="6"/>
  <c r="L260" i="6"/>
  <c r="L256" i="6"/>
  <c r="L252" i="6"/>
  <c r="L248" i="6"/>
  <c r="L244" i="6"/>
  <c r="L240" i="6"/>
  <c r="L236" i="6"/>
  <c r="L232" i="6"/>
  <c r="L228" i="6"/>
  <c r="L224" i="6"/>
  <c r="L220" i="6"/>
  <c r="L216" i="6"/>
  <c r="L212" i="6"/>
  <c r="L208" i="6"/>
  <c r="L204" i="6"/>
  <c r="L200" i="6"/>
  <c r="L196" i="6"/>
  <c r="L192" i="6"/>
  <c r="L188" i="6"/>
  <c r="L184" i="6"/>
  <c r="L180" i="6"/>
  <c r="L176" i="6"/>
  <c r="L172" i="6"/>
  <c r="L168" i="6"/>
  <c r="L164" i="6"/>
  <c r="L160" i="6"/>
  <c r="L156" i="6"/>
  <c r="L152" i="6"/>
  <c r="L148" i="6"/>
  <c r="L144" i="6"/>
  <c r="L140" i="6"/>
  <c r="L136" i="6"/>
  <c r="L132" i="6"/>
  <c r="L128" i="6"/>
  <c r="L124" i="6"/>
  <c r="L120" i="6"/>
  <c r="L116" i="6"/>
  <c r="L112" i="6"/>
  <c r="L108" i="6"/>
  <c r="L104" i="6"/>
  <c r="L100" i="6"/>
  <c r="L831" i="6"/>
  <c r="L827" i="6"/>
  <c r="L823" i="6"/>
  <c r="L819" i="6"/>
  <c r="L815" i="6"/>
  <c r="L811" i="6"/>
  <c r="L807" i="6"/>
  <c r="L803" i="6"/>
  <c r="L799" i="6"/>
  <c r="L795" i="6"/>
  <c r="L791" i="6"/>
  <c r="L787" i="6"/>
  <c r="L783" i="6"/>
  <c r="L779" i="6"/>
  <c r="L775" i="6"/>
  <c r="L771" i="6"/>
  <c r="L767" i="6"/>
  <c r="L763" i="6"/>
  <c r="L759" i="6"/>
  <c r="L755" i="6"/>
  <c r="L751" i="6"/>
  <c r="L747" i="6"/>
  <c r="L743" i="6"/>
  <c r="L739" i="6"/>
  <c r="L735" i="6"/>
  <c r="L731" i="6"/>
  <c r="L727" i="6"/>
  <c r="L723" i="6"/>
  <c r="L719" i="6"/>
  <c r="L715" i="6"/>
  <c r="L711" i="6"/>
  <c r="L707" i="6"/>
  <c r="L703" i="6"/>
  <c r="L699" i="6"/>
  <c r="L695" i="6"/>
  <c r="L691" i="6"/>
  <c r="L687" i="6"/>
  <c r="L683" i="6"/>
  <c r="L679" i="6"/>
  <c r="L675" i="6"/>
  <c r="L671" i="6"/>
  <c r="L667" i="6"/>
  <c r="L663" i="6"/>
  <c r="L659" i="6"/>
  <c r="L655" i="6"/>
  <c r="L651" i="6"/>
  <c r="L647" i="6"/>
  <c r="L643" i="6"/>
  <c r="L639" i="6"/>
  <c r="L635" i="6"/>
  <c r="L631" i="6"/>
  <c r="L627" i="6"/>
  <c r="L623" i="6"/>
  <c r="L619" i="6"/>
  <c r="L615" i="6"/>
  <c r="L611" i="6"/>
  <c r="L607" i="6"/>
  <c r="L603" i="6"/>
  <c r="L599" i="6"/>
  <c r="L595" i="6"/>
  <c r="L591" i="6"/>
  <c r="L587" i="6"/>
  <c r="L583" i="6"/>
  <c r="L579" i="6"/>
  <c r="L575" i="6"/>
  <c r="L571" i="6"/>
  <c r="L567" i="6"/>
  <c r="L563" i="6"/>
  <c r="L559" i="6"/>
  <c r="L555" i="6"/>
  <c r="L551" i="6"/>
  <c r="L547" i="6"/>
  <c r="L543" i="6"/>
  <c r="L539" i="6"/>
  <c r="L535" i="6"/>
  <c r="L531" i="6"/>
  <c r="L527" i="6"/>
  <c r="L523" i="6"/>
  <c r="L519" i="6"/>
  <c r="L515" i="6"/>
  <c r="L511" i="6"/>
  <c r="L507" i="6"/>
  <c r="L503" i="6"/>
  <c r="L499" i="6"/>
  <c r="L495" i="6"/>
  <c r="L491" i="6"/>
  <c r="L487" i="6"/>
  <c r="L483" i="6"/>
  <c r="L479" i="6"/>
  <c r="L475" i="6"/>
  <c r="L471" i="6"/>
  <c r="L467" i="6"/>
  <c r="L463" i="6"/>
  <c r="L459" i="6"/>
  <c r="L455" i="6"/>
  <c r="L451" i="6"/>
  <c r="L447" i="6"/>
  <c r="L443" i="6"/>
  <c r="L439" i="6"/>
  <c r="L435" i="6"/>
  <c r="L431" i="6"/>
  <c r="L427" i="6"/>
  <c r="L423" i="6"/>
  <c r="L419" i="6"/>
  <c r="L415" i="6"/>
  <c r="L411" i="6"/>
  <c r="L407" i="6"/>
  <c r="L403" i="6"/>
  <c r="L399" i="6"/>
  <c r="L395" i="6"/>
  <c r="L391" i="6"/>
  <c r="L387" i="6"/>
  <c r="L383" i="6"/>
  <c r="L379" i="6"/>
  <c r="L375" i="6"/>
  <c r="L371" i="6"/>
  <c r="L367" i="6"/>
  <c r="L363" i="6"/>
  <c r="L359" i="6"/>
  <c r="L355" i="6"/>
  <c r="L351" i="6"/>
  <c r="L347" i="6"/>
  <c r="L343" i="6"/>
  <c r="L339" i="6"/>
  <c r="L335" i="6"/>
  <c r="L331" i="6"/>
  <c r="L327" i="6"/>
  <c r="L323" i="6"/>
  <c r="L319" i="6"/>
  <c r="L315" i="6"/>
  <c r="L311" i="6"/>
  <c r="L307" i="6"/>
  <c r="L303" i="6"/>
  <c r="L299" i="6"/>
  <c r="L295" i="6"/>
  <c r="L291" i="6"/>
  <c r="L287" i="6"/>
  <c r="L283" i="6"/>
  <c r="L279" i="6"/>
  <c r="L275" i="6"/>
  <c r="L271" i="6"/>
  <c r="L267" i="6"/>
  <c r="L263" i="6"/>
  <c r="L259" i="6"/>
  <c r="L255" i="6"/>
  <c r="L251" i="6"/>
  <c r="L247" i="6"/>
  <c r="L243" i="6"/>
  <c r="L239" i="6"/>
  <c r="L235" i="6"/>
  <c r="L231" i="6"/>
  <c r="L227" i="6"/>
  <c r="L223" i="6"/>
  <c r="L219" i="6"/>
  <c r="L215" i="6"/>
  <c r="L211" i="6"/>
  <c r="L207" i="6"/>
  <c r="L203" i="6"/>
  <c r="L199" i="6"/>
  <c r="L195" i="6"/>
  <c r="L191" i="6"/>
  <c r="L187" i="6"/>
  <c r="L183" i="6"/>
  <c r="L179" i="6"/>
  <c r="L175" i="6"/>
  <c r="L171" i="6"/>
  <c r="L167" i="6"/>
  <c r="L163" i="6"/>
  <c r="L159" i="6"/>
  <c r="L155" i="6"/>
  <c r="L151" i="6"/>
  <c r="L147" i="6"/>
  <c r="L143" i="6"/>
  <c r="L139" i="6"/>
  <c r="L135" i="6"/>
  <c r="L131" i="6"/>
  <c r="L127" i="6"/>
  <c r="L123" i="6"/>
  <c r="L119" i="6"/>
  <c r="L115" i="6"/>
  <c r="L111" i="6"/>
  <c r="L107" i="6"/>
  <c r="L103" i="6"/>
  <c r="L99" i="6"/>
  <c r="L1198" i="6"/>
  <c r="L1194" i="6"/>
  <c r="L1190" i="6"/>
  <c r="L1186" i="6"/>
  <c r="L1182" i="6"/>
  <c r="L1178" i="6"/>
  <c r="L1174" i="6"/>
  <c r="L1170" i="6"/>
  <c r="L1166" i="6"/>
  <c r="L1162" i="6"/>
  <c r="L1158" i="6"/>
  <c r="L1154" i="6"/>
  <c r="L1150" i="6"/>
  <c r="L1146" i="6"/>
  <c r="L1142" i="6"/>
  <c r="L1138" i="6"/>
  <c r="L1134" i="6"/>
  <c r="L1130" i="6"/>
  <c r="L1126" i="6"/>
  <c r="L1122" i="6"/>
  <c r="L1118" i="6"/>
  <c r="L1114" i="6"/>
  <c r="L1110" i="6"/>
  <c r="L1106" i="6"/>
  <c r="L1102" i="6"/>
  <c r="L1098" i="6"/>
  <c r="L1094" i="6"/>
  <c r="L1090" i="6"/>
  <c r="L1086" i="6"/>
  <c r="L1082" i="6"/>
  <c r="L1078" i="6"/>
  <c r="L1074" i="6"/>
  <c r="L1070" i="6"/>
  <c r="L1066" i="6"/>
  <c r="L1062" i="6"/>
  <c r="L1058" i="6"/>
  <c r="L1054" i="6"/>
  <c r="L1050" i="6"/>
  <c r="L1046" i="6"/>
  <c r="L1042" i="6"/>
  <c r="L1038" i="6"/>
  <c r="L1034" i="6"/>
  <c r="L1030" i="6"/>
  <c r="L1026" i="6"/>
  <c r="L1022" i="6"/>
  <c r="L1018" i="6"/>
  <c r="L1014" i="6"/>
  <c r="L1010" i="6"/>
  <c r="L1006" i="6"/>
  <c r="L1002" i="6"/>
  <c r="L998" i="6"/>
  <c r="L994" i="6"/>
  <c r="L990" i="6"/>
  <c r="L986" i="6"/>
  <c r="L982" i="6"/>
  <c r="L978" i="6"/>
  <c r="L974" i="6"/>
  <c r="L970" i="6"/>
  <c r="L966" i="6"/>
  <c r="L962" i="6"/>
  <c r="L958" i="6"/>
  <c r="L954" i="6"/>
  <c r="L950" i="6"/>
  <c r="L946" i="6"/>
  <c r="L942" i="6"/>
  <c r="L938" i="6"/>
  <c r="L934" i="6"/>
  <c r="L930" i="6"/>
  <c r="L926" i="6"/>
  <c r="L922" i="6"/>
  <c r="L918" i="6"/>
  <c r="L914" i="6"/>
  <c r="L910" i="6"/>
  <c r="L906" i="6"/>
  <c r="L902" i="6"/>
  <c r="L898" i="6"/>
  <c r="L894" i="6"/>
  <c r="L890" i="6"/>
  <c r="L886" i="6"/>
  <c r="L882" i="6"/>
  <c r="L878" i="6"/>
  <c r="L874" i="6"/>
  <c r="L870" i="6"/>
  <c r="L866" i="6"/>
  <c r="L862" i="6"/>
  <c r="L858" i="6"/>
  <c r="L854" i="6"/>
  <c r="L850" i="6"/>
  <c r="L846" i="6"/>
  <c r="L842" i="6"/>
  <c r="L838" i="6"/>
  <c r="L834" i="6"/>
  <c r="L830" i="6"/>
  <c r="L826" i="6"/>
  <c r="L822" i="6"/>
  <c r="L818" i="6"/>
  <c r="L814" i="6"/>
  <c r="L810" i="6"/>
  <c r="L806" i="6"/>
  <c r="L802" i="6"/>
  <c r="L798" i="6"/>
  <c r="L794" i="6"/>
  <c r="L790" i="6"/>
  <c r="L786" i="6"/>
  <c r="L782" i="6"/>
  <c r="L778" i="6"/>
  <c r="L774" i="6"/>
  <c r="L770" i="6"/>
  <c r="L766" i="6"/>
  <c r="L762" i="6"/>
  <c r="L758" i="6"/>
  <c r="L754" i="6"/>
  <c r="L750" i="6"/>
  <c r="L746" i="6"/>
  <c r="L742" i="6"/>
  <c r="L738" i="6"/>
  <c r="L734" i="6"/>
  <c r="L730" i="6"/>
  <c r="L726" i="6"/>
  <c r="L722" i="6"/>
  <c r="L718" i="6"/>
  <c r="L714" i="6"/>
  <c r="L710" i="6"/>
  <c r="L706" i="6"/>
  <c r="L702" i="6"/>
  <c r="L698" i="6"/>
  <c r="L694" i="6"/>
  <c r="L690" i="6"/>
  <c r="L686" i="6"/>
  <c r="L682" i="6"/>
  <c r="L678" i="6"/>
  <c r="L674" i="6"/>
  <c r="L670" i="6"/>
  <c r="L666" i="6"/>
  <c r="L662" i="6"/>
  <c r="L658" i="6"/>
  <c r="L654" i="6"/>
  <c r="L650" i="6"/>
  <c r="L646" i="6"/>
  <c r="L642" i="6"/>
  <c r="L638" i="6"/>
  <c r="L634" i="6"/>
  <c r="L630" i="6"/>
  <c r="L626" i="6"/>
  <c r="L622" i="6"/>
  <c r="L618" i="6"/>
  <c r="L614" i="6"/>
  <c r="L610" i="6"/>
  <c r="L606" i="6"/>
  <c r="L602" i="6"/>
  <c r="L598" i="6"/>
  <c r="L594" i="6"/>
  <c r="L590" i="6"/>
  <c r="L586" i="6"/>
  <c r="L582" i="6"/>
  <c r="L578" i="6"/>
  <c r="L574" i="6"/>
  <c r="L570" i="6"/>
  <c r="L566" i="6"/>
  <c r="L562" i="6"/>
  <c r="L558" i="6"/>
  <c r="L554" i="6"/>
  <c r="L550" i="6"/>
  <c r="L546" i="6"/>
  <c r="L542" i="6"/>
  <c r="L538" i="6"/>
  <c r="L534" i="6"/>
  <c r="L530" i="6"/>
  <c r="L526" i="6"/>
  <c r="L522" i="6"/>
  <c r="L518" i="6"/>
  <c r="L514" i="6"/>
  <c r="L510" i="6"/>
  <c r="L506" i="6"/>
  <c r="L502" i="6"/>
  <c r="L498" i="6"/>
  <c r="L494" i="6"/>
  <c r="L490" i="6"/>
  <c r="L486" i="6"/>
  <c r="L482" i="6"/>
  <c r="L478" i="6"/>
  <c r="L474" i="6"/>
  <c r="L470" i="6"/>
  <c r="L466" i="6"/>
  <c r="L462" i="6"/>
  <c r="L458" i="6"/>
  <c r="L454" i="6"/>
  <c r="L450" i="6"/>
  <c r="L446" i="6"/>
  <c r="L442" i="6"/>
  <c r="L438" i="6"/>
  <c r="L434" i="6"/>
  <c r="L430" i="6"/>
  <c r="L426" i="6"/>
  <c r="L422" i="6"/>
  <c r="L418" i="6"/>
  <c r="L414" i="6"/>
  <c r="L410" i="6"/>
  <c r="L406" i="6"/>
  <c r="L402" i="6"/>
  <c r="L398" i="6"/>
  <c r="L394" i="6"/>
  <c r="L390" i="6"/>
  <c r="L386" i="6"/>
  <c r="L382" i="6"/>
  <c r="L378" i="6"/>
  <c r="L374" i="6"/>
  <c r="L370" i="6"/>
  <c r="L366" i="6"/>
  <c r="L362" i="6"/>
  <c r="L358" i="6"/>
  <c r="L354" i="6"/>
  <c r="L350" i="6"/>
  <c r="L346" i="6"/>
  <c r="L342" i="6"/>
  <c r="L338" i="6"/>
  <c r="L334" i="6"/>
  <c r="L330" i="6"/>
  <c r="L326" i="6"/>
  <c r="L322" i="6"/>
  <c r="L318" i="6"/>
  <c r="L314" i="6"/>
  <c r="L310" i="6"/>
  <c r="L306" i="6"/>
  <c r="L302" i="6"/>
  <c r="L298" i="6"/>
  <c r="L294" i="6"/>
  <c r="L290" i="6"/>
  <c r="L286" i="6"/>
  <c r="L282" i="6"/>
  <c r="L278" i="6"/>
  <c r="L274" i="6"/>
  <c r="L270" i="6"/>
  <c r="L266" i="6"/>
  <c r="L262" i="6"/>
  <c r="L258" i="6"/>
  <c r="L254" i="6"/>
  <c r="L250" i="6"/>
  <c r="L246" i="6"/>
  <c r="L242" i="6"/>
  <c r="L238" i="6"/>
  <c r="L234" i="6"/>
  <c r="L230" i="6"/>
  <c r="L226" i="6"/>
  <c r="L222" i="6"/>
  <c r="L218" i="6"/>
  <c r="L214" i="6"/>
  <c r="L210" i="6"/>
  <c r="L206" i="6"/>
  <c r="L202" i="6"/>
  <c r="L198" i="6"/>
  <c r="L194" i="6"/>
  <c r="L190" i="6"/>
  <c r="L186" i="6"/>
  <c r="L182" i="6"/>
  <c r="L178" i="6"/>
  <c r="L174" i="6"/>
  <c r="L170" i="6"/>
  <c r="L166" i="6"/>
  <c r="L162" i="6"/>
  <c r="L158" i="6"/>
  <c r="L154" i="6"/>
  <c r="L150" i="6"/>
  <c r="L146" i="6"/>
  <c r="L142" i="6"/>
  <c r="L138" i="6"/>
  <c r="L134" i="6"/>
  <c r="L130" i="6"/>
  <c r="L126" i="6"/>
  <c r="L122" i="6"/>
  <c r="L118" i="6"/>
  <c r="L114" i="6"/>
  <c r="L110" i="6"/>
  <c r="L106" i="6"/>
  <c r="L102" i="6"/>
  <c r="L1433" i="6"/>
  <c r="L1429" i="6"/>
  <c r="L1425" i="6"/>
  <c r="L1421" i="6"/>
  <c r="L1417" i="6"/>
  <c r="L1413" i="6"/>
  <c r="L1409" i="6"/>
  <c r="L1405" i="6"/>
  <c r="L1401" i="6"/>
  <c r="L1397" i="6"/>
  <c r="L1393" i="6"/>
  <c r="L1389" i="6"/>
  <c r="L1385" i="6"/>
  <c r="L1381" i="6"/>
  <c r="L1377" i="6"/>
  <c r="L1373" i="6"/>
  <c r="L1369" i="6"/>
  <c r="L1365" i="6"/>
  <c r="L1361" i="6"/>
  <c r="L1357" i="6"/>
  <c r="L1353" i="6"/>
  <c r="L1349" i="6"/>
  <c r="L1345" i="6"/>
  <c r="L1341" i="6"/>
  <c r="L1337" i="6"/>
  <c r="L1333" i="6"/>
  <c r="L1329" i="6"/>
  <c r="L1325" i="6"/>
  <c r="L1321" i="6"/>
  <c r="L1317" i="6"/>
  <c r="L1313" i="6"/>
  <c r="L1309" i="6"/>
  <c r="L1305" i="6"/>
  <c r="L1301" i="6"/>
  <c r="L1297" i="6"/>
  <c r="L1293" i="6"/>
  <c r="L1289" i="6"/>
  <c r="L1285" i="6"/>
  <c r="L1281" i="6"/>
  <c r="L1277" i="6"/>
  <c r="L1273" i="6"/>
  <c r="L1269" i="6"/>
  <c r="L1265" i="6"/>
  <c r="L1261" i="6"/>
  <c r="L1257" i="6"/>
  <c r="L1253" i="6"/>
  <c r="L1249" i="6"/>
  <c r="L1245" i="6"/>
  <c r="L1241" i="6"/>
  <c r="L1237" i="6"/>
  <c r="L1233" i="6"/>
  <c r="L1229" i="6"/>
  <c r="L1225" i="6"/>
  <c r="L1221" i="6"/>
  <c r="L1217" i="6"/>
  <c r="L1213" i="6"/>
  <c r="L1209" i="6"/>
  <c r="L1205" i="6"/>
  <c r="L1201" i="6"/>
  <c r="L1197" i="6"/>
  <c r="L1193" i="6"/>
  <c r="L1189" i="6"/>
  <c r="L1185" i="6"/>
  <c r="L1181" i="6"/>
  <c r="L1177" i="6"/>
  <c r="L1173" i="6"/>
  <c r="L1169" i="6"/>
  <c r="L1165" i="6"/>
  <c r="L1161" i="6"/>
  <c r="L1157" i="6"/>
  <c r="L1153" i="6"/>
  <c r="L1149" i="6"/>
  <c r="L1145" i="6"/>
  <c r="L1141" i="6"/>
  <c r="L1137" i="6"/>
  <c r="L1133" i="6"/>
  <c r="L1129" i="6"/>
  <c r="L1125" i="6"/>
  <c r="L1121" i="6"/>
  <c r="L1117" i="6"/>
  <c r="L1113" i="6"/>
  <c r="L1109" i="6"/>
  <c r="L1105" i="6"/>
  <c r="L1101" i="6"/>
  <c r="L1097" i="6"/>
  <c r="L1093" i="6"/>
  <c r="L1089" i="6"/>
  <c r="L1085" i="6"/>
  <c r="L1081" i="6"/>
  <c r="L1077" i="6"/>
  <c r="L1073" i="6"/>
  <c r="L1069" i="6"/>
  <c r="L1065" i="6"/>
  <c r="L1061" i="6"/>
  <c r="L1057" i="6"/>
  <c r="L1053" i="6"/>
  <c r="L1049" i="6"/>
  <c r="L1045" i="6"/>
  <c r="L1041" i="6"/>
  <c r="L1037" i="6"/>
  <c r="L1033" i="6"/>
  <c r="L1029" i="6"/>
  <c r="L1025" i="6"/>
  <c r="L1021" i="6"/>
  <c r="L1017" i="6"/>
  <c r="L1013" i="6"/>
  <c r="L1009" i="6"/>
  <c r="L1005" i="6"/>
  <c r="L1001" i="6"/>
  <c r="L997" i="6"/>
  <c r="L993" i="6"/>
  <c r="L989" i="6"/>
  <c r="L985" i="6"/>
  <c r="L981" i="6"/>
  <c r="L977" i="6"/>
  <c r="L973" i="6"/>
  <c r="L969" i="6"/>
  <c r="L965" i="6"/>
  <c r="L961" i="6"/>
  <c r="L957" i="6"/>
  <c r="L953" i="6"/>
  <c r="L949" i="6"/>
  <c r="L945" i="6"/>
  <c r="L941" i="6"/>
  <c r="L937" i="6"/>
  <c r="L933" i="6"/>
  <c r="L929" i="6"/>
  <c r="L925" i="6"/>
  <c r="L921" i="6"/>
  <c r="L917" i="6"/>
  <c r="L913" i="6"/>
  <c r="L909" i="6"/>
  <c r="L905" i="6"/>
  <c r="L901" i="6"/>
  <c r="L897" i="6"/>
  <c r="L893" i="6"/>
  <c r="L889" i="6"/>
  <c r="L885" i="6"/>
  <c r="L881" i="6"/>
  <c r="L877" i="6"/>
  <c r="L873" i="6"/>
  <c r="L869" i="6"/>
  <c r="L865" i="6"/>
  <c r="L861" i="6"/>
  <c r="L857" i="6"/>
  <c r="L853" i="6"/>
  <c r="L849" i="6"/>
  <c r="L845" i="6"/>
  <c r="L841" i="6"/>
  <c r="L837" i="6"/>
  <c r="L833" i="6"/>
  <c r="L829" i="6"/>
  <c r="L825" i="6"/>
  <c r="L821" i="6"/>
  <c r="L817" i="6"/>
  <c r="L813" i="6"/>
  <c r="L809" i="6"/>
  <c r="L805" i="6"/>
  <c r="L801" i="6"/>
  <c r="L797" i="6"/>
  <c r="L793" i="6"/>
  <c r="L789" i="6"/>
  <c r="L785" i="6"/>
  <c r="L781" i="6"/>
  <c r="L777" i="6"/>
  <c r="L773" i="6"/>
  <c r="L769" i="6"/>
  <c r="L765" i="6"/>
  <c r="L761" i="6"/>
  <c r="L757" i="6"/>
  <c r="L753" i="6"/>
  <c r="L749" i="6"/>
  <c r="L745" i="6"/>
  <c r="L741" i="6"/>
  <c r="L737" i="6"/>
  <c r="L733" i="6"/>
  <c r="L729" i="6"/>
  <c r="L725" i="6"/>
  <c r="L721" i="6"/>
  <c r="L717" i="6"/>
  <c r="L713" i="6"/>
  <c r="L709" i="6"/>
  <c r="L705" i="6"/>
  <c r="L701" i="6"/>
  <c r="L697" i="6"/>
  <c r="L693" i="6"/>
  <c r="L689" i="6"/>
  <c r="L685" i="6"/>
  <c r="L681" i="6"/>
  <c r="L677" i="6"/>
  <c r="L673" i="6"/>
  <c r="L669" i="6"/>
  <c r="L665" i="6"/>
  <c r="L661" i="6"/>
  <c r="L657" i="6"/>
  <c r="L653" i="6"/>
  <c r="L649" i="6"/>
  <c r="L645" i="6"/>
  <c r="L641" i="6"/>
  <c r="L637" i="6"/>
  <c r="L633" i="6"/>
  <c r="L629" i="6"/>
  <c r="L625" i="6"/>
  <c r="L621" i="6"/>
  <c r="L617" i="6"/>
  <c r="L613" i="6"/>
  <c r="L609" i="6"/>
  <c r="L605" i="6"/>
  <c r="L601" i="6"/>
  <c r="L597" i="6"/>
  <c r="L593" i="6"/>
  <c r="L589" i="6"/>
  <c r="L585" i="6"/>
  <c r="L581" i="6"/>
  <c r="L577" i="6"/>
  <c r="L573" i="6"/>
  <c r="L569" i="6"/>
  <c r="L565" i="6"/>
  <c r="L561" i="6"/>
  <c r="L557" i="6"/>
  <c r="L553" i="6"/>
  <c r="L549" i="6"/>
  <c r="L545" i="6"/>
  <c r="L541" i="6"/>
  <c r="L537" i="6"/>
  <c r="L533" i="6"/>
  <c r="L529" i="6"/>
  <c r="L525" i="6"/>
  <c r="L521" i="6"/>
  <c r="L517" i="6"/>
  <c r="L513" i="6"/>
  <c r="L509" i="6"/>
  <c r="L505" i="6"/>
  <c r="L501" i="6"/>
  <c r="L497" i="6"/>
  <c r="L493" i="6"/>
  <c r="L489" i="6"/>
  <c r="L485" i="6"/>
  <c r="L481" i="6"/>
  <c r="L477" i="6"/>
  <c r="L473" i="6"/>
  <c r="L469" i="6"/>
  <c r="L465" i="6"/>
  <c r="L461" i="6"/>
  <c r="L457" i="6"/>
  <c r="L453" i="6"/>
  <c r="L449" i="6"/>
  <c r="L445" i="6"/>
  <c r="L441" i="6"/>
  <c r="L437" i="6"/>
  <c r="L433" i="6"/>
  <c r="L429" i="6"/>
  <c r="L425" i="6"/>
  <c r="L421" i="6"/>
  <c r="L417" i="6"/>
  <c r="L413" i="6"/>
  <c r="L409" i="6"/>
  <c r="L405" i="6"/>
  <c r="L401" i="6"/>
  <c r="L397" i="6"/>
  <c r="L393" i="6"/>
  <c r="L389" i="6"/>
  <c r="L385" i="6"/>
  <c r="L381" i="6"/>
  <c r="L377" i="6"/>
  <c r="L373" i="6"/>
  <c r="L369" i="6"/>
  <c r="L365" i="6"/>
  <c r="L361" i="6"/>
  <c r="L357" i="6"/>
  <c r="L353" i="6"/>
  <c r="L349" i="6"/>
  <c r="L345" i="6"/>
  <c r="L341" i="6"/>
  <c r="L337" i="6"/>
  <c r="L333" i="6"/>
  <c r="L329" i="6"/>
  <c r="L325" i="6"/>
  <c r="L321" i="6"/>
  <c r="L317" i="6"/>
  <c r="L313" i="6"/>
  <c r="L309" i="6"/>
  <c r="L305" i="6"/>
  <c r="L301" i="6"/>
  <c r="L297" i="6"/>
  <c r="L293" i="6"/>
  <c r="L289" i="6"/>
  <c r="L285" i="6"/>
  <c r="L281" i="6"/>
  <c r="L277" i="6"/>
  <c r="L273" i="6"/>
  <c r="L269" i="6"/>
  <c r="L265" i="6"/>
  <c r="L261" i="6"/>
  <c r="L257" i="6"/>
  <c r="L253" i="6"/>
  <c r="L249" i="6"/>
  <c r="L245" i="6"/>
  <c r="L241" i="6"/>
  <c r="L237" i="6"/>
  <c r="L233" i="6"/>
  <c r="L229" i="6"/>
  <c r="L225" i="6"/>
  <c r="L221" i="6"/>
  <c r="L217" i="6"/>
  <c r="L213" i="6"/>
  <c r="L209" i="6"/>
  <c r="L205" i="6"/>
  <c r="L201" i="6"/>
  <c r="L197" i="6"/>
  <c r="L193" i="6"/>
  <c r="L189" i="6"/>
  <c r="L185" i="6"/>
  <c r="L181" i="6"/>
  <c r="L177" i="6"/>
  <c r="L173" i="6"/>
  <c r="L169" i="6"/>
  <c r="L165" i="6"/>
  <c r="L161" i="6"/>
  <c r="L157" i="6"/>
  <c r="L153" i="6"/>
  <c r="L149" i="6"/>
  <c r="L145" i="6"/>
  <c r="L141" i="6"/>
  <c r="L137" i="6"/>
  <c r="L133" i="6"/>
  <c r="L129" i="6"/>
  <c r="L125" i="6"/>
  <c r="L121" i="6"/>
  <c r="L117" i="6"/>
  <c r="L113" i="6"/>
  <c r="L109" i="6"/>
  <c r="L105" i="6"/>
  <c r="L10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tc={a9c77697-df1a-49a6-9f97-3703a996589c}</author>
    <author>tc={0fa7e4c3-83a1-4631-a072-769483b46dd1}</author>
    <author>tc={f53b9dc4-ed2d-46c1-a755-7704612802ca}</author>
    <author>tc={86d375d0-04d2-4ece-b3d7-63aec33da48c}</author>
    <author>tc={9cede7e5-41a1-4d0c-b08e-6bb383143605}</author>
    <author>tc={84a50a28-a7ae-48b9-b32e-871950e85303}</author>
    <author>tc={f7f13613-34c6-40f8-8729-dba7495824fd}</author>
  </authors>
  <commentList>
    <comment ref="A1737" authorId="0" shapeId="0" xr:uid="{C878417C-7300-4547-AD5C-2241AB621CAF}">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để tên ở giữa
</t>
        </r>
      </text>
    </comment>
    <comment ref="A1741" authorId="1" shapeId="0" xr:uid="{2C3EFAC1-C35C-4C2C-B06E-9D808A55D36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Khách nói địa chỉ đúng
Nếu bạn gửi hàng qua US Postal Service (USPS) thì địa chỉ chỉ cần là:
PO Box 907, Willow, AK 99688
Địa chỉ 18408 W Reynolds Rd là địa chỉ thực tế của chúng tôi.
USPS không giao hàng đến đó, nhưng nếu bạn gửi bằng UPS hoặc FedEx thì phải dùng địa chỉ thực tế này.
</t>
        </r>
      </text>
    </comment>
    <comment ref="A1761" authorId="2" shapeId="0" xr:uid="{F6AE97BB-B864-4866-BBF7-00A6DD849813}">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đơn gửi lại khách
</t>
        </r>
      </text>
    </comment>
    <comment ref="A1766" authorId="3" shapeId="0" xr:uid="{1A435996-23A5-4CA2-AA4C-A80F3B9C250E}">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Ngay bên dưới dòng chữ “new to the club”, làm đẹp cho khách là đc
</t>
        </r>
      </text>
    </comment>
    <comment ref="A1779" authorId="4" shapeId="0" xr:uid="{9566CAAE-33AD-4B98-9245-3A3920B78F08}">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để tên ở vị trí nào đẹp, khách có vẻ khó tính
</t>
        </r>
      </text>
    </comment>
    <comment ref="A1784" authorId="5" shapeId="0" xr:uid="{AC7BED25-D84A-4CAB-BAB9-7C93775F187B}">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chỉ lấy vương niệm, kh cần chữ
</t>
        </r>
      </text>
    </comment>
    <comment ref="A1827" authorId="6" shapeId="0" xr:uid="{42A9055E-9183-4E45-8F41-DA7747389154}">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xác nhận mầu, nhưng cứ làm bình thường
</t>
        </r>
      </text>
    </comment>
  </commentList>
</comments>
</file>

<file path=xl/sharedStrings.xml><?xml version="1.0" encoding="utf-8"?>
<sst xmlns="http://schemas.openxmlformats.org/spreadsheetml/2006/main" count="16045" uniqueCount="3612">
  <si>
    <t>Ngày</t>
  </si>
  <si>
    <t xml:space="preserve">Link ảnh sản phẩm </t>
  </si>
  <si>
    <t>Màu</t>
  </si>
  <si>
    <t xml:space="preserve">Size </t>
  </si>
  <si>
    <t>Country</t>
  </si>
  <si>
    <t>Light Blue</t>
  </si>
  <si>
    <t>3-6 Months</t>
  </si>
  <si>
    <t>United States</t>
  </si>
  <si>
    <t>Light Pink</t>
  </si>
  <si>
    <t>Cream</t>
  </si>
  <si>
    <t>0-3 Months</t>
  </si>
  <si>
    <t>Germany</t>
  </si>
  <si>
    <t>Poland</t>
  </si>
  <si>
    <t>United Kingdom</t>
  </si>
  <si>
    <t>Austria</t>
  </si>
  <si>
    <t>France</t>
  </si>
  <si>
    <t>Ireland</t>
  </si>
  <si>
    <t>Belgium</t>
  </si>
  <si>
    <t>Australia</t>
  </si>
  <si>
    <t>Canada</t>
  </si>
  <si>
    <t>https://www.etsy.com/listing/4441958494/future-triathlete-embroidered-baby?transaction_id=5012776498</t>
  </si>
  <si>
    <t>https://www.etsy.com/listing/4395093129/newest-hunting-buddy-baby-bodysuit-duck?transaction_id=5024263783</t>
  </si>
  <si>
    <t>https://www.etsy.com/listing/4395649391/clever-little-fox-embroidered-baby?transaction_id=5016483278</t>
  </si>
  <si>
    <t>https://www.etsy.com/listing/4432405734/sweet-like-honey-embroidered-baby?transaction_id=5029714867</t>
  </si>
  <si>
    <t>https://www.etsy.com/listing/4427449114/kinda-a-big-dill-baby-bodysuit-funny?transaction_id=5025876044</t>
  </si>
  <si>
    <t>https://www.etsy.com/listing/4441943477/crawl-walk-snowmobile-embroidered-baby?transaction_id=5026575732</t>
  </si>
  <si>
    <t>https://www.etsy.com/listing/4396677612/daddys-future-lifting-buddy-bodysuit-new?transaction_id=5039488933</t>
  </si>
  <si>
    <t>https://www.etsy.com/listing/4418212637/born-to-snap-like-my-daddy-baby-bodysuit?transaction_id=5040017619</t>
  </si>
  <si>
    <t>https://www.etsy.com/listing/4441940535/special-delivery-embroidered-baby?transaction_id=5029462650</t>
  </si>
  <si>
    <t>https://www.etsy.com/listing/4395094410/do-not-kiss-me-if-im-nacho-baby?transaction_id=5041607177</t>
  </si>
  <si>
    <t>https://www.etsy.com/listing/4396672241/hand-picked-for-earth-by-my-great?transaction_id=5042328507</t>
  </si>
  <si>
    <t>https://www.etsy.com/listing/4440285195/i-love-yoga-embroidered-baby-bodysuit?transaction_id=5042667029</t>
  </si>
  <si>
    <t>https://www.etsy.com/listing/4395134075/cool-like-my-uncle-embroidered-baby?transaction_id=5047186051</t>
  </si>
  <si>
    <t>https://www.etsy.com/listing/4395094410/do-not-kiss-me-if-im-nacho-baby?transaction_id=5035713692</t>
  </si>
  <si>
    <t>https://www.etsy.com/listing/4395099048/little-sweet-potato-embroidered-baby?transaction_id=5048447129</t>
  </si>
  <si>
    <t>https://www.etsy.com/listing/4396672241/hand-picked-for-earth-by-my-great?transaction_id=5048510551</t>
  </si>
  <si>
    <t>https://www.etsy.com/listing/4396671728/on-sundays-we-watch-with-daddy?transaction_id=5049013879</t>
  </si>
  <si>
    <t>Switzerland</t>
  </si>
  <si>
    <t>https://www.etsy.com/listing/4488345640/future-triathlete-baby-bodysuit-swim?transaction_id=5051324909</t>
  </si>
  <si>
    <t>https://www.etsy.com/listing/4436931040/little-peanut-embroidered-baby-bodysuit?transaction_id=5052008001</t>
  </si>
  <si>
    <t>The Netherlands</t>
  </si>
  <si>
    <t>https://www.etsy.com/listing/4429565541/here-comes-the-son-baby-romper-cute?transaction_id=5043946714</t>
  </si>
  <si>
    <t>https://www.etsy.com/listing/4396138281/grandmas-little-ray-of-sunshine?transaction_id=5059746267</t>
  </si>
  <si>
    <t>https://www.etsy.com/listing/4418212637/born-to-snap-like-my-daddy-baby-bodysuit?transaction_id=5060606141</t>
  </si>
  <si>
    <t>https://www.etsy.com/listing/4488346062/honk-honk-baby-bodysuit-funny-duck-car?transaction_id=5064239197</t>
  </si>
  <si>
    <t>https://www.etsy.com/listing/4491435314/just-plane-cute-baby-bodysuit-airplane?transaction_id=5064335675</t>
  </si>
  <si>
    <t>https://www.etsy.com/listing/4488345640/future-triathlete-baby-bodysuit-swim?transaction_id=5053355894</t>
  </si>
  <si>
    <t>https://www.etsy.com/listing/4395078760/new-to-the-hunting-crew-baby-bodysuit?transaction_id=5053462096</t>
  </si>
  <si>
    <t>https://www.etsy.com/listing/4493907972/book-lover-baby-bodysuit-shh-im-reading?transaction_id=5054223622</t>
  </si>
  <si>
    <t>https://www.etsy.com/listing/4396671728/on-sundays-we-watch-with-daddy?transaction_id=5055400370</t>
  </si>
  <si>
    <t>https://www.etsy.com/listing/4396672648/pickle-baby-embroidered-baby-bodysuit?transaction_id=5061625354</t>
  </si>
  <si>
    <t>https://www.etsy.com/listing/4395117964/daddys-co-pilot-embroidered-baby?transaction_id=5062535158</t>
  </si>
  <si>
    <t>https://www.etsy.com/listing/4395653841/dont-make-me-call-grandma-embroidered?transaction_id=5062834816</t>
  </si>
  <si>
    <t>https://www.etsy.com/listing/4493907972/book-lover-baby-bodysuit-shh-im-reading?transaction_id=5075875843</t>
  </si>
  <si>
    <t>https://www.etsy.com/listing/4471165394/i-love-my-gigi-embroidered-baby-bodysuit?transaction_id=5075960083</t>
  </si>
  <si>
    <t>https://www.etsy.com/listing/4421358682/born-to-play-basketball-like-my-daddy?transaction_id=5069459584</t>
  </si>
  <si>
    <t>https://www.etsy.com/listing/4436931040/little-peanut-embroidered-baby-bodysuit?transaction_id=5070350650</t>
  </si>
  <si>
    <t>https://www.etsy.com/listing/4395656915/cute-little-raspberry-embroidered-baby?transaction_id=5084411025</t>
  </si>
  <si>
    <t>https://www.etsy.com/listing/4491435314/just-plane-cute-baby-bodysuit-airplane?transaction_id=5089077467</t>
  </si>
  <si>
    <t>https://www.etsy.com/listing/4491428109/halfling-baby-bodysuit-fantasy-baby?transaction_id=5090094865</t>
  </si>
  <si>
    <t>https://www.etsy.com/listing/4441951430/miso-cute-embroidered-baby-bodysuit-cute?transaction_id=5091220027</t>
  </si>
  <si>
    <t>https://www.etsy.com/listing/4396677612/daddys-future-lifting-buddy-bodysuit-new?transaction_id=5092268245</t>
  </si>
  <si>
    <t>https://www.etsy.com/listing/4491428109/halfling-baby-bodysuit-fantasy-baby?transaction_id=5082133048</t>
  </si>
  <si>
    <t>https://www.etsy.com/listing/4395094410/do-not-kiss-me-if-im-nacho-baby?transaction_id=5095096737</t>
  </si>
  <si>
    <t>https://www.etsy.com/listing/4491428109/halfling-baby-bodysuit-fantasy-baby?transaction_id=5095421425</t>
  </si>
  <si>
    <t>https://www.etsy.com/listing/4512470752/i-have-the-best-ever-embroidered-baby?transaction_id=5095730577</t>
  </si>
  <si>
    <t>https://www.etsy.com/listing/4395646009/cute-tomato-embroidered-baby-bodysuit?transaction_id=5084528844</t>
  </si>
  <si>
    <t>https://www.etsy.com/listing/4491428109/halfling-baby-bodysuit-fantasy-baby?transaction_id=5096758625</t>
  </si>
  <si>
    <t>https://www.etsy.com/listing/4491428109/halfling-baby-bodysuit-fantasy-baby?transaction_id=5085559956</t>
  </si>
  <si>
    <t>Italy</t>
  </si>
  <si>
    <t>https://www.etsy.com/listing/4444097981/daddys-tiny-striker-baby-romper-soccer?transaction_id=4946235259</t>
  </si>
  <si>
    <t>Coffee</t>
  </si>
  <si>
    <t>3-6M(Short Sleeve)</t>
  </si>
  <si>
    <t>https://www.etsy.com/listing/4444104554/its-in-my-dna-bowling-baby-romper?transaction_id=4937644612</t>
  </si>
  <si>
    <t>Watermelon</t>
  </si>
  <si>
    <t>3-6M(Long Sleeve)</t>
  </si>
  <si>
    <t>Caldet Blue</t>
  </si>
  <si>
    <t>https://www.etsy.com/listing/4444107682/little-slam-dunk-baby-romper-basketball?transaction_id=4937783962</t>
  </si>
  <si>
    <t>https://www.etsy.com/listing/4444113376/tiny-touchdown-baby-romper-football?transaction_id=4950064005</t>
  </si>
  <si>
    <t>White</t>
  </si>
  <si>
    <t>https://www.etsy.com/listing/4451626020/my-first-racing-season-embroidered-baby?transaction_id=4963741705</t>
  </si>
  <si>
    <t>Dusty Pink</t>
  </si>
  <si>
    <t>0-3M(Short Sleeve)</t>
  </si>
  <si>
    <t>https://www.etsy.com/listing/4446342577/assistant-coach-embroidered-baby-romper?transaction_id=4967890543</t>
  </si>
  <si>
    <t>https://www.etsy.com/listing/4444111218/born-to-play-basketball-baby-romper?transaction_id=4973720488</t>
  </si>
  <si>
    <t>Forest Green</t>
  </si>
  <si>
    <t>https://www.etsy.com/listing/4454899012/apparently-i-like-baseball-baby-romper?transaction_id=4975418242</t>
  </si>
  <si>
    <t>cream</t>
  </si>
  <si>
    <t>0-3M(Long Sleeve)</t>
  </si>
  <si>
    <t>https://www.etsy.com/listing/4446342577/assistant-coach-embroidered-baby-romper?transaction_id=4986576239</t>
  </si>
  <si>
    <t>6-12M(Short Sleeve)</t>
  </si>
  <si>
    <t>https://www.etsy.com/listing/4448380248/see-you-on-the-court-baby-romper?transaction_id=4986999317</t>
  </si>
  <si>
    <t>https://www.etsy.com/listing/4451626020/my-first-racing-season-embroidered-baby?transaction_id=4989285119</t>
  </si>
  <si>
    <t>https://www.etsy.com/listing/4451626020/my-first-racing-season-embroidered-baby?transaction_id=4990292723</t>
  </si>
  <si>
    <t>6-12M(Long Sleeve)</t>
  </si>
  <si>
    <t>https://www.etsy.com/listing/4461651558/custom-name-shamrock-embroidered-romper?transaction_id=4990588095</t>
  </si>
  <si>
    <t>https://www.etsy.com/listing/4444096557/daddys-little-caddy-baby-romper-golf?transaction_id=4982207232</t>
  </si>
  <si>
    <t>https://www.etsy.com/listing/4444109928/beach-bum-in-training-baby-romper-summer?transaction_id=4988204482</t>
  </si>
  <si>
    <t>https://www.etsy.com/listing/4451626020/my-first-racing-season-embroidered-baby?transaction_id=4991427110</t>
  </si>
  <si>
    <t>https://www.etsy.com/listing/4444107682/little-slam-dunk-baby-romper-basketball?transaction_id=4991598400</t>
  </si>
  <si>
    <t>https://www.etsy.com/listing/4470578513/daddys-future-baseball-buddy-baby-romper?transaction_id=4995413404</t>
  </si>
  <si>
    <t>sage green</t>
  </si>
  <si>
    <t>https://www.etsy.com/listing/4461645637/custom-name-cat-embroidered-romper?transaction_id=4996371878</t>
  </si>
  <si>
    <t>https://www.etsy.com/listing/4446342577/assistant-coach-embroidered-baby-romper?transaction_id=4996956544</t>
  </si>
  <si>
    <t>https://www.etsy.com/listing/4454899012/apparently-i-like-baseball-baby-romper?transaction_id=5006996189</t>
  </si>
  <si>
    <t>https://www.etsy.com/listing/4470582926/daddys-future-soccer-buddy-baby-romper?transaction_id=4998854574</t>
  </si>
  <si>
    <t>12-18M(Short Sleeve)</t>
  </si>
  <si>
    <t>https://www.etsy.com/listing/4469990179/crawl-walk-tennis-baby-romper-tennis?transaction_id=5000088562</t>
  </si>
  <si>
    <t>https://www.etsy.com/listing/4448380248/see-you-on-the-court-baby-romper?transaction_id=5010382655</t>
  </si>
  <si>
    <t>https://www.etsy.com/listing/4467396310/little-racer-embroidered-baby-romper?transaction_id=5011787949</t>
  </si>
  <si>
    <t>Sage Green</t>
  </si>
  <si>
    <t xml:space="preserve"> 0-3M(Short Sleeve)</t>
  </si>
  <si>
    <t>https://www.etsy.com/listing/4454899012/apparently-i-like-baseball-baby-romper?transaction_id=5015447162</t>
  </si>
  <si>
    <t>https://www.etsy.com/listing/4469990856/apparently-i-like-basketball-baby-romper?transaction_id=5032408273</t>
  </si>
  <si>
    <t>white</t>
  </si>
  <si>
    <t>https://www.etsy.com/listing/4469480573/daddys-little-digger-embroidered-baby?transaction_id=5024051254</t>
  </si>
  <si>
    <t>https://www.etsy.com/listing/4482243976/i-call-the-shots-baby-romper-funny?transaction_id=5034685549</t>
  </si>
  <si>
    <t>https://www.etsy.com/listing/4444103023/crawl-walk-snowmobile-baby-romper-funny?transaction_id=5024368100</t>
  </si>
  <si>
    <t>https://www.etsy.com/listing/4461647435/daddys-little-co-pilot-baby-romper?transaction_id=5036488419</t>
  </si>
  <si>
    <t>https://www.etsy.com/listing/4485588168/new-to-the-club-baby-romper-golf-baby?transaction_id=5037845985</t>
  </si>
  <si>
    <t>https://www.etsy.com/listing/4485589345/the-littlest-hiking-club-member-baby?transaction_id=5027348540</t>
  </si>
  <si>
    <t>https://www.etsy.com/listing/4482244700/apparently-i-like-tennis-baby-romper?transaction_id=5028621088</t>
  </si>
  <si>
    <t>https://www.etsy.com/listing/4482822167/born-to-golf-with-daddy-baby-romper-golf?transaction_id=5028624846</t>
  </si>
  <si>
    <t>https://www.etsy.com/listing/4468935508/tennis-queen-embroidered-baby-romper?transaction_id=5046577543</t>
  </si>
  <si>
    <t>https://www.etsy.com/listing/4475336563/my-daddy-is-faster-than-your-daddy-baby?transaction_id=5049444417</t>
  </si>
  <si>
    <t>https://www.etsy.com/listing/4461643687/daddys-future-lifting-buddy-embroidered?transaction_id=5053955335</t>
  </si>
  <si>
    <t xml:space="preserve"> Sage Green</t>
  </si>
  <si>
    <t>https://www.etsy.com/listing/4489487943/daddys-soccer-buddy-baby-romper-funny?transaction_id=5057094793</t>
  </si>
  <si>
    <t>https://www.etsy.com/listing/4481185031/apparently-i-like-soccer-baby-romper?transaction_id=5046748949</t>
  </si>
  <si>
    <t>https://www.etsy.com/listing/4469988427/daddys-tennis-buddy-baby-romper-tennis?transaction_id=5058944843</t>
  </si>
  <si>
    <t>https://www.etsy.com/listing/4461643687/daddys-future-lifting-buddy-embroidered?transaction_id=5046811588</t>
  </si>
  <si>
    <t>https://www.etsy.com/listing/4490501214/little-cycling-club-baby-romper-bicycle?transaction_id=5065323629</t>
  </si>
  <si>
    <t>https://www.etsy.com/listing/4475336563/my-daddy-is-faster-than-your-daddy-baby?transaction_id=5056677068</t>
  </si>
  <si>
    <t xml:space="preserve"> 6-12M(Short Sleeve)</t>
  </si>
  <si>
    <t>https://www.etsy.com/listing/4482244700/apparently-i-like-tennis-baby-romper?transaction_id=5073031741</t>
  </si>
  <si>
    <t>https://www.etsy.com/listing/4489486323/daddys-running-buddy-baby-romper-funny?transaction_id=5060714182</t>
  </si>
  <si>
    <t>https://www.etsy.com/listing/4444093935/its-in-my-dna-baseball-baby-romper?transaction_id=5074856931</t>
  </si>
  <si>
    <t>https://www.etsy.com/listing/4489486323/daddys-running-buddy-baby-romper-funny?transaction_id=5076450535</t>
  </si>
  <si>
    <t>https://www.etsy.com/listing/4461643687/daddys-future-lifting-buddy-embroidered?transaction_id=5077348049</t>
  </si>
  <si>
    <t>https://www.etsy.com/listing/4492117324/red-hot-silly-peppers-baby-romper-funny</t>
  </si>
  <si>
    <t>https://www.etsy.com/listing/4489486323/daddys-running-buddy-baby-romper-funny</t>
  </si>
  <si>
    <t>https://www.etsy.com/listing/4477967584/daddys-future-lifting-partner-baby</t>
  </si>
  <si>
    <t>Norway</t>
  </si>
  <si>
    <t>https://www.etsy.com/listing/4470584184/daddys-future-basketball-buddy-baby</t>
  </si>
  <si>
    <t>https://www.etsy.com/listing/4482244700/apparently-i-like-tennis-baby-romper</t>
  </si>
  <si>
    <t>https://www.etsy.com/listing/4490501214/little-cycling-club-baby-romper-bicycle</t>
  </si>
  <si>
    <t>https://www.etsy.com/listing/4504143517/daddys-lil-caddy-baby-romper-golf-baby?transaction_id=5081707209</t>
  </si>
  <si>
    <t>https://www.etsy.com/listing/4468938480/milk-then-burpees-baby-romper-funny-gym?transaction_id=5083460743</t>
  </si>
  <si>
    <t xml:space="preserve"> Caldet Blue</t>
  </si>
  <si>
    <t>https://www.etsy.com/listing/4482244700/apparently-i-like-tennis-baby-romper?transaction_id=5085199419</t>
  </si>
  <si>
    <t>https://www.etsy.com/listing/4472714633/dont-mess-with-me-my-dad-is-a-biker-baby?transaction_id=5076122774</t>
  </si>
  <si>
    <t>https://www.etsy.com/listing/4472711941/mommys-future-lifting-partner-baby?transaction_id=5076795932</t>
  </si>
  <si>
    <t>https://www.etsy.com/listing/4467395398/shhh-im-watching-moto-gp-with-daddy?transaction_id=5091692683</t>
  </si>
  <si>
    <t>https://www.etsy.com/listing/4482244700/apparently-i-like-tennis-baby-romper?transaction_id=5093792951</t>
  </si>
  <si>
    <t>12-18M(Long Sleeve)</t>
  </si>
  <si>
    <t>https://www.etsy.com/listing/4444716500/golf-baby-romper-with-embroidered-golf?transaction_id=5081702122</t>
  </si>
  <si>
    <t>sage Green</t>
  </si>
  <si>
    <t>https://www.etsy.com/listing/4508230429/nap-milk-lift-repeat-embroidered-baby?transaction_id=5083079720</t>
  </si>
  <si>
    <t>https://www.etsy.com/listing/4480604492/new-to-the-club-tennis-baby-romper?transaction_id=5083674476</t>
  </si>
  <si>
    <t>https://www.etsy.com/listing/4488820349/little-muggle-baby-romper-funny-baby?transaction_id=5084934502</t>
  </si>
  <si>
    <t>https://www.etsy.com/listing/4513106219/new-to-the-crew-embroidered-romper?transaction_id=5096916007</t>
  </si>
  <si>
    <t>https://www.etsy.com/listing/4512152650/custom-pet-photo-embroidered-romper?transaction_id=5085601432</t>
  </si>
  <si>
    <t>https://www.etsy.com/listing/4513575160/i-love-you-from-my-head-to-ma-toes?transaction_id=5086499618</t>
  </si>
  <si>
    <t>https://www.etsy.com/listing/4512152650/custom-pet-photo-embroidered-romper?transaction_id=5086862588</t>
  </si>
  <si>
    <t>https://www.etsy.com/listing/4508232934/daddys-tennis-partner-embroidered-baby?transaction_id=5087078406</t>
  </si>
  <si>
    <t>https://www.etsy.com/listing/4512152650/custom-pet-photo-embroidered-romper?transaction_id=5087403632</t>
  </si>
  <si>
    <t>https://www.etsy.com/listing/4512154554/custom-dog-photo-embroidered-romper?transaction_id=5087403630</t>
  </si>
  <si>
    <t>https://www.etsy.com/listing/4513106219/new-to-the-crew-embroidered-romper?transaction_id=5087488262</t>
  </si>
  <si>
    <t>https://www.etsy.com/listing/4512150138/custom-name-4th-of-july-embroidered?transaction_id=5098744079</t>
  </si>
  <si>
    <t>18-24M(Short Sleeve)</t>
  </si>
  <si>
    <t>https://www.etsy.com/listing/4513581555/first-edition-published-2026-embroidered?transaction_id=5098905567</t>
  </si>
  <si>
    <t>https://www.etsy.com/listing/4468924347/daddys-basketball-buddy-embroidered-baby?transaction_id=5098914959</t>
  </si>
  <si>
    <t>https://www.etsy.com/listing/4512678167/custom-golf-baby-embroidered-romper?transaction_id=5088215722</t>
  </si>
  <si>
    <t>https://www.etsy.com/listing/4461649232/daddys-co-captain-baby-romper-nautical?transaction_id=5099856555</t>
  </si>
  <si>
    <t>https://www.etsy.com/listing/4513575160/i-love-you-from-my-head-to-ma-toes?transaction_id=5100151551</t>
  </si>
  <si>
    <t>https://www.etsy.com/listing/4485588168/new-to-the-club-baby-romper-golf-baby?transaction_id=5100734733</t>
  </si>
  <si>
    <t>https://www.etsy.com/listing/4512154554/custom-dog-photo-embroidered-romper?transaction_id=5089854282</t>
  </si>
  <si>
    <t>https://www.etsy.com/listing/4513589331/daddys-little-gaming-buddy-embroidered?transaction_id=5090065934</t>
  </si>
  <si>
    <t>Mauve Taupe</t>
  </si>
  <si>
    <t>https://www.etsy.com/listing/4512678167/custom-golf-baby-embroidered-romper?transaction_id=5090583480</t>
  </si>
  <si>
    <t>https://www.etsy.com/listing/4512154554/custom-dog-photo-embroidered-romper?transaction_id=5090625938</t>
  </si>
  <si>
    <t>https://www.etsy.com/listing/4512484234/little-shredder-club-embroidered-baby?transaction_id=5091366086</t>
  </si>
  <si>
    <t xml:space="preserve"> Forest Green</t>
  </si>
  <si>
    <t>https://www.etsy.com/listing/4512060972/custom-photo-embroidered-romper?transaction_id=5102728827</t>
  </si>
  <si>
    <t>coffee</t>
  </si>
  <si>
    <t>https://www.etsy.com/listing/4513585456/mommys-reading-buddy-embroidered-baby?transaction_id=5102739747</t>
  </si>
  <si>
    <t>https://www.etsy.com/listing/4512060972/custom-photo-embroidered-romper?transaction_id=5092192290</t>
  </si>
  <si>
    <t>https://www.etsy.com/listing/4490501214/little-cycling-club-baby-romper-bicycle?transaction_id=5092609604</t>
  </si>
  <si>
    <t>https://www.etsy.com/listing/4513108125/new-to-the-hunting-crew-embroidered?transaction_id=5092822608</t>
  </si>
  <si>
    <t>https://www.etsy.com/listing/4489486323/daddys-running-buddy-baby-romper-funny?transaction_id=5103663819</t>
  </si>
  <si>
    <t>https://www.etsy.com/listing/4512145264/custom-dog-photo-embroidered-romper?transaction_id=5104290691</t>
  </si>
  <si>
    <t>https://www.etsy.com/listing/4514971670/daddys-copilot-baby-romper-pilot-baby?transaction_id=5104645899</t>
  </si>
  <si>
    <t>https://www.etsy.com/listing/4513104471/new-to-the-fishing-crew-embroidered?transaction_id=5104645897</t>
  </si>
  <si>
    <t>https://www.etsy.com/listing/4514972016/daddys-copilot-baby-romper-airplane?transaction_id=5094042168</t>
  </si>
  <si>
    <t>3-6M(Long Sleeve</t>
  </si>
  <si>
    <t>https://www.etsy.com/listing/4514972016/daddys-copilot-baby-romper-airplane?transaction_id=5105965591</t>
  </si>
  <si>
    <t>https://www.etsy.com/listing/4516827753/new-to-the-hive-baby-bodysuit-bee-baby?transaction_id=5096011416</t>
  </si>
  <si>
    <t>https://www.etsy.com/listing/4513100217/my-kind-of-formula-embroidered-romper?transaction_id=5106387293</t>
  </si>
  <si>
    <t>https://www.etsy.com/listing/4516843071/cutest-by-par-baby-bodysuit-golf-baby?transaction_id=5106666007</t>
  </si>
  <si>
    <t>https://www.etsy.com/listing/4511393612/tiny-tee-time-club-romper-golf-baby?transaction_id=5106666005</t>
  </si>
  <si>
    <t>https://www.etsy.com/listing/4512152650/custom-pet-photo-embroidered-romper?transaction_id=5096564610</t>
  </si>
  <si>
    <t>https://www.etsy.com/listing/4513585456/mommys-reading-buddy-embroidered-baby?transaction_id=5096813896</t>
  </si>
  <si>
    <t>CReam</t>
  </si>
  <si>
    <t>https://www.etsy.com/listing/4513575160/i-love-you-from-my-head-to-ma-toes?transaction_id=5097034812</t>
  </si>
  <si>
    <t>https://www.etsy.com/listing/4513100217/my-kind-of-formula-embroidered-romper?transaction_id=5107503845</t>
  </si>
  <si>
    <t>https://www.etsy.com/listing/4512484234/little-shredder-club-embroidered-baby?transaction_id=5097562804</t>
  </si>
  <si>
    <t>https://www.etsy.com/listing/4513572207/spicy-like-my-mama-embroidered-baby?transaction_id=5107755925</t>
  </si>
  <si>
    <t>https://www.etsy.com/listing/4513585456/mommys-reading-buddy-embroidered-baby?transaction_id=5097769070</t>
  </si>
  <si>
    <t>https://www.etsy.com/listing/4513104471/new-to-the-fishing-crew-embroidered?transaction_id=5107885381</t>
  </si>
  <si>
    <t>https://www.etsy.com/listing/4513104471/new-to-the-fishing-crew-embroidered?transaction_id=5107901427</t>
  </si>
  <si>
    <t>https://www.etsy.com/listing/4511393323/the-littlest-soccer-fan-romper-soccer?transaction_id=5097878500</t>
  </si>
  <si>
    <t>https://www.etsy.com/listing/4512152650/custom-pet-photo-embroidered-romper?transaction_id=5098027806</t>
  </si>
  <si>
    <t>https://www.etsy.com/listing/4513104471/new-to-the-fishing-crew-embroidered?transaction_id=5108532299</t>
  </si>
  <si>
    <t>https://www.etsy.com/listing/4513575160/i-love-you-from-my-head-to-ma-toes?transaction_id=5098593642</t>
  </si>
  <si>
    <t>https://www.etsy.com/listing/4515499602/little-cannoli-embroidered-baby-romper?transaction_id=5109454067</t>
  </si>
  <si>
    <t>https://www.etsy.com/listing/4470575759/future-soccer-star-baby-romper-soccer?transaction_id=5109468183</t>
  </si>
  <si>
    <t>https://www.etsy.com/listing/4512152650/custom-pet-photo-embroidered-romper?transaction_id=5099652396</t>
  </si>
  <si>
    <t>https://www.etsy.com/listing/4513106219/new-to-the-crew-embroidered-romper?transaction_id=5109898553</t>
  </si>
  <si>
    <t>https://www.etsy.com/listing/4513104471/new-to-the-fishing-crew-embroidered?transaction_id=5100180204</t>
  </si>
  <si>
    <t>https://www.etsy.com/listing/4490501214/little-cycling-club-baby-romper-bicycle?transaction_id=5110118139</t>
  </si>
  <si>
    <t>https://www.etsy.com/listing/4513598780/born-to-ride-with-my-daddy-embroidered?transaction_id=5110204375</t>
  </si>
  <si>
    <t>https://www.etsy.com/listing/4513578484/small-fry-embroidered-baby-bodysuit?transaction_id=5110225427</t>
  </si>
  <si>
    <t>https://www.etsy.com/listing/4513104471/new-to-the-fishing-crew-embroidered?transaction_id=5100610714</t>
  </si>
  <si>
    <t>https://www.etsy.com/listing/4516843071/cutest-by-par-baby-bodysuit-golf-baby?transaction_id=5100855854</t>
  </si>
  <si>
    <t>Salmon</t>
  </si>
  <si>
    <t>https://www.etsy.com/listing/4515617121/the-littlest-book-club-member?transaction_id=5101181150</t>
  </si>
  <si>
    <t>https://www.etsy.com/listing/4444097981/daddys-tiny-striker-baby-romper-soccer?transaction_id=5101207676</t>
  </si>
  <si>
    <t>https://www.etsy.com/listing/4472714633/dont-mess-with-me-my-dad-is-a-biker-baby?transaction_id=5110960965</t>
  </si>
  <si>
    <t>https://www.etsy.com/listing/4513018518/little-road-warrior-baby-romper?transaction_id=5101232876</t>
  </si>
  <si>
    <t>https://www.etsy.com/listing/4512152650/custom-pet-photo-embroidered-romper?transaction_id=5111024987</t>
  </si>
  <si>
    <t>https://www.etsy.com/listing/4513578484/small-fry-embroidered-baby-bodysuit?transaction_id=5111062631</t>
  </si>
  <si>
    <t>https://www.etsy.com/listing/4516286907/newest-workout-buddy-embroidered-baby?transaction_id=5111069453</t>
  </si>
  <si>
    <t>https://www.etsy.com/listing/4518304165/the-best-miracles-take-a-little-time?transaction_id=5111161923</t>
  </si>
  <si>
    <t>https://www.etsy.com/listing/4520537503/custom-baby-romper-personalized?transaction_id=5101635550</t>
  </si>
  <si>
    <t>https://www.etsy.com/listing/4512152650/custom-pet-photo-embroidered-romper?transaction_id=5101981938</t>
  </si>
  <si>
    <t>https://www.etsy.com/listing/4512152650/custom-pet-photo-embroidered-romper?transaction_id=5111674143</t>
  </si>
  <si>
    <t>https://www.etsy.com/listing/4444631598/first-edition-published-2026-embroidered?transaction_id=4944380131</t>
  </si>
  <si>
    <t>https://www.etsy.com/listing/4444631598/first-edition-published-2026-embroidered?transaction_id=4944423961</t>
  </si>
  <si>
    <t>https://www.etsy.com/listing/4444631598/first-edition-published-2026-embroidered?transaction_id=4935047224</t>
  </si>
  <si>
    <t>https://www.etsy.com/listing/4445823088/its-alright-to-be-a-little-bitty?transaction_id=4953144105</t>
  </si>
  <si>
    <t>https://www.etsy.com/listing/4444656323/no-thoughts-only-potato-embroidered-baby?transaction_id=4944282348</t>
  </si>
  <si>
    <t>https://www.etsy.com/listing/4444663232/walking-bread-embroidered-baby-bodysuit?transaction_id=4957427797</t>
  </si>
  <si>
    <t>https://www.etsy.com/listing/4445823392/future-firefighter-embroidered-baby?transaction_id=4958087003</t>
  </si>
  <si>
    <t>https://www.etsy.com/listing/4445820850/newest-member-of-the-band-embroidered?transaction_id=4948162586</t>
  </si>
  <si>
    <t>https://www.etsy.com/listing/4444631598/first-edition-published-2026-embroidered?transaction_id=4948240154</t>
  </si>
  <si>
    <t>https://www.etsy.com/listing/4449065874/books-and-coffee-embroidered-baby?transaction_id=4952152258</t>
  </si>
  <si>
    <t>https://www.etsy.com/listing/4444654013/you-are-the-notes-to-my-heart?transaction_id=4962825555</t>
  </si>
  <si>
    <t>https://www.etsy.com/listing/4451637685/little-foodie-embroidered-baby-bodysuit?transaction_id=4953851572</t>
  </si>
  <si>
    <t>https://www.etsy.com/listing/4444631598/first-edition-published-2026-embroidered?transaction_id=4954716208</t>
  </si>
  <si>
    <t>https://www.etsy.com/listing/4451637931/i-love-to-read-wine-labels-embroidered?transaction_id=4966999847</t>
  </si>
  <si>
    <t>https://www.etsy.com/listing/4444631598/first-edition-published-2026-embroidered?transaction_id=4957341868</t>
  </si>
  <si>
    <t>https://www.etsy.com/listing/4445844080/apparently-i-like-fish-embroidered-baby?transaction_id=4958745760</t>
  </si>
  <si>
    <t>Denmark</t>
  </si>
  <si>
    <t>https://www.etsy.com/listing/4445848948/jazz-baby-bodysuit-embroidered-saxophone?transaction_id=4959382068</t>
  </si>
  <si>
    <t>https://www.etsy.com/listing/4445850114/the-littlest-book-club-member-baby?transaction_id=4960221064</t>
  </si>
  <si>
    <t>https://www.etsy.com/listing/4445850114/the-littlest-book-club-member-baby?transaction_id=4970812147</t>
  </si>
  <si>
    <t>https://www.etsy.com/listing/4445823392/future-firefighter-embroidered-baby?transaction_id=4972238399</t>
  </si>
  <si>
    <t>https://www.etsy.com/listing/4444631598/first-edition-published-2026-embroidered?transaction_id=4972033923</t>
  </si>
  <si>
    <t>https://www.etsy.com/listing/4444631598/first-edition-published-2026-embroidered?transaction_id=4979848937</t>
  </si>
  <si>
    <t>https://www.etsy.com/listing/4444659369/future-bookworm-embroidered-baby?transaction_id=4969672358</t>
  </si>
  <si>
    <t>https://www.etsy.com/listing/4444631598/first-edition-published-2026-embroidered?transaction_id=4973100906</t>
  </si>
  <si>
    <t>https://www.etsy.com/listing/4445821812/yes-im-treble-embroidered-baby-bodysuit?transaction_id=4986023643</t>
  </si>
  <si>
    <t>https://www.etsy.com/listing/4445820850/newest-member-of-the-band-embroidered?transaction_id=4976351672</t>
  </si>
  <si>
    <t>https://www.etsy.com/listing/4444631598/first-edition-published-2026-embroidered?transaction_id=4976696854</t>
  </si>
  <si>
    <t>https://www.etsy.com/listing/4445820850/newest-member-of-the-band-embroidered?transaction_id=4983701810</t>
  </si>
  <si>
    <t>https://www.etsy.com/listing/4445844080/apparently-i-like-fish-embroidered-baby?transaction_id=4995674495</t>
  </si>
  <si>
    <t>https://www.etsy.com/listing/4451637630/construction-truck-embroidered-baby?transaction_id=4996874413</t>
  </si>
  <si>
    <t>https://www.etsy.com/listing/4445823088/its-alright-to-be-a-little-bitty?transaction_id=4997012411</t>
  </si>
  <si>
    <t>https://www.etsy.com/listing/4445837519/cant-wait-to-jam-with-daddy-embroidered?transaction_id=4987483098</t>
  </si>
  <si>
    <t>https://www.etsy.com/listing/4445837519/cant-wait-to-jam-with-daddy-embroidered?transaction_id=4990699690</t>
  </si>
  <si>
    <t>https://www.etsy.com/listing/4444631598/first-edition-published-2026-embroidered?transaction_id=4990771302</t>
  </si>
  <si>
    <t>https://www.etsy.com/listing/4466840353/the-littlest-baking-club-member-baby?transaction_id=5002635841</t>
  </si>
  <si>
    <t>https://www.etsy.com/listing/4468994168/listening-to-taylor-with-my-mom-baby?transaction_id=4993235766</t>
  </si>
  <si>
    <t>https://www.etsy.com/listing/4468994168/listening-to-taylor-with-my-mom-baby?transaction_id=4995102250</t>
  </si>
  <si>
    <t>https://www.etsy.com/listing/4470004184/little-lamb-baby-bodysuit-cute-lamb-baby?transaction_id=5006601749</t>
  </si>
  <si>
    <t>https://www.etsy.com/listing/4445820850/newest-member-of-the-band-embroidered?transaction_id=4998504262</t>
  </si>
  <si>
    <t>https://www.etsy.com/listing/4444631598/first-edition-published-2026-embroidered?transaction_id=4999623804</t>
  </si>
  <si>
    <t>https://www.etsy.com/listing/4462719875/rainbow-mini-baby-bodysuit-boho-rainbow?transaction_id=5009858889</t>
  </si>
  <si>
    <t>https://www.etsy.com/listing/4444631598/first-edition-published-2026-embroidered?transaction_id=5009913385</t>
  </si>
  <si>
    <t>https://www.etsy.com/listing/4445812849/born-to-jazz-it-up-embroidered-baby?transaction_id=5000498560</t>
  </si>
  <si>
    <t>https://www.etsy.com/listing/4474936599/is-it-too-soon-to-ask-for-a-guitar-baby?transaction_id=5012031999</t>
  </si>
  <si>
    <t>Sweden</t>
  </si>
  <si>
    <t>https://www.etsy.com/listing/4445823088/its-alright-to-be-a-little-bitty?transaction_id=5012985331</t>
  </si>
  <si>
    <t>https://www.etsy.com/listing/4468963265/our-tiny-love-song-baby-bodysuit-music?transaction_id=5013605597</t>
  </si>
  <si>
    <t>https://www.etsy.com/listing/4445850114/the-littlest-book-club-member-baby?transaction_id=5004070906</t>
  </si>
  <si>
    <t>https://www.etsy.com/listing/4474936599/is-it-too-soon-to-ask-for-a-guitar-baby?transaction_id=5016370289</t>
  </si>
  <si>
    <t>https://www.etsy.com/listing/4474936599/is-it-too-soon-to-ask-for-a-guitar-baby?transaction_id=5010397200</t>
  </si>
  <si>
    <t>https://www.etsy.com/listing/4474303017/new-to-the-soccer-crew-baby-bodysuit?transaction_id=5010293274</t>
  </si>
  <si>
    <t>https://www.etsy.com/listing/4474936599/is-it-too-soon-to-ask-for-a-guitar-baby?transaction_id=5024313039</t>
  </si>
  <si>
    <t>3-6 months</t>
  </si>
  <si>
    <t>https://www.etsy.com/listing/4477984420/cant-wait-to-jam-with-daddy-baby?transaction_id=5014139562</t>
  </si>
  <si>
    <t>https://www.etsy.com/listing/4445823392/future-firefighter-embroidered-baby?transaction_id=5016569082</t>
  </si>
  <si>
    <t>0-3 months</t>
  </si>
  <si>
    <t>https://www.etsy.com/listing/4445814433/music-is-in-my-dna-embroidered-baby?transaction_id=5029101403</t>
  </si>
  <si>
    <t>https://www.etsy.com/listing/4445843132/player-3-has-entered-the-game?transaction_id=5019968686</t>
  </si>
  <si>
    <t>https://www.etsy.com/listing/4475350344/funny-firefighter-baby-bodysuit-mommy?transaction_id=5030940719</t>
  </si>
  <si>
    <t>https://www.etsy.com/listing/4445813613/future-pianist-embroidered-baby-bodysuit?transaction_id=5021525596</t>
  </si>
  <si>
    <t>Luxembourg</t>
  </si>
  <si>
    <t>https://www.etsy.com/listing/4482262637/is-it-too-soon-to-ask-for-a-motorbike?transaction_id=5032606683</t>
  </si>
  <si>
    <t>light blue</t>
  </si>
  <si>
    <t>https://www.etsy.com/listing/4474939594/mommys-little-pierogi-baby-bodysuit-cute?transaction_id=5034017495</t>
  </si>
  <si>
    <t>https://www.etsy.com/listing/4482263561/is-it-too-soon-to-ask-for-a-fishing-pole?transaction_id=5025653790</t>
  </si>
  <si>
    <t>https://www.etsy.com/listing/4466846574/the-littlest-book-club-member-baby?transaction_id=5026793442</t>
  </si>
  <si>
    <t>https://www.etsy.com/listing/4474936599/is-it-too-soon-to-ask-for-a-guitar-baby?transaction_id=5042143997</t>
  </si>
  <si>
    <t>https://www.etsy.com/listing/4444665236/born-to-stand-out-embroidered-baby?transaction_id=5042541631</t>
  </si>
  <si>
    <t>https://www.etsy.com/listing/4468994168/listening-to-taylor-with-my-mom-baby?transaction_id=5032185546</t>
  </si>
  <si>
    <t>https://www.etsy.com/listing/4482268262/is-it-too-soon-to-ask-for-a-pony-baby?transaction_id=5043620155</t>
  </si>
  <si>
    <t>https://www.etsy.com/listing/4474303017/new-to-the-soccer-crew-baby-bodysuit?transaction_id=5032450654</t>
  </si>
  <si>
    <t>https://www.etsy.com/listing/4489495881/music-baby-bodysuit-i-cant-wait-to-jam?transaction_id=5044388547</t>
  </si>
  <si>
    <t>https://www.etsy.com/listing/4485620709/nap-now-jam-later-baby-bodysuit-funny?transaction_id=5044388543</t>
  </si>
  <si>
    <t>https://www.etsy.com/listing/4474303017/new-to-the-soccer-crew-baby-bodysuit?transaction_id=5045519423</t>
  </si>
  <si>
    <t>https://www.etsy.com/listing/4477984420/cant-wait-to-jam-with-daddy-baby?transaction_id=5045545811</t>
  </si>
  <si>
    <t>https://www.etsy.com/listing/4486249378/mommys-voice-is-my-favorite-music-baby?transaction_id=5033935876</t>
  </si>
  <si>
    <t>https://www.etsy.com/listing/4455407010/sing-a-little-song-embroidered-baby?transaction_id=5046349159</t>
  </si>
  <si>
    <t>https://www.etsy.com/listing/4482262915/is-it-too-soon-to-ask-for-a-racket-baby?transaction_id=5047104613</t>
  </si>
  <si>
    <t>https://www.etsy.com/listing/4474936599/is-it-too-soon-to-ask-for-a-guitar-baby?transaction_id=5035261126</t>
  </si>
  <si>
    <t>https://www.etsy.com/listing/4445837519/cant-wait-to-jam-with-daddy-embroidered?transaction_id=5056445213</t>
  </si>
  <si>
    <t>https://www.etsy.com/listing/4482267440/is-it-too-soon-to-ask-for-a-bike-baby?transaction_id=5061815209</t>
  </si>
  <si>
    <t>https://www.etsy.com/listing/4449064143/future-tractor-driver-embroidered-baby?transaction_id=5049132944</t>
  </si>
  <si>
    <t>https://www.etsy.com/listing/4474939594/mommys-little-pierogi-baby-bodysuit-cute?transaction_id=5063070439</t>
  </si>
  <si>
    <t>https://www.etsy.com/listing/4486243785/on-call-for-snacks-baby-bodysuit-funny?transaction_id=5064426787</t>
  </si>
  <si>
    <t>https://www.etsy.com/listing/4485629164/the-littlest-dog-lovers-club-member-baby?transaction_id=5065549629</t>
  </si>
  <si>
    <t>https://www.etsy.com/listing/4482268262/is-it-too-soon-to-ask-for-a-pony-baby?transaction_id=5056108504</t>
  </si>
  <si>
    <t>https://www.etsy.com/listing/4470004184/little-lamb-baby-bodysuit-cute-lamb-baby?transaction_id=5056121936</t>
  </si>
  <si>
    <t>https://www.etsy.com/listing/4475352752/reading-with-mommy-baby-bodysuit-cute?transaction_id=5061492840</t>
  </si>
  <si>
    <t>https://www.etsy.com/listing/4495319713/newest-band-member-baby-bodysuit-music?transaction_id=5074209967</t>
  </si>
  <si>
    <t>https://www.etsy.com/listing/4500801384/little-peanut-baby-bodysuit-embroidered?transaction_id=5074448259</t>
  </si>
  <si>
    <t>https://www.etsy.com/listing/4482262637/is-it-too-soon-to-ask-for-a-motorbike?transaction_id=5062008208</t>
  </si>
  <si>
    <t>https://www.etsy.com/listing/4484984853/baking-with-mommy-baby-bodysuit-cute?transaction_id=5074936985</t>
  </si>
  <si>
    <t>https://www.etsy.com/listing/4473746630/shh-i-am-playing-tennis-with-daddy-baby?transaction_id=5075815835</t>
  </si>
  <si>
    <t xml:space="preserve"> Light Pink</t>
  </si>
  <si>
    <t>https://www.etsy.com/listing/4474936599/is-it-too-soon-to-ask-for-a-guitar-baby?transaction_id=5063640098</t>
  </si>
  <si>
    <t>https://www.etsy.com/listing/4465222631/born-to-play-tennis-like-my-daddy?transaction_id=5064002796</t>
  </si>
  <si>
    <t>https://www.etsy.com/listing/4482262637/is-it-too-soon-to-ask-for-a-motorbike?transaction_id=5077110745</t>
  </si>
  <si>
    <t xml:space="preserve"> 3-6 months</t>
  </si>
  <si>
    <t>https://www.etsy.com/listing/4445846846/daddys-future-golf-buddy-embroidered?transaction_id=5066325626</t>
  </si>
  <si>
    <t>https://www.etsy.com/listing/4495319713/newest-band-member-baby-bodysuit-music?transaction_id=5069039850</t>
  </si>
  <si>
    <t>https://www.etsy.com/listing/4500799949/beach-baby-baby-bodysuit-embroidered?transaction_id=5072888378</t>
  </si>
  <si>
    <t>https://www.etsy.com/listing/4468994168/listening-to-taylor-with-my-mom-baby?transaction_id=5086355273</t>
  </si>
  <si>
    <t>https://www.etsy.com/listing/4482262637/is-it-too-soon-to-ask-for-a-motorbike?transaction_id=5076975614</t>
  </si>
  <si>
    <t>https://www.etsy.com/listing/4468994168/listening-to-taylor-with-my-mom-baby?transaction_id=5077056620</t>
  </si>
  <si>
    <t>https://www.etsy.com/listing/4482267440/is-it-too-soon-to-ask-for-a-bike-baby?transaction_id=5090041385</t>
  </si>
  <si>
    <t>https://www.etsy.com/listing/4484990810/little-baker-baby-bodysuit-cute-baking?transaction_id=5090369365</t>
  </si>
  <si>
    <t>https://www.etsy.com/listing/4466846574/the-littlest-book-club-member-baby?transaction_id=5090508013</t>
  </si>
  <si>
    <t>https://www.etsy.com/listing/4500801384/little-peanut-baby-bodysuit-embroidered?transaction_id=5090539511</t>
  </si>
  <si>
    <t>https://www.etsy.com/listing/4504134080/brunch-club-embroidered-baby-bodysuit?transaction_id=5091387857</t>
  </si>
  <si>
    <t>https://www.etsy.com/listing/4474939594/mommys-little-pierogi-baby-bodysuit-cute?transaction_id=5091718405</t>
  </si>
  <si>
    <t>https://www.etsy.com/listing/4468994168/listening-to-taylor-with-my-mom-baby?transaction_id=5080025846</t>
  </si>
  <si>
    <t>https://www.etsy.com/listing/4484984853/baking-with-mommy-baby-bodysuit-cute?transaction_id=5080298630</t>
  </si>
  <si>
    <t>https://www.etsy.com/listing/4468994168/listening-to-taylor-with-my-mom-baby?transaction_id=5093572063</t>
  </si>
  <si>
    <t>https://www.etsy.com/listing/4500801384/little-peanut-baby-bodysuit-embroidered?transaction_id=5081464834</t>
  </si>
  <si>
    <t>https://www.etsy.com/listing/4482262637/is-it-too-soon-to-ask-for-a-motorbike?transaction_id=5093904381</t>
  </si>
  <si>
    <t>https://www.etsy.com/listing/4500799949/beach-baby-baby-bodysuit-embroidered?transaction_id=5082659828</t>
  </si>
  <si>
    <t>https://www.etsy.com/listing/4504123979/is-it-too-soon-to-ask-for-a-violin?transaction_id=5095177231</t>
  </si>
  <si>
    <t>https://www.etsy.com/listing/4482267440/is-it-too-soon-to-ask-for-a-bike-baby?transaction_id=5084641598</t>
  </si>
  <si>
    <t>https://www.etsy.com/listing/4508225352/daddys-tennis-buddy-embroidered-baby?transaction_id=5085567972</t>
  </si>
  <si>
    <t>https://www.etsy.com/listing/4445850114/the-littlest-book-club-member-baby?transaction_id=5086261024</t>
  </si>
  <si>
    <t>https://www.etsy.com/listing/4445813825/grandpas-future-sailing-buddy?transaction_id=5089352856</t>
  </si>
  <si>
    <t>https://www.etsy.com/listing/4482268262/is-it-too-soon-to-ask-for-a-pony-baby?transaction_id=5089736186</t>
  </si>
  <si>
    <t>https://www.etsy.com/listing/4444655159/do-not-kiss-me-if-im-nacho-baby?transaction_id=5090309072</t>
  </si>
  <si>
    <t>https://www.etsy.com/listing/4482268262/is-it-too-soon-to-ask-for-a-pony-baby?transaction_id=5091550196</t>
  </si>
  <si>
    <t>https://www.etsy.com/listing/4496558503/cant-wait-to-jam-with-daddy-baby?transaction_id=5091566986</t>
  </si>
  <si>
    <t>https://www.etsy.com/listing/4509977914/little-book-dragon-embroidered-baby?transaction_id=5104020737</t>
  </si>
  <si>
    <t>https://www.etsy.com/listing/4476223868/im-proof-my-mommy-cant-resist?transaction_id=5093340234</t>
  </si>
  <si>
    <t>https://www.etsy.com/listing/4482267440/is-it-too-soon-to-ask-for-a-bike-baby?transaction_id=5105484447</t>
  </si>
  <si>
    <t>https://www.etsy.com/listing/4508225352/daddys-tennis-buddy-embroidered-baby?transaction_id=5106250741</t>
  </si>
  <si>
    <t>https://www.etsy.com/listing/4476223868/im-proof-my-mommy-cant-resist?transaction_id=5096291434</t>
  </si>
  <si>
    <t>https://www.etsy.com/listing/4472680499/shhh-i-am-playing-drums-with-daddy-baby?transaction_id=5096302910</t>
  </si>
  <si>
    <t>https://www.etsy.com/listing/4489495881/music-baby-bodysuit-i-cant-wait-to-jam?transaction_id=5096302908</t>
  </si>
  <si>
    <t>https://www.etsy.com/listing/4504126615/is-it-too-soon-to-ask-for-a-trumpet?transaction_id=5097729064</t>
  </si>
  <si>
    <t>https://www.etsy.com/listing/4465185824/born-to-play-hockey-like-my-daddy?transaction_id=5108113061</t>
  </si>
  <si>
    <t>https://www.etsy.com/listing/4484990810/little-baker-baby-bodysuit-cute-baking?transaction_id=5099336804</t>
  </si>
  <si>
    <t>https://www.etsy.com/listing/4500801384/little-peanut-baby-bodysuit-embroidered?transaction_id=5110142311</t>
  </si>
  <si>
    <t>https://www.etsy.com/listing/4482267440/is-it-too-soon-to-ask-for-a-bike-baby?transaction_id=5112569401</t>
  </si>
  <si>
    <t>https://www.etsy.com/listing/4496554253/the-littlest-book-club-baby-bodysuit?transaction_id=5114125107</t>
  </si>
  <si>
    <t>https://www.etsy.com/listing/4445837519/cant-wait-to-jam-with-daddy-embroidered?transaction_id=5105433824</t>
  </si>
  <si>
    <t>https://www.etsy.com/listing/4504126615/is-it-too-soon-to-ask-for-a-trumpet?transaction_id=5115370109</t>
  </si>
  <si>
    <t>https://www.etsy.com/listing/4509977914/little-book-dragon-embroidered-baby?transaction_id=5106483632</t>
  </si>
  <si>
    <t>https://www.etsy.com/listing/4445837519/cant-wait-to-jam-with-daddy-embroidered?transaction_id=5106544186</t>
  </si>
  <si>
    <t>https://www.etsy.com/listing/4482258711/is-it-too-soon-to-ask-for-a-stethoscope?transaction_id=5106547874</t>
  </si>
  <si>
    <t>https://www.etsy.com/listing/4436476647/golf-baby-romper-embroidered-golf-theme?transaction_id=4923919551</t>
  </si>
  <si>
    <t xml:space="preserve"> 18-24M(Long Sleeve)</t>
  </si>
  <si>
    <t>https://www.etsy.com/listing/4432961851/my-daddy-plays-in-the-dirt-baby-romper?transaction_id=4913320884</t>
  </si>
  <si>
    <t>https://www.etsy.com/listing/4432954535/my-other-car-seat-is-on-the-golf-cart?transaction_id=4931004395</t>
  </si>
  <si>
    <t>https://www.etsy.com/listing/4436466725/custom-name-sailboat-embroidered-romper?transaction_id=4932433079</t>
  </si>
  <si>
    <t>https://www.etsy.com/listing/4437040487/music-baby-romper-cant-wait-to-jam-with?transaction_id=4919854232</t>
  </si>
  <si>
    <t>https://www.etsy.com/listing/4432961851/my-daddy-plays-in-the-dirt-baby-romper?transaction_id=4934970985</t>
  </si>
  <si>
    <t>https://www.etsy.com/listing/4442029176/embroidered-baby-romper-tennis-flower?transaction_id=4926660340</t>
  </si>
  <si>
    <t>https://www.etsy.com/listing/4440230726/crawl-walk-snowmobile-baby-romper?transaction_id=4938989535</t>
  </si>
  <si>
    <t>https://www.etsy.com/listing/4442026118/future-triathlete-baby-romper-swim-bike?transaction_id=4928835778</t>
  </si>
  <si>
    <t>https://www.etsy.com/listing/4437022788/custom-name-embroidered-baby-romper-new?transaction_id=4940756781</t>
  </si>
  <si>
    <t>https://www.etsy.com/listing/4438215259/flying-is-fun-embroidered-baby-romper?transaction_id=4942964849</t>
  </si>
  <si>
    <t>https://www.etsy.com/listing/4436958179/whaley-cute-embroidered-baby-romper-cute?transaction_id=4933574376</t>
  </si>
  <si>
    <t>https://www.etsy.com/listing/4432961851/my-daddy-plays-in-the-dirt-baby-romper?transaction_id=4946163151</t>
  </si>
  <si>
    <t>https://www.etsy.com/listing/4432968408/olive-you-embroidered-baby-romper-cute?transaction_id=4936731228</t>
  </si>
  <si>
    <t>https://www.etsy.com/listing/4437038588/soccer-baby-romper-future-goal-getter?transaction_id=4936703400</t>
  </si>
  <si>
    <t>https://www.etsy.com/listing/4432968408/olive-you-embroidered-baby-romper-cute?transaction_id=4950322557</t>
  </si>
  <si>
    <t>https://www.etsy.com/listing/4436466725/custom-name-sailboat-embroidered-romper?transaction_id=4955706739</t>
  </si>
  <si>
    <t>https://www.etsy.com/listing/4440230726/crawl-walk-snowmobile-baby-romper?transaction_id=4945118032</t>
  </si>
  <si>
    <t xml:space="preserve"> 6-12M(Long Sleeve)</t>
  </si>
  <si>
    <t>https://www.etsy.com/listing/4437037794/basketball-baby-romper-little-slam-dunk?transaction_id=4945635468</t>
  </si>
  <si>
    <t>https://www.etsy.com/listing/4436470734/custom-name-rocking-horse-embroidered?transaction_id=4957266437</t>
  </si>
  <si>
    <t>https://www.etsy.com/listing/4440191236/pasta-baby-romper-embroidered-italian?transaction_id=4947377688</t>
  </si>
  <si>
    <t>https://www.etsy.com/listing/4437038588/soccer-baby-romper-future-goal-getter?transaction_id=4961002289</t>
  </si>
  <si>
    <t>https://www.etsy.com/listing/4435900956/tiger-pride-baby-romper-cute-animal?transaction_id=4951539462</t>
  </si>
  <si>
    <t>https://www.etsy.com/listing/4432963344/little-sunshine-embroidered-baby-romper?transaction_id=4951570744</t>
  </si>
  <si>
    <t>https://www.etsy.com/listing/4440204157/short-stack-baby-romper-embroidered?transaction_id=4952855058</t>
  </si>
  <si>
    <t>Texas Orange</t>
  </si>
  <si>
    <t>https://www.etsy.com/listing/4430529160/hello-embroidered-baby-romper-minimal?transaction_id=4966743301</t>
  </si>
  <si>
    <t>https://www.etsy.com/listing/4432961851/my-daddy-plays-in-the-dirt-baby-romper?transaction_id=4956690964</t>
  </si>
  <si>
    <t>https://www.etsy.com/listing/4432963818/here-comes-the-son-embroidered-baby?transaction_id=4968118643</t>
  </si>
  <si>
    <t>https://www.etsy.com/listing/4437014789/born-to-play-basketball-baby-romper?transaction_id=4971947567</t>
  </si>
  <si>
    <t>https://www.etsy.com/listing/4432961851/my-daddy-plays-in-the-dirt-baby-romper?transaction_id=4965112512</t>
  </si>
  <si>
    <t>https://www.etsy.com/listing/4436466725/custom-name-sailboat-embroidered-romper?transaction_id=4980395753</t>
  </si>
  <si>
    <t>https://www.etsy.com/listing/4432961851/my-daddy-plays-in-the-dirt-baby-romper?transaction_id=4974360398</t>
  </si>
  <si>
    <t>https://www.etsy.com/listing/4436466725/custom-name-sailboat-embroidered-romper?transaction_id=5005373963</t>
  </si>
  <si>
    <t>https://www.etsy.com/listing/4436466725/custom-name-sailboat-embroidered-romper?transaction_id=5005817105</t>
  </si>
  <si>
    <t>https://www.etsy.com/listing/4432968408/olive-you-embroidered-baby-romper-cute?transaction_id=5006239025</t>
  </si>
  <si>
    <t>https://www.etsy.com/listing/4435899921/clean-up-crew-baby-romper-cute-puppy?transaction_id=5007479309</t>
  </si>
  <si>
    <t>https://www.etsy.com/listing/4435899921/clean-up-crew-baby-romper-cute-puppy?transaction_id=4997522262</t>
  </si>
  <si>
    <t>https://www.etsy.com/listing/4432961851/my-daddy-plays-in-the-dirt-baby-romper?transaction_id=4998711516</t>
  </si>
  <si>
    <t>https://www.etsy.com/listing/4432961851/my-daddy-plays-in-the-dirt-baby-romper?transaction_id=5006495198</t>
  </si>
  <si>
    <t xml:space="preserve"> Texas Orange</t>
  </si>
  <si>
    <t>https://www.etsy.com/listing/4436477682/custom-name-hot-air-balloon-embroidered?transaction_id=5007162768</t>
  </si>
  <si>
    <t>https://www.etsy.com/listing/4432961851/my-daddy-plays-in-the-dirt-baby-romper?transaction_id=5024840049</t>
  </si>
  <si>
    <t>SAGE GREEN</t>
  </si>
  <si>
    <t>https://www.etsy.com/listing/4437034638/funny-bowling-baby-romper-its-in-my-dna?transaction_id=5018278062</t>
  </si>
  <si>
    <t>https://www.etsy.com/listing/4477977946/apparently-i-like-f1-baby-romper-funny?transaction_id=5023178310</t>
  </si>
  <si>
    <t>https://www.etsy.com/listing/4436965790/daddys-future-riding-buddy-embroidered?transaction_id=5023195012</t>
  </si>
  <si>
    <t>https://www.etsy.com/listing/4436476647/golf-baby-romper-embroidered-golf-theme?transaction_id=5035725219</t>
  </si>
  <si>
    <t>https://www.etsy.com/listing/4476202378/daddys-sous-chef-baby-romper-funny?transaction_id=5025405440</t>
  </si>
  <si>
    <t>https://www.etsy.com/listing/4442028834/embroidered-baby-romper-happy-birdie?transaction_id=5039923681</t>
  </si>
  <si>
    <t>https://www.etsy.com/listing/4442020794/cute-little-stinker-baby-romper-funny?transaction_id=5029335016</t>
  </si>
  <si>
    <t>https://www.etsy.com/listing/4477977946/apparently-i-like-f1-baby-romper-funny?transaction_id=5041667381</t>
  </si>
  <si>
    <t>https://www.etsy.com/listing/4432968408/olive-you-embroidered-baby-romper-cute?transaction_id=5030715540</t>
  </si>
  <si>
    <t>https://www.etsy.com/listing/4440230726/crawl-walk-snowmobile-baby-romper?transaction_id=5042961751</t>
  </si>
  <si>
    <t>https://www.etsy.com/listing/4440191236/pasta-baby-romper-embroidered-italian?transaction_id=5032020246</t>
  </si>
  <si>
    <t>https://www.etsy.com/listing/4477977946/apparently-i-like-f1-baby-romper-funny?transaction_id=5049301857</t>
  </si>
  <si>
    <t>https://www.etsy.com/listing/4438216030/i-love-yoga-embroidered-baby-romper-cute?transaction_id=5051109485</t>
  </si>
  <si>
    <t>https://www.etsy.com/listing/4432968408/olive-you-embroidered-baby-romper-cute?transaction_id=5039752622</t>
  </si>
  <si>
    <t xml:space="preserve"> Watermelon</t>
  </si>
  <si>
    <t>https://www.etsy.com/listing/4466858204/my-brand-of-formula-embroidered-baby?transaction_id=5040038614</t>
  </si>
  <si>
    <t>https://www.etsy.com/listing/4477977946/apparently-i-like-f1-baby-romper-funny?transaction_id=5055379081</t>
  </si>
  <si>
    <t>https://www.etsy.com/listing/4432961851/my-daddy-plays-in-the-dirt-baby-romper?transaction_id=5056330199</t>
  </si>
  <si>
    <t>https://www.etsy.com/listing/4477977946/apparently-i-like-f1-baby-romper-funny?transaction_id=5062001809</t>
  </si>
  <si>
    <t>https://www.etsy.com/listing/4477977946/apparently-i-like-f1-baby-romper-funny?transaction_id=5076305981</t>
  </si>
  <si>
    <t>https://www.etsy.com/listing/4430532176/little-tiger-embroidered-baby-romper?transaction_id=5065975442</t>
  </si>
  <si>
    <t>https://www.etsy.com/listing/4430529702/cool-as-a-penguin-embroidered-baby?transaction_id=5065975440</t>
  </si>
  <si>
    <t>https://www.etsy.com/listing/4442025933/embroidered-baby-romper-player-3-has?transaction_id=5069406242</t>
  </si>
  <si>
    <t>https://www.etsy.com/listing/4499062845/custom-name-embroidered-romper-baby-gift?transaction_id=5082502647</t>
  </si>
  <si>
    <t>https://www.etsy.com/listing/4432961851/my-daddy-plays-in-the-dirt-baby-romper?transaction_id=5070887878</t>
  </si>
  <si>
    <t>https://www.etsy.com/listing/4499062845/custom-name-embroidered-romper-baby-gift?transaction_id=5084428685</t>
  </si>
  <si>
    <t>https://www.etsy.com/listing/4442025933/embroidered-baby-romper-player-3-has?ls=r&amp;ref=related-2&amp;content_source=85be4b993b6f0396b102a41914204abd%253ALT2926146063257692f2dd099b1216fa34cf8a56be&amp;logging_key=85be4b993b6f0396b102a41914204abd%3ALT2926146063257692f2dd099b1216fa34cf8a56be</t>
  </si>
  <si>
    <t>https://www.etsy.com/listing/4477345368/future-mvp-baby-romper-sports-baby?transaction_id=5082284846</t>
  </si>
  <si>
    <t>https://www.etsy.com/listing/4435902216/baby-dragon-baby-romper-cute-dragon?transaction_id=5082285250</t>
  </si>
  <si>
    <t>https://www.etsy.com/listing/4432968408/olive-you-embroidered-baby-romper-cute?transaction_id=5083005390</t>
  </si>
  <si>
    <t>https://www.etsy.com/listing/4436970808/marathon-skills-loading-embroidered-baby?transaction_id=5083702354</t>
  </si>
  <si>
    <t>https://www.etsy.com/listing/4499062845/custom-name-embroidered-romper-baby-gift?transaction_id=5095848741</t>
  </si>
  <si>
    <t>https://www.etsy.com/listing/4499062845/custom-name-embroidered-romper-baby-gift?transaction_id=5096466201</t>
  </si>
  <si>
    <t>https://www.etsy.com/listing/4440230726/crawl-walk-snowmobile-baby-romper?transaction_id=5096550531</t>
  </si>
  <si>
    <t>https://www.etsy.com/listing/4432961851/my-daddy-plays-in-the-dirt-baby-romper?transaction_id=5099808575</t>
  </si>
  <si>
    <t>https://www.etsy.com/listing/4432968408/olive-you-embroidered-baby-romper-cute?transaction_id=5105144937</t>
  </si>
  <si>
    <t xml:space="preserve"> Dusty Pink</t>
  </si>
  <si>
    <t>https://www.etsy.com/listing/4442026118/future-triathlete-baby-romper-swim-bike?transaction_id=5105384063</t>
  </si>
  <si>
    <t>https://www.etsy.com/listing/4499062845/custom-name-embroidered-romper-baby-gift?transaction_id=5098057914</t>
  </si>
  <si>
    <t>https://www.etsy.com/listing/4499062845/custom-name-embroidered-romper-baby-gift?transaction_id=5098224510</t>
  </si>
  <si>
    <t>https://www.etsy.com/listing/4499062845/custom-name-embroidered-romper-baby-gift?transaction_id=5109300833</t>
  </si>
  <si>
    <t>https://www.etsy.com/listing/4499062845/custom-name-embroidered-romper-baby-gift?transaction_id=5112430987</t>
  </si>
  <si>
    <t>https://www.etsy.com/listing/4499062845/custom-name-embroidered-romper-baby-gift?transaction_id=5103173990</t>
  </si>
  <si>
    <t>https://www.etsy.com/ca/listing/4451695034/my-first-racing-season-baby-romper?transaction_id=4964172936</t>
  </si>
  <si>
    <t>caldet blue</t>
  </si>
  <si>
    <t>6-12M(SHORT-SLEEVE)</t>
  </si>
  <si>
    <t>https://www.etsy.com/ca/listing/4451695034/my-first-racing-season-baby-romper?transaction_id=4979373679</t>
  </si>
  <si>
    <t>salmon</t>
  </si>
  <si>
    <t>3-6M(LONG-SLEEVE)</t>
  </si>
  <si>
    <t>12-18M(SHORT-SLEEVE)</t>
  </si>
  <si>
    <t>https://www.etsy.com/ca/listing/4451695034/my-first-racing-season-baby-romper?transaction_id=4996986907</t>
  </si>
  <si>
    <t>0-3M(SHORT-SLEEVE)</t>
  </si>
  <si>
    <t>https://www.etsy.com/ca/listing/4470615480/apparently-i-like-f1-baby-romper-formula?transaction_id=4989437094</t>
  </si>
  <si>
    <t>6-12M(LONG-SLEEVE)</t>
  </si>
  <si>
    <t>https://www.etsy.com/ca/listing/4470615480/apparently-i-like-f1-baby-romper-formula?transaction_id=5003043950</t>
  </si>
  <si>
    <t>https://www.etsy.com/ca/listing/4470615480/apparently-i-like-f1-baby-romper-formula?transaction_id=5016427093</t>
  </si>
  <si>
    <t xml:space="preserve"> 0-3M(SHORT-SLEEVE)</t>
  </si>
  <si>
    <t>forest green</t>
  </si>
  <si>
    <t>https://www.etsy.com/ca/listing/4470615480/apparently-i-like-f1-baby-romper-formula?transaction_id=5008484496</t>
  </si>
  <si>
    <t>3-6M(SHORT-SLEEVE)</t>
  </si>
  <si>
    <t>https://www.etsy.com/ca/listing/4474915842/is-it-too-soon-to-ask-for-the-car-baby?transaction_id=5020775917</t>
  </si>
  <si>
    <t>https://www.etsy.com/ca/listing/4470615480/apparently-i-like-f1-baby-romper-formula?transaction_id=5021294609</t>
  </si>
  <si>
    <t xml:space="preserve"> cream</t>
  </si>
  <si>
    <t>https://www.etsy.com/ca/listing/4470615480/apparently-i-like-f1-baby-romper-formula?transaction_id=5024036863</t>
  </si>
  <si>
    <t>0-3M(LONG-SLEEVE)</t>
  </si>
  <si>
    <t>https://www.etsy.com/ca/listing/4476229576/daddys-future-trucking-buddy-baby-romper?transaction_id=5024863865</t>
  </si>
  <si>
    <t>https://www.etsy.com/ca/listing/4449569507/mom-and-dads-game-changer-baby-romper?transaction_id=5015439286</t>
  </si>
  <si>
    <t>texas orange</t>
  </si>
  <si>
    <t>https://www.etsy.com/ca/listing/4447793500/its-in-my-dna-baby-romper-baseball-baby?transaction_id=5015439284</t>
  </si>
  <si>
    <t>https://www.etsy.com/ca/listing/4474915842/is-it-too-soon-to-ask-for-the-car-baby?transaction_id=5031413447</t>
  </si>
  <si>
    <t>https://www.etsy.com/ca/listing/4470615480/apparently-i-like-f1-baby-romper-formula?transaction_id=5022118458</t>
  </si>
  <si>
    <t>https://www.etsy.com/ca/listing/4470615480/apparently-i-like-f1-baby-romper-formula?transaction_id=5023021280</t>
  </si>
  <si>
    <t>https://www.etsy.com/ca/listing/4470615480/apparently-i-like-f1-baby-romper-formula?transaction_id=5025776334</t>
  </si>
  <si>
    <t>https://www.etsy.com/ca/listing/4477990621/dirt-is-my-daddys-office-baby-romper?transaction_id=5038417325</t>
  </si>
  <si>
    <t>https://www.etsy.com/ca/listing/4470615480/apparently-i-like-f1-baby-romper-formula?transaction_id=5043406357</t>
  </si>
  <si>
    <t>https://www.etsy.com/ca/listing/4483717191/new-to-the-squad-embroidered-baby-romper?transaction_id=5032079210</t>
  </si>
  <si>
    <t>https://www.etsy.com/ca/listing/4470615480/apparently-i-like-f1-baby-romper-formula?transaction_id=5032903802</t>
  </si>
  <si>
    <t>https://www.etsy.com/ca/listing/4470615480/apparently-i-like-f1-baby-romper-formula?transaction_id=5033474894</t>
  </si>
  <si>
    <t>18-24M(LONG-SLEEVE)</t>
  </si>
  <si>
    <t>https://www.etsy.com/ca/listing/4470615480/apparently-i-like-f1-baby-romper-formula?transaction_id=5049031255</t>
  </si>
  <si>
    <t>https://www.etsy.com/ca/listing/4470607045/new-to-the-pit-crew-baby-romper-racing?transaction_id=5051683413</t>
  </si>
  <si>
    <t>https://www.etsy.com/ca/listing/4477986889/daddys-little-mechanic-baby-romper?transaction_id=5051830675</t>
  </si>
  <si>
    <t>dusty pink</t>
  </si>
  <si>
    <t>https://www.etsy.com/ca/listing/4476229576/daddys-future-trucking-buddy-baby-romper?transaction_id=5039498268</t>
  </si>
  <si>
    <t xml:space="preserve"> 3-6M(SHORT-SLEEVE)</t>
  </si>
  <si>
    <t>https://www.etsy.com/ca/listing/4488364374/is-it-too-soon-to-play-pickleball?transaction_id=5052404679</t>
  </si>
  <si>
    <t>https://www.etsy.com/ca/listing/4483717191/new-to-the-squad-embroidered-baby-romper?transaction_id=5040873354</t>
  </si>
  <si>
    <t>https://www.etsy.com/ca/listing/4470615480/apparently-i-like-f1-baby-romper-formula?transaction_id=5054391967</t>
  </si>
  <si>
    <t>https://www.etsy.com/ca/listing/4449573112/i-love-to-read-wine-labels-baby-romper?transaction_id=5042779888</t>
  </si>
  <si>
    <t>https://www.etsy.com/ca/listing/4490099186/daddys-future-skating-buddy-baby-romper?transaction_id=5043904240</t>
  </si>
  <si>
    <t>https://www.etsy.com/ca/listing/4470615480/apparently-i-like-f1-baby-romper-formula?transaction_id=5045372896</t>
  </si>
  <si>
    <t>https://www.etsy.com/ca/listing/4470615480/apparently-i-like-f1-baby-romper-formula?transaction_id=5045877650</t>
  </si>
  <si>
    <t>https://www.etsy.com/ca/listing/4483717191/new-to-the-squad-embroidered-baby-romper?transaction_id=5049302690</t>
  </si>
  <si>
    <t>https://www.etsy.com/ca/listing/4470615480/apparently-i-like-f1-baby-romper-formula?transaction_id=5064410381</t>
  </si>
  <si>
    <t xml:space="preserve"> caldet blue</t>
  </si>
  <si>
    <t>https://www.etsy.com/ca/listing/4471171185/crawl-walk-golf-baby-romper-100-cotton?transaction_id=5053132478</t>
  </si>
  <si>
    <t>https://www.etsy.com/ca/listing/4470615480/apparently-i-like-f1-baby-romper-formula?transaction_id=5067011323</t>
  </si>
  <si>
    <t>https://www.etsy.com/ca/listing/4470615480/apparently-i-like-f1-baby-romper-formula?transaction_id=5068179367</t>
  </si>
  <si>
    <t>https://www.etsy.com/ca/listing/4470615480/apparently-i-like-f1-baby-romper-formula?transaction_id=5064754984</t>
  </si>
  <si>
    <t>https://www.etsy.com/ca/listing/4470615480/apparently-i-like-f1-baby-romper-formula?transaction_id=5068477926</t>
  </si>
  <si>
    <t>https://www.etsy.com/ca/listing/4471171185/crawl-walk-golf-baby-romper-100-cotton?transaction_id=5068631560</t>
  </si>
  <si>
    <t>https://www.etsy.com/ca/listing/4477990621/dirt-is-my-daddys-office-baby-romper?transaction_id=5076516924</t>
  </si>
  <si>
    <t>watermelon</t>
  </si>
  <si>
    <t>https://www.etsy.com/ca/listing/4470016481/milk-then-burpees-embroidered-baby?transaction_id=5091484591</t>
  </si>
  <si>
    <t>https://www.etsy.com/ca/listing/4510955407/born-to-ride-with-my-daddy-baby-romper?transaction_id=5093954663</t>
  </si>
  <si>
    <t>https://www.etsy.com/ca/listing/4483717191/new-to-the-squad-embroidered-baby-romper?transaction_id=5094140335</t>
  </si>
  <si>
    <t xml:space="preserve"> dusty pink</t>
  </si>
  <si>
    <t>https://www.etsy.com/ca/listing/4490094884/daddys-future-skydiver-baby-romper-cute?transaction_id=5082685918</t>
  </si>
  <si>
    <t>https://www.etsy.com/ca/listing/4507540167/daddys-little-tennis-buddy-embroidered?transaction_id=5086436256</t>
  </si>
  <si>
    <t>https://www.etsy.com/ca/listing/4449570131/little-tiger-baby-romper-tiger-baby?transaction_id=5098520995</t>
  </si>
  <si>
    <t>https://www.etsy.com/ca/listing/4486218469/my-daddy-bowls-better-than-your-daddy?transaction_id=5088264566</t>
  </si>
  <si>
    <t>https://www.etsy.com/ca/listing/4507540167/daddys-little-tennis-buddy-embroidered?transaction_id=5101174721</t>
  </si>
  <si>
    <t xml:space="preserve"> forest green</t>
  </si>
  <si>
    <t>https://www.etsy.com/ca/listing/4486218469/my-daddy-bowls-better-than-your-daddy?transaction_id=5102836305</t>
  </si>
  <si>
    <t>https://www.etsy.com/ca/listing/4507540167/daddys-little-tennis-buddy-embroidered?transaction_id=5092212498</t>
  </si>
  <si>
    <t>https://www.etsy.com/ca/listing/4516749130/custom-name-baby-embroidered-romper?transaction_id=5095300612</t>
  </si>
  <si>
    <t>https://www.etsy.com/ca/listing/4516748644/custom-name-baby-embroidered-romper?transaction_id=5095300610</t>
  </si>
  <si>
    <t>https://www.etsy.com/ca/listing/4510955407/born-to-ride-with-my-daddy-baby-romper?transaction_id=5097181642</t>
  </si>
  <si>
    <t xml:space="preserve"> watermelon</t>
  </si>
  <si>
    <t>https://www.etsy.com/ca/listing/4515633281/funny-cowboy-baby-romper-little-bitty?transaction_id=5098850826</t>
  </si>
  <si>
    <t>https://www.etsy.com/ca/listing/4477996848/daddy-is-my-spark-baby-romper?transaction_id=5109864723</t>
  </si>
  <si>
    <t>https://www.etsy.com/ca/listing/4516747148/little-firecracker-baby-romper-patriotic?transaction_id=5110025873</t>
  </si>
  <si>
    <t>https://www.etsy.com/ca/listing/4518303218/daddys-future-gaming-buddy-romper-gamer?transaction_id=5111482167</t>
  </si>
  <si>
    <t>https://www.etsy.com/ca/listing/4481642703/born-to-play-tennis-with-my-daddy-baby?transaction_id=5103329901</t>
  </si>
  <si>
    <t>https://www.etsy.com/ca/listing/4516747148/little-firecracker-baby-romper-patriotic?transaction_id=5102757632</t>
  </si>
  <si>
    <t>https://www.etsy.com/ca/listing/4470027308/embroidered-baby-romper-grandpas-little?transaction_id=5113860801</t>
  </si>
  <si>
    <t>https://www.etsy.com/ca/listing/4518303218/daddys-future-gaming-buddy-romper-gamer?transaction_id=5106208132</t>
  </si>
  <si>
    <t>https://www.etsy.com/ca/listing/4392932100/born-to-ride-with-my-daddy-embroidered?transaction_id=4977670653</t>
  </si>
  <si>
    <t>https://www.etsy.com/ca/listing/4330463387/embroidered-baby-romper-relax-mommy-is-a?transaction_id=4978033783</t>
  </si>
  <si>
    <t>3-6M(LONG -SLEEVE)</t>
  </si>
  <si>
    <t>https://www.etsy.com/ca/listing/4330488178/embroidered-golf-baby-romper-new-to-the?transaction_id=4978107083</t>
  </si>
  <si>
    <t>https://www.etsy.com/ca/listing/4371125103/personalized-dog-baby-bodysuit-custom?transaction_id=4978228855</t>
  </si>
  <si>
    <t>https://www.etsy.com/ca/listing/4376399899/the-littlest-book-club-member-baby?transaction_id=4978421087</t>
  </si>
  <si>
    <t xml:space="preserve"> sage green</t>
  </si>
  <si>
    <t>https://www.etsy.com/ca/listing/4376399899/the-littlest-book-club-member-baby?transaction_id=4978293719</t>
  </si>
  <si>
    <t>https://www.etsy.com/ca/listing/4371125103/personalized-dog-baby-bodysuit-custom?transaction_id=4968475262</t>
  </si>
  <si>
    <t>https://www.etsy.com/ca/listing/4376399899/the-littlest-book-club-member-baby?transaction_id=4969428744</t>
  </si>
  <si>
    <t>https://www.etsy.com/ca/listing/4376399899/the-littlest-book-club-member-baby?transaction_id=4969588704</t>
  </si>
  <si>
    <t>https://www.etsy.com/ca/listing/4376389783/player-2-baby-romper-gamer-baby-outfit?transaction_id=4980076803</t>
  </si>
  <si>
    <t>https://www.etsy.com/ca/listing/4392935796/box-box-for-fresh-diapers-embroidered?transaction_id=4970153520</t>
  </si>
  <si>
    <t>https://www.etsy.com/ca/listing/4392936921/apparently-i-like-golf-embroidered?transaction_id=4980959267</t>
  </si>
  <si>
    <t>https://www.etsy.com/ca/listing/4372352286/silly-goose-baby-romper-funny-infant?transaction_id=4970717928</t>
  </si>
  <si>
    <t>https://www.etsy.com/ca/listing/4376399899/the-littlest-book-club-member-baby?transaction_id=4970851314</t>
  </si>
  <si>
    <t>https://www.etsy.com/ca/listing/4346124431/small-and-spicy-baby-romper-embroidered?transaction_id=4981180031</t>
  </si>
  <si>
    <t>https://www.etsy.com/ca/listing/4330504943/embroidered-tennis-baby-romper-daddys?transaction_id=4981284539</t>
  </si>
  <si>
    <t>https://www.etsy.com/ca/listing/4376389783/player-2-baby-romper-gamer-baby-outfit?transaction_id=4971104618</t>
  </si>
  <si>
    <t>https://www.etsy.com/ca/listing/4376399899/the-littlest-book-club-member-baby?transaction_id=4981518797</t>
  </si>
  <si>
    <t>mauve taupe</t>
  </si>
  <si>
    <t>https://www.etsy.com/ca/listing/4371125103/personalized-dog-baby-bodysuit-custom?transaction_id=4971252980</t>
  </si>
  <si>
    <t>18-24M(LONGT SLEEVE)</t>
  </si>
  <si>
    <t>https://www.etsy.com/ca/listing/4376399899/the-littlest-book-club-member-baby?transaction_id=4971800104</t>
  </si>
  <si>
    <t>https://www.etsy.com/ca/listing/4462790215/personalized-cat-baby-bodysuit-custom?transaction_id=4971800102</t>
  </si>
  <si>
    <t xml:space="preserve"> 0-3M(SHORT -SLEEVE)</t>
  </si>
  <si>
    <t>https://www.etsy.com/ca/listing/4347885967/gigis-bestie-baby-bodysuit-baby-shower?transaction_id=4982612383</t>
  </si>
  <si>
    <t>0-3M(SHORT -SLEEVE)</t>
  </si>
  <si>
    <t>https://www.etsy.com/ca/listing/4392936921/apparently-i-like-golf-embroidered?transaction_id=4982664659</t>
  </si>
  <si>
    <t>https://www.etsy.com/ca/listing/4336907597/custom-running-baby-romper-daddys-future?transaction_id=4972720528</t>
  </si>
  <si>
    <t>https://www.etsy.com/ca/listing/4330485404/cat-face-embroidered-baby-romper-funny?transaction_id=4983152787</t>
  </si>
  <si>
    <t>18-24M(SHORT-SLEEVE)</t>
  </si>
  <si>
    <t>https://www.etsy.com/ca/listing/4376399899/the-littlest-book-club-member-baby?transaction_id=4983159563</t>
  </si>
  <si>
    <t>https://www.etsy.com/ca/listing/4347260564/football-baby-romper-game-day-baby?transaction_id=4983364823</t>
  </si>
  <si>
    <t>https://www.etsy.com/ca/listing/4344231895/embroidered-baby-romper-shhh-im-reading?transaction_id=4973001428</t>
  </si>
  <si>
    <t>https://www.etsy.com/ca/listing/4376399899/the-littlest-book-club-member-baby?transaction_id=4983442727</t>
  </si>
  <si>
    <t>6-12M( SHORT-SLEEVE)</t>
  </si>
  <si>
    <t>https://www.etsy.com/ca/listing/4376389783/player-2-baby-romper-gamer-baby-outfit?transaction_id=4983868413</t>
  </si>
  <si>
    <t>https://www.etsy.com/ca/listing/4371125103/personalized-dog-baby-bodysuit-custom?transaction_id=4983907013</t>
  </si>
  <si>
    <t>https://www.etsy.com/ca/listing/4371125103/personalized-dog-baby-bodysuit-custom?transaction_id=4983944121</t>
  </si>
  <si>
    <t>https://www.etsy.com/ca/listing/4392935796/box-box-for-fresh-diapers-embroidered?transaction_id=4973618152</t>
  </si>
  <si>
    <t>https://www.etsy.com/ca/listing/4330488178/embroidered-golf-baby-romper-new-to-the?transaction_id=4984109125</t>
  </si>
  <si>
    <t>https://www.etsy.com/ca/listing/4392929794/little-latke-embroidered-romper-hanukkah?transaction_id=4984156231</t>
  </si>
  <si>
    <t>12-18M(LONG-SLEEVE)</t>
  </si>
  <si>
    <t>https://www.etsy.com/ca/listing/4351827687/handsome-just-like-daddy-baby-romper?transaction_id=4984438375</t>
  </si>
  <si>
    <t>https://www.etsy.com/ca/listing/4392935796/box-box-for-fresh-diapers-embroidered?transaction_id=4974239244</t>
  </si>
  <si>
    <t>https://www.etsy.com/ca/listing/4392936921/apparently-i-like-golf-embroidered?transaction_id=4984612909</t>
  </si>
  <si>
    <t>https://www.etsy.com/ca/listing/4371125103/personalized-dog-baby-bodysuit-custom?transaction_id=4974513246</t>
  </si>
  <si>
    <t>https://www.etsy.com/ca/listing/4392936688/shhh-im-watching-motogp-with-daddy?transaction_id=4985057741</t>
  </si>
  <si>
    <t>https://www.etsy.com/ca/listing/4372352286/silly-goose-baby-romper-funny-infant?transaction_id=4974806714</t>
  </si>
  <si>
    <t>https://www.etsy.com/ca/listing/4376389783/player-2-baby-romper-gamer-baby-outfit?transaction_id=4974885752</t>
  </si>
  <si>
    <t>https://www.etsy.com/ca/listing/4346129239/soccer-baby-romper-embroidered-daddy-and?transaction_id=4985239049</t>
  </si>
  <si>
    <t>https://www.etsy.com/ca/listing/4376389783/player-2-baby-romper-gamer-baby-outfit?transaction_id=4975342404</t>
  </si>
  <si>
    <t>https://www.etsy.com/ca/listing/4330485404/cat-face-embroidered-baby-romper-funny?transaction_id=4975575138</t>
  </si>
  <si>
    <t>https://www.etsy.com/ca/listing/4376392339/funny-baby-romper-my-brand-of-formula?transaction_id=4975776012</t>
  </si>
  <si>
    <t>https://www.etsy.com/ca/listing/4372352286/silly-goose-baby-romper-funny-infant?transaction_id=4987082919</t>
  </si>
  <si>
    <t>https://www.etsy.com/ca/listing/4371125103/personalized-dog-baby-bodysuit-custom?transaction_id=4976784210</t>
  </si>
  <si>
    <t>https://www.etsy.com/ca/listing/4376392339/funny-baby-romper-my-brand-of-formula?transaction_id=4977261344</t>
  </si>
  <si>
    <t>https://www.etsy.com/ca/listing/4376399899/the-littlest-book-club-member-baby?transaction_id=4977523954</t>
  </si>
  <si>
    <t>https://www.etsy.com/ca/listing/4376399899/the-littlest-book-club-member-baby?transaction_id=4988155347</t>
  </si>
  <si>
    <t>https://www.etsy.com/ca/listing/4392935796/box-box-for-fresh-diapers-embroidered?transaction_id=4988163289</t>
  </si>
  <si>
    <t>https://www.etsy.com/ca/listing/4344235128/new-to-the-hive-baby-romper-embroidered?transaction_id=4977684036</t>
  </si>
  <si>
    <t>https://www.etsy.com/ca/listing/4336900922/personalized-baseball-baby-romper-daddys?transaction_id=4988307089</t>
  </si>
  <si>
    <t>https://www.etsy.com/ca/listing/4330488178/embroidered-golf-baby-romper-new-to-the?transaction_id=4988673781</t>
  </si>
  <si>
    <t>https://www.etsy.com/ca/listing/4371125103/personalized-dog-baby-bodysuit-custom?transaction_id=4988743323</t>
  </si>
  <si>
    <t>https://www.etsy.com/ca/listing/4376399899/the-littlest-book-club-member-baby?transaction_id=4988753195</t>
  </si>
  <si>
    <t>https://www.etsy.com/ca/listing/4344231895/embroidered-baby-romper-shhh-im-reading?transaction_id=4978125320</t>
  </si>
  <si>
    <t>https://www.etsy.com/ca/listing/4371125103/personalized-dog-baby-bodysuit-custom?transaction_id=4978141262</t>
  </si>
  <si>
    <t>https://www.etsy.com/ca/listing/4393855716/lil-chef-embroidered-romper-cute-baby?transaction_id=4978176224</t>
  </si>
  <si>
    <t>https://www.etsy.com/ca/listing/4376399899/the-littlest-book-club-member-baby?transaction_id=4988826947</t>
  </si>
  <si>
    <t>https://www.etsy.com/ca/listing/4371125103/personalized-dog-baby-bodysuit-custom?transaction_id=4963481220</t>
  </si>
  <si>
    <t>https://www.etsy.com/ca/listing/4343133680/embroidered-bowling-baby-bodysuit-crawl?transaction_id=4989263965</t>
  </si>
  <si>
    <t>https://www.etsy.com/ca/listing/4392935796/box-box-for-fresh-diapers-embroidered?transaction_id=4978660758</t>
  </si>
  <si>
    <t>https://www.etsy.com/ca/listing/4376399899/the-littlest-book-club-member-baby?transaction_id=4989379261</t>
  </si>
  <si>
    <t xml:space="preserve"> salmon</t>
  </si>
  <si>
    <t>https://www.etsy.com/ca/listing/4343133680/embroidered-bowling-baby-bodysuit-crawl?transaction_id=4989397253</t>
  </si>
  <si>
    <t>https://www.etsy.com/ca/listing/4376399899/the-littlest-book-club-member-baby?transaction_id=4989448267</t>
  </si>
  <si>
    <t>https://www.etsy.com/ca/listing/4352935112/custom-baby-romper-personalized-newborn?transaction_id=4953221190</t>
  </si>
  <si>
    <t>https://www.etsy.com/ca/listing/4376399899/the-littlest-book-club-member-baby?transaction_id=4979421208</t>
  </si>
  <si>
    <t>https://www.etsy.com/ca/listing/4376399899/the-littlest-book-club-member-baby?transaction_id=4979445572</t>
  </si>
  <si>
    <t>https://www.etsy.com/ca/listing/4376399899/the-littlest-book-club-member-baby?transaction_id=4979468872</t>
  </si>
  <si>
    <t>https://www.etsy.com/ca/listing/4347260564/football-baby-romper-game-day-baby?transaction_id=4979678386</t>
  </si>
  <si>
    <t>https://www.etsy.com/ca/listing/4376399899/the-littlest-book-club-member-baby?transaction_id=4990277269</t>
  </si>
  <si>
    <t>https://www.etsy.com/ca/listing/4392932100/born-to-ride-with-my-daddy-embroidered?transaction_id=4990690371</t>
  </si>
  <si>
    <t>https://www.etsy.com/ca/listing/4336907597/custom-running-baby-romper-daddys-future?transaction_id=4980373616</t>
  </si>
  <si>
    <t>3-6M(SHORT-SLEEVE</t>
  </si>
  <si>
    <t>https://www.etsy.com/ca/listing/4376399899/the-littlest-book-club-member-baby?transaction_id=4991016879</t>
  </si>
  <si>
    <t>https://www.etsy.com/ca/listing/4371125103/personalized-dog-baby-bodysuit-custom?transaction_id=4991562697</t>
  </si>
  <si>
    <t>https://www.etsy.com/ca/listing/4376399899/the-littlest-book-club-member-baby?transaction_id=4981613662</t>
  </si>
  <si>
    <t>https://www.etsy.com/ca/listing/4467438815/my-brand-of-formula-baby-romper-formula?transaction_id=4992824823</t>
  </si>
  <si>
    <t>https://www.etsy.com/ca/listing/4347885967/gigis-bestie-baby-bodysuit-baby-shower?transaction_id=4993112761</t>
  </si>
  <si>
    <t>https://www.etsy.com/ca/listing/4392935796/box-box-for-fresh-diapers-embroidered?transaction_id=4983619200</t>
  </si>
  <si>
    <t>https://www.etsy.com/ca/listing/4392935796/box-box-for-fresh-diapers-embroidered?transaction_id=4983670400</t>
  </si>
  <si>
    <t>https://www.etsy.com/ca/listing/4330463387/embroidered-baby-romper-relax-mommy-is-a?transaction_id=4983706578</t>
  </si>
  <si>
    <t>https://www.etsy.com/ca/listing/4376399899/the-littlest-book-club-member-baby?transaction_id=4983777806</t>
  </si>
  <si>
    <t>https://www.etsy.com/ca/listing/4330485404/cat-face-embroidered-baby-romper-funny?transaction_id=4983788888</t>
  </si>
  <si>
    <t>https://www.etsy.com/ca/listing/4376399899/the-littlest-book-club-member-baby?transaction_id=4984278838</t>
  </si>
  <si>
    <t>https://www.etsy.com/ca/listing/4376399899/the-littlest-book-club-member-baby?transaction_id=4984327642</t>
  </si>
  <si>
    <t>https://www.etsy.com/ca/listing/4344232490/freshly-brewed-baby-bodysuit-cute-coffee?transaction_id=4984464432</t>
  </si>
  <si>
    <t>https://www.etsy.com/ca/listing/4376399899/the-littlest-book-club-member-baby?transaction_id=4994687303</t>
  </si>
  <si>
    <t>https://www.etsy.com/ca/listing/4392962015/cant-wait-to-jam-with-daddy-embroidered?transaction_id=4985120032</t>
  </si>
  <si>
    <t>https://www.etsy.com/ca/listing/4376399899/the-littlest-book-club-member-baby?transaction_id=4995523779</t>
  </si>
  <si>
    <t>https://www.etsy.com/ca/listing/4467452578/the-littlest-pickleball-club-member-baby?transaction_id=4995830337</t>
  </si>
  <si>
    <t>https://www.etsy.com/ca/listing/4343131516/embroidered-pickleball-baby-bodysuit?transaction_id=4995830335</t>
  </si>
  <si>
    <t>https://www.etsy.com/ca/listing/4376399899/the-littlest-book-club-member-baby?transaction_id=4955231794</t>
  </si>
  <si>
    <t xml:space="preserve"> 3-6M(LONG -SLEEVE)</t>
  </si>
  <si>
    <t>https://www.etsy.com/ca/listing/4371125103/personalized-dog-baby-bodysuit-custom?transaction_id=4996160545</t>
  </si>
  <si>
    <t>https://www.etsy.com/ca/listing/4344235128/new-to-the-hive-baby-romper-embroidered?transaction_id=4996162879</t>
  </si>
  <si>
    <t>https://www.etsy.com/ca/listing/4336900156/personalized-soccer-baby-romper?transaction_id=4996456931</t>
  </si>
  <si>
    <t>https://www.etsy.com/ca/listing/4344235128/new-to-the-hive-baby-romper-embroidered?transaction_id=4996574059</t>
  </si>
  <si>
    <t>https://www.etsy.com/ca/listing/4344235128/new-to-the-hive-baby-romper-embroidered?transaction_id=4996592981</t>
  </si>
  <si>
    <t>https://www.etsy.com/ca/listing/4376399899/the-littlest-book-club-member-baby?transaction_id=4986731424</t>
  </si>
  <si>
    <t>https://www.etsy.com/ca/listing/4376392339/funny-baby-romper-my-brand-of-formula?transaction_id=4986806678</t>
  </si>
  <si>
    <t>https://www.etsy.com/ca/listing/4369781522/crawl-walk-putt-baby-romper-funny-golf?transaction_id=4996785389</t>
  </si>
  <si>
    <t>https://www.etsy.com/ca/listing/4343131516/embroidered-pickleball-baby-bodysuit?transaction_id=4987078544</t>
  </si>
  <si>
    <t>https://www.etsy.com/ca/listing/4467438815/my-brand-of-formula-baby-romper-formula?transaction_id=4997092691</t>
  </si>
  <si>
    <t>https://www.etsy.com/ca/listing/4346126210/daddys-future-lifting-buddy-romper-baby?transaction_id=4997103531</t>
  </si>
  <si>
    <t>https://www.etsy.com/ca/listing/4392935796/box-box-for-fresh-diapers-embroidered?transaction_id=4997215379</t>
  </si>
  <si>
    <t>https://www.etsy.com/ca/listing/4376399899/the-littlest-book-club-member-baby?transaction_id=4987298828</t>
  </si>
  <si>
    <t>https://www.etsy.com/ca/listing/4376389783/player-2-baby-romper-gamer-baby-outfit?transaction_id=4997742993</t>
  </si>
  <si>
    <t>https://www.etsy.com/ca/listing/4347263856/besties-baby-romper-matching-baby-outfit?transaction_id=4987842354</t>
  </si>
  <si>
    <t>https://www.etsy.com/ca/listing/4347263856/besties-baby-romper-matching-baby-outfit?transaction_id=4987842352</t>
  </si>
  <si>
    <t>0-3M(LONG-SLEEVE</t>
  </si>
  <si>
    <t>https://www.etsy.com/ca/listing/4376399899/the-littlest-book-club-member-baby?transaction_id=4988002782</t>
  </si>
  <si>
    <t>https://www.etsy.com/ca/listing/4371125103/personalized-dog-baby-bodysuit-custom?transaction_id=4998222727</t>
  </si>
  <si>
    <t>https://www.etsy.com/ca/listing/4392932100/born-to-ride-with-my-daddy-embroidered?transaction_id=4998591413</t>
  </si>
  <si>
    <t>https://www.etsy.com/ca/listing/4371125103/personalized-dog-baby-bodysuit-custom?transaction_id=4988716768</t>
  </si>
  <si>
    <t>https://www.etsy.com/ca/listing/4467451258/the-littlest-tennis-club-member-baby?transaction_id=4989122294</t>
  </si>
  <si>
    <t>https://www.etsy.com/ca/listing/4376392339/funny-baby-romper-my-brand-of-formula?transaction_id=4989145366</t>
  </si>
  <si>
    <t>https://www.etsy.com/ca/listing/4376392339/funny-baby-romper-my-brand-of-formula?transaction_id=4999295531</t>
  </si>
  <si>
    <t>https://www.etsy.com/ca/listing/4467440237/the-littlest-coffee-club-member-baby?transaction_id=4999477955</t>
  </si>
  <si>
    <t>https://www.etsy.com/ca/listing/4376399899/the-littlest-book-club-member-baby?transaction_id=4989756182</t>
  </si>
  <si>
    <t>https://www.etsy.com/ca/listing/4336907597/custom-running-baby-romper-daddys-future?transaction_id=4990001810</t>
  </si>
  <si>
    <t>https://www.etsy.com/ca/listing/4376399899/the-littlest-book-club-member-baby?transaction_id=4990084222</t>
  </si>
  <si>
    <t>https://www.etsy.com/ca/listing/4467451258/the-littlest-tennis-club-member-baby?transaction_id=4990291916</t>
  </si>
  <si>
    <t>https://www.etsy.com/ca/listing/4330499732/embroidered-baby-romper-little-sunshine?transaction_id=5000423973</t>
  </si>
  <si>
    <t>https://www.etsy.com/ca/listing/4376399899/the-littlest-book-club-member-baby?transaction_id=5000475451</t>
  </si>
  <si>
    <t>https://www.etsy.com/ca/listing/4336907597/custom-running-baby-romper-daddys-future?transaction_id=5000504531</t>
  </si>
  <si>
    <t>https://www.etsy.com/ca/listing/4467444587/pit-crew-for-diapers-baby-romper-funny?transaction_id=5000723373</t>
  </si>
  <si>
    <t>https://www.etsy.com/ca/listing/4372352286/silly-goose-baby-romper-funny-infant?transaction_id=4991013994</t>
  </si>
  <si>
    <t>https://www.etsy.com/ca/listing/4376392339/funny-baby-romper-my-brand-of-formula?transaction_id=4991294402</t>
  </si>
  <si>
    <t>https://www.etsy.com/ca/listing/4376401181/challah-at-your-girl-baby-bodysuit-funny?transaction_id=4991305390</t>
  </si>
  <si>
    <t>https://www.etsy.com/ca/listing/4467449868/the-littlest-garden-club-member-baby?transaction_id=4991672770</t>
  </si>
  <si>
    <t>https://www.etsy.com/ca/listing/4392962015/cant-wait-to-jam-with-daddy-embroidered?transaction_id=4991754250</t>
  </si>
  <si>
    <t>https://www.etsy.com/ca/listing/4392935796/box-box-for-fresh-diapers-embroidered?transaction_id=4991813922</t>
  </si>
  <si>
    <t>https://www.etsy.com/ca/listing/4330463387/embroidered-baby-romper-relax-mommy-is-a?transaction_id=4991843574</t>
  </si>
  <si>
    <t>https://www.etsy.com/ca/listing/4372352286/silly-goose-baby-romper-funny-infant?transaction_id=5001762205</t>
  </si>
  <si>
    <t>https://www.etsy.com/ca/listing/4392935796/box-box-for-fresh-diapers-embroidered?transaction_id=5001982335</t>
  </si>
  <si>
    <t>https://www.etsy.com/ca/listing/4376392339/funny-baby-romper-my-brand-of-formula?transaction_id=4992159688</t>
  </si>
  <si>
    <t>https://www.etsy.com/ca/listing/4330480699/little-prince-baby-romper-embroidered?transaction_id=5002161959</t>
  </si>
  <si>
    <t>https://www.etsy.com/ca/listing/4333135410/little-pumpkin-baby-romper-fall?transaction_id=5002237495</t>
  </si>
  <si>
    <t>https://www.etsy.com/ca/listing/4392935796/box-box-for-fresh-diapers-embroidered?transaction_id=4992432278</t>
  </si>
  <si>
    <t>https://www.etsy.com/ca/listing/4392929794/little-latke-embroidered-romper-hanukkah?transaction_id=5002373771</t>
  </si>
  <si>
    <t>https://www.etsy.com/ca/listing/4467440237/the-littlest-coffee-club-member-baby?transaction_id=4992638568</t>
  </si>
  <si>
    <t>https://www.etsy.com/ca/listing/4392925828/hello-grandma-embroidered-romper-i-cant?transaction_id=4992787322</t>
  </si>
  <si>
    <t>https://www.etsy.com/ca/listing/4392935796/box-box-for-fresh-diapers-embroidered?transaction_id=5002616643</t>
  </si>
  <si>
    <t>https://www.etsy.com/ca/listing/4392962015/cant-wait-to-jam-with-daddy-embroidered?transaction_id=5002682037</t>
  </si>
  <si>
    <t>https://www.etsy.com/ca/listing/4333135410/little-pumpkin-baby-romper-fall?transaction_id=5002743009</t>
  </si>
  <si>
    <t>https://www.etsy.com/ca/listing/4343133680/embroidered-bowling-baby-bodysuit-crawl?transaction_id=5002991289</t>
  </si>
  <si>
    <t>https://www.etsy.com/ca/listing/4379194627/new-to-the-farm-embroidered-romper-baby?transaction_id=5003076325</t>
  </si>
  <si>
    <t>https://www.etsy.com/ca/listing/4392935796/box-box-for-fresh-diapers-embroidered?transaction_id=4993276474</t>
  </si>
  <si>
    <t>https://www.etsy.com/ca/listing/4347879262/funny-pickle-baby-romper-im-kind-of-a?transaction_id=4993276472</t>
  </si>
  <si>
    <t>https://www.etsy.com/ca/listing/4371125103/personalized-dog-baby-bodysuit-custom?transaction_id=4993709380</t>
  </si>
  <si>
    <t>https://www.etsy.com/ca/listing/4376399899/the-littlest-book-club-member-baby?transaction_id=5003583273</t>
  </si>
  <si>
    <t>https://www.etsy.com/ca/listing/4467440237/the-littlest-coffee-club-member-baby?transaction_id=5003592589</t>
  </si>
  <si>
    <t xml:space="preserve"> 0-3M(LONG-SLEEVE)</t>
  </si>
  <si>
    <t>https://www.etsy.com/ca/listing/4376401181/challah-at-your-girl-baby-bodysuit-funny?transaction_id=5003596925</t>
  </si>
  <si>
    <t>https://www.etsy.com/ca/listing/4336900156/personalized-soccer-baby-romper?transaction_id=5003615545</t>
  </si>
  <si>
    <t>https://www.etsy.com/ca/listing/4376399899/the-littlest-book-club-member-baby?transaction_id=5003841121</t>
  </si>
  <si>
    <t>https://www.etsy.com/ca/listing/4392935796/box-box-for-fresh-diapers-embroidered?transaction_id=4994138944</t>
  </si>
  <si>
    <t>https://www.etsy.com/ca/listing/4330485404/cat-face-embroidered-baby-romper-funny?transaction_id=4994141844</t>
  </si>
  <si>
    <t>https://www.etsy.com/ca/listing/4344231895/embroidered-baby-romper-shhh-im-reading?transaction_id=4994141842</t>
  </si>
  <si>
    <t>https://www.etsy.com/ca/listing/4376399899/the-littlest-book-club-member-baby?transaction_id=4994301476</t>
  </si>
  <si>
    <t>https://www.etsy.com/ca/listing/4392935796/box-box-for-fresh-diapers-embroidered?transaction_id=5004227605</t>
  </si>
  <si>
    <t>https://www.etsy.com/ca/listing/4376399899/the-littlest-book-club-member-baby?transaction_id=4994538936</t>
  </si>
  <si>
    <t>https://www.etsy.com/ca/listing/4376399899/the-littlest-book-club-member-baby?transaction_id=4994549676</t>
  </si>
  <si>
    <t>https://www.etsy.com/ca/listing/4376399899/the-littlest-book-club-member-baby?transaction_id=5004565625</t>
  </si>
  <si>
    <t>https://www.etsy.com/ca/listing/4336902854/personalized-football-baby-romper-daddys?transaction_id=4994655186</t>
  </si>
  <si>
    <t>https://www.etsy.com/ca/listing/4467440237/the-littlest-coffee-club-member-baby?transaction_id=4994682498</t>
  </si>
  <si>
    <t>https://www.etsy.com/ca/listing/4392935796/box-box-for-fresh-diapers-embroidered?transaction_id=4994950320</t>
  </si>
  <si>
    <t>https://www.etsy.com/ca/listing/4392936688/shhh-im-watching-motogp-with-daddy?transaction_id=5004928317</t>
  </si>
  <si>
    <t>https://www.etsy.com/ca/listing/4467451258/the-littlest-tennis-club-member-baby?transaction_id=4995014722</t>
  </si>
  <si>
    <t>https://www.etsy.com/ca/listing/4330483836/embroidered-bear-baby-romper-custom-name?transaction_id=5005008549</t>
  </si>
  <si>
    <t>https://www.etsy.com/ca/listing/4376399899/the-littlest-book-club-member-baby?transaction_id=4995196576</t>
  </si>
  <si>
    <t>https://www.etsy.com/ca/listing/4371125103/personalized-dog-baby-bodysuit-custom?transaction_id=5005198453</t>
  </si>
  <si>
    <t>https://www.etsy.com/ca/listing/4376399899/the-littlest-book-club-member-baby?transaction_id=5005540989</t>
  </si>
  <si>
    <t>https://www.etsy.com/ca/listing/4372352286/silly-goose-baby-romper-funny-infant?transaction_id=4995865104</t>
  </si>
  <si>
    <t>https://www.etsy.com/ca/listing/4376399899/the-littlest-book-club-member-baby?transaction_id=4995984850</t>
  </si>
  <si>
    <t>https://www.etsy.com/ca/listing/4376392339/funny-baby-romper-my-brand-of-formula?transaction_id=5006238763</t>
  </si>
  <si>
    <t>https://www.etsy.com/ca/listing/4371125103/personalized-dog-baby-bodysuit-custom?transaction_id=5006547717</t>
  </si>
  <si>
    <t>https://www.etsy.com/ca/listing/4371125103/personalized-dog-baby-bodysuit-custom?transaction_id=5006596181</t>
  </si>
  <si>
    <t>https://www.etsy.com/ca/listing/4330479964/personalized-fox-baby-bodysuit-custom?transaction_id=5006773313</t>
  </si>
  <si>
    <t>https://www.etsy.com/ca/listing/4376399899/the-littlest-book-club-member-baby?transaction_id=5007031909</t>
  </si>
  <si>
    <t>https://www.etsy.com/ca/listing/4347880114/funny-baby-romper-sorry-i-tooted-outfit?transaction_id=5007054431</t>
  </si>
  <si>
    <t>https://www.etsy.com/ca/listing/4392935796/box-box-for-fresh-diapers-embroidered?transaction_id=4997139408</t>
  </si>
  <si>
    <t>https://www.etsy.com/ca/listing/4376399899/the-littlest-book-club-member-baby?transaction_id=4997230230</t>
  </si>
  <si>
    <t>https://www.etsy.com/ca/listing/4336902854/personalized-football-baby-romper-daddys?transaction_id=5007331189</t>
  </si>
  <si>
    <t>https://www.etsy.com/ca/listing/4467440237/the-littlest-coffee-club-member-baby?transaction_id=5007382239</t>
  </si>
  <si>
    <t>https://www.etsy.com/ca/listing/4393819210/sweet-dreams-are-made-of-cheese?transaction_id=5007416599</t>
  </si>
  <si>
    <t>https://www.etsy.com/ca/listing/4330485404/cat-face-embroidered-baby-romper-funny?transaction_id=4997921464</t>
  </si>
  <si>
    <t>https://www.etsy.com/ca/listing/4376399899/the-littlest-book-club-member-baby?transaction_id=5008034425</t>
  </si>
  <si>
    <t xml:space="preserve"> 6-12M(LONG-SLEEVE)</t>
  </si>
  <si>
    <t>https://www.etsy.com/ca/listing/4330504943/embroidered-tennis-baby-romper-daddys?transaction_id=5008080435</t>
  </si>
  <si>
    <t>https://www.etsy.com/ca/listing/4330488178/embroidered-golf-baby-romper-new-to-the?transaction_id=5008525811</t>
  </si>
  <si>
    <t>https://www.etsy.com/ca/listing/4376399899/the-littlest-book-club-member-baby?transaction_id=5008580137</t>
  </si>
  <si>
    <t>https://www.etsy.com/ca/listing/4467440237/the-littlest-coffee-club-member-baby?transaction_id=4998889836</t>
  </si>
  <si>
    <t>https://www.etsy.com/ca/listing/4473754338/f1-baby-romper-with-daddy-racing-baby?transaction_id=5009951243</t>
  </si>
  <si>
    <t>https://www.etsy.com/ca/listing/4392935796/box-box-for-fresh-diapers-embroidered?transaction_id=5010093135</t>
  </si>
  <si>
    <t>https://www.etsy.com/ca/listing/4376389783/player-2-baby-romper-gamer-baby-outfit?transaction_id=5000526240</t>
  </si>
  <si>
    <t>https://www.etsy.com/ca/listing/4392935796/box-box-for-fresh-diapers-embroidered?transaction_id=5010652043</t>
  </si>
  <si>
    <t>https://www.etsy.com/ca/listing/4376399899/the-littlest-book-club-member-baby?transaction_id=5010964223</t>
  </si>
  <si>
    <t>https://www.etsy.com/ca/listing/4372352286/silly-goose-baby-romper-funny-infant?transaction_id=5011242241</t>
  </si>
  <si>
    <t>https://www.etsy.com/ca/listing/4467449868/the-littlest-garden-club-member-baby?transaction_id=5001463758</t>
  </si>
  <si>
    <t>https://www.etsy.com/ca/listing/4393855716/lil-chef-embroidered-romper-cute-baby?transaction_id=5011261101</t>
  </si>
  <si>
    <t>https://www.etsy.com/ca/listing/4392962015/cant-wait-to-jam-with-daddy-embroidered?transaction_id=5001534892</t>
  </si>
  <si>
    <t>https://www.etsy.com/ca/listing/4473754338/f1-baby-romper-with-daddy-racing-baby?transaction_id=5001590428</t>
  </si>
  <si>
    <t>https://www.etsy.com/ca/listing/4376399899/the-littlest-book-club-member-baby?transaction_id=5001736286</t>
  </si>
  <si>
    <t xml:space="preserve"> 18-24M(SHORT-SLEEVE)</t>
  </si>
  <si>
    <t>https://www.etsy.com/ca/listing/4467440237/the-littlest-coffee-club-member-baby?transaction_id=5002028198</t>
  </si>
  <si>
    <t>https://www.etsy.com/ca/listing/4392935796/box-box-for-fresh-diapers-embroidered?transaction_id=5011945921</t>
  </si>
  <si>
    <t>https://www.etsy.com/ca/listing/4376399899/the-littlest-book-club-member-baby?transaction_id=5002454696</t>
  </si>
  <si>
    <t>https://www.etsy.com/ca/listing/4344231895/embroidered-baby-romper-shhh-im-reading?transaction_id=5002544240</t>
  </si>
  <si>
    <t>https://www.etsy.com/ca/listing/4467448112/box-box-for-milk-baby-romper-funny?transaction_id=5002804744</t>
  </si>
  <si>
    <t>https://www.etsy.com/ca/listing/4330504943/embroidered-tennis-baby-romper-daddys?transaction_id=5002855228</t>
  </si>
  <si>
    <t>https://www.etsy.com/ca/listing/4376399899/the-littlest-book-club-member-baby?transaction_id=5003028366</t>
  </si>
  <si>
    <t>https://www.etsy.com/ca/listing/4392935796/box-box-for-fresh-diapers-embroidered?transaction_id=5012746899</t>
  </si>
  <si>
    <t>https://www.etsy.com/ca/listing/4376399899/the-littlest-book-club-member-baby?transaction_id=5003621998</t>
  </si>
  <si>
    <t>https://www.etsy.com/ca/listing/4330488178/embroidered-golf-baby-romper-new-to-the?transaction_id=5013448521</t>
  </si>
  <si>
    <t>https://www.etsy.com/ca/listing/4376389783/player-2-baby-romper-gamer-baby-outfit?transaction_id=5013448519</t>
  </si>
  <si>
    <t>https://www.etsy.com/ca/listing/4376399899/the-littlest-book-club-member-baby?transaction_id=5003689368</t>
  </si>
  <si>
    <t>https://www.etsy.com/ca/listing/4376399899/the-littlest-book-club-member-baby?transaction_id=5003744328</t>
  </si>
  <si>
    <t>https://www.etsy.com/ca/listing/4392935796/box-box-for-fresh-diapers-embroidered?transaction_id=5003971068</t>
  </si>
  <si>
    <t>https://www.etsy.com/ca/listing/4471141630/crawl-walk-hockey-baby-romper-hockey?transaction_id=5013743793</t>
  </si>
  <si>
    <t>https://www.etsy.com/ca/listing/4344231895/embroidered-baby-romper-shhh-im-reading?transaction_id=5014064455</t>
  </si>
  <si>
    <t>https://www.etsy.com/ca/listing/4376399899/the-littlest-book-club-member-baby?transaction_id=5014082637</t>
  </si>
  <si>
    <t>https://www.etsy.com/ca/listing/4376399899/the-littlest-book-club-member-baby?transaction_id=5004373814</t>
  </si>
  <si>
    <t>https://www.etsy.com/ca/listing/4369779608/baby-vampire-halloween-romper-funny?transaction_id=5014265207</t>
  </si>
  <si>
    <t>https://www.etsy.com/ca/listing/4379194627/new-to-the-farm-embroidered-romper-baby?transaction_id=5014379509</t>
  </si>
  <si>
    <t>https://www.etsy.com/ca/listing/4371125103/personalized-dog-baby-bodysuit-custom?transaction_id=5014462679</t>
  </si>
  <si>
    <t>https://www.etsy.com/ca/listing/4376399899/the-littlest-book-club-member-baby?transaction_id=5005518144</t>
  </si>
  <si>
    <t>https://www.etsy.com/ca/listing/4467440237/the-littlest-coffee-club-member-baby?transaction_id=5015643379</t>
  </si>
  <si>
    <t>https://www.etsy.com/ca/listing/4376399899/the-littlest-book-club-member-baby?transaction_id=5015646531</t>
  </si>
  <si>
    <t>https://www.etsy.com/ca/listing/4330488178/embroidered-golf-baby-romper-new-to-the?transaction_id=5006363536</t>
  </si>
  <si>
    <t>https://www.etsy.com/ca/listing/4330504943/embroidered-tennis-baby-romper-daddys?transaction_id=5016228583</t>
  </si>
  <si>
    <t>https://www.etsy.com/ca/listing/4371125103/personalized-dog-baby-bodysuit-custom?transaction_id=5006728074</t>
  </si>
  <si>
    <t>https://www.etsy.com/ca/listing/4376399899/the-littlest-book-club-member-baby?transaction_id=5016602033</t>
  </si>
  <si>
    <t>https://www.etsy.com/ca/listing/4346126210/daddys-future-lifting-buddy-romper-baby?transaction_id=5016747363</t>
  </si>
  <si>
    <t>Finland</t>
  </si>
  <si>
    <t>https://www.etsy.com/ca/listing/4392935796/box-box-for-fresh-diapers-embroidered?transaction_id=5007124268</t>
  </si>
  <si>
    <t>https://www.etsy.com/ca/listing/4376399899/the-littlest-book-club-member-baby?transaction_id=5007714594</t>
  </si>
  <si>
    <t xml:space="preserve"> 6-12M( SHORT-SLEEVE)</t>
  </si>
  <si>
    <t>https://www.etsy.com/ca/listing/4376399899/the-littlest-book-club-member-baby?transaction_id=5017760479</t>
  </si>
  <si>
    <t>https://www.etsy.com/ca/listing/4469531325/happy-hour-with-uncle-mike-baby-romper?transaction_id=5017808059</t>
  </si>
  <si>
    <t>https://www.etsy.com/ca/listing/4392935796/box-box-for-fresh-diapers-embroidered?transaction_id=5018127557</t>
  </si>
  <si>
    <t>https://www.etsy.com/ca/listing/4336900156/personalized-soccer-baby-romper?transaction_id=5008201224</t>
  </si>
  <si>
    <t>https://www.etsy.com/ca/listing/4376392339/funny-baby-romper-my-brand-of-formula?transaction_id=5018525509</t>
  </si>
  <si>
    <t>https://www.etsy.com/ca/listing/4392935796/box-box-for-fresh-diapers-embroidered?transaction_id=5018431863</t>
  </si>
  <si>
    <t>https://www.etsy.com/ca/listing/4376392339/funny-baby-romper-my-brand-of-formula?transaction_id=5008723820</t>
  </si>
  <si>
    <t>https://www.etsy.com/ca/listing/4376399899/the-littlest-book-club-member-baby?transaction_id=5008812784</t>
  </si>
  <si>
    <t>https://www.etsy.com/ca/listing/4392932100/born-to-ride-with-my-daddy-embroidered?transaction_id=5019665249</t>
  </si>
  <si>
    <t>https://www.etsy.com/ca/listing/4467451258/the-littlest-tennis-club-member-baby?transaction_id=5009868436</t>
  </si>
  <si>
    <t>https://www.etsy.com/ca/listing/4336902854/personalized-football-baby-romper-daddys?transaction_id=5010043078</t>
  </si>
  <si>
    <t>https://www.etsy.com/ca/listing/4376399899/the-littlest-book-club-member-baby?transaction_id=5020009859</t>
  </si>
  <si>
    <t>https://www.etsy.com/ca/listing/4392935796/box-box-for-fresh-diapers-embroidered?transaction_id=5010435800</t>
  </si>
  <si>
    <t>https://www.etsy.com/ca/listing/4467440237/the-littlest-coffee-club-member-baby?transaction_id=5020596985</t>
  </si>
  <si>
    <t>https://www.etsy.com/ca/listing/4376399899/the-littlest-book-club-member-baby?transaction_id=5011059704</t>
  </si>
  <si>
    <t>https://www.etsy.com/ca/listing/4344235128/new-to-the-hive-baby-romper-embroidered?transaction_id=5011379112</t>
  </si>
  <si>
    <t>https://www.etsy.com/ca/listing/4392935796/box-box-for-fresh-diapers-embroidered?transaction_id=5011591898</t>
  </si>
  <si>
    <t>https://www.etsy.com/ca/listing/4376399899/the-littlest-book-club-member-baby?transaction_id=5022032877</t>
  </si>
  <si>
    <t>https://www.etsy.com/ca/listing/4392936688/shhh-im-watching-motogp-with-daddy?transaction_id=5012274298</t>
  </si>
  <si>
    <t>https://www.etsy.com/ca/listing/4376399899/the-littlest-book-club-member-baby?transaction_id=5022514811</t>
  </si>
  <si>
    <t>https://www.etsy.com/ca/listing/4376399899/the-littlest-book-club-member-baby?transaction_id=5012860280</t>
  </si>
  <si>
    <t>https://www.etsy.com/ca/listing/4392932100/born-to-ride-with-my-daddy-embroidered?transaction_id=5013365610</t>
  </si>
  <si>
    <t>Spain</t>
  </si>
  <si>
    <t>https://www.etsy.com/ca/listing/4376399899/the-littlest-book-club-member-baby?transaction_id=5013478978</t>
  </si>
  <si>
    <t>https://www.etsy.com/ca/listing/4372352286/silly-goose-baby-romper-funny-infant?transaction_id=5013837266</t>
  </si>
  <si>
    <t>https://www.etsy.com/ca/listing/4471141630/crawl-walk-hockey-baby-romper-hockey?transaction_id=5013906700</t>
  </si>
  <si>
    <t>https://www.etsy.com/ca/listing/4330488178/embroidered-golf-baby-romper-new-to-the?transaction_id=5013969128</t>
  </si>
  <si>
    <t>https://www.etsy.com/ca/listing/4347879262/funny-pickle-baby-romper-im-kind-of-a?transaction_id=5024276335</t>
  </si>
  <si>
    <t>https://www.etsy.com/ca/listing/4344235128/new-to-the-hive-baby-romper-embroidered?transaction_id=5024324125</t>
  </si>
  <si>
    <t>https://www.etsy.com/ca/listing/4371125103/personalized-dog-baby-bodysuit-custom?transaction_id=5014176994</t>
  </si>
  <si>
    <t>https://www.etsy.com/ca/listing/4376399899/the-littlest-book-club-member-baby?transaction_id=5014612882</t>
  </si>
  <si>
    <t>https://www.etsy.com/ca/listing/4467452578/the-littlest-pickleball-club-member-baby?transaction_id=5024924649</t>
  </si>
  <si>
    <t>https://www.etsy.com/ca/listing/4376399899/the-littlest-book-club-member-baby?transaction_id=5024995263</t>
  </si>
  <si>
    <t>https://www.etsy.com/ca/listing/4376399899/the-littlest-book-club-member-baby?transaction_id=5015733214</t>
  </si>
  <si>
    <t>https://www.etsy.com/ca/listing/4392935796/box-box-for-fresh-diapers-embroidered?transaction_id=5015787952</t>
  </si>
  <si>
    <t>https://www.etsy.com/ca/listing/4376399899/the-littlest-book-club-member-baby?transaction_id=5015936336</t>
  </si>
  <si>
    <t>https://www.etsy.com/ca/listing/4376399899/the-littlest-book-club-member-baby?transaction_id=5026204571</t>
  </si>
  <si>
    <t>https://www.etsy.com/ca/listing/4347260564/football-baby-romper-game-day-baby?transaction_id=5026494115</t>
  </si>
  <si>
    <t>https://www.etsy.com/ca/listing/4330492936/a-roar-able-dinosaur-baby-bodysuit-cute?transaction_id=5016272930</t>
  </si>
  <si>
    <t>https://www.etsy.com/ca/listing/4376399899/the-littlest-book-club-member-baby?transaction_id=5026516759&amp;dd_referrer=</t>
  </si>
  <si>
    <t>https://www.etsy.com/ca/listing/4392936921/apparently-i-like-golf-embroidered?transaction_id=5026639391</t>
  </si>
  <si>
    <t>https://www.etsy.com/ca/listing/4392935796/box-box-for-fresh-diapers-embroidered?transaction_id=5016469770</t>
  </si>
  <si>
    <t>Hong Kong</t>
  </si>
  <si>
    <t>https://www.etsy.com/ca/listing/4330474476/so-ducking-cute-embroidered-baby-romper?transaction_id=5016788538</t>
  </si>
  <si>
    <t>https://www.etsy.com/ca/listing/4376401181/challah-at-your-girl-baby-bodysuit-funny?transaction_id=5017276926</t>
  </si>
  <si>
    <t>https://www.etsy.com/ca/listing/4376399899/the-littlest-book-club-member-baby?transaction_id=5027549917</t>
  </si>
  <si>
    <t>https://www.etsy.com/ca/listing/4376399899/the-littlest-book-club-member-baby?transaction_id=5027566015</t>
  </si>
  <si>
    <t>https://www.etsy.com/ca/listing/4392932100/born-to-ride-with-my-daddy-embroidered?transaction_id=5028070451</t>
  </si>
  <si>
    <t>https://www.etsy.com/ca/listing/4467440237/the-littlest-coffee-club-member-baby?transaction_id=5018055952</t>
  </si>
  <si>
    <t>https://www.etsy.com/ca/listing/4336900156/personalized-soccer-baby-romper?transaction_id=5018289530</t>
  </si>
  <si>
    <t>https://www.etsy.com/ca/listing/4376399899/the-littlest-book-club-member-baby?transaction_id=5018593294</t>
  </si>
  <si>
    <t>https://www.etsy.com/ca/listing/4336907597/custom-running-baby-romper-daddys-future?transaction_id=5028933047</t>
  </si>
  <si>
    <t>https://www.etsy.com/ca/listing/4475325519/daddys-future-fishing-buddy-baby?transaction_id=5029253059</t>
  </si>
  <si>
    <t>https://www.etsy.com/ca/listing/4467440237/the-littlest-coffee-club-member-baby?transaction_id=5019174184</t>
  </si>
  <si>
    <t>https://www.etsy.com/ca/listing/4392932100/born-to-ride-with-my-daddy-embroidered?transaction_id=5019485618</t>
  </si>
  <si>
    <t>https://www.etsy.com/ca/listing/4346126210/daddys-future-lifting-buddy-romper-baby?transaction_id=5029715903</t>
  </si>
  <si>
    <t>https://www.etsy.com/ca/listing/4330485404/cat-face-embroidered-baby-romper-funny?transaction_id=5029841831</t>
  </si>
  <si>
    <t>https://www.etsy.com/ca/listing/4371125103/personalized-dog-baby-bodysuit-custom?transaction_id=5019661910&amp;dd_referrer=</t>
  </si>
  <si>
    <t>https://www.etsy.com/ca/listing/4471139005/going-home-to-meet-my-pups-baby-romper?transaction_id=5020339870</t>
  </si>
  <si>
    <t>https://www.etsy.com/ca/listing/4392929794/little-latke-embroidered-romper-hanukkah?transaction_id=5020415034</t>
  </si>
  <si>
    <t>https://www.etsy.com/ca/listing/4467446644/the-littlest-baking-club-member-baby?transaction_id=5030576887</t>
  </si>
  <si>
    <t>https://www.etsy.com/ca/listing/4467440237/the-littlest-coffee-club-member-baby?transaction_id=5030675555</t>
  </si>
  <si>
    <t>https://www.etsy.com/ca/listing/4376399899/the-littlest-book-club-member-baby?transaction_id=5020714388</t>
  </si>
  <si>
    <t>https://www.etsy.com/ca/listing/4376399899/the-littlest-book-club-member-baby?transaction_id=5020766290</t>
  </si>
  <si>
    <t>https://www.etsy.com/ca/listing/4371125103/personalized-dog-baby-bodysuit-custom?transaction_id=5021044466</t>
  </si>
  <si>
    <t>https://www.etsy.com/ca/listing/4376401181/challah-at-your-girl-baby-bodysuit-funny?transaction_id=5021064874</t>
  </si>
  <si>
    <t>https://www.etsy.com/ca/listing/4346130567/hockey-baby-romper-embroidered-bodysuit?transaction_id=5031324451</t>
  </si>
  <si>
    <t>https://www.etsy.com/ca/listing/4376399899/the-littlest-book-club-member-baby?transaction_id=5031475433</t>
  </si>
  <si>
    <t>https://www.etsy.com/ca/listing/4376399899/the-littlest-book-club-member-baby?transaction_id=5031475434</t>
  </si>
  <si>
    <t>https://www.etsy.com/ca/listing/4376399899/the-littlest-book-club-member-baby?transaction_id=5031482827</t>
  </si>
  <si>
    <t>https://www.etsy.com/ca/listing/4471139539/daddys-future-hunting-buddy-baby-romper?transaction_id=5021935574</t>
  </si>
  <si>
    <t>https://www.etsy.com/ca/listing/4392932100/born-to-ride-with-my-daddy-embroidered?transaction_id=5021947328</t>
  </si>
  <si>
    <t>https://www.etsy.com/ca/listing/4376399899/the-littlest-book-club-member-baby?transaction_id=5022042608</t>
  </si>
  <si>
    <t>https://www.etsy.com/ca/listing/4376399899/the-littlest-book-club-member-baby?transaction_id=5022458666</t>
  </si>
  <si>
    <t>https://www.etsy.com/ca/listing/4379194627/new-to-the-farm-embroidered-romper-baby?transaction_id=5022668650</t>
  </si>
  <si>
    <t>https://www.etsy.com/ca/listing/4379194627/new-to-the-farm-embroidered-romper-baby?transaction_id=5022830308</t>
  </si>
  <si>
    <t>https://www.etsy.com/ca/listing/4392936688/shhh-im-watching-motogp-with-daddy?transaction_id=5023060312</t>
  </si>
  <si>
    <t>https://www.etsy.com/ca/listing/4477329625/custom-name-baseball-baby-romper?transaction_id=5033703487</t>
  </si>
  <si>
    <t>https://www.etsy.com/ca/listing/4376399899/the-littlest-book-club-member-baby?transaction_id=5024266070</t>
  </si>
  <si>
    <t>https://www.etsy.com/ca/listing/4376399899/the-littlest-book-club-member-baby?transaction_id=5035083529</t>
  </si>
  <si>
    <t>https://www.etsy.com/ca/listing/4376399899/the-littlest-book-club-member-baby?transaction_id=5024641156</t>
  </si>
  <si>
    <t>https://www.etsy.com/ca/listing/4351827687/handsome-just-like-daddy-baby-romper?transaction_id=5035259907</t>
  </si>
  <si>
    <t>https://www.etsy.com/ca/listing/4376399899/the-littlest-book-club-member-baby?transaction_id=5024660178</t>
  </si>
  <si>
    <t>https://www.etsy.com/ca/listing/4379194627/new-to-the-farm-embroidered-romper-baby?transaction_id=5035350493</t>
  </si>
  <si>
    <t>https://www.etsy.com/ca/listing/4344231895/embroidered-baby-romper-shhh-im-reading?transaction_id=5035606499&amp;dd_referrer=</t>
  </si>
  <si>
    <t>https://www.etsy.com/ca/listing/4376399899/the-littlest-book-club-member-baby?transaction_id=5035938667</t>
  </si>
  <si>
    <t>https://www.etsy.com/ca/listing/4376399899/the-littlest-book-club-member-baby?transaction_id=5036001337</t>
  </si>
  <si>
    <t>https://www.etsy.com/ca/listing/4392932100/born-to-ride-with-my-daddy-embroidered?transaction_id=5036215455</t>
  </si>
  <si>
    <t>Czech Republic</t>
  </si>
  <si>
    <t>https://www.etsy.com/ca/listing/4376389783/player-2-baby-romper-gamer-baby-outfit?transaction_id=5025675098</t>
  </si>
  <si>
    <t>https://www.etsy.com/ca/listing/4477329625/custom-name-baseball-baby-romper?transaction_id=5036722095</t>
  </si>
  <si>
    <t>https://www.etsy.com/ca/listing/4330485404/cat-face-embroidered-baby-romper-funny?transaction_id=5037088365</t>
  </si>
  <si>
    <t>https://www.etsy.com/ca/listing/4467440237/the-littlest-coffee-club-member-baby?transaction_id=5026345206</t>
  </si>
  <si>
    <t>https://www.etsy.com/ca/listing/4376399899/the-littlest-book-club-member-baby?transaction_id=5037370747</t>
  </si>
  <si>
    <t>https://www.etsy.com/ca/listing/4462790215/personalized-cat-baby-bodysuit-custom?transaction_id=5037461055</t>
  </si>
  <si>
    <t>https://www.etsy.com/ca/listing/4330499355/born-to-fix-like-my-daddy-baby-romper?transaction_id=5026644132</t>
  </si>
  <si>
    <t>https://www.etsy.com/ca/listing/4376399899/the-littlest-book-club-member-baby?transaction_id=5026990408</t>
  </si>
  <si>
    <t>https://www.etsy.com/ca/listing/4376401181/challah-at-your-girl-baby-bodysuit-funny?transaction_id=5027150930</t>
  </si>
  <si>
    <t>https://www.etsy.com/ca/listing/4467440237/the-littlest-coffee-club-member-baby?transaction_id=5038394859</t>
  </si>
  <si>
    <t>https://www.etsy.com/ca/listing/4392935796/box-box-for-fresh-diapers-embroidered?transaction_id=5027593390</t>
  </si>
  <si>
    <t>https://www.etsy.com/ca/listing/4486216770/music-skills-loading-baby-romper?transaction_id=5038739451&amp;dd_referrer=</t>
  </si>
  <si>
    <t>https://www.etsy.com/ca/listing/4376399899/the-littlest-book-club-member-baby?transaction_id=5039137937</t>
  </si>
  <si>
    <t>https://www.etsy.com/ca/listing/4485619704/little-swiftie-baby-romper-taylor-fan?transaction_id=5028220264</t>
  </si>
  <si>
    <t>https://www.etsy.com/ca/listing/4330504400/embroidered-bicycle-baby-romper-born-to?transaction_id=5039492569</t>
  </si>
  <si>
    <t>https://www.etsy.com/ca/listing/4474903749/daddys-future-running-buddy-baby-romper?transaction_id=5028577582</t>
  </si>
  <si>
    <t>https://www.etsy.com/ca/listing/4467445678/the-littlest-music-club-member-baby?transaction_id=5028650146</t>
  </si>
  <si>
    <t>https://www.etsy.com/ca/listing/4467440237/the-littlest-coffee-club-member-baby?transaction_id=5040021663</t>
  </si>
  <si>
    <t>https://www.etsy.com/ca/listing/4467440237/the-littlest-coffee-club-member-baby?transaction_id=5040355363</t>
  </si>
  <si>
    <t>https://www.etsy.com/ca/listing/4379194627/new-to-the-farm-embroidered-romper-baby?transaction_id=5040537853&amp;dd_referrer=</t>
  </si>
  <si>
    <t>https://www.etsy.com/ca/listing/4330485404/cat-face-embroidered-baby-romper-funny?transaction_id=5040786827</t>
  </si>
  <si>
    <t>https://www.etsy.com/ca/listing/4482814958/first-mothers-day-together-baby-romper?transaction_id=5029774282</t>
  </si>
  <si>
    <t>3-6M(LONG -SLEEVE</t>
  </si>
  <si>
    <t>https://www.etsy.com/ca/listing/4371125103/personalized-dog-baby-bodysuit-custom?transaction_id=5040836145</t>
  </si>
  <si>
    <t>0-3M(SHORT -SLEEVE</t>
  </si>
  <si>
    <t>https://www.etsy.com/ca/listing/4467440237/the-littlest-coffee-club-member-baby?transaction_id=5029825508</t>
  </si>
  <si>
    <t>https://www.etsy.com/ca/listing/4467440237/the-littlest-coffee-club-member-baby?transaction_id=5029952814</t>
  </si>
  <si>
    <t>https://www.etsy.com/ca/listing/4330463387/embroidered-baby-romper-relax-mommy-is-a?transaction_id=5041019189</t>
  </si>
  <si>
    <t>https://www.etsy.com/ca/listing/4333135410/little-pumpkin-baby-romper-fall?transaction_id=5041155095</t>
  </si>
  <si>
    <t>https://www.etsy.com/ca/listing/4392935796/box-box-for-fresh-diapers-embroidered?transaction_id=5030511698</t>
  </si>
  <si>
    <t>https://www.etsy.com/ca/listing/4467440237/the-littlest-coffee-club-member-baby?transaction_id=5041695977</t>
  </si>
  <si>
    <t>https://www.etsy.com/ca/listing/4485619704/little-swiftie-baby-romper-taylor-fan?transaction_id=5041838827</t>
  </si>
  <si>
    <t>https://www.etsy.com/ca/listing/4477332212/custom-name-music-baby-romper?transaction_id=5041991683</t>
  </si>
  <si>
    <t>https://www.etsy.com/ca/listing/4467440237/the-littlest-coffee-club-member-baby?transaction_id=5042101061</t>
  </si>
  <si>
    <t>https://www.etsy.com/ca/listing/4392936921/apparently-i-like-golf-embroidered?transaction_id=5042170019</t>
  </si>
  <si>
    <t>https://www.etsy.com/ca/listing/4379194627/new-to-the-farm-embroidered-romper-baby?transaction_id=5031014780</t>
  </si>
  <si>
    <t>https://www.etsy.com/ca/listing/4467440237/the-littlest-coffee-club-member-baby?transaction_id=5031154556</t>
  </si>
  <si>
    <t>https://www.etsy.com/ca/listing/4376399899/the-littlest-book-club-member-baby?transaction_id=5042512311</t>
  </si>
  <si>
    <t>https://www.etsy.com/ca/listing/4347895283/football-baby-bodysuit-dont-fumble-me?transaction_id=5031399846</t>
  </si>
  <si>
    <t>https://www.etsy.com/ca/listing/4330474831/embroidered-hedgehog-baby-bodysuit?transaction_id=5031496618</t>
  </si>
  <si>
    <t>https://www.etsy.com/ca/listing/4376389783/player-2-baby-romper-gamer-baby-outfit?transaction_id=5043047507</t>
  </si>
  <si>
    <t>https://www.etsy.com/ca/listing/4330479964/personalized-fox-baby-bodysuit-custom?transaction_id=5043047503</t>
  </si>
  <si>
    <t>https://www.etsy.com/ca/listing/4376399899/the-littlest-book-club-member-baby?transaction_id=5031853806</t>
  </si>
  <si>
    <t>https://www.etsy.com/ca/listing/4343133641/golf-skills-loading-embroidered-baby?transaction_id=5043260207</t>
  </si>
  <si>
    <t>https://www.etsy.com/ca/listing/4482810867/custom-name-first-mothers-day-baby?transaction_id=5043266585</t>
  </si>
  <si>
    <t>https://www.etsy.com/ca/listing/4330488178/embroidered-golf-baby-romper-new-to-the?transaction_id=5032125592</t>
  </si>
  <si>
    <t>https://www.etsy.com/ca/listing/4471141630/crawl-walk-hockey-baby-romper-hockey?transaction_id=5043947667</t>
  </si>
  <si>
    <t>https://www.etsy.com/ca/listing/4485619704/little-swiftie-baby-romper-taylor-fan?transaction_id=5044057435</t>
  </si>
  <si>
    <t>https://www.etsy.com/ca/listing/4467451258/the-littlest-tennis-club-member-baby?transaction_id=5044587249</t>
  </si>
  <si>
    <t>https://www.etsy.com/ca/listing/4346126210/daddys-future-lifting-buddy-romper-baby?transaction_id=5033237526</t>
  </si>
  <si>
    <t>https://www.etsy.com/ca/listing/4392932100/born-to-ride-with-my-daddy-embroidered?transaction_id=5033539730</t>
  </si>
  <si>
    <t>https://www.etsy.com/ca/listing/4471141028/custom-name-embroidered-romper-i-love-my?transaction_id=5034179714</t>
  </si>
  <si>
    <t>https://www.etsy.com/ca/listing/4467440237/the-littlest-coffee-club-member-baby?transaction_id=5045249557</t>
  </si>
  <si>
    <t>https://www.etsy.com/ca/listing/4376399899/the-littlest-book-club-member-baby?transaction_id=5034078566</t>
  </si>
  <si>
    <t>https://www.etsy.com/ca/listing/4376392339/funny-baby-romper-my-brand-of-formula?transaction_id=5034094704</t>
  </si>
  <si>
    <t>https://www.etsy.com/ca/listing/4330488178/embroidered-golf-baby-romper-new-to-the?transaction_id=5045751699</t>
  </si>
  <si>
    <t>https://www.etsy.com/ca/listing/4485619704/little-swiftie-baby-romper-taylor-fan?transaction_id=5046071005</t>
  </si>
  <si>
    <t>https://www.etsy.com/ca/listing/4330504943/embroidered-tennis-baby-romper-daddys?transaction_id=5034447822</t>
  </si>
  <si>
    <t>https://www.etsy.com/ca/listing/4467440237/the-littlest-coffee-club-member-baby?transaction_id=5046495771</t>
  </si>
  <si>
    <t>https://www.etsy.com/ca/listing/4376389783/player-2-baby-romper-gamer-baby-outfit?transaction_id=5046670253</t>
  </si>
  <si>
    <t>https://www.etsy.com/ca/listing/4333134764/wizard-font-baby-romper-personalized?transaction_id=4925553009</t>
  </si>
  <si>
    <t>12-18 months(SHORT-SLEEVE)</t>
  </si>
  <si>
    <t>https://www.etsy.com/ca/listing/4392932100/born-to-ride-with-my-daddy-embroidered?transaction_id=5035542520</t>
  </si>
  <si>
    <t>https://www.etsy.com/ca/listing/4346126210/daddys-future-lifting-buddy-romper-baby?transaction_id=5047639849</t>
  </si>
  <si>
    <t>Saudi Arabia</t>
  </si>
  <si>
    <t>https://www.etsy.com/ca/listing/4467451258/the-littlest-tennis-club-member-baby?transaction_id=5047879613</t>
  </si>
  <si>
    <t>https://www.etsy.com/ca/listing/4376389783/player-2-baby-romper-gamer-baby-outfit?transaction_id=5036003110</t>
  </si>
  <si>
    <t>https://www.etsy.com/ca/listing/4392932100/born-to-ride-with-my-daddy-embroidered?transaction_id=5048301987</t>
  </si>
  <si>
    <t>https://www.etsy.com/ca/listing/4330504943/embroidered-tennis-baby-romper-daddys?transaction_id=5036592608</t>
  </si>
  <si>
    <t>https://www.etsy.com/ca/listing/4346126210/daddys-future-lifting-buddy-romper-baby?transaction_id=5036712120</t>
  </si>
  <si>
    <t>https://www.etsy.com/ca/listing/4392932100/born-to-ride-with-my-daddy-embroidered?transaction_id=5036886088</t>
  </si>
  <si>
    <t>https://www.etsy.com/ca/listing/4376399899/the-littlest-book-club-member-baby?transaction_id=5049067587</t>
  </si>
  <si>
    <t>https://www.etsy.com/ca/listing/4330489800/personalized-badminton-baby-romper?transaction_id=5037790240</t>
  </si>
  <si>
    <t>https://www.etsy.com/ca/listing/4376399899/the-littlest-book-club-member-baby?transaction_id=5050267047</t>
  </si>
  <si>
    <t>https://www.etsy.com/ca/listing/4471139539/daddys-future-hunting-buddy-baby-romper?transaction_id=5038052938</t>
  </si>
  <si>
    <t>https://www.etsy.com/ca/listing/4467450860/the-littlest-camping-club-member-baby?transaction_id=5038105604</t>
  </si>
  <si>
    <t>https://www.etsy.com/ca/listing/4467446644/the-littlest-baking-club-member-baby?transaction_id=5050668245</t>
  </si>
  <si>
    <t>https://www.etsy.com/ca/listing/4376389783/player-2-baby-romper-gamer-baby-outfit?transaction_id=5050737861</t>
  </si>
  <si>
    <t>https://www.etsy.com/ca/listing/4473754692/custom-name-embroidered-romper-fishing?transaction_id=5050971709</t>
  </si>
  <si>
    <t>https://www.etsy.com/ca/listing/4467449868/the-littlest-garden-club-member-baby?transaction_id=5038691222</t>
  </si>
  <si>
    <t>https://www.etsy.com/ca/listing/4336899579/personalized-basketball-baby-romper?transaction_id=5051363287</t>
  </si>
  <si>
    <t>https://www.etsy.com/ca/listing/4469531325/happy-hour-with-uncle-mike-baby-romper?transaction_id=5038901920</t>
  </si>
  <si>
    <t>https://www.etsy.com/ca/listing/4487705892/i-love-my-aunties-embroidered-baby?transaction_id=5038901918</t>
  </si>
  <si>
    <t>https://www.etsy.com/ca/listing/4376399899/the-littlest-book-club-member-baby?transaction_id=5039407298</t>
  </si>
  <si>
    <t>https://www.etsy.com/ca/listing/4477322429/little-schmear-bagel-baby-romper-cute?transaction_id=5052043539</t>
  </si>
  <si>
    <t>https://www.etsy.com/ca/listing/4477329625/custom-name-baseball-baby-romper?transaction_id=5052249165</t>
  </si>
  <si>
    <t>https://www.etsy.com/ca/listing/4467452578/the-littlest-pickleball-club-member-baby?transaction_id=5039769144</t>
  </si>
  <si>
    <t>https://www.etsy.com/ca/listing/4478460281/hunting-baby-romper-embroidered-outfit?transaction_id=5040029316</t>
  </si>
  <si>
    <t>https://www.etsy.com/ca/listing/4330504943/embroidered-tennis-baby-romper-daddys?transaction_id=5040142934</t>
  </si>
  <si>
    <t>https://www.etsy.com/ca/listing/4392932100/born-to-ride-with-my-daddy-embroidered?transaction_id=5040352358</t>
  </si>
  <si>
    <t>https://www.etsy.com/ca/listing/4376399899/the-littlest-book-club-member-baby?transaction_id=5053093079</t>
  </si>
  <si>
    <t>https://www.etsy.com/ca/listing/4467446644/the-littlest-baking-club-member-baby?transaction_id=5040446520</t>
  </si>
  <si>
    <t>https://www.etsy.com/ca/listing/4376392339/funny-baby-romper-my-brand-of-formula?transaction_id=5053413727</t>
  </si>
  <si>
    <t>https://www.etsy.com/ca/listing/4336899579/personalized-basketball-baby-romper?transaction_id=5053443929</t>
  </si>
  <si>
    <t>https://www.etsy.com/ca/listing/4330488178/embroidered-golf-baby-romper-new-to-the?transaction_id=5040950094</t>
  </si>
  <si>
    <t>https://www.etsy.com/ca/listing/4471139539/daddys-future-hunting-buddy-baby-romper?transaction_id=5053802929</t>
  </si>
  <si>
    <t>https://www.etsy.com/ca/listing/4372357398/personalized-hunting-baby-romper-custom?transaction_id=5040998376</t>
  </si>
  <si>
    <t>https://www.etsy.com/ca/listing/4376399899/the-littlest-book-club-member-baby?transaction_id=5041052724</t>
  </si>
  <si>
    <t>https://www.etsy.com/ca/listing/4467451258/the-littlest-tennis-club-member-baby?transaction_id=5054421287</t>
  </si>
  <si>
    <t>https://www.etsy.com/ca/listing/4376399899/the-littlest-book-club-member-baby?transaction_id=5042513010</t>
  </si>
  <si>
    <t>https://www.etsy.com/ca/listing/4371125103/personalized-dog-baby-bodysuit-custom?transaction_id=5055400869</t>
  </si>
  <si>
    <t>https://www.etsy.com/ca/listing/4376399899/the-littlest-book-club-member-baby?transaction_id=5042691982</t>
  </si>
  <si>
    <t>https://www.etsy.com/ca/listing/4467451258/the-littlest-tennis-club-member-baby?transaction_id=5042742106</t>
  </si>
  <si>
    <t>https://www.etsy.com/ca/listing/4371125103/personalized-dog-baby-bodysuit-custom?transaction_id=5043090864</t>
  </si>
  <si>
    <t>https://www.etsy.com/ca/listing/4330488178/embroidered-golf-baby-romper-new-to-the?transaction_id=5056296369&amp;dd_referrer=</t>
  </si>
  <si>
    <t>https://www.etsy.com/ca/listing/4376399899/the-littlest-book-club-member-baby?transaction_id=5056341907</t>
  </si>
  <si>
    <t>https://www.etsy.com/ca/listing/4376401181/challah-at-your-girl-baby-bodysuit-funny?transaction_id=5056959433</t>
  </si>
  <si>
    <t>https://www.etsy.com/ca/listing/4376399899/the-littlest-book-club-member-baby?transaction_id=5044295308</t>
  </si>
  <si>
    <t>https://www.etsy.com/ca/listing/4344238379/funny-aunt-baby-romper-my-aunt-says-im?transaction_id=5044658114</t>
  </si>
  <si>
    <t>https://www.etsy.com/ca/listing/4376399899/the-littlest-book-club-member-baby?transaction_id=5044974656</t>
  </si>
  <si>
    <t>https://www.etsy.com/ca/listing/4469530783/id-rather-be-drinking-with-uncle-mike?transaction_id=5057833317</t>
  </si>
  <si>
    <t>https://www.etsy.com/ca/listing/4467440237/the-littlest-coffee-club-member-baby?transaction_id=5045268404</t>
  </si>
  <si>
    <t>https://www.etsy.com/ca/listing/4346126210/daddys-future-lifting-buddy-romper-baby?transaction_id=5045392382</t>
  </si>
  <si>
    <t>https://www.etsy.com/ca/listing/4376399899/the-littlest-book-club-member-baby?transaction_id=5058207489</t>
  </si>
  <si>
    <t>https://www.etsy.com/ca/listing/4376389783/player-2-baby-romper-gamer-baby-outfit?transaction_id=5058408003</t>
  </si>
  <si>
    <t>https://www.etsy.com/ca/listing/4330488178/embroidered-golf-baby-romper-new-to-the?transaction_id=5058528611</t>
  </si>
  <si>
    <t>https://www.etsy.com/ca/listing/4376399899/the-littlest-book-club-member-baby?transaction_id=5046049960</t>
  </si>
  <si>
    <t>https://www.etsy.com/ca/listing/4392932100/born-to-ride-with-my-daddy-embroidered?transaction_id=5047031674</t>
  </si>
  <si>
    <t>https://www.etsy.com/ca/listing/4376399899/the-littlest-book-club-member-baby?transaction_id=5059854759</t>
  </si>
  <si>
    <t>https://www.etsy.com/ca/listing/4467440237/the-littlest-coffee-club-member-baby?transaction_id=5047287994</t>
  </si>
  <si>
    <t>https://www.etsy.com/ca/listing/4392935796/box-box-for-fresh-diapers-embroidered?transaction_id=5047360328</t>
  </si>
  <si>
    <t>https://www.etsy.com/ca/listing/4467452578/the-littlest-pickleball-club-member-baby?transaction_id=5060180715</t>
  </si>
  <si>
    <t>https://www.etsy.com/ca/listing/4343131516/embroidered-pickleball-baby-bodysuit?transaction_id=5047506404</t>
  </si>
  <si>
    <t>https://www.etsy.com/ca/listing/4467451258/the-littlest-tennis-club-member-baby?transaction_id=5060344833</t>
  </si>
  <si>
    <t>https://www.etsy.com/ca/listing/4392935796/box-box-for-fresh-diapers-embroidered?transaction_id=5047768298</t>
  </si>
  <si>
    <t>https://www.etsy.com/ca/listing/4471139539/daddys-future-hunting-buddy-baby-romper?transaction_id=5060968111</t>
  </si>
  <si>
    <t>https://www.etsy.com/ca/listing/4372357398/personalized-hunting-baby-romper-custom?transaction_id=5060968109</t>
  </si>
  <si>
    <t>https://www.etsy.com/ca/listing/4392932100/born-to-ride-with-my-daddy-embroidered?transaction_id=5048538918</t>
  </si>
  <si>
    <t>https://www.etsy.com/ca/listing/4336903235/personalized-tennis-baby-romper?transaction_id=5048860854</t>
  </si>
  <si>
    <t>https://www.etsy.com/ca/listing/4346126210/daddys-future-lifting-buddy-romper-baby?transaction_id=5064583587</t>
  </si>
  <si>
    <t>https://www.etsy.com/ca/listing/4369781522/crawl-walk-putt-baby-romper-funny-golf?transaction_id=5061565359</t>
  </si>
  <si>
    <t>https://www.etsy.com/ca/listing/4376389783/player-2-baby-romper-gamer-baby-outfit?transaction_id=5061755139</t>
  </si>
  <si>
    <t>https://www.etsy.com/ca/listing/4475325519/daddys-future-fishing-buddy-baby?transaction_id=5049095320</t>
  </si>
  <si>
    <t>https://www.etsy.com/ca/listing/4376399899/the-littlest-book-club-member-baby?transaction_id=5049247474</t>
  </si>
  <si>
    <t>https://www.etsy.com/ca/listing/4471139005/going-home-to-meet-my-pups-baby-romper?transaction_id=5049276462</t>
  </si>
  <si>
    <t>https://www.etsy.com/ca/listing/4486208289/silly-goose-baby-romper-embroidered-cute?transaction_id=5049519574</t>
  </si>
  <si>
    <t>https://www.etsy.com/ca/listing/4376399899/the-littlest-book-club-member-baby?transaction_id=5062286629</t>
  </si>
  <si>
    <t>https://www.etsy.com/ca/listing/4352935112/custom-baby-romper-personalized-newborn?transaction_id=5049610416</t>
  </si>
  <si>
    <t>https://www.etsy.com/ca/listing/4376399899/the-littlest-book-club-member-baby?transaction_id=5062984455</t>
  </si>
  <si>
    <t>https://www.etsy.com/ca/listing/4346129239/soccer-baby-romper-embroidered-daddy-and?transaction_id=5063115127</t>
  </si>
  <si>
    <t>https://www.etsy.com/ca/listing/4376389783/player-2-baby-romper-gamer-baby-outfit?transaction_id=5063126559</t>
  </si>
  <si>
    <t>https://www.etsy.com/ca/listing/4474903749/daddys-future-running-buddy-baby-romper?transaction_id=5063468055</t>
  </si>
  <si>
    <t>https://www.etsy.com/ca/listing/4376389783/player-2-baby-romper-gamer-baby-outfit?transaction_id=5063582939</t>
  </si>
  <si>
    <t>https://www.etsy.com/ca/listing/4487707236/new-to-the-crew-dirt-bike-embroidered?transaction_id=5063800341</t>
  </si>
  <si>
    <t>https://www.etsy.com/ca/listing/4351813412/mini-boss-baby-bodysuit-baby-shower-gift?transaction_id=5063862799</t>
  </si>
  <si>
    <t>https://www.etsy.com/ca/listing/4489487118/mommys-future-sushi-date-baby-romper?transaction_id=5064180955</t>
  </si>
  <si>
    <t>https://www.etsy.com/ca/listing/4376399899/the-littlest-book-club-member-baby?transaction_id=5052013600</t>
  </si>
  <si>
    <t>https://www.etsy.com/ca/listing/4372350408/my-first-football-season-baby-romper?transaction_id=5064545105</t>
  </si>
  <si>
    <t>https://www.etsy.com/ca/listing/4336907597/custom-running-baby-romper-daddys-future?transaction_id=5052294510</t>
  </si>
  <si>
    <t>https://www.etsy.com/ca/listing/4392932100/born-to-ride-with-my-daddy-embroidered?transaction_id=5064875493</t>
  </si>
  <si>
    <t>https://www.etsy.com/ca/listing/4376399899/the-littlest-book-club-member-baby?transaction_id=5052550368</t>
  </si>
  <si>
    <t>https://www.etsy.com/ca/listing/4344231895/embroidered-baby-romper-shhh-im-reading?transaction_id=5053676908</t>
  </si>
  <si>
    <t>www.etsy.com/ca/listing/4467446644/the-littlest-baking-club-member-baby?transaction_id=5066881429</t>
  </si>
  <si>
    <t>https://www.etsy.com/ca/listing/4376399899/the-littlest-book-club-member-baby?transaction_id=5067281551</t>
  </si>
  <si>
    <t>https://www.etsy.com/ca/listing/4477329625/custom-name-baseball-baby-romper?transaction_id=5055002930</t>
  </si>
  <si>
    <t>https://www.etsy.com/ca/listing/4467451258/the-littlest-tennis-club-member-baby?transaction_id=5067483091</t>
  </si>
  <si>
    <t>https://www.etsy.com/ca/listing/4392932100/born-to-ride-with-my-daddy-embroidered?transaction_id=5055026186</t>
  </si>
  <si>
    <t>https://www.etsy.com/ca/listing/4376399899/the-littlest-book-club-member-baby?transaction_id=5055075800</t>
  </si>
  <si>
    <t>https://www.etsy.com/ca/listing/4471139539/daddys-future-hunting-buddy-baby-romper?transaction_id=5055287632</t>
  </si>
  <si>
    <t>https://www.etsy.com/ca/listing/4344238379/funny-aunt-baby-romper-my-aunt-says-im?transaction_id=5055311320</t>
  </si>
  <si>
    <t>https://www.etsy.com/ca/listing/4473754338/racing-baby-romper-with-daddy-racing?transaction_id=5068080005</t>
  </si>
  <si>
    <t>https://www.etsy.com/ca/listing/4392932100/born-to-ride-with-my-daddy-embroidered?transaction_id=5068177811</t>
  </si>
  <si>
    <t>https://www.etsy.com/ca/listing/4467440237/the-littlest-coffee-club-member-baby?transaction_id=5055789602</t>
  </si>
  <si>
    <t>https://www.etsy.com/ca/listing/4467450860/the-littlest-camping-club-member-baby?transaction_id=5056347436</t>
  </si>
  <si>
    <t>https://www.etsy.com/ca/listing/4392932100/born-to-ride-with-my-daddy-embroidered?transaction_id=5056636414</t>
  </si>
  <si>
    <t>https://www.etsy.com/ca/listing/4376399899/the-littlest-book-club-member-baby?transaction_id=5056935846</t>
  </si>
  <si>
    <t>https://www.etsy.com/ca/listing/4376399899/the-littlest-book-club-member-baby?transaction_id=5069813351</t>
  </si>
  <si>
    <t>https://www.etsy.com/ca/listing/4467440237/the-littlest-coffee-club-member-baby?transaction_id=5057261440</t>
  </si>
  <si>
    <t>https://www.etsy.com/ca/listing/4476226361/funny-pony-baby-romper-cute-girl-newborn?transaction_id=5070105779</t>
  </si>
  <si>
    <t>https://www.etsy.com/ca/listing/4471134725/new-to-the-herd-baby-romper-western-baby?transaction_id=5070105777</t>
  </si>
  <si>
    <t>https://www.etsy.com/ca/listing/4376399899/the-littlest-book-club-member-baby?transaction_id=5070448739</t>
  </si>
  <si>
    <t>https://www.etsy.com/ca/listing/4489487674/wait-for-me-i-have-little-legs-baby?transaction_id=5058675748</t>
  </si>
  <si>
    <t>https://www.etsy.com/ca/listing/4347880114/funny-baby-romper-sorry-i-tooted-outfit?transaction_id=5058892516</t>
  </si>
  <si>
    <t>https://www.etsy.com/ca/listing/4392935796/box-box-for-fresh-diapers-embroidered?transaction_id=5071454243</t>
  </si>
  <si>
    <t>https://www.etsy.com/ca/listing/4371125103/personalized-dog-baby-bodysuit-custom?transaction_id=5058902344</t>
  </si>
  <si>
    <t>https://www.etsy.com/ca/listing/4376399899/the-littlest-book-club-member-baby?transaction_id=5071507279</t>
  </si>
  <si>
    <t>https://www.etsy.com/ca/listing/4346126210/daddys-future-lifting-buddy-romper-baby?transaction_id=5059005754</t>
  </si>
  <si>
    <t>https://www.etsy.com/ca/listing/4392932100/born-to-ride-with-my-daddy-embroidered?transaction_id=5071569663</t>
  </si>
  <si>
    <t>https://www.etsy.com/ca/listing/4376392339/funny-baby-romper-my-brand-of-formula?transaction_id=5071629467</t>
  </si>
  <si>
    <t>https://www.etsy.com/ca/listing/4487707236/new-to-the-crew-dirt-bike-embroidered?transaction_id=5071864103</t>
  </si>
  <si>
    <t>https://www.etsy.com/ca/listing/4467446644/the-littlest-baking-club-member-baby?transaction_id=5059507596</t>
  </si>
  <si>
    <t>https://www.etsy.com/ca/listing/4376399899/the-littlest-book-club-member-baby?transaction_id=5059938390</t>
  </si>
  <si>
    <t>https://www.etsy.com/ca/listing/4467440237/the-littlest-coffee-club-member-baby?transaction_id=5060294894</t>
  </si>
  <si>
    <t>https://www.etsy.com/ca/listing/4376392339/funny-baby-romper-my-brand-of-formula?transaction_id=5060336290</t>
  </si>
  <si>
    <t>https://www.etsy.com/ca/listing/4392932100/born-to-ride-with-my-daddy-embroidered?transaction_id=5060416452</t>
  </si>
  <si>
    <t>https://www.etsy.com/ca/listing/4343131516/embroidered-pickleball-baby-bodysuit?transaction_id=5060783832</t>
  </si>
  <si>
    <t>https://www.etsy.com/ca/listing/4330504943/embroidered-tennis-baby-romper-daddys?transaction_id=5060963290</t>
  </si>
  <si>
    <t>https://www.etsy.com/ca/listing/4473754692/custom-name-embroidered-romper-fishing?transaction_id=5061198272</t>
  </si>
  <si>
    <t>https://www.etsy.com/ca/listing/4371125103/personalized-dog-baby-bodysuit-custom?transaction_id=5074350191</t>
  </si>
  <si>
    <t>https://www.etsy.com/ca/listing/4482807926/funny-baby-romper-sleepless-nights?transaction_id=5074617575</t>
  </si>
  <si>
    <t>https://www.etsy.com/ca/listing/4392932100/born-to-ride-with-my-daddy-embroidered?transaction_id=5074681279</t>
  </si>
  <si>
    <t>https://www.etsy.com/ca/listing/4471139539/daddys-future-hunting-buddy-baby-romper?transaction_id=5062277224</t>
  </si>
  <si>
    <t>https://www.etsy.com/ca/listing/4336907597/custom-running-baby-romper-daddys-future?transaction_id=5074824287</t>
  </si>
  <si>
    <t>https://www.etsy.com/ca/listing/4330502784/lacrosse-baby-bodysuit-born-to-play-like?transaction_id=5075053659</t>
  </si>
  <si>
    <t>https://www.etsy.com/ca/listing/4379194627/new-to-the-farm-embroidered-romper-baby?transaction_id=5075158641</t>
  </si>
  <si>
    <t>https://www.etsy.com/ca/listing/4346126210/daddys-future-lifting-buddy-romper-baby?transaction_id=5062725502</t>
  </si>
  <si>
    <t>https://www.etsy.com/ca/listing/4330504155/born-to-play-like-my-daddy-baby-romper?transaction_id=5063029530</t>
  </si>
  <si>
    <t>https://www.etsy.com/ca/listing/4336907597/custom-running-baby-romper-daddys-future?transaction_id=5075645155</t>
  </si>
  <si>
    <t>https://www.etsy.com/ca/listing/4376389783/player-2-baby-romper-gamer-baby-outfit?transaction_id=5076058255</t>
  </si>
  <si>
    <t>https://www.etsy.com/ca/listing/4330489800/personalized-badminton-baby-romper?transaction_id=5076367833</t>
  </si>
  <si>
    <t>https://www.etsy.com/ca/listing/4376399899/the-littlest-book-club-member-baby?transaction_id=5076383799</t>
  </si>
  <si>
    <t>https://www.etsy.com/ca/listing/4392925828/hello-grandma-embroidered-romper-i-cant?transaction_id=5076492451</t>
  </si>
  <si>
    <t>https://www.etsy.com/ca/listing/4379194627/new-to-the-farm-embroidered-romper-baby?transaction_id=5076509205</t>
  </si>
  <si>
    <t>https://www.etsy.com/ca/listing/4392935796/box-box-for-fresh-diapers-embroidered?transaction_id=5076511747</t>
  </si>
  <si>
    <t>https://www.etsy.com/ca/listing/4346126210/daddys-future-lifting-buddy-romper-baby?transaction_id=5064359114</t>
  </si>
  <si>
    <t>https://www.etsy.com/ca/listing/4471139539/daddys-future-hunting-buddy-baby-romper?transaction_id=5077368225</t>
  </si>
  <si>
    <t>https://www.etsy.com/ca/listing/4371125103/personalized-dog-baby-bodysuit-custom?transaction_id=5077417609</t>
  </si>
  <si>
    <t>https://www.etsy.com/ca/listing/4366190473/cat-face-embroidered-baby-romper-my?transaction_id=5064841842</t>
  </si>
  <si>
    <t>https://www.etsy.com/ca/listing/4376399899/the-littlest-book-club-member-baby?transaction_id=5065056274</t>
  </si>
  <si>
    <t>https://www.etsy.com/ca/listing/4330492054/embroidered-baby-romper-cutie-pie-design?transaction_id=5065251360</t>
  </si>
  <si>
    <t>https://www.etsy.com/ca/listing/4376399899/the-littlest-book-club-member-baby?transaction_id=5078017921</t>
  </si>
  <si>
    <t>https://www.etsy.com/ca/listing/4467446644/the-littlest-baking-club-member-baby?transaction_id=5065354126</t>
  </si>
  <si>
    <t>https://www.etsy.com/ca/listing/4347260564/football-baby-romper-game-day-baby?transaction_id=5078074247</t>
  </si>
  <si>
    <t>https://www.etsy.com/ca/listing/4487705892/i-love-my-aunties-embroidered-baby?transaction_id=5065889804</t>
  </si>
  <si>
    <t>1 6-12M(LONG-SLEEVE)</t>
  </si>
  <si>
    <t>https://www.etsy.com/ca/listing/4379194627/new-to-the-farm-embroidered-romper-baby?transaction_id=5078714221</t>
  </si>
  <si>
    <t>https://www.etsy.com/ca/listing/4392936688/shhh-im-watching-motogp-with-daddy?transaction_id=5066646938</t>
  </si>
  <si>
    <t>https://www.etsy.com/ca/listing/4376399899/the-littlest-book-club-member-baby?transaction_id=5080333415</t>
  </si>
  <si>
    <t>https://www.etsy.com/ca/listing/4376389783/player-2-baby-romper-gamer-baby-outfit?transaction_id=5081092905</t>
  </si>
  <si>
    <t>https://www.etsy.com/ca/listing/4392935796/box-box-for-fresh-diapers-embroidered?transaction_id=5081922605</t>
  </si>
  <si>
    <t>https://www.etsy.com/ca/listing/4471139539/daddys-future-hunting-buddy-baby-romper?transaction_id=5069146078</t>
  </si>
  <si>
    <t>https://www.etsy.com/ca/listing/4467451258/the-littlest-tennis-club-member-baby?transaction_id=5082408459</t>
  </si>
  <si>
    <t>https://www.etsy.com/ca/listing/4343133641/golf-skills-loading-embroidered-baby?transaction_id=5069425174</t>
  </si>
  <si>
    <t>https://www.etsy.com/ca/listing/4330502784/lacrosse-baby-bodysuit-born-to-play-like?transaction_id=5082715301</t>
  </si>
  <si>
    <t>https://www.etsy.com/ca/listing/4379194627/new-to-the-farm-embroidered-romper-baby?transaction_id=5069698810</t>
  </si>
  <si>
    <t>https://www.etsy.com/ca/listing/4392962015/cant-wait-to-jam-with-daddy-embroidered?transaction_id=5082737099</t>
  </si>
  <si>
    <t>https://www.etsy.com/ca/listing/4467451258/the-littlest-tennis-club-member-baby?transaction_id=5069711952</t>
  </si>
  <si>
    <t>https://www.etsy.com/ca/listing/4376399899/the-littlest-book-club-member-baby?transaction_id=5069731110</t>
  </si>
  <si>
    <t>https://www.etsy.com/ca/listing/4499618325/custom-name-construction-embroidered?transaction_id=5070006474</t>
  </si>
  <si>
    <t>https://www.etsy.com/ca/listing/4347260564/football-baby-romper-game-day-baby?transaction_id=5083051265</t>
  </si>
  <si>
    <t>https://www.etsy.com/ca/listing/4372350408/my-first-football-season-baby-romper?transaction_id=5070250456</t>
  </si>
  <si>
    <t>https://www.etsy.com/ca/listing/4336899579/personalized-basketball-baby-romper?transaction_id=5070508616</t>
  </si>
  <si>
    <t>https://www.etsy.com/ca/listing/4467440237/the-littlest-coffee-club-member-baby?transaction_id=5084479499</t>
  </si>
  <si>
    <t>https://www.etsy.com/ca/listing/4474910478/custom-name-fast-one-baby-romper?transaction_id=5071401550</t>
  </si>
  <si>
    <t>https://www.etsy.com/ca/listing/4376389783/player-2-baby-romper-gamer-baby-outfit?transaction_id=5071661544</t>
  </si>
  <si>
    <t>https://www.etsy.com/ca/listing/4330485404/cat-face-embroidered-baby-romper-funny?transaction_id=5071661542</t>
  </si>
  <si>
    <t>https://www.etsy.com/ca/listing/4507678260/fathers-day-baby-girl-outfit-daddys?transaction_id=5085872865</t>
  </si>
  <si>
    <t>https://www.etsy.com/ca/listing/4336899579/personalized-basketball-baby-romper?transaction_id=5085971097</t>
  </si>
  <si>
    <t>https://www.etsy.com/ca/listing/4347260564/football-baby-romper-game-day-baby?transaction_id=5086039743</t>
  </si>
  <si>
    <t>https://www.etsy.com/ca/listing/4376399899/the-littlest-book-club-member-baby?transaction_id=5086344411</t>
  </si>
  <si>
    <t>https://www.etsy.com/ca/listing/4487707236/new-to-the-crew-dirt-bike-embroidered?transaction_id=5073210214</t>
  </si>
  <si>
    <t>https://www.etsy.com/ca/listing/4376399899/the-littlest-book-club-member-baby?transaction_id=5073455932</t>
  </si>
  <si>
    <t>https://www.etsy.com/ca/listing/4346126210/daddys-future-lifting-buddy-romper-baby?transaction_id=5086795403</t>
  </si>
  <si>
    <t>https://www.etsy.com/ca/listing/4392935796/box-box-for-fresh-diapers-embroidered?transaction_id=5073794162</t>
  </si>
  <si>
    <t>https://www.etsy.com/ca/listing/4467449868/the-littlest-garden-club-member-baby?transaction_id=5074232670</t>
  </si>
  <si>
    <t>https://www.etsy.com/ca/listing/4503550714/crawl-walk-climb-baby-romper-embroidered?transaction_id=5087525947</t>
  </si>
  <si>
    <t>https://www.etsy.com/ca/listing/4503550714/crawl-walk-climb-baby-romper-embroidered?transaction_id=5087552007</t>
  </si>
  <si>
    <t>https://www.etsy.com/ca/listing/4474903749/daddys-future-running-buddy-baby-romper?transaction_id=5087668961</t>
  </si>
  <si>
    <t>https://www.etsy.com/ca/listing/4392935796/box-box-for-fresh-diapers-embroidered?transaction_id=5087890237</t>
  </si>
  <si>
    <t>https://www.etsy.com/ca/listing/4376392339/funny-baby-romper-my-brand-of-formula?transaction_id=5074798922&amp;dd_referrer=</t>
  </si>
  <si>
    <t>https://www.etsy.com/ca/listing/4376399899/the-littlest-book-club-member-baby?transaction_id=5087910599</t>
  </si>
  <si>
    <t>https://www.etsy.com/ca/listing/4376399899/the-littlest-book-club-member-baby?transaction_id=5088363707</t>
  </si>
  <si>
    <t>https://www.etsy.com/ca/listing/4392962015/cant-wait-to-jam-with-daddy-embroidered?transaction_id=5088578035</t>
  </si>
  <si>
    <t>https://www.etsy.com/ca/listing/4376399899/the-littlest-book-club-member-baby?transaction_id=5075572586</t>
  </si>
  <si>
    <t>https://www.etsy.com/ca/listing/4371125103/personalized-dog-baby-bodysuit-custom?transaction_id=5088756437</t>
  </si>
  <si>
    <t>https://www.etsy.com/ca/listing/4507561777/funny-baby-romper-of-course-im-cute-have?transaction_id=5076224720</t>
  </si>
  <si>
    <t>https://www.etsy.com/ca/listing/4507655767/dads-best-bud-baby-romper-first-fathers?transaction_id=5089172157</t>
  </si>
  <si>
    <t xml:space="preserve"> 12-18M(SHORT-SLEEVE)</t>
  </si>
  <si>
    <t>https://www.etsy.com/ca/listing/4352935112/custom-baby-romper-personalized-newborn?transaction_id=5089172159</t>
  </si>
  <si>
    <t>https://www.etsy.com/ca/listing/4330502784/lacrosse-baby-bodysuit-born-to-play-like?transaction_id=5076344202</t>
  </si>
  <si>
    <t>https://www.etsy.com/ca/listing/4467440237/the-littlest-coffee-club-member-baby?transaction_id=5089382085</t>
  </si>
  <si>
    <t>https://www.etsy.com/ca/listing/4346126210/daddys-future-lifting-buddy-romper-baby?transaction_id=5076879874</t>
  </si>
  <si>
    <t>https://www.etsy.com/ca/listing/4392962015/cant-wait-to-jam-with-daddy-embroidered?transaction_id=5077609052</t>
  </si>
  <si>
    <t>https://www.etsy.com/ca/listing/4376399899/the-littlest-book-club-member-baby?transaction_id=5090388903</t>
  </si>
  <si>
    <t>https://www.etsy.com/ca/listing/4376392339/funny-baby-romper-my-brand-of-formula?transaction_id=5077838196</t>
  </si>
  <si>
    <t>https://www.etsy.com/ca/listing/4503545399/little-meatball-baby-romper-embroidered?transaction_id=5077838194</t>
  </si>
  <si>
    <t>https://www.etsy.com/ca/listing/4371125103/personalized-dog-baby-bodysuit-custom?transaction_id=5090983897</t>
  </si>
  <si>
    <t>https://www.etsy.com/ca/listing/4471139005/going-home-to-meet-my-pups-baby-romper?transaction_id=5078714568</t>
  </si>
  <si>
    <t>https://www.etsy.com/ca/listing/4346126210/daddys-future-lifting-buddy-romper-baby?transaction_id=5079035376</t>
  </si>
  <si>
    <t>https://www.etsy.com/ca/listing/4392962015/cant-wait-to-jam-with-daddy-embroidered?transaction_id=5091760127</t>
  </si>
  <si>
    <t>https://www.etsy.com/ca/listing/4376389783/player-2-baby-romper-gamer-baby-outfit?transaction_id=5092189307</t>
  </si>
  <si>
    <t>https://www.etsy.com/ca/listing/4467449868/the-littlest-garden-club-member-baby?transaction_id=5092562733</t>
  </si>
  <si>
    <t>https://www.etsy.com/ca/listing/4507655767/dads-best-bud-baby-romper-first-fathers?transaction_id=5080181062</t>
  </si>
  <si>
    <t>https://www.etsy.com/ca/listing/4475334330/daddys-future-football-buddy-baby?transaction_id=5092677177</t>
  </si>
  <si>
    <t>https://www.etsy.com/ca/listing/4376392339/funny-baby-romper-my-brand-of-formula?transaction_id=5092981477</t>
  </si>
  <si>
    <t>https://www.etsy.com/ca/listing/4376389783/player-2-baby-romper-gamer-baby-outfit?transaction_id=5080943038</t>
  </si>
  <si>
    <t>https://www.etsy.com/ca/listing/4508996324/custom-name-embroidered-romper-my-daddys?transaction_id=5093357087</t>
  </si>
  <si>
    <t>https://www.etsy.com/ca/listing/4376392339/funny-baby-romper-my-brand-of-formula?transaction_id=5081371852</t>
  </si>
  <si>
    <t>https://www.etsy.com/ca/listing/4372352286/silly-goose-baby-romper-funny-infant?transaction_id=5093707855</t>
  </si>
  <si>
    <t>https://www.etsy.com/ca/listing/4392935796/box-box-for-fresh-diapers-embroidered?transaction_id=5093834059</t>
  </si>
  <si>
    <t>https://www.etsy.com/ca/listing/4392962015/cant-wait-to-jam-with-daddy-embroidered?transaction_id=5093849519</t>
  </si>
  <si>
    <t>https://www.etsy.com/ca/listing/4346126210/daddys-future-lifting-buddy-romper-baby?transaction_id=5094480463</t>
  </si>
  <si>
    <t>https://www.etsy.com/ca/listing/4376399899/the-littlest-book-club-member-baby?transaction_id=5094630987</t>
  </si>
  <si>
    <t>https://www.etsy.com/ca/listing/4505538781/custom-embroidered-dog-portrait?transaction_id=5094791053</t>
  </si>
  <si>
    <t>https://www.etsy.com/ca/listing/4376399899/the-littlest-book-club-member-baby?transaction_id=5051996577</t>
  </si>
  <si>
    <t>https://www.etsy.com/ca/listing/4508996324/custom-name-embroidered-romper-my-daddys?transaction_id=5095263143</t>
  </si>
  <si>
    <t>https://www.etsy.com/ca/listing/4503545399/little-meatball-baby-romper-embroidered?transaction_id=5083354450</t>
  </si>
  <si>
    <t>https://www.etsy.com/ca/listing/4509984575/made-in-the-usa-baby-romper-patriotic?transaction_id=5083370258</t>
  </si>
  <si>
    <t>https://www.etsy.com/ca/listing/4507655767/dads-best-bud-baby-romper-first-fathers?transaction_id=5095361189</t>
  </si>
  <si>
    <t>https://www.etsy.com/ca/listing/4347260564/football-baby-romper-game-day-baby?transaction_id=5083542866</t>
  </si>
  <si>
    <t>https://www.etsy.com/ca/listing/4376389783/player-2-baby-romper-gamer-baby-outfit?transaction_id=5083688660</t>
  </si>
  <si>
    <t>https://www.etsy.com/ca/listing/4376399899/the-littlest-book-club-member-baby?transaction_id=5083834200</t>
  </si>
  <si>
    <t>https://www.etsy.com/ca/listing/4467451258/the-littlest-tennis-club-member-baby?transaction_id=5084332148</t>
  </si>
  <si>
    <t>https://www.etsy.com/ca/listing/4478460281/hunting-baby-romper-embroidered-outfit?transaction_id=5096342977</t>
  </si>
  <si>
    <t>https://www.etsy.com/ca/listing/4347260564/football-baby-romper-game-day-baby?transaction_id=5084674052</t>
  </si>
  <si>
    <t>https://www.etsy.com/ca/listing/4376389783/player-2-baby-romper-gamer-baby-outfit?transaction_id=5096587231</t>
  </si>
  <si>
    <t>https://www.etsy.com/ca/listing/4467452578/the-littlest-pickleball-club-member-baby?transaction_id=5096629599</t>
  </si>
  <si>
    <t>https://www.etsy.com/ca/listing/4467451258/the-littlest-tennis-club-member-baby?transaction_id=5085141084</t>
  </si>
  <si>
    <t>https://www.etsy.com/ca/listing/4392936688/shhh-im-watching-motogp-with-daddy?transaction_id=5085659936</t>
  </si>
  <si>
    <t>https://www.etsy.com/ca/listing/4503545399/little-meatball-baby-romper-embroidered?transaction_id=5097365541</t>
  </si>
  <si>
    <t>https://www.etsy.com/ca/listing/4467440237/the-littlest-coffee-club-member-baby?transaction_id=5086312194</t>
  </si>
  <si>
    <t>https://www.etsy.com/ca/listing/4336907597/custom-running-baby-romper-daddys-future?transaction_id=5098726827</t>
  </si>
  <si>
    <t>https://www.etsy.com/ca/listing/4330485404/cat-face-embroidered-baby-romper-funny?transaction_id=5087544534</t>
  </si>
  <si>
    <t>https://www.etsy.com/ca/listing/4347260564/football-baby-romper-game-day-baby?transaction_id=5098755627</t>
  </si>
  <si>
    <t>https://www.etsy.com/ca/listing/4376389783/player-2-baby-romper-gamer-baby-outfit?transaction_id=5098879881</t>
  </si>
  <si>
    <t>https://www.etsy.com/ca/listing/4372352286/silly-goose-baby-romper-funny-infant?transaction_id=5088147786</t>
  </si>
  <si>
    <t>https://www.etsy.com/ca/listing/4376392339/funny-baby-romper-my-brand-of-formula?transaction_id=5099363175</t>
  </si>
  <si>
    <t>https://www.etsy.com/ca/listing/4510985933/i-go-where-mommy-goes-romper-duck-baby?transaction_id=5088309936</t>
  </si>
  <si>
    <t>https://www.etsy.com/ca/listing/4477332212/custom-name-music-baby-romper?transaction_id=5088450014</t>
  </si>
  <si>
    <t>https://www.etsy.com/ca/listing/4504890435/surfs-up-baby-romper-beach-baby-outfit?transaction_id=5099588939</t>
  </si>
  <si>
    <t>https://www.etsy.com/ca/listing/4505538781/custom-embroidered-dog-portrait?transaction_id=5088502048&amp;dd_referrer=</t>
  </si>
  <si>
    <t>https://www.etsy.com/ca/listing/4471139005/going-home-to-meet-my-pups-baby-romper?transaction_id=5099658135</t>
  </si>
  <si>
    <t>https://www.etsy.com/ca/listing/4507678260/fathers-day-baby-girl-outfit-daddys?transaction_id=5088615664</t>
  </si>
  <si>
    <t>https://www.etsy.com/ca/listing/4333134764/wizard-font-baby-romper-personalized?transaction_id=5088697384</t>
  </si>
  <si>
    <t>https://www.etsy.com/ca/listing/4507678260/fathers-day-baby-girl-outfit-daddys?transaction_id=5099909219</t>
  </si>
  <si>
    <t>https://www.etsy.com/ca/listing/4471139539/daddys-future-hunting-buddy-baby-romper?transaction_id=5100035543</t>
  </si>
  <si>
    <t>https://www.etsy.com/ca/listing/4507678260/fathers-day-baby-girl-outfit-daddys?transaction_id=5100248865</t>
  </si>
  <si>
    <t>https://www.etsy.com/ca/listing/4507678260/fathers-day-baby-girl-outfit-daddys?transaction_id=5100259755</t>
  </si>
  <si>
    <t>https://www.etsy.com/ca/listing/4330485404/cat-face-embroidered-baby-romper-funny?transaction_id=5100429021</t>
  </si>
  <si>
    <t>https://www.etsy.com/ca/listing/4376399899/the-littlest-book-club-member-baby?transaction_id=5089344804</t>
  </si>
  <si>
    <t>https://www.etsy.com/ca/listing/4467452578/the-littlest-pickleball-club-member-baby?transaction_id=5089451048</t>
  </si>
  <si>
    <t>https://www.etsy.com/ca/listing/4330504943/embroidered-tennis-baby-romper-daddys?transaction_id=5089634574</t>
  </si>
  <si>
    <t>https://www.etsy.com/ca/listing/4510985933/i-go-where-mommy-goes-romper-duck-baby?transaction_id=5101211245</t>
  </si>
  <si>
    <t>https://www.etsy.com/ca/listing/4504890435/surfs-up-baby-romper-beach-baby-outfit?transaction_id=5090267832</t>
  </si>
  <si>
    <t>https://www.etsy.com/ca/listing/4376399899/the-littlest-book-club-member-baby?transaction_id=5101412159</t>
  </si>
  <si>
    <t>https://www.etsy.com/ca/listing/4330480699/little-prince-baby-romper-embroidered?transaction_id=5090603442</t>
  </si>
  <si>
    <t>https://www.etsy.com/ca/listing/4392935796/box-box-for-fresh-diapers-embroidered?transaction_id=5101788015</t>
  </si>
  <si>
    <t>https://www.etsy.com/ca/listing/4371125103/personalized-dog-baby-bodysuit-custom?transaction_id=5102342523</t>
  </si>
  <si>
    <t>https://www.etsy.com/ca/listing/4346126210/daddys-future-lifting-buddy-romper-baby?transaction_id=5102387067</t>
  </si>
  <si>
    <t>https://www.etsy.com/ca/listing/4467451258/the-littlest-tennis-club-member-baby?transaction_id=5091774734</t>
  </si>
  <si>
    <t>https://www.etsy.com/ca/listing/4467438815/my-brand-of-formula-baby-romper-formula?transaction_id=5091840390</t>
  </si>
  <si>
    <t>https://www.etsy.com/ca/listing/4344235128/new-to-the-hive-baby-romper-embroidered?transaction_id=5091983378</t>
  </si>
  <si>
    <t>https://www.etsy.com/ca/listing/4376399899/the-littlest-book-club-member-baby?transaction_id=5102879483</t>
  </si>
  <si>
    <t>https://www.etsy.com/ca/listing/4392936688/shhh-im-watching-motogp-with-daddy?transaction_id=5103166059</t>
  </si>
  <si>
    <t>https://www.etsy.com/ca/listing/4473754338/racing-baby-romper-with-daddy-racing?transaction_id=5092362946</t>
  </si>
  <si>
    <t>https://www.etsy.com/ca/listing/4330495722/embroidered-golf-baby-romper-custom?transaction_id=5103225951</t>
  </si>
  <si>
    <t>https://www.etsy.com/ca/listing/4510983683/daddys-first-fathers-day-romper?transaction_id=5092557110</t>
  </si>
  <si>
    <t>https://www.etsy.com/ca/listing/4467440237/the-littlest-coffee-club-member-baby?transaction_id=5092619594</t>
  </si>
  <si>
    <t>https://www.etsy.com/ca/listing/4330504943/embroidered-tennis-baby-romper-daddys?transaction_id=5092914006</t>
  </si>
  <si>
    <t>https://www.etsy.com/ca/listing/4369781522/crawl-walk-putt-baby-romper-funny-golf?transaction_id=5103699005</t>
  </si>
  <si>
    <t>https://www.etsy.com/ca/listing/4376399899/the-littlest-book-club-member-baby?transaction_id=5093213392</t>
  </si>
  <si>
    <t>https://www.etsy.com/ca/listing/4511381564/born-a-champion-baby-romper-sports-baby?transaction_id=5093214426</t>
  </si>
  <si>
    <t>https://www.etsy.com/ca/listing/4376389783/player-2-baby-romper-gamer-baby-outfit?transaction_id=5104129057</t>
  </si>
  <si>
    <t>https://www.etsy.com/ca/listing/4507655767/dads-best-bud-baby-romper-first-fathers?transaction_id=5093474294</t>
  </si>
  <si>
    <t>https://www.etsy.com/ca/listing/4346126210/daddys-future-lifting-buddy-romper-baby?transaction_id=5104427595</t>
  </si>
  <si>
    <t>https://www.etsy.com/ca/listing/4507655767/dads-best-bud-baby-romper-first-fathers?transaction_id=5104467145</t>
  </si>
  <si>
    <t>https://www.etsy.com/ca/listing/4347260564/football-baby-romper-game-day-baby?transaction_id=5104595195&amp;dd_referrer=</t>
  </si>
  <si>
    <t>https://www.etsy.com/ca/listing/4474903749/daddys-future-running-buddy-baby-romper?transaction_id=5094202266</t>
  </si>
  <si>
    <t>https://www.etsy.com/ca/listing/4346126210/daddys-future-lifting-buddy-romper-baby?transaction_id=5094214706</t>
  </si>
  <si>
    <t>https://www.etsy.com/ca/listing/4376389783/player-2-baby-romper-gamer-baby-outfit?transaction_id=5104814449</t>
  </si>
  <si>
    <t>https://www.etsy.com/ca/listing/4347260564/football-baby-romper-game-day-baby?transaction_id=5094773914</t>
  </si>
  <si>
    <t>https://www.etsy.com/ca/listing/4471139539/daddys-future-hunting-buddy-baby-romper?transaction_id=5094825028</t>
  </si>
  <si>
    <t>https://www.etsy.com/ca/listing/4336899579/personalized-basketball-baby-romper?transaction_id=5094899850</t>
  </si>
  <si>
    <t>https://www.etsy.com/ca/listing/4376401181/challah-at-your-girl-baby-bodysuit-funny?transaction_id=5105697945</t>
  </si>
  <si>
    <t>https://www.etsy.com/ca/listing/4330463387/embroidered-baby-romper-relax-mommy-is-a?transaction_id=5105904905</t>
  </si>
  <si>
    <t>https://www.etsy.com/ca/listing/4376392339/funny-baby-romper-my-brand-of-formula?transaction_id=5106156755</t>
  </si>
  <si>
    <t>https://www.etsy.com/ca/listing/4516287742/little-potato-embroidered-baby-romper?transaction_id=5095688026</t>
  </si>
  <si>
    <t>https://www.etsy.com/ca/listing/4376389783/player-2-baby-romper-gamer-baby-outfit?transaction_id=5106700519</t>
  </si>
  <si>
    <t>https://www.etsy.com/ca/listing/4336899579/personalized-basketball-baby-romper?transaction_id=5096871228</t>
  </si>
  <si>
    <t>https://www.etsy.com/ca/listing/4515635452/newest-member-camping-crew-embroidered?transaction_id=5107135315</t>
  </si>
  <si>
    <t>https://www.etsy.com/ca/listing/4507655767/dads-best-bud-baby-romper-first-fathers?transaction_id=5097100790</t>
  </si>
  <si>
    <t>https://www.etsy.com/ca/listing/4393855716/lil-chef-embroidered-romper-cute-baby?transaction_id=5107327619</t>
  </si>
  <si>
    <t>https://www.etsy.com/ca/listing/4511380496/outwit-outplay-outnap-baby-romper-funny?transaction_id=5107386331</t>
  </si>
  <si>
    <t>https://www.etsy.com/listing/4473754338/racing-baby-romper-with-daddy-racing</t>
  </si>
  <si>
    <t>https://www.etsy.com/ca/listing/4471139539/daddys-future-hunting-buddy-baby-romper?transaction_id=5097387428</t>
  </si>
  <si>
    <t>https://www.etsy.com/ca/listing/4515633002/my-dad-is-the-best-by-par-embroidered?transaction_id=5097400774</t>
  </si>
  <si>
    <t>https://www.etsy.com/ca/listing/4499626742/mamas-little-cannoli-embroidered-baby?transaction_id=5097519384</t>
  </si>
  <si>
    <t>https://www.etsy.com/ca/listing/4347260564/football-baby-romper-game-day-baby?transaction_id=5107714843</t>
  </si>
  <si>
    <t>https://www.etsy.com/ca/listing/4503552705/check-engine-diaper-baby-romper?transaction_id=5107792009</t>
  </si>
  <si>
    <t>https://www.etsy.com/ca/listing/4507655767/dads-best-bud-baby-romper-first-fathers?transaction_id=5097942076</t>
  </si>
  <si>
    <t>https://www.etsy.com/ca/listing/4344231895/embroidered-baby-romper-shhh-im-reading?transaction_id=5108205459</t>
  </si>
  <si>
    <t>https://www.etsy.com/listing/4392936688/shhh-im-watching-motogp-with-daddy</t>
  </si>
  <si>
    <t>https://www.etsy.com/ca/listing/4347260564/football-baby-romper-game-day-baby?transaction_id=5108662309&amp;dd_referrer=</t>
  </si>
  <si>
    <t>https://www.etsy.com/ca/listing/4471139539/daddys-future-hunting-buddy-baby-romper?transaction_id=5108705949</t>
  </si>
  <si>
    <t>https://www.etsy.com/ca/listing/4376401181/challah-at-your-girl-baby-bodysuit-funny?transaction_id=5108757621</t>
  </si>
  <si>
    <t>https://www.etsy.com/ca/listing/4347260564/football-baby-romper-game-day-baby?transaction_id=5099103656</t>
  </si>
  <si>
    <t>https://www.etsy.com/ca/listing/4376399899/the-littlest-book-club-member-baby?transaction_id=5099357820</t>
  </si>
  <si>
    <t>https://www.etsy.com/ca/listing/4347260564/football-baby-romper-game-day-baby?transaction_id=5109271243</t>
  </si>
  <si>
    <t>https://www.etsy.com/ca/listing/4393856175/personalized-christmas-embroidered?transaction_id=5109426491</t>
  </si>
  <si>
    <t>https://www.etsy.com/ca/listing/4392935796/box-box-for-fresh-diapers-embroidered?transaction_id=5099529070</t>
  </si>
  <si>
    <t>https://www.etsy.com/ca/listing/4467446644/the-littlest-baking-club-member-baby?transaction_id=5109532643</t>
  </si>
  <si>
    <t>https://www.etsy.com/ca/listing/4366190473/cat-face-embroidered-baby-romper-my?transaction_id=5109564695</t>
  </si>
  <si>
    <t>https://www.etsy.com/ca/listing/4507655767/dads-best-bud-baby-romper-first-fathers?transaction_id=5109719861</t>
  </si>
  <si>
    <t>https://www.etsy.com/ca/listing/4366190473/cat-face-embroidered-baby-romper-my?transaction_id=5109847945</t>
  </si>
  <si>
    <t>https://www.etsy.com/ca/listing/4376392339/funny-baby-romper-my-brand-of-formula?transaction_id=5100290514</t>
  </si>
  <si>
    <t>https://www.etsy.com/ca/listing/4467449868/the-littlest-garden-club-member-baby?transaction_id=5110132099</t>
  </si>
  <si>
    <t>https://www.etsy.com/ca/listing/4471139539/daddys-future-hunting-buddy-baby-romper?transaction_id=5100458786</t>
  </si>
  <si>
    <t>https://www.etsy.com/ca/listing/4471139539/daddys-future-hunting-buddy-baby-romper?transaction_id=5110544795</t>
  </si>
  <si>
    <t>https://www.etsy.com/ca/listing/4333135410/little-pumpkin-baby-romper-fall?transaction_id=5100789506</t>
  </si>
  <si>
    <t>https://www.etsy.com/ca/listing/4330479964/personalized-fox-baby-bodysuit-custom?transaction_id=5110707789</t>
  </si>
  <si>
    <t>https://www.etsy.com/ca/listing/4507678260/fathers-day-baby-girl-outfit-daddys?transaction_id=5101026358</t>
  </si>
  <si>
    <t>https://www.etsy.com/ca/listing/4392936688/shhh-im-watching-motogp-with-daddy?transaction_id=5101232880</t>
  </si>
  <si>
    <t>https://www.etsy.com/ca/listing/4471139539/daddys-future-hunting-buddy-baby-romper?transaction_id=5110979399</t>
  </si>
  <si>
    <t>https://www.etsy.com/ca/listing/4503550714/crawl-walk-climb-baby-romper-embroidered?transaction_id=5101695318</t>
  </si>
  <si>
    <t>https://www.etsy.com/ca/listing/4467452578/the-littlest-pickleball-club-member-baby?transaction_id=5102088170</t>
  </si>
  <si>
    <t>https://www.etsy.com/ca/listing/4376392339/funny-baby-romper-my-brand-of-formula?transaction_id=5111922219</t>
  </si>
  <si>
    <t>https://www.etsy.com/ca/listing/4503552705/check-engine-diaper-baby-romper?transaction_id=5111940185</t>
  </si>
  <si>
    <t>https://www.etsy.com/ca/listing/4346126210/daddys-future-lifting-buddy-romper-baby?transaction_id=5112360923</t>
  </si>
  <si>
    <t>https://www.etsy.com/ca/listing/4330504943/embroidered-tennis-baby-romper-daddys?transaction_id=5102798900</t>
  </si>
  <si>
    <t>https://www.etsy.com/ca/listing/4330504943/embroidered-tennis-baby-romper-daddys?transaction_id=5102890704</t>
  </si>
  <si>
    <t>https://www.etsy.com/ca/listing/4503548678/crawl-walk-262-baby-romper-embroidered?transaction_id=5112449305</t>
  </si>
  <si>
    <t>https://www.etsy.com/ca/listing/4511382091/born-in-2026-americas-250th-year-baby?transaction_id=5112861399</t>
  </si>
  <si>
    <t>https://www.etsy.com/ca/listing/4392935796/box-box-for-fresh-diapers-embroidered?transaction_id=5112883463</t>
  </si>
  <si>
    <t>https://www.etsy.com/ca/listing/4507678260/fathers-day-baby-girl-outfit-daddys?transaction_id=5112949333</t>
  </si>
  <si>
    <t>https://www.etsy.com/ca/listing/4471139539/daddys-future-hunting-buddy-baby-romper?transaction_id=5112949515</t>
  </si>
  <si>
    <t>https://www.etsy.com/ca/listing/4376399899/the-littlest-book-club-member-baby?transaction_id=5113129763</t>
  </si>
  <si>
    <t>https://www.etsy.com/ca/listing/4471139539/daddys-future-hunting-buddy-baby-romper?transaction_id=5104068276</t>
  </si>
  <si>
    <t>https://www.etsy.com/ca/listing/4515637261/level-1-human-embroidered-baby-romper?transaction_id=5113505739</t>
  </si>
  <si>
    <t>https://www.etsy.com/ca/listing/4392935796/box-box-for-fresh-diapers-embroidered?transaction_id=5104178538</t>
  </si>
  <si>
    <t>https://www.etsy.com/ca/listing/4336907597/custom-running-baby-romper-daddys-future?transaction_id=5113806997</t>
  </si>
  <si>
    <t>https://www.etsy.com/ca/listing/4515633002/my-dad-is-the-best-by-par-embroidered?transaction_id=5104550934</t>
  </si>
  <si>
    <t>https://www.etsy.com/ca/listing/4392936688/shhh-im-watching-motogp-with-daddy?transaction_id=5104559536</t>
  </si>
  <si>
    <t>https://www.etsy.com/ca/listing/4504890435/surfs-up-baby-romper-beach-baby-outfit?transaction_id=5104729210</t>
  </si>
  <si>
    <t>https://www.etsy.com/ca/listing/4329601875/embroidered-baby-romper-custom-name?transaction_id=5104729208</t>
  </si>
  <si>
    <t>https://www.etsy.com/ca/listing/4515633002/my-dad-is-the-best-by-par-embroidered?transaction_id=5105329512</t>
  </si>
  <si>
    <t>https://www.etsy.com/ca/listing/4346126210/daddys-future-lifting-buddy-romper-baby?transaction_id=5114693661</t>
  </si>
  <si>
    <t>https://www.etsy.com/ca/listing/4344231895/embroidered-baby-romper-shhh-im-reading?transaction_id=5114715313</t>
  </si>
  <si>
    <t>https://www.etsy.com/ca/listing/4376389783/player-2-baby-romper-gamer-baby-outfit?transaction_id=5114715311</t>
  </si>
  <si>
    <t>https://www.etsy.com/ca/listing/4347260564/football-baby-romper-game-day-baby?transaction_id=5105543066</t>
  </si>
  <si>
    <t>https://www.etsy.com/ca/listing/4511382091/born-in-2026-americas-250th-year-baby?transaction_id=5114900835</t>
  </si>
  <si>
    <t>https://www.etsy.com/ca/listing/4515633002/my-dad-is-the-best-by-par-embroidered?transaction_id=5105838124</t>
  </si>
  <si>
    <t>https://www.etsy.com/ca/listing/4471139539/daddys-future-hunting-buddy-baby-romper?transaction_id=5115102859</t>
  </si>
  <si>
    <t>https://www.etsy.com/ca/listing/4467452578/the-littlest-pickleball-club-member-baby?transaction_id=5115345747</t>
  </si>
  <si>
    <t>https://www.etsy.com/ca/listing/4336907597/custom-running-baby-romper-daddys-future?transaction_id=5115345745</t>
  </si>
  <si>
    <t>ProductType</t>
  </si>
  <si>
    <r>
      <rPr>
        <sz val="16"/>
        <rFont val="Times New Roman"/>
        <family val="1"/>
      </rPr>
      <t xml:space="preserve"> </t>
    </r>
    <r>
      <rPr>
        <u/>
        <sz val="16"/>
        <rFont val="Times New Roman"/>
        <family val="1"/>
      </rPr>
      <t>https://www.etsy.com/ca/listing/4343133680/embroidered-bowling-baby-bodysuit-crawl?transaction_id=4995732022</t>
    </r>
  </si>
  <si>
    <r>
      <t>https://www.etsy.com/ca/listing/4376399899/the-littlest-book-club-member-baby?transaction_id=5014082637</t>
    </r>
    <r>
      <rPr>
        <sz val="16"/>
        <rFont val="Times New Roman"/>
        <family val="1"/>
      </rPr>
      <t>7</t>
    </r>
  </si>
  <si>
    <r>
      <t xml:space="preserve"> </t>
    </r>
    <r>
      <rPr>
        <u/>
        <sz val="16"/>
        <rFont val="Times New Roman"/>
        <family val="1"/>
      </rPr>
      <t>https://www.etsy.com/ca/listing/4376399899/the-littlest-book-club-member-baby?transaction_id=5086344411</t>
    </r>
  </si>
  <si>
    <r>
      <t>https://www.etsy.com/listing/4477977946/apparently-i-like-f1-baby-romper-funny?transaction_id=5022612160</t>
    </r>
    <r>
      <rPr>
        <sz val="16"/>
        <rFont val="Times New Roman"/>
        <family val="1"/>
      </rPr>
      <t>0</t>
    </r>
  </si>
  <si>
    <t>Month</t>
  </si>
  <si>
    <t>Season</t>
  </si>
  <si>
    <t>ProductVariant</t>
  </si>
  <si>
    <t>SizeClean</t>
  </si>
  <si>
    <t>https://www.etsy.com/listing/4426844514/future-drummer-like-daddy-baby-romper?transaction_id=5013354581</t>
  </si>
  <si>
    <t>https://www.etsy.com/listing/4426844514/future-drummer-like-daddy-baby-romper?transaction_id=5008282160</t>
  </si>
  <si>
    <t>https://www.etsy.com/listing/4404016464/player-3-has-entered-the-game?transaction_id=5012174054</t>
  </si>
  <si>
    <t xml:space="preserve">Cream </t>
  </si>
  <si>
    <t>https://www.etsy.com/listing/4444685673/daddys-soccer-buddy-baby-romper-custom?transaction_id=5022661137</t>
  </si>
  <si>
    <t>thiết kế riêng</t>
  </si>
  <si>
    <t xml:space="preserve">Light Pink </t>
  </si>
  <si>
    <t>https://www.etsy.com/listing/4399230093/challah-at-your-boy-embroidered-baby?transaction_id=5027720615</t>
  </si>
  <si>
    <t>https://www.etsy.com/in-en/listing/4473259477/personalized-space-baby-romper-name?transaction_id=5018310718</t>
  </si>
  <si>
    <t xml:space="preserve">Caldet blue </t>
  </si>
  <si>
    <t>3-6 Months (Romper short)</t>
  </si>
  <si>
    <t>https://www.etsy.com/in-en/listing/4474813381/daddys-fishing-buddy-baby-romper-custom?transaction_id=5018701850</t>
  </si>
  <si>
    <t>0-3 Months(Romper long)</t>
  </si>
  <si>
    <t>https://www.etsy.com/listing/4399231639/first-grandbaby-embroidered-baby-romper?transaction_id=5030134339</t>
  </si>
  <si>
    <t>https://www.etsy.com/in-en/listing/4471244416/embroidered-baby-romper-future-carpenter?transaction_id=5030707503</t>
  </si>
  <si>
    <t xml:space="preserve">Dusty pink </t>
  </si>
  <si>
    <t>3-6 Months(Romper long)</t>
  </si>
  <si>
    <t>https://www.etsy.com/listing/4430527392/daddys-little-apprentice-baby-romper?transaction_id=5030488947</t>
  </si>
  <si>
    <t xml:space="preserve">Light Blue </t>
  </si>
  <si>
    <t>https://www.etsy.com/listing/4404024795/little-latke-embroidered-baby-romper?transaction_id=5021064882</t>
  </si>
  <si>
    <t>Thiết kế riêng</t>
  </si>
  <si>
    <t xml:space="preserve">White </t>
  </si>
  <si>
    <t>12-18M (Romper Long)</t>
  </si>
  <si>
    <t>https://www.etsy.com/listing/4478436550/apparently-i-love-golf-bodysuit?transaction_id=5032625225</t>
  </si>
  <si>
    <t>https://www.etsy.com/listing/4485710996/masters-2026-augusta-national-golf-club?transaction_id=5033304769</t>
  </si>
  <si>
    <t xml:space="preserve">Forest Green </t>
  </si>
  <si>
    <t>0-3 Months (romper long)</t>
  </si>
  <si>
    <t>6-12M(romper short)</t>
  </si>
  <si>
    <t>0-3 Months(romper long)</t>
  </si>
  <si>
    <t>18-24M(Romper short-sleeve)</t>
  </si>
  <si>
    <t>0-3 Months (Romper Short-Sleeve)</t>
  </si>
  <si>
    <t>https://www.etsy.com/listing/4481741792/little-bean-coffee-lover-embroidered?transaction_id=5026002806</t>
  </si>
  <si>
    <t>https://www.etsy.com/listing/4473747526/custom-penguin-bodysuit-embroidered-baby?transaction_id=5037471835</t>
  </si>
  <si>
    <t>6-12M(Romper short-sleeve)</t>
  </si>
  <si>
    <t>https://www.etsy.com/listing/4485710996/masters-2026-augusta-national-golf-club?transaction_id=5037649377</t>
  </si>
  <si>
    <t>12-18M( Romper short-sleeve)</t>
  </si>
  <si>
    <t>https://www.etsy.com/listing/4485710996/masters-2026-augusta-national-golf-club?transaction_id=5038461767</t>
  </si>
  <si>
    <t>0-3 Months(Romper Long-Sleeve)</t>
  </si>
  <si>
    <t>https://www.etsy.com/listing/4439748073/newest-member-of-the-pack-baby-romper?transaction_id=5039089261</t>
  </si>
  <si>
    <t>https://www.etsy.com/listing/4426850215/apparently-i-like-soccer-baby-romper?transaction_id=5029558760</t>
  </si>
  <si>
    <t>https://www.etsy.com/listing/4444685673/daddys-soccer-buddy-baby-romper-custom?transaction_id=5042138271</t>
  </si>
  <si>
    <t>https://www.etsy.com/listing/4478504584/golf-cart-flag-and-ball-golf-baby-romper?transaction_id=5031565304</t>
  </si>
  <si>
    <t>https://www.etsy.com/listing/4473734263/custom-kangaroo-embroidered-baby-romper?transaction_id=5044615789</t>
  </si>
  <si>
    <t>0-3 Months (Long-Sleeve)</t>
  </si>
  <si>
    <t>18-24M (short-sleeve)</t>
  </si>
  <si>
    <t>https://www.etsy.com/listing/4485710996/masters-2026-augusta-national-golf-club?transaction_id=5047154851</t>
  </si>
  <si>
    <t>3-6 Months(Short-Sleeve)</t>
  </si>
  <si>
    <t>https://www.etsy.com/listing/4481744448/powered-by-milk-funny-racing-car?transaction_id=5034318018</t>
  </si>
  <si>
    <t>https://www.etsy.com/listing/4478434685/custom-golf-letter-w-name-bodysuit?transaction_id=5034550682</t>
  </si>
  <si>
    <t>https://www.etsy.com/listing/4484967843/little-bean-coffee-lover-embroidered?transaction_id=5036289272</t>
  </si>
  <si>
    <t>0-3 Months(Long-Sleeve)</t>
  </si>
  <si>
    <t>https://www.etsy.com/listing/4447371932/daddys-tennis-buddy-embroidered-baby?transaction_id=5037054998</t>
  </si>
  <si>
    <t>https://www.etsy.com/listing/4478434685/custom-golf-letter-w-name-bodysuit?transaction_id=5037252204</t>
  </si>
  <si>
    <t>https://www.etsy.com/listing/4480040494/little-beach-bum-embroidered-baby-romper?transaction_id=5049925631</t>
  </si>
  <si>
    <t>3-6 Months(Long-Sleeve)</t>
  </si>
  <si>
    <t>https://www.etsy.com/listing/4484971607/newest-hunting-buddy-duck-embroidered?transaction_id=5037992372</t>
  </si>
  <si>
    <t xml:space="preserve"> Light Pink </t>
  </si>
  <si>
    <t>https://www.etsy.com/listing/4399231639/first-grandbaby-embroidered-baby-romper?transaction_id=5050711899</t>
  </si>
  <si>
    <t>https://www.etsy.com/listing/4480604537/cute-car-name-embroidered-baby-romper?transaction_id=5050791685</t>
  </si>
  <si>
    <t>6-12M (long-sleeve)</t>
  </si>
  <si>
    <t>https://www.etsy.com/listing/4473734263/custom-kangaroo-embroidered-baby-romper?transaction_id=5038433160</t>
  </si>
  <si>
    <t>12-18M(short-sleeve)</t>
  </si>
  <si>
    <t>https://www.etsy.com/listing/4493249816/newest-hunting-buddy-embroidered-baby?transaction_id=5053999401</t>
  </si>
  <si>
    <t xml:space="preserve"> Light Blue</t>
  </si>
  <si>
    <t>https://www.etsy.com/listing/4493262715/new-to-the-club-golf-embroidered-baby?transaction_id=5042373906</t>
  </si>
  <si>
    <t>https://www.etsy.com/listing/4445858125/personalized-kangaroo-baby-romper-custom?transaction_id=5056318369</t>
  </si>
  <si>
    <t>Sage green</t>
  </si>
  <si>
    <t>https://www.etsy.com/listing/4426850215/apparently-i-like-soccer-baby-romper?transaction_id=5043481228</t>
  </si>
  <si>
    <t>https://www.etsy.com/listing/4442577224/im-the-new-guy-embroidered-baby?transaction_id=5043700114</t>
  </si>
  <si>
    <t>https://www.etsy.com/in-en/listing/4477320181/personalized-mouse-name-baby-romper?transaction_id=5046991818</t>
  </si>
  <si>
    <t>Caldet blue</t>
  </si>
  <si>
    <t>0-3 Months(short- sleeve)</t>
  </si>
  <si>
    <t>https://www.etsy.com/listing/4489482442/custom-two-new-best-friend-embroidered?transaction_id=5058485517</t>
  </si>
  <si>
    <t xml:space="preserve"> Light Blue </t>
  </si>
  <si>
    <t>https://www.etsy.com/listing/4475396971/future-barber-like-my-daddy-embroidered?transaction_id=5047850318</t>
  </si>
  <si>
    <t>3-6 Months (Long-Sleeve)</t>
  </si>
  <si>
    <t>https://www.etsy.com/listing/4480598946/tennis-racket-ball-name-embroidered-baby?transaction_id=5050510506</t>
  </si>
  <si>
    <t>https://www.etsy.com/listing/4481741792/little-bean-coffee-lover-embroidered?transaction_id=5064565183</t>
  </si>
  <si>
    <t>https://www.etsy.com/listing/4485710996/masters-2026-augusta-national-golf-club?transaction_id=5062649795</t>
  </si>
  <si>
    <t>https://www.etsy.com/listing/4485710996/masters-2026-augusta-national-golf-club?transaction_id=5063497185</t>
  </si>
  <si>
    <t>https://www.etsy.com/listing/4485708190/daddys-little-caddy-embroidered-baby?transaction_id=5064110813</t>
  </si>
  <si>
    <t>0-3 Months(Short-Sleeve)</t>
  </si>
  <si>
    <t>https://www.etsy.com/listing/4404016464/player-3-has-entered-the-game?transaction_id=5052362998</t>
  </si>
  <si>
    <t>https://www.etsy.com/listing/4478512568/pack-my-diapers-im-going-racing-with?transaction_id=5064907725</t>
  </si>
  <si>
    <t>https://www.etsy.com/listing/4426850215/apparently-i-like-soccer-baby-romper?transaction_id=5052494746</t>
  </si>
  <si>
    <t>https://www.etsy.com/listing/4480598946/tennis-racket-ball-name-embroidered-baby?transaction_id=5053377068</t>
  </si>
  <si>
    <t>https://www.etsy.com/listing/4426850215/apparently-i-like-soccer-baby-romper?transaction_id=5053488376</t>
  </si>
  <si>
    <t>https://www.etsy.com/listing/4485710996/masters-2026-augusta-national-golf-club?transaction_id=5066038837</t>
  </si>
  <si>
    <t>https://www.etsy.com/listing/4485710161/apparently-i-like-running-embroidered?transaction_id=5053879736</t>
  </si>
  <si>
    <t>https://www.etsy.com/listing/4474310208/fearfully-wonderfully-made-bodysuit?transaction_id=5067902085</t>
  </si>
  <si>
    <t>6-12M(short-sleeve)</t>
  </si>
  <si>
    <t>https://www.etsy.com/listing/4477885980/sunshine-mood-embroidered-baby-romper?transaction_id=5055669056</t>
  </si>
  <si>
    <t>https://www.etsy.com/listing/4426850215/apparently-i-like-soccer-baby-romper?transaction_id=5055687122</t>
  </si>
  <si>
    <t>https://www.etsy.com/listing/4480040494/little-beach-bum-embroidered-baby-romper?transaction_id=5055954030</t>
  </si>
  <si>
    <t>6-12M (short-sleeve)</t>
  </si>
  <si>
    <t>https://www.etsy.com/listing/4485710996/masters-2026-augusta-national-golf-club?transaction_id=5056167242</t>
  </si>
  <si>
    <t>https://www.etsy.com/listing/4399219527/new-to-the-club-swimming-embroidered?transaction_id=5069610173</t>
  </si>
  <si>
    <t>https://www.etsy.com/listing/4444686051/new-to-the-farm-baby-romper-custom?transaction_id=5070575969</t>
  </si>
  <si>
    <t>https://www.etsy.com/listing/4500080239/daddys-future-lifting-partner-retro?transaction_id=5071745351</t>
  </si>
  <si>
    <t>https://www.etsy.com/listing/4485710996/masters-2026-augusta-national-golf-club?transaction_id=5060306200</t>
  </si>
  <si>
    <t>https://www.etsy.com/listing/4399220288/apparently-i-like-golf-embroidered-baby?transaction_id=5074081653</t>
  </si>
  <si>
    <t>https://www.etsy.com/listing/4477990547/apparently-i-like-golf-bodysuit?transaction_id=5074515685</t>
  </si>
  <si>
    <t>https://www.etsy.com/listing/4493249816/newest-hunting-buddy-embroidered-baby?transaction_id=5074601545</t>
  </si>
  <si>
    <t>https://www.etsy.com/listing/4493246651/im-proof-daddy-hunts-embroidered-baby?transaction_id=5074669179</t>
  </si>
  <si>
    <t>https://www.etsy.com/listing/4478439582/new-to-the-club-bodysuit-embroidered?transaction_id=5062184894</t>
  </si>
  <si>
    <t>https://www.etsy.com/listing/4493305337/daddys-hunting-buddy-embroidered-baby?transaction_id=5061739994</t>
  </si>
  <si>
    <t>3-6 Months (Short-Sleeve)</t>
  </si>
  <si>
    <t>https://www.etsy.com/listing/4399213134/new-to-the-club-bike-embroidered-baby?transaction_id=5075383551</t>
  </si>
  <si>
    <t>https://www.etsy.com/listing/4480040494/little-beach-bum-embroidered-baby-romper?transaction_id=5075565515</t>
  </si>
  <si>
    <t>https://www.etsy.com/listing/4495400367/new-to-the-hunting-crew-duck-arrow?transaction_id=5076025859</t>
  </si>
  <si>
    <t>https://www.etsy.com/listing/4474297353/daddys-coffee-date-bodysuit-embroidered?transaction_id=5076102865</t>
  </si>
  <si>
    <t>https://www.etsy.com/listing/4490067659/daddys-little-caddy-embroidered-baby?transaction_id=5075349531</t>
  </si>
  <si>
    <t>https://www.etsy.com/listing/4493305337/daddys-hunting-buddy-embroidered-baby?transaction_id=5076015525</t>
  </si>
  <si>
    <t>https://www.etsy.com/listing/4500080239/daddys-future-lifting-partner-retro?transaction_id=5064477522</t>
  </si>
  <si>
    <t>https://www.etsy.com/listing/4481749299/future-world-traveler-embroidered-baby?transaction_id=5065568336</t>
  </si>
  <si>
    <t>https://www.etsy.com/listing/4473734263/custom-kangaroo-embroidered-baby-romper?transaction_id=5080660909</t>
  </si>
  <si>
    <t xml:space="preserve"> White </t>
  </si>
  <si>
    <t>https://www.etsy.com/listing/4399213134/new-to-the-club-bike-embroidered-baby?transaction_id=5080844053</t>
  </si>
  <si>
    <t>https://www.etsy.com/listing/4473747526/custom-penguin-bodysuit-embroidered-baby?transaction_id=5081250215</t>
  </si>
  <si>
    <t>https://www.etsy.com/listing/4485710161/apparently-i-like-running-embroidered?transaction_id=5081568415</t>
  </si>
  <si>
    <t xml:space="preserve">Watermelon  </t>
  </si>
  <si>
    <t>18-24M (long-sleeve)</t>
  </si>
  <si>
    <t>https://www.etsy.com/listing/4493305337/daddys-hunting-buddy-embroidered-baby?transaction_id=5082831833</t>
  </si>
  <si>
    <t xml:space="preserve"> Cream</t>
  </si>
  <si>
    <t>https://www.etsy.com/listing/4399231639/first-grandbaby-embroidered-baby-romper?transaction_id=5071207874</t>
  </si>
  <si>
    <t>https://www.etsy.com/listing/4404016464/player-3-has-entered-the-game?transaction_id=5071442942</t>
  </si>
  <si>
    <t>https://www.etsy.com/listing/4490494063/im-proof-that-my-dad-isnt-always-golfing?transaction_id=5084782699</t>
  </si>
  <si>
    <t>https://www.etsy.com/listing/4493262715/new-to-the-club-golf-embroidered-baby?transaction_id=5084388325</t>
  </si>
  <si>
    <t>https://www.etsy.com/listing/4493262715/new-to-the-club-golf-embroidered-baby?transaction_id=5071280368</t>
  </si>
  <si>
    <t xml:space="preserve"> White</t>
  </si>
  <si>
    <t>https://www.etsy.com/listing/4447378305/opal-personalized-shell-embroidered-baby?transaction_id=5072089578</t>
  </si>
  <si>
    <t>https://www.etsy.com/listing/4376404086/embroidered-lil-nugget-baby-bodysuit?transaction_id=5072891550</t>
  </si>
  <si>
    <t xml:space="preserve">Cream  </t>
  </si>
  <si>
    <t xml:space="preserve">6-12M(long-sleeve) </t>
  </si>
  <si>
    <t>https://www.etsy.com/listing/4480040494/little-beach-bum-embroidered-baby-romper?transaction_id=5072894242</t>
  </si>
  <si>
    <t>https://www.etsy.com/listing/4485708190/daddys-little-caddy-embroidered-baby?transaction_id=5085952345</t>
  </si>
  <si>
    <t>https://www.etsy.com/listing/4495400367/new-to-the-hunting-crew-duck-arrow?transaction_id=5073049238</t>
  </si>
  <si>
    <t>https://www.etsy.com/listing/4399231639/first-grandbaby-embroidered-baby-romper?transaction_id=5073573486</t>
  </si>
  <si>
    <t>https://www.etsy.com/listing/4500080239/daddys-future-lifting-partner-retro?transaction_id=5073951144</t>
  </si>
  <si>
    <t>https://www.etsy.com/listing/4485708190/daddys-little-caddy-embroidered-baby?transaction_id=5086797207</t>
  </si>
  <si>
    <t>0-3 Months (Short-Sleeve)</t>
  </si>
  <si>
    <t>https://www.etsy.com/listing/4418854736/i-cant-wait-to-jam-with-daddy-piano?transaction_id=5088179937</t>
  </si>
  <si>
    <t>https://www.etsy.com/listing/4503429855/custom-name-golf-embroidered-baby-romper?transaction_id=5074501022</t>
  </si>
  <si>
    <t>https://www.etsy.com/listing/4507649485/apparently-i-like-soccer-embroidered?transaction_id=5089290437</t>
  </si>
  <si>
    <t>https://www.etsy.com/listing/4485710996/masters-2026-augusta-national-golf-club?transaction_id=5077126830</t>
  </si>
  <si>
    <t>18-24M(short-sleeve)</t>
  </si>
  <si>
    <t>https://www.etsy.com/listing/4500215026/newest-workout-buddy-kettlebell?transaction_id=5090244201</t>
  </si>
  <si>
    <t>https://www.etsy.com/listing/4508836983/race-car-embroidered-baby-bodysuit?transaction_id=5076093492</t>
  </si>
  <si>
    <t>https://www.etsy.com/listing/4490490949/daddys-little-caddy-embroidered-baby?transaction_id=5089085089</t>
  </si>
  <si>
    <t>https://www.etsy.com/listing/4475403120/future-drummer-like-daddy-embroidered?transaction_id=5076993930</t>
  </si>
  <si>
    <t>https://www.etsy.com/listing/4507630409/tiny-agent-of-chaos-frog-embroidered?transaction_id=5077259176</t>
  </si>
  <si>
    <t>https://www.etsy.com/listing/4507682211/crawl-walk-golf-embroidered-baby-romper?transaction_id=5078004690</t>
  </si>
  <si>
    <t>https://www.etsy.com/listing/4509429762/my-aunt-says-im-perfect-just-like-her?transaction_id=5090858909</t>
  </si>
  <si>
    <t>https://www.etsy.com/listing/4473734263/custom-kangaroo-embroidered-baby-romper?transaction_id=5091143355</t>
  </si>
  <si>
    <t>https://www.etsy.com/listing/4481746930/custom-name-golf-club-bag-embroidered?transaction_id=5091354243</t>
  </si>
  <si>
    <t>https://www.etsy.com/listing/4509425156/on-sundays-we-watch-football-with-daddy?transaction_id=5079253756</t>
  </si>
  <si>
    <t>https://www.etsy.com/listing/4408354290/born-to-run-with-dad-baby-romper-runner?transaction_id=5080019032</t>
  </si>
  <si>
    <t>https://www.etsy.com/listing/4500096662/running-buddy-sneaker-embroidered-baby?transaction_id=5080186736</t>
  </si>
  <si>
    <t>https://www.etsy.com/listing/4509437702/apparently-i-like-fishing-embroidered?transaction_id=5079593642</t>
  </si>
  <si>
    <t>https://www.etsy.com/listing/4399205076/new-to-the-hive-embroidered-baby-romper?transaction_id=5080881210</t>
  </si>
  <si>
    <t>https://www.etsy.com/listing/4485710996/masters-2026-augusta-national-golf-club?transaction_id=5093096699</t>
  </si>
  <si>
    <t>https://www.etsy.com/listing/4480612102/golf-player-baby-girl-name-embroidered?transaction_id=5082110360&amp;dd_referrer=</t>
  </si>
  <si>
    <t>https://www.etsy.com/listing/4477887740/new-best-friend-embroidered-baby-romper?transaction_id=5082111120</t>
  </si>
  <si>
    <t>https://www.etsy.com/listing/4473734263/custom-kangaroo-embroidered-baby-romper?transaction_id=5094265953</t>
  </si>
  <si>
    <t>https://www.etsy.com/listing/4509960222/on-sundays-we-watch-football-with-daddy?transaction_id=5081874660</t>
  </si>
  <si>
    <t>https://www.etsy.com/listing/4510951277/new-to-the-gang-embroidered-baby-romper?transaction_id=5094038609</t>
  </si>
  <si>
    <t>https://www.etsy.com/in-en/listing/4488317285/little-squirrel-embroidered-romper?transaction_id=5083546916</t>
  </si>
  <si>
    <t>Dusty pink</t>
  </si>
  <si>
    <t>3-6 Months(short- sleeve)</t>
  </si>
  <si>
    <t>https://www.etsy.com/listing/4509960222/on-sundays-we-watch-football-with-daddy?transaction_id=5083273384</t>
  </si>
  <si>
    <t>https://www.etsy.com/listing/4495406377/my-daddy-is-a-better-golfer-funny-golf?transaction_id=5082776812</t>
  </si>
  <si>
    <t>https://www.etsy.com/listing/4474297353/daddys-coffee-date-bodysuit-embroidered?transaction_id=5083293586</t>
  </si>
  <si>
    <t>https://www.etsy.com/listing/4500080239/daddys-future-lifting-partner-retro?transaction_id=5083461290</t>
  </si>
  <si>
    <t>https://www.etsy.com/listing/4475396971/future-barber-like-my-daddy-embroidered?transaction_id=5084301098</t>
  </si>
  <si>
    <t>https://www.etsy.com/listing/4480040494/little-beach-bum-embroidered-baby-romper?transaction_id=5096584091</t>
  </si>
  <si>
    <t>https://www.etsy.com/listing/4481741792/little-bean-coffee-lover-embroidered?transaction_id=5096873843</t>
  </si>
  <si>
    <t>https://www.etsy.com/listing/4485710996/masters-2026-augusta-national-golf-club?transaction_id=5084357934</t>
  </si>
  <si>
    <t>https://www.etsy.com/listing/4500215026/newest-workout-buddy-kettlebell?transaction_id=5085904998</t>
  </si>
  <si>
    <t>https://www.etsy.com/listing/4509423661/born-to-play-like-my-daddy-embroidered?transaction_id=5098275233</t>
  </si>
  <si>
    <t>https://www.etsy.com/listing/4510957011/new-to-the-crew-embroidered-baby-romper?transaction_id=5098515129</t>
  </si>
  <si>
    <t>6-12M(short-Sleeve)</t>
  </si>
  <si>
    <t>https://www.etsy.com/listing/4485710996/masters-2026-augusta-national-golf-club?transaction_id=5098981545</t>
  </si>
  <si>
    <t>3-6 Months(short-Sleeve)</t>
  </si>
  <si>
    <t>https://www.etsy.com/listing/4513503284/daddys-future-pickleball-partner?transaction_id=5100012409&amp;dd_referrer=</t>
  </si>
  <si>
    <t>https://www.etsy.com/listing/4480040494/little-beach-bum-embroidered-baby-romper?transaction_id=5100226877</t>
  </si>
  <si>
    <t>https://www.etsy.com/listing/4399219527/new-to-the-club-swimming-embroidered?transaction_id=5100609789</t>
  </si>
  <si>
    <t xml:space="preserve"> Cream </t>
  </si>
  <si>
    <t>https://www.etsy.com/listing/4509964052/born-to-ride-with-my-daddy-embroidered?transaction_id=5099876199</t>
  </si>
  <si>
    <t>https://www.etsy.com/listing/4485710996/masters-2026-augusta-national-golf-club?transaction_id=5090072748</t>
  </si>
  <si>
    <t>https://www.etsy.com/listing/4509437702/apparently-i-like-fishing-embroidered?transaction_id=5090124708</t>
  </si>
  <si>
    <t>https://www.etsy.com/listing/4485708736/daddys-caddie-embroidered-baby-romper?transaction_id=5101488115</t>
  </si>
  <si>
    <t>https://www.etsy.com/listing/4508847254/born-to-ride-with-my-daddy-embroidered?transaction_id=5089728392</t>
  </si>
  <si>
    <t>https://www.etsy.com/listing/4495406377/my-daddy-is-a-better-golfer-funny-golf?transaction_id=5090263702</t>
  </si>
  <si>
    <t xml:space="preserve">  Light Pink</t>
  </si>
  <si>
    <t>https://www.etsy.com/listing/4495408355/theres-no-crying-in-baseball-embroidered?transaction_id=5091300322&amp;dd_referrer=</t>
  </si>
  <si>
    <t>https://www.etsy.com/listing/4481742824/newest-hunting-buddy-duck-embroidered?transaction_id=5091361218</t>
  </si>
  <si>
    <t>https://www.etsy.com/listing/4509423661/born-to-play-like-my-daddy-embroidered?transaction_id=5102757449</t>
  </si>
  <si>
    <t>https://www.etsy.com/listing/4513503284/daddys-future-pickleball-partner?transaction_id=5102812921</t>
  </si>
  <si>
    <t>6-12M(long-sleeve)</t>
  </si>
  <si>
    <t>https://www.etsy.com/listing/4475403120/future-drummer-like-daddy-embroidered?transaction_id=5092132738</t>
  </si>
  <si>
    <t>https://www.etsy.com/listing/4493302667/newest-hunting-buddy-embroidered-baby?transaction_id=5102828319</t>
  </si>
  <si>
    <t>https://www.etsy.com/listing/4508974153/daddys-co-pilot-embroidered-baby-romper?transaction_id=5104075369</t>
  </si>
  <si>
    <t>https://www.etsy.com/listing/4495418873/daddys-little-caddy-golf-bag-embroidered?transaction_id=5093398666</t>
  </si>
  <si>
    <t>https://www.etsy.com/listing/4513503284/daddys-future-pickleball-partner?transaction_id=5103902419</t>
  </si>
  <si>
    <t>https://www.etsy.com/listing/4489465797/new-to-the-line-crew-embroidered-baby?transaction_id=5093880444</t>
  </si>
  <si>
    <t>https://www.etsy.com/listing/4473734263/custom-kangaroo-embroidered-baby-romper?transaction_id=5093912284</t>
  </si>
  <si>
    <t>https://www.etsy.com/listing/4495406377/my-daddy-is-a-better-golfer-funny-golf?transaction_id=5105088585</t>
  </si>
  <si>
    <t>https://www.etsy.com/listing/4478439582/new-to-the-club-bodysuit-embroidered?transaction_id=5106106717</t>
  </si>
  <si>
    <t>https://www.etsy.com/listing/4475396317/custom-name-soccer-embroidered-baby?transaction_id=5106418857</t>
  </si>
  <si>
    <t>Dusty PinK</t>
  </si>
  <si>
    <t>https://www.etsy.com/listing/4508958063/my-daddys-muscles-embroidered-baby?transaction_id=5095036218</t>
  </si>
  <si>
    <t>https://www.etsy.com/listing/4485708736/daddys-caddie-embroidered-baby-romper?transaction_id=5095353764</t>
  </si>
  <si>
    <t>https://www.etsy.com/listing/4500089032/daddys-future-lifting-partner-barbell?transaction_id=5107862119</t>
  </si>
  <si>
    <t>https://www.etsy.com/listing/4509421965/my-siblings-have-whiskers-embroidered?transaction_id=5097808076</t>
  </si>
  <si>
    <t>https://www.etsy.com/listing/4490490949/daddys-little-caddy-embroidered-baby?transaction_id=5107904565</t>
  </si>
  <si>
    <t>https://www.etsy.com/listing/4478504995/pack-my-diapers-im-going-racing?transaction_id=5109200033</t>
  </si>
  <si>
    <t>https://www.etsy.com/listing/4481744448/powered-by-milk-funny-racing-car?transaction_id=5099279898</t>
  </si>
  <si>
    <t>https://www.etsy.com/listing/4399222424/milk-then-burpees-embroidered-baby?transaction_id=5101335636</t>
  </si>
  <si>
    <t>https://www.etsy.com/listing/4509960222/on-sundays-we-watch-football-with-daddy?transaction_id=5097908120</t>
  </si>
  <si>
    <t>https://www.etsy.com/listing/4508974153/daddys-co-pilot-embroidered-baby-romper?transaction_id=5109605445</t>
  </si>
  <si>
    <t>https://www.etsy.com/listing/4509961572/new-to-the-farm-embroidered-baby-romper?transaction_id=5109644383</t>
  </si>
  <si>
    <t>https://www.etsy.com/listing/4500205537/mommys-little-workout-buddy-barbell?transaction_id=5100005216</t>
  </si>
  <si>
    <t>https://www.etsy.com/listing/4509963336/daddys-future-lifting-buddy-embroidered?transaction_id=5100005214</t>
  </si>
  <si>
    <t>https://www.etsy.com/listing/4495418873/daddys-little-caddy-golf-bag-embroidered?transaction_id=5101445220</t>
  </si>
  <si>
    <t>12-18M (long-sleeve)</t>
  </si>
  <si>
    <t>https://www.etsy.com/listing/4404016464/player-3-has-entered-the-game?transaction_id=5111720663&amp;dd_referrer=</t>
  </si>
  <si>
    <t>https://www.etsy.com/listing/4507031685/apparently-i-like-soccer-embroidered?transaction_id=5102116462</t>
  </si>
  <si>
    <t>https://www.etsy.com/listing/4500221026/i-just-burpeed-funny-gym-quote?transaction_id=5112180389</t>
  </si>
  <si>
    <t>https://www.etsy.com/listing/4508958063/my-daddys-muscles-embroidered-baby?transaction_id=5113478511</t>
  </si>
  <si>
    <t>3-6 Month (Long-Sleeve)</t>
  </si>
  <si>
    <t>https://www.etsy.com/listing/4376404086/embroidered-lil-nugget-baby-bodysuit?transaction_id=5086125110</t>
  </si>
  <si>
    <t>https://www.etsy.com/listing/4467378841/embroidered-is-it-too-soon-to-ask-for-a?transaction_id=5097568703</t>
  </si>
  <si>
    <t>https://www.etsy.com/listing/4476306471/pack-my-diapers-im-going-crime-fighting?transaction_id=5086606464</t>
  </si>
  <si>
    <t>https://www.etsy.com/listing/4473845389/golf-player-outfit-embroidered-baby?transaction_id=5086773404</t>
  </si>
  <si>
    <t>https://www.etsy.com/listing/4507007670/daddys-co-pilot-embroidered-baby-romper?transaction_id=5086776132</t>
  </si>
  <si>
    <t>https://www.etsy.com/listing/4376404086/embroidered-lil-nugget-baby-bodysuit?transaction_id=5098095891</t>
  </si>
  <si>
    <t>https://www.etsy.com/listing/4376404086/embroidered-lil-nugget-baby-bodysuit?transaction_id=5087326006</t>
  </si>
  <si>
    <t>https://www.etsy.com/listing/4473845389/golf-player-outfit-embroidered-baby?transaction_id=5087327936</t>
  </si>
  <si>
    <t>https://www.etsy.com/listing/4473845389/golf-player-outfit-embroidered-baby?transaction_id=5087327934</t>
  </si>
  <si>
    <t>https://www.etsy.com/listing/4321796572/i-love-my-custom-name-embroidered-romper?transaction_id=5098737081</t>
  </si>
  <si>
    <t>https://www.etsy.com/listing/4376404086/embroidered-lil-nugget-baby-bodysuit?transaction_id=5098747169</t>
  </si>
  <si>
    <t>https://www.etsy.com/listing/4376404086/embroidered-lil-nugget-baby-bodysuit?transaction_id=5087887206</t>
  </si>
  <si>
    <t>https://www.etsy.com/listing/4376404086/embroidered-lil-nugget-baby-bodysuit?transaction_id=5087897166</t>
  </si>
  <si>
    <t>https://www.etsy.com/listing/4344211719/embroidered-i-like-fishing-baby-bodysuit?transaction_id=5099360289</t>
  </si>
  <si>
    <t>https://www.etsy.com/listing/4471265235/personalized-masters-golf-embroidered?transaction_id=5099369193</t>
  </si>
  <si>
    <t>https://www.etsy.com/listing/4376404086/embroidered-lil-nugget-baby-bodysuit?transaction_id=5099454649</t>
  </si>
  <si>
    <t>https://www.etsy.com/listing/4507006418/mommys-little-nugget-embroidered-baby?transaction_id=5099541999</t>
  </si>
  <si>
    <t>https://www.etsy.com/listing/4473844239/funny-f1-racing-quote-embroidered-baby?transaction_id=5088683626</t>
  </si>
  <si>
    <t>https://www.etsy.com/listing/4376404086/embroidered-lil-nugget-baby-bodysuit?transaction_id=5088727320</t>
  </si>
  <si>
    <t>https://www.etsy.com/listing/4376404086/embroidered-lil-nugget-baby-bodysuit?transaction_id=5088792058</t>
  </si>
  <si>
    <t>https://www.etsy.com/listing/4376404086/embroidered-lil-nugget-baby-bodysuit?transaction_id=5088802538</t>
  </si>
  <si>
    <t>https://www.etsy.com/listing/4507007670/daddys-co-pilot-embroidered-baby-romper?transaction_id=5100181201</t>
  </si>
  <si>
    <t>https://www.etsy.com/listing/4324713807/personalized-monkey-baby-romper?transaction_id=5100322373</t>
  </si>
  <si>
    <t>https://www.etsy.com/listing/4376404086/embroidered-lil-nugget-baby-bodysuit?transaction_id=5089329718</t>
  </si>
  <si>
    <t>https://www.etsy.com/listing/4324712022/embroidered-baby-romper-dont-make-me?transaction_id=5100463451</t>
  </si>
  <si>
    <t>https://www.etsy.com/listing/4376404086/embroidered-lil-nugget-baby-bodysuit?transaction_id=5100476737</t>
  </si>
  <si>
    <t>https://www.etsy.com/listing/4376404086/embroidered-lil-nugget-baby-bodysuit?transaction_id=5100487325</t>
  </si>
  <si>
    <t>https://www.etsy.com/listing/4376404086/embroidered-lil-nugget-baby-bodysuit?transaction_id=5089467386</t>
  </si>
  <si>
    <t>https://www.etsy.com/listing/4376404086/embroidered-lil-nugget-baby-bodysuit?transaction_id=5100581921</t>
  </si>
  <si>
    <t>https://www.etsy.com/listing/4474408150/nacho-baby-funny-quote-embroidered-baby?transaction_id=5100604935</t>
  </si>
  <si>
    <t>https://www.etsy.com/listing/4321792231/first-grandbaby-romper-embroidered-baby?transaction_id=5100954765</t>
  </si>
  <si>
    <t>https://www.etsy.com/listing/4321796572/i-love-my-custom-name-embroidered-romper?transaction_id=5100993523</t>
  </si>
  <si>
    <t>https://www.etsy.com/listing/4376404086/embroidered-lil-nugget-baby-bodysuit?transaction_id=5090030540</t>
  </si>
  <si>
    <t>https://www.etsy.com/listing/4376404086/embroidered-lil-nugget-baby-bodysuit?transaction_id=5090092042</t>
  </si>
  <si>
    <t>https://www.etsy.com/listing/4321796572/i-love-my-custom-name-embroidered-romper?transaction_id=5090153556</t>
  </si>
  <si>
    <t>https://www.etsy.com/listing/4465296416/embroidered-apparently-i-like-golf-baby?transaction_id=5101340891</t>
  </si>
  <si>
    <t>https://www.etsy.com/listing/4321796572/i-love-my-custom-name-embroidered-romper?transaction_id=5090694452</t>
  </si>
  <si>
    <t>https://www.etsy.com/listing/4376404086/embroidered-lil-nugget-baby-bodysuit?transaction_id=5090741694</t>
  </si>
  <si>
    <t>https://www.etsy.com/listing/4465286733/embroidered-new-to-the-fishing-crew-baby?transaction_id=5090748500</t>
  </si>
  <si>
    <t>https://www.etsy.com/listing/4507008272/new-to-the-crew-embroidered-baby-romper?transaction_id=5090787170</t>
  </si>
  <si>
    <t>https://www.etsy.com/listing/4376404086/embroidered-lil-nugget-baby-bodysuit?transaction_id=5090828786</t>
  </si>
  <si>
    <t>https://www.etsy.com/listing/4476306917/pack-my-diaper-im-going-racing-dirt-bike?transaction_id=5102034711</t>
  </si>
  <si>
    <t>https://www.etsy.com/listing/4376404086/embroidered-lil-nugget-baby-bodysuit?transaction_id=5091216036</t>
  </si>
  <si>
    <t>https://www.etsy.com/listing/4376404086/embroidered-lil-nugget-baby-bodysuit?transaction_id=5091666542</t>
  </si>
  <si>
    <t>https://www.etsy.com/listing/4490553331/aww-shucks-embroidered-baby-romper-cute?transaction_id=5092023768</t>
  </si>
  <si>
    <t>https://www.etsy.com/listing/4347838451/custom-embroidered-nonnas-little?transaction_id=5092417092</t>
  </si>
  <si>
    <t>https://www.etsy.com/listing/4364069693/embroidered-cat-baby-romper-personalized?transaction_id=5092455656</t>
  </si>
  <si>
    <t>https://www.etsy.com/listing/4506997825/my-daddys-muscles-are-bigger-than-your?transaction_id=5092611088</t>
  </si>
  <si>
    <t>https://www.etsy.com/listing/4321796572/i-love-my-custom-name-embroidered-romper?transaction_id=5103770179</t>
  </si>
  <si>
    <t>https://www.etsy.com/listing/4376404086/embroidered-lil-nugget-baby-bodysuit?transaction_id=5103964801</t>
  </si>
  <si>
    <t>https://www.etsy.com/listing/4471168394/embroidered-baby-romper-custom-chihuahua?transaction_id=5093353336</t>
  </si>
  <si>
    <t>https://www.etsy.com/listing/4321796572/i-love-my-custom-name-embroidered-romper?transaction_id=5093547918</t>
  </si>
  <si>
    <t>https://www.etsy.com/listing/4344211719/embroidered-i-like-fishing-baby-bodysuit?transaction_id=5094326116</t>
  </si>
  <si>
    <t>https://www.etsy.com/listing/4336892730/funny-golf-baby-romper-apparently-i-like?transaction_id=5104917531</t>
  </si>
  <si>
    <t>https://www.etsy.com/listing/4507001437/outwit-outplay-outnap-embroidered-baby?transaction_id=5094508826</t>
  </si>
  <si>
    <t>https://www.etsy.com/listing/4376404086/embroidered-lil-nugget-baby-bodysuit?transaction_id=5105043929</t>
  </si>
  <si>
    <t>https://www.etsy.com/listing/4507005480/milk-then-burpees-embroidered-baby?transaction_id=5095143636</t>
  </si>
  <si>
    <t>https://www.etsy.com/listing/4376404086/embroidered-lil-nugget-baby-bodysuit?transaction_id=5105567463</t>
  </si>
  <si>
    <t>https://www.etsy.com/listing/4507007670/daddys-co-pilot-embroidered-baby-romper?transaction_id=5095179822</t>
  </si>
  <si>
    <t>https://www.etsy.com/listing/4473845389/golf-player-outfit-embroidered-baby?transaction_id=5095327124</t>
  </si>
  <si>
    <t>https://www.etsy.com/listing/4347838451/custom-embroidered-nonnas-little?transaction_id=5106124025</t>
  </si>
  <si>
    <t>https://www.etsy.com/listing/4471265235/personalized-masters-golf-embroidered?transaction_id=5096131110</t>
  </si>
  <si>
    <t>https://www.etsy.com/listing/4324725992/personalized-embroidered-tennis-baby?transaction_id=5106563501</t>
  </si>
  <si>
    <t>https://www.etsy.com/listing/4473844239/funny-f1-racing-quote-embroidered-baby?transaction_id=5106698055</t>
  </si>
  <si>
    <t>https://www.etsy.com/listing/4376404086/embroidered-lil-nugget-baby-bodysuit?transaction_id=5096502506</t>
  </si>
  <si>
    <t>https://www.etsy.com/listing/4336892730/funny-golf-baby-romper-apparently-i-like?transaction_id=5106742557</t>
  </si>
  <si>
    <t>https://www.etsy.com/listing/4473844239/funny-f1-racing-quote-embroidered-baby?transaction_id=5096866380</t>
  </si>
  <si>
    <t>https://www.etsy.com/listing/4507001437/outwit-outplay-outnap-embroidered-baby?transaction_id=5107196821</t>
  </si>
  <si>
    <t>https://www.etsy.com/listing/4509541505/new-to-the-crew-embroidered-baby-romper?transaction_id=5097824684</t>
  </si>
  <si>
    <t>https://www.etsy.com/listing/4376412221/embroidered-mustache-baby-romper-newborn?transaction_id=5098367084</t>
  </si>
  <si>
    <t>https://www.etsy.com/listing/4507007670/daddys-co-pilot-embroidered-baby-romper?transaction_id=5108625861</t>
  </si>
  <si>
    <t>https://www.etsy.com/listing/4507001437/outwit-outplay-outnap-embroidered-baby?transaction_id=5098843668</t>
  </si>
  <si>
    <t>https://www.etsy.com/listing/4324712533/personalized-embroidered-chick-baby?transaction_id=5108969601</t>
  </si>
  <si>
    <t>https://www.etsy.com/listing/4507006418/mommys-little-nugget-embroidered-baby?transaction_id=5108983961</t>
  </si>
  <si>
    <t>https://www.etsy.com/listing/4507007670/daddys-co-pilot-embroidered-baby-romper?transaction_id=5109001793</t>
  </si>
  <si>
    <t>https://www.etsy.com/listing/4509540549/just-plane-cute-embroidered-baby-romper?transaction_id=5109001791</t>
  </si>
  <si>
    <t>https://www.etsy.com/listing/4324724896/personalized-basketball-baby-romper?transaction_id=5109194943</t>
  </si>
  <si>
    <t>https://www.etsy.com/listing/4507001437/outwit-outplay-outnap-embroidered-baby?transaction_id=5099378636</t>
  </si>
  <si>
    <t>https://www.etsy.com/listing/4507001437/outwit-outplay-outnap-embroidered-baby?transaction_id=5099378634</t>
  </si>
  <si>
    <t>https://www.etsy.com/listing/4376404086/embroidered-lil-nugget-baby-bodysuit?transaction_id=5099424752</t>
  </si>
  <si>
    <t>https://www.etsy.com/listing/4376404086/embroidered-lil-nugget-baby-bodysuit?transaction_id=5099444900</t>
  </si>
  <si>
    <t>https://www.etsy.com/listing/4376404086/embroidered-lil-nugget-baby-bodysuit?transaction_id=5109637109</t>
  </si>
  <si>
    <t>https://www.etsy.com/listing/4324722790/custom-embroidered-whale-baby-romper?transaction_id=5109811243</t>
  </si>
  <si>
    <t>https://www.etsy.com/listing/4344211719/embroidered-i-like-fishing-baby-bodysuit?transaction_id=5100020600</t>
  </si>
  <si>
    <t>https://www.etsy.com/listing/4364059829/embroidered-baby-romper-funny-challah-at?transaction_id=5110737781</t>
  </si>
  <si>
    <t>https://www.etsy.com/listing/4376404086/embroidered-lil-nugget-baby-bodysuit?transaction_id=5101281040</t>
  </si>
  <si>
    <t>https://www.etsy.com/listing/4507007670/daddys-co-pilot-embroidered-baby-romper?transaction_id=5111011433</t>
  </si>
  <si>
    <t>https://www.etsy.com/listing/4347838451/custom-embroidered-nonnas-little?transaction_id=5101693398</t>
  </si>
  <si>
    <t>https://www.etsy.com/listing/4507005480/milk-then-burpees-embroidered-baby?transaction_id=5111427017</t>
  </si>
  <si>
    <t>https://www.etsy.com/listing/4476308950/pack-my-diapers-im-going-racing?transaction_id=5111495983</t>
  </si>
  <si>
    <t>https://www.etsy.com/listing/4346110995/funny-baby-romper-nacho-quote?transaction_id=5111696241</t>
  </si>
  <si>
    <t>https://www.etsy.com/listing/4376404086/embroidered-lil-nugget-baby-bodysuit?transaction_id=5112078145</t>
  </si>
  <si>
    <t>https://www.etsy.com/listing/4465296416/embroidered-apparently-i-like-golf-baby?transaction_id=5112320495</t>
  </si>
  <si>
    <t>https://www.etsy.com/listing/4476297611/box-box-racing-car-embroidered-baby?transaction_id=5102931512</t>
  </si>
  <si>
    <t>https://www.etsy.com/listing/4473845389/golf-player-outfit-embroidered-baby?transaction_id=5103227490</t>
  </si>
  <si>
    <t>https://www.etsy.com/listing/4476295581/the-littlest-book-club-member?transaction_id=5103252148</t>
  </si>
  <si>
    <t>https://www.etsy.com/listing/4465289107/embroidered-if-you-can-read-this-diaper?transaction_id=5104714346</t>
  </si>
  <si>
    <t>https://www.etsy.com/listing/4509540549/just-plane-cute-embroidered-baby-romper?transaction_id=5114381087</t>
  </si>
  <si>
    <t>https://www.etsy.com/listing/4376404086/embroidered-lil-nugget-baby-bodysuit?transaction_id=5105461122</t>
  </si>
  <si>
    <t>https://www.etsy.com/listing/4347838451/custom-embroidered-nonnas-little?transaction_id=5114874233</t>
  </si>
  <si>
    <t>https://www.etsy.com/listing/4376404086/embroidered-lil-nugget-baby-bodysuit?transaction_id=5114937451</t>
  </si>
  <si>
    <t>https://www.etsy.com/listing/4507001437/outwit-outplay-outnap-embroidered-baby?transaction_id=5105816734</t>
  </si>
  <si>
    <t>https://www.etsy.com/listing/4364059829/embroidered-baby-romper-funny-challah-at?transaction_id=5106258260</t>
  </si>
  <si>
    <t>https://www.etsy.com/listing/4473845389/golf-player-outfit-embroidered-baby?transaction_id=5115462705</t>
  </si>
  <si>
    <t>3-6 Months(Long)</t>
  </si>
  <si>
    <t>0-3 Months(Short)</t>
  </si>
  <si>
    <t>6-12 Months(Short)</t>
  </si>
  <si>
    <t>3-6 Months(Short)</t>
  </si>
  <si>
    <t>12-18 Months(Short)</t>
  </si>
  <si>
    <t>18-24 Months(Short)</t>
  </si>
  <si>
    <t>6-12 Months(Long)</t>
  </si>
  <si>
    <t>0-3 Months(Long)</t>
  </si>
  <si>
    <t>12-18 Months(Long)</t>
  </si>
  <si>
    <t xml:space="preserve">  Cream</t>
  </si>
  <si>
    <t xml:space="preserve">  White</t>
  </si>
  <si>
    <t xml:space="preserve">  Dusty Pink</t>
  </si>
  <si>
    <t xml:space="preserve"> Coffee</t>
  </si>
  <si>
    <t xml:space="preserve">  Caldet Blue</t>
  </si>
  <si>
    <t xml:space="preserve">Mauve Taupe </t>
  </si>
  <si>
    <t xml:space="preserve"> Sage Green </t>
  </si>
  <si>
    <t xml:space="preserve">Sage Green </t>
  </si>
  <si>
    <t xml:space="preserve">Salmon </t>
  </si>
  <si>
    <t xml:space="preserve"> Mauve Taupe </t>
  </si>
  <si>
    <t xml:space="preserve">Coffee </t>
  </si>
  <si>
    <t xml:space="preserve">Caldet Blue </t>
  </si>
  <si>
    <t xml:space="preserve">Forest Green  </t>
  </si>
  <si>
    <t xml:space="preserve">Sage Green  </t>
  </si>
  <si>
    <t xml:space="preserve"> sage green </t>
  </si>
  <si>
    <t>https://www.etsy.com/listing/4463233979/little-sister-baby-romper-custom-name?transaction_id=4992179403</t>
  </si>
  <si>
    <t>https://www.etsy.com/listing/4463219999/little-sprout-baby-romper-custom-name?transaction_id=4981971934</t>
  </si>
  <si>
    <t>https://www.etsy.com/listing/4463237615/new-to-the-club-baby-romper-custom-name?transaction_id=4995186385</t>
  </si>
  <si>
    <t>https://www.etsy.com/listing/4463237615/new-to-the-club-baby-romper-custom-name?transaction_id=4985456738</t>
  </si>
  <si>
    <t>https://www.etsy.com/listing/4473230310/future-metalhead-baby-romper-custom-name?transaction_id=5012691249</t>
  </si>
  <si>
    <t>https://www.etsy.com/listing/4473218593/everleigh-cherry-baby-romper-custom-name?transaction_id=5003007546</t>
  </si>
  <si>
    <t>https://www.etsy.com/listing/4481664154/sous-chef-baby-romper-personalized?transaction_id=5017535022</t>
  </si>
  <si>
    <t>https://www.etsy.com/listing/4481676592/thats-my-daddy-lineman-embroidered-baby?transaction_id=5029470559</t>
  </si>
  <si>
    <t>https://www.etsy.com/listing/4472704816/little-chili-baby-romper-custom-name?transaction_id=5020022998</t>
  </si>
  <si>
    <t>https://www.etsy.com/listing/4481664154/sous-chef-baby-romper-personalized?transaction_id=5024315364</t>
  </si>
  <si>
    <t>https://www.etsy.com/listing/4463219999/little-sprout-baby-romper-custom-name?transaction_id=5025980940</t>
  </si>
  <si>
    <t>https://www.etsy.com/listing/4481649101/fitness-baby-romper-dumbbell?transaction_id=5039266033</t>
  </si>
  <si>
    <t>https://www.etsy.com/listing/4472718936/power-lifting-baby-romper-custom-name?transaction_id=5035703080</t>
  </si>
  <si>
    <t>https://www.etsy.com/listing/4473244004/personalized-baby-romper-embroidered?transaction_id=5049466025</t>
  </si>
  <si>
    <t>https://www.etsy.com/listing/4473244004/personalized-baby-romper-embroidered?transaction_id=5061381751</t>
  </si>
  <si>
    <t>https://www.etsy.com/listing/4473246782/new-baby-romper-dog-paw-embroidered?transaction_id=5053101910</t>
  </si>
  <si>
    <t>https://www.etsy.com/listing/4473237491/embroidered-ocean-wave-baby-romper?transaction_id=5071531853</t>
  </si>
  <si>
    <t>https://www.etsy.com/listing/4473230310/future-metalhead-baby-romper-custom-name?transaction_id=5077162729</t>
  </si>
  <si>
    <t>https://www.etsy.com/listing/4481671705/relax-my-daddy-is-a-firefighter?transaction_id=5064884800</t>
  </si>
  <si>
    <t>https://www.etsy.com/listing/4472700822/sun-baby-romper-little-ray-of-sunshine?transaction_id=5077774187</t>
  </si>
  <si>
    <t>https://www.etsy.com/listing/4473244004/personalized-baby-romper-embroidered?transaction_id=5078858179</t>
  </si>
  <si>
    <t>https://www.etsy.com/listing/4463219999/little-sprout-baby-romper-custom-name?transaction_id=5072742920</t>
  </si>
  <si>
    <t>https://www.etsy.com/listing/4481649101/fitness-baby-romper-dumbbell?transaction_id=5076241262</t>
  </si>
  <si>
    <t>https://www.etsy.com/listing/4481667912/relax-my-daddy-is-an-engineer?transaction_id=5080062458</t>
  </si>
  <si>
    <t>https://www.etsy.com/listing/4502974746/milk-then-burpees-embroidered-baby?transaction_id=5083210526</t>
  </si>
  <si>
    <t>https://www.etsy.com/listing/4481649101/fitness-baby-romper-dumbbell?transaction_id=5083461276</t>
  </si>
  <si>
    <t>https://www.etsy.com/listing/4513488423/big-cousin-club-embroidered-romper?transaction_id=5087847766</t>
  </si>
  <si>
    <t>https://www.etsy.com/listing/4502978234/big-sister-daisy-embroidered-baby-romper?transaction_id=5100530377</t>
  </si>
  <si>
    <t>https://www.etsy.com/listing/4509959468/see-ya-later-excavator-embroidered-baby?transaction_id=5090599104</t>
  </si>
  <si>
    <t>https://www.etsy.com/listing/4508824325/little-bean-embroidered-baby-romper?transaction_id=5101983327</t>
  </si>
  <si>
    <t>https://www.etsy.com/listing/4473244004/personalized-baby-romper-embroidered?transaction_id=5102016589</t>
  </si>
  <si>
    <t>https://www.etsy.com/listing/4496447374/new-to-the-tennis-club-baby-romper?transaction_id=5105392635</t>
  </si>
  <si>
    <t>https://www.etsy.com/listing/4510937008/border-collie-embroidered-baby-romper?transaction_id=5103440720</t>
  </si>
  <si>
    <t>https://www.etsy.com/listing/4502978234/big-sister-daisy-embroidered-baby-romper?transaction_id=5103928810</t>
  </si>
  <si>
    <t>https://www.etsy.com/listing/4473244004/personalized-baby-romper-embroidered?transaction_id=5104695010</t>
  </si>
  <si>
    <t xml:space="preserve"> Salmon</t>
  </si>
  <si>
    <t>https://www.etsy.com/listing/4430068497/personalized-i-love-my-daddy-baby?transaction_id=4938323156</t>
  </si>
  <si>
    <t>Light blue</t>
  </si>
  <si>
    <t>https://www.etsy.com/listing/4437050812/little-miss-cute-moon-embroidered-baby?transaction_id=4952205013</t>
  </si>
  <si>
    <t>Light pink</t>
  </si>
  <si>
    <t>https://www.etsy.com/listing/4437042961/little-miss-bright-star-embroidered-baby?transaction_id=4952205011</t>
  </si>
  <si>
    <t>https://www.etsy.com/listing/4442468967/daddys-cricket-buddy-embroidered-baby?transaction_id=4954177903</t>
  </si>
  <si>
    <t>https://www.etsy.com/listing/4451158689/grandmas-little-ray-of-sunshine-bodysuit?transaction_id=4955434339</t>
  </si>
  <si>
    <t>https://www.etsy.com/listing/4429002267/personalized-poodle-embroidered-baby?transaction_id=4955006573</t>
  </si>
  <si>
    <t>https://www.etsy.com/listing/4430837644/personalized-new-to-the-crew-baby?transaction_id=4945177054</t>
  </si>
  <si>
    <t>https://www.etsy.com/listing/4430824034/funny-apparently-i-like-golf-baby?transaction_id=4957133491</t>
  </si>
  <si>
    <t>https://www.etsy.com/listing/4446342128/new-to-the-club-golf-embroidered-baby?transaction_id=4957133489</t>
  </si>
  <si>
    <t>https://www.etsy.com/listing/4435908861/personalized-little-putter-golf?transaction_id=4946380992</t>
  </si>
  <si>
    <t>https://www.etsy.com/listing/4436430931/personalized-new-to-the-crew-basketball?transaction_id=4957295819</t>
  </si>
  <si>
    <t>https://www.etsy.com/listing/4430821439/personalized-future-engineer-baby?transaction_id=4958277029</t>
  </si>
  <si>
    <t>https://www.etsy.com/listing/4437043955/new-to-the-crew-running-embroidered-baby?transaction_id=4958274797</t>
  </si>
  <si>
    <t>https://www.etsy.com/listing/4437045794/new-to-the-crew-rowing-embroidered-baby?transaction_id=4965205721</t>
  </si>
  <si>
    <t xml:space="preserve"> Light pink </t>
  </si>
  <si>
    <t>https://www.etsy.com/listing/4441462107/hill-name-custom-train-embroidered-baby?transaction_id=4967500397</t>
  </si>
  <si>
    <t>https://www.etsy.com/listing/4437034108/daddys-future-partner-tennis-embroidered?transaction_id=4969547331</t>
  </si>
  <si>
    <t>https://www.etsy.com/listing/4430824034/funny-apparently-i-like-golf-baby?transaction_id=4962620890</t>
  </si>
  <si>
    <t xml:space="preserve"> Light blue </t>
  </si>
  <si>
    <t>https://www.etsy.com/listing/4436430931/personalized-new-to-the-crew-basketball?transaction_id=4965722018</t>
  </si>
  <si>
    <t>https://www.etsy.com/listing/4429002267/personalized-poodle-embroidered-baby?transaction_id=4967413752</t>
  </si>
  <si>
    <t>Japan</t>
  </si>
  <si>
    <t>https://www.etsy.com/listing/4452262758/future-artist-embroidered-baby?transaction_id=4970397168</t>
  </si>
  <si>
    <t>https://www.etsy.com/listing/4430822725/personalized-little-cutie-baby-bodysuit?transaction_id=4973648794</t>
  </si>
  <si>
    <t>https://www.etsy.com/listing/4435908861/personalized-little-putter-golf?transaction_id=4974976348</t>
  </si>
  <si>
    <t>https://www.etsy.com/listing/4437043955/new-to-the-crew-running-embroidered-baby?transaction_id=4983483929</t>
  </si>
  <si>
    <t xml:space="preserve"> Light blue</t>
  </si>
  <si>
    <t>https://www.etsy.com/listing/4462705441/small-family-mushroom-embroidered-baby?transaction_id=4988543783</t>
  </si>
  <si>
    <t>https://www.etsy.com/listing/4437045794/new-to-the-crew-rowing-embroidered-baby?transaction_id=4978891922</t>
  </si>
  <si>
    <t>https://www.etsy.com/listing/4430837644/personalized-new-to-the-crew-baby?transaction_id=4978050446</t>
  </si>
  <si>
    <t>https://www.etsy.com/listing/4430837644/personalized-new-to-the-crew-baby?transaction_id=4989281515</t>
  </si>
  <si>
    <t>https://www.etsy.com/listing/4430056949/personalized-going-home-to-meet-my-cats?transaction_id=4992857903</t>
  </si>
  <si>
    <t>https://www.etsy.com/listing/4430837644/personalized-new-to-the-crew-baby?transaction_id=4994963233</t>
  </si>
  <si>
    <t>https://www.etsy.com/listing/4465315655/ocean-wave-vibes-embroidered-baby?transaction_id=4998185333</t>
  </si>
  <si>
    <t>https://www.etsy.com/listing/4465315598/embroidered-ocean-fish-custom-name-baby?transaction_id=4988434662</t>
  </si>
  <si>
    <t>https://www.etsy.com/listing/4465314295/i-have-crazy-aunts-funny-baby?transaction_id=4991591126</t>
  </si>
  <si>
    <t>https://www.etsy.com/listing/4469502957/little-fruit-kiwi-embroidered-baby-cute?transaction_id=5003329451</t>
  </si>
  <si>
    <t>https://www.etsy.com/listing/4462707332/daddys-future-golf-buddy-baby-bodysuit?transaction_id=5003526331</t>
  </si>
  <si>
    <t>https://www.etsy.com/listing/4429018238/personalized-eggplant-baby-bodysuit?transaction_id=4995557724</t>
  </si>
  <si>
    <t>https://www.etsy.com/listing/4469526782/thats-my-daddy-embroidered-baby-lineman?transaction_id=4995639752</t>
  </si>
  <si>
    <t>https://www.etsy.com/listing/4462701746/awww-shucks-baby-bodysuit-custom-name?transaction_id=5005590527</t>
  </si>
  <si>
    <t>https://www.etsy.com/listing/4439745806/personalized-h-is-for-helicopter?transaction_id=5006429605</t>
  </si>
  <si>
    <t>https://www.etsy.com/listing/4430837644/personalized-new-to-the-crew-baby?transaction_id=5007107331</t>
  </si>
  <si>
    <t>https://www.etsy.com/listing/4430837644/personalized-new-to-the-crew-baby?transaction_id=5001270876</t>
  </si>
  <si>
    <t>https://www.etsy.com/listing/4467339660/embroidered-daddys-boy-baby-bodysuit?transaction_id=5014359057</t>
  </si>
  <si>
    <t>https://www.etsy.com/listing/4455959666/mamas-little-bestie-embroidered-baby?transaction_id=5005044684</t>
  </si>
  <si>
    <t>https://www.etsy.com/listing/4430053091/personalized-daddys-little-game-day?transaction_id=5016946977</t>
  </si>
  <si>
    <t>https://www.etsy.com/listing/4469518643/mini-race-embroidered-baby-go-kart?transaction_id=5017324545</t>
  </si>
  <si>
    <t>https://www.etsy.com/listing/4430076790/personalized-newest-hockey-fan-baby?transaction_id=5019104499</t>
  </si>
  <si>
    <t>https://www.etsy.com/listing/4451151625/jack-personalized-golf-baby-bodysuit?transaction_id=5009887816</t>
  </si>
  <si>
    <t>https://www.etsy.com/listing/4447913264/little-pierogi-embroidered-baby-custom?transaction_id=5009955734</t>
  </si>
  <si>
    <t>https://www.etsy.com/listing/4477340823/little-bean-baby-bodysuit-embroidered?transaction_id=5019843937</t>
  </si>
  <si>
    <t>Slovakia</t>
  </si>
  <si>
    <t>https://www.etsy.com/listing/4442483360/on-sundays-we-watch-with-daddy?transaction_id=5013790314</t>
  </si>
  <si>
    <t>https://www.etsy.com/listing/4481662420/embroidered-daddys-girl-baby-handmade?transaction_id=5013437628</t>
  </si>
  <si>
    <t>https://www.etsy.com/listing/4430837644/personalized-new-to-the-crew-baby?transaction_id=5024999045</t>
  </si>
  <si>
    <t>https://www.etsy.com/listing/4469423916/personalized-tabby-cat-baby-custom-name?transaction_id=5015883146Time to eat fur, kid.</t>
  </si>
  <si>
    <t>https://www.etsy.com/listing/4453389627/new-to-the-cousin-crew-embroidered-baby?transaction_id=5019751994</t>
  </si>
  <si>
    <t>https://www.etsy.com/listing/4435898453/personalized-soccer-ball-with-cap?transaction_id=5031457881</t>
  </si>
  <si>
    <t>https://www.etsy.com/listing/4477341693/future-chef-baby-bodysuit-embroidered?transaction_id=5032069157</t>
  </si>
  <si>
    <t>https://www.etsy.com/listing/4437045794/new-to-the-crew-rowing-embroidered-baby?transaction_id=5021368222</t>
  </si>
  <si>
    <t>https://www.etsy.com/listing/4469521573/future-airplane-pilot-embroidered-baby?transaction_id=5031799009</t>
  </si>
  <si>
    <t>https://www.etsy.com/listing/4481677271/personalized-basketball-baby-bodysuit?transaction_id=5018132062</t>
  </si>
  <si>
    <t>https://www.etsy.com/listing/4455951257/answered-prayer-embroidered-baby?transaction_id=5035549639</t>
  </si>
  <si>
    <t>https://www.etsy.com/listing/4436440178/personalized-newest-baseball-fan?transaction_id=5033693891</t>
  </si>
  <si>
    <t>https://www.etsy.com/listing/4429015692/personalized-daddys-badminton-buddy?transaction_id=5024012578</t>
  </si>
  <si>
    <t>https://www.etsy.com/listing/4469507580/relax-my-daddys-an-engineer-embroidered?transaction_id=5036237881</t>
  </si>
  <si>
    <t>https://www.etsy.com/listing/4462703193/cool-beans-baby-bodysuit-custom-name?transaction_id=5023499408</t>
  </si>
  <si>
    <t>https://www.etsy.com/listing/4451158689/grandmas-little-ray-of-sunshine-bodysuit?transaction_id=5033383592</t>
  </si>
  <si>
    <t>https://www.etsy.com/listing/4486159440/personalized-monogram-baby?transaction_id=5035197766</t>
  </si>
  <si>
    <t>https://www.etsy.com/listing/4484965320/grandmas-future-bestie-baby?transaction_id=5048275511</t>
  </si>
  <si>
    <t>https://www.etsy.com/listing/4462707332/daddys-future-golf-buddy-baby-bodysuit?transaction_id=5049030855</t>
  </si>
  <si>
    <t xml:space="preserve">Light blue </t>
  </si>
  <si>
    <t>https://www.etsy.com/listing/4430824034/funny-apparently-i-like-golf-baby?transaction_id=5054595699</t>
  </si>
  <si>
    <t>https://www.etsy.com/listing/4430837644/personalized-new-to-the-crew-baby?transaction_id=5040922214</t>
  </si>
  <si>
    <t>https://www.etsy.com/listing/4430837644/personalized-new-to-the-crew-baby?transaction_id=5045980734</t>
  </si>
  <si>
    <t>https://www.etsy.com/listing/4491489849/handpicked-for-earth-by-my-mimi-in?transaction_id=5059802481</t>
  </si>
  <si>
    <t>https://www.etsy.com/listing/4429019252/personalized-badminton-baby-bodysuit?transaction_id=5062650773</t>
  </si>
  <si>
    <t>https://www.etsy.com/listing/4469526782/thats-my-daddy-embroidered-baby-lineman?transaction_id=5067342233</t>
  </si>
  <si>
    <t xml:space="preserve">Light pink </t>
  </si>
  <si>
    <t>https://www.etsy.com/listing/4477382165/holy-blockamole-bodysuit-embroidered?transaction_id=5067388177</t>
  </si>
  <si>
    <t>https://www.etsy.com/listing/4430837644/personalized-new-to-the-crew-baby?transaction_id=5055711684</t>
  </si>
  <si>
    <t>https://www.etsy.com/listing/4429012108/future-lifting-buddy-embroidered-baby?transaction_id=5068794219</t>
  </si>
  <si>
    <t>New Zealand</t>
  </si>
  <si>
    <t>https://www.etsy.com/listing/4430824034/funny-apparently-i-like-golf-baby?transaction_id=5062332512</t>
  </si>
  <si>
    <t>https://www.etsy.com/listing/4430076790/personalized-newest-hockey-fan-baby?transaction_id=5085944263</t>
  </si>
  <si>
    <t>https://www.etsy.com/listing/4435880774/personalized-team-daddy-8-ball?transaction_id=5065546466</t>
  </si>
  <si>
    <t>https://www.etsy.com/listing/4462692655/sweety-berry-strawberry-embroidered-baby?transaction_id=5079352119</t>
  </si>
  <si>
    <t>https://www.etsy.com/listing/4504154416/apparently-i-like-soccer-embroidered?transaction_id=5068234106</t>
  </si>
  <si>
    <t>https://www.etsy.com/listing/4462703193/cool-beans-baby-bodysuit-custom-name?transaction_id=5081332079</t>
  </si>
  <si>
    <t>https://www.etsy.com/listing/4462702419/im-a-little-chili-baby-bodysuit-custom?transaction_id=5072500114</t>
  </si>
  <si>
    <t>https://www.etsy.com/listing/4451155301/sunflower-stethoscope-personalized?transaction_id=5085647523</t>
  </si>
  <si>
    <t>https://www.etsy.com/listing/4446334673/cute-platypus-name-embroidered-baby?transaction_id=5088945239&amp;dd_referrer=</t>
  </si>
  <si>
    <t>https://www.etsy.com/listing/4455912856/personalized-little-squirrel-baby?transaction_id=5089683901</t>
  </si>
  <si>
    <t>https://www.etsy.com/listing/4505389154/future-triathlete-embroidered-baby?transaction_id=5078870450</t>
  </si>
  <si>
    <t>https://www.etsy.com/listing/4452247143/custom-team-name-basketball-embroidered?transaction_id=5078244672</t>
  </si>
  <si>
    <t>https://www.etsy.com/listing/4430837644/personalized-new-to-the-crew-baby?transaction_id=5080256034</t>
  </si>
  <si>
    <t>https://www.etsy.com/listing/4446342128/new-to-the-club-golf-embroidered-baby?transaction_id=5099540899</t>
  </si>
  <si>
    <t>https://www.etsy.com/listing/4430837644/personalized-new-to-the-crew-baby?transaction_id=5088377204</t>
  </si>
  <si>
    <t>https://www.etsy.com/listing/4455903513/personalized-game-on-tennis-baby?transaction_id=5089832462</t>
  </si>
  <si>
    <t>https://www.etsy.com/listing/4462702419/im-a-little-chili-baby-bodysuit-custom?transaction_id=5091469258</t>
  </si>
  <si>
    <t>https://www.etsy.com/listing/4513076790/daddys-co-pilot-embroidered-baby?transaction_id=5102597495</t>
  </si>
  <si>
    <t>https://www.etsy.com/listing/4430824034/funny-apparently-i-like-golf-baby?transaction_id=5096548862</t>
  </si>
  <si>
    <t>https://www.etsy.com/listing/4429018238/personalized-eggplant-baby-bodysuit?transaction_id=5101597506</t>
  </si>
  <si>
    <t>https://www.etsy.com/listing/4350619954/personalized-tennis-baby-romper?transaction_id=4706374409</t>
  </si>
  <si>
    <t>https://www.etsy.com/listing/4346672208/soccer-baby-romper-born-to-play-like?transaction_id=4706862690</t>
  </si>
  <si>
    <t xml:space="preserve"> 3-6M (long-sleeve)</t>
  </si>
  <si>
    <t>https://www.etsy.com/listing/4350639885/my-sibling-has-paws-baby-romper?transaction_id=4717672803</t>
  </si>
  <si>
    <t>https://www.etsy.com/listing/4350639885/my-sibling-has-paws-baby-romper?transaction_id=4715472462</t>
  </si>
  <si>
    <t xml:space="preserve"> 0-3M (long-sleeve)</t>
  </si>
  <si>
    <t>https://www.etsy.com/listing/4350637965/little-sister-baby-romper-embroidered?transaction_id=4762231907</t>
  </si>
  <si>
    <t>https://www.etsy.com/listing/4346677879/golf-baby-romper-born-to-play-like-daddy?transaction_id=4764172907</t>
  </si>
  <si>
    <t xml:space="preserve"> 0-3M (short-sleeve)</t>
  </si>
  <si>
    <t>https://www.etsy.com/listing/4346669832/basketball-baby-romper-born-to-play-like?transaction_id=4761770000</t>
  </si>
  <si>
    <t>https://www.etsy.com/listing/4346680175/tennis-baby-romper-born-to-play-like?transaction_id=4765995894</t>
  </si>
  <si>
    <t>https://www.etsy.com/listing/4350619954/personalized-tennis-baby-romper?transaction_id=4769403094</t>
  </si>
  <si>
    <t>12-18M (short-sleeve)</t>
  </si>
  <si>
    <t>https://www.etsy.com/listing/4350631712/just-a-boy-who-loves-his-mama-baby?transaction_id=4777237928</t>
  </si>
  <si>
    <t>https://www.etsy.com/listing/4346680175/tennis-baby-romper-born-to-play-like?transaction_id=4788656287</t>
  </si>
  <si>
    <t xml:space="preserve"> 6-12M (long-sleeve)</t>
  </si>
  <si>
    <t>https://www.etsy.com/listing/4350639885/my-sibling-has-paws-baby-romper?transaction_id=4793496430</t>
  </si>
  <si>
    <t>https://www.etsy.com/listing/4346680175/tennis-baby-romper-born-to-play-like?transaction_id=4799218134</t>
  </si>
  <si>
    <t>https://www.etsy.com/listing/4350639885/my-sibling-has-paws-baby-romper?transaction_id=4802172610</t>
  </si>
  <si>
    <t>https://www.etsy.com/listing/4350619954/personalized-tennis-baby-romper?transaction_id=4809937745</t>
  </si>
  <si>
    <t>https://www.etsy.com/listing/4350619954/personalized-tennis-baby-romper?transaction_id=4819829891</t>
  </si>
  <si>
    <t>https://www.etsy.com/listing/4350619954/personalized-tennis-baby-romper?transaction_id=4819829889</t>
  </si>
  <si>
    <t>https://www.etsy.com/listing/4350637965/little-sister-baby-romper-embroidered?transaction_id=4814968152</t>
  </si>
  <si>
    <t>3-6M (short-sleeve)</t>
  </si>
  <si>
    <t>https://www.etsy.com/listing/4346672208/soccer-baby-romper-born-to-play-like?transaction_id=4825756559</t>
  </si>
  <si>
    <t>https://www.etsy.com/listing/4346677169/volleyball-baby-romper-born-to-play-like?transaction_id=4819842568</t>
  </si>
  <si>
    <t>https://www.etsy.com/listing/4346672208/soccer-baby-romper-born-to-play-like?transaction_id=4827678766</t>
  </si>
  <si>
    <t>https://www.etsy.com/listing/4350639885/my-sibling-has-paws-baby-romper?transaction_id=4840273513</t>
  </si>
  <si>
    <t>https://www.etsy.com/listing/4350619954/personalized-tennis-baby-romper?transaction_id=4849209616</t>
  </si>
  <si>
    <t>https://www.etsy.com/listing/4350619954/personalized-tennis-baby-romper?transaction_id=4857407512</t>
  </si>
  <si>
    <t>https://www.etsy.com/listing/4346669832/basketball-baby-romper-born-to-play-like?transaction_id=4888290845</t>
  </si>
  <si>
    <t>https://www.etsy.com/listing/4346677169/volleyball-baby-romper-born-to-play-like?transaction_id=4896774479</t>
  </si>
  <si>
    <t>https://www.etsy.com/listing/4346677169/volleyball-baby-romper-born-to-play-like?transaction_id=4911567440</t>
  </si>
  <si>
    <t>https://www.etsy.com/listing/4350619954/personalized-tennis-baby-romper?transaction_id=4954082307</t>
  </si>
  <si>
    <t>https://www.etsy.com/listing/4318314926/little-prince-baby-romper-embroidered?ref=shop_home_active_1&amp;logging_key=6f5d653e9e799e8cd1e69f97b36830c767b2374d%3A4318314926</t>
  </si>
  <si>
    <t xml:space="preserve">United States
</t>
  </si>
  <si>
    <t>https://www.etsy.com/ca/listing/4315977993/personalized-baby-bodysuit-with-tiger?transaction_id=4648064701</t>
  </si>
  <si>
    <t>https://www.etsy.com/ca/listing/4325305509/born-to-birdie-baby-romper-embroidered?transaction_id=4650070797</t>
  </si>
  <si>
    <t>https://www.etsy.com/ca/listing/4330483435/little-bean-embroidered-baby-romper-cute?transaction_id=4659611637</t>
  </si>
  <si>
    <t>https://www.etsy.com/ca/listing/4330488178/new-to-the-club-embroidered-baby-romper?transaction_id=4662541897</t>
  </si>
  <si>
    <t>https://www.etsy.com/ca/listing/4330488178/new-to-the-club-embroidered-baby-romper?transaction_id=4663152577</t>
  </si>
  <si>
    <t>https://www.etsy.com/ca/listing/4330504400/born-to-play-like-my-daddy-baby-romper?transaction_id=4649139536</t>
  </si>
  <si>
    <t>https://www.etsy.com/ca/listing/4330504943/born-to-play-like-my-daddy-baby-romper?transaction_id=4649774246</t>
  </si>
  <si>
    <t>https://www.etsy.com/ca/listing/4330489800/personalized-badminton-baby-romper?transaction_id=4667628827</t>
  </si>
  <si>
    <t>https://www.etsy.com/ca/listing/4330488178/new-to-the-club-embroidered-baby-romper?transaction_id=4668463875</t>
  </si>
  <si>
    <t>https://www.etsy.com/ca/listing/4330488178/new-to-the-club-embroidered-baby-romper?transaction_id=4652944818</t>
  </si>
  <si>
    <t>https://www.etsy.com/ca/listing/4330504943/born-to-play-like-my-daddy-baby-romper?transaction_id=4654361252</t>
  </si>
  <si>
    <t>https://www.etsy.com/ca/listing/4330488178/new-to-the-club-embroidered-baby-romper?transaction_id=4656023626</t>
  </si>
  <si>
    <t>https://www.etsy.com/ca/listing/4330504943/born-to-play-like-my-daddy-baby-romper?transaction_id=4671551695</t>
  </si>
  <si>
    <t>https://www.etsy.com/ca/listing/4330480699/little-prince-baby-romper-embroidered?transaction_id=4672031261</t>
  </si>
  <si>
    <t>https://www.etsy.com/ca/listing/4330499732/little-sunshine-embroidered-romper-cute?transaction_id=4656336322</t>
  </si>
  <si>
    <t>https://www.etsy.com/ca/listing/4330488178/new-to-the-club-embroidered-baby-romper?transaction_id=4657671288</t>
  </si>
  <si>
    <t>https://www.etsy.com/ca/listing/4330488178/new-to-the-club-embroidered-baby-romper?transaction_id=4657962984</t>
  </si>
  <si>
    <t>https://www.etsy.com/ca/listing/4333134764/wizard-font-baby-romper-personalized?transaction_id=4659153918</t>
  </si>
  <si>
    <t>https://www.etsy.com/ca/listing/4330504943/born-to-play-like-my-daddy-baby-romper?transaction_id=4674058537</t>
  </si>
  <si>
    <t>https://www.etsy.com/ca/listing/4333134764/wizard-font-baby-romper-personalized?transaction_id=4658878928</t>
  </si>
  <si>
    <t>https://www.etsy.com/ca/listing/4330488178/new-to-the-club-embroidered-baby-romper?transaction_id=4658510778</t>
  </si>
  <si>
    <t>https://www.etsy.com/ca/listing/4330504400/born-to-play-like-my-daddy-baby-romper?transaction_id=4673636389</t>
  </si>
  <si>
    <t>https://www.etsy.com/ca/listing/4330483435/little-bean-embroidered-baby-romper-cute?transaction_id=4675271741</t>
  </si>
  <si>
    <t>https://www.etsy.com/ca/listing/4330488178/new-to-the-club-embroidered-baby-romper?transaction_id=4675506931</t>
  </si>
  <si>
    <t>https://www.etsy.com/ca/listing/4336899579/personalized-basketball-baby-romper?transaction_id=4659614594</t>
  </si>
  <si>
    <t>https://www.etsy.com/ca/listing/4330494075/little-sprout-baby-romper-embroidered?transaction_id=4675124059</t>
  </si>
  <si>
    <t>https://www.etsy.com/ca/listing/4330504943/born-to-play-like-my-daddy-baby-romper?transaction_id=4676150837</t>
  </si>
  <si>
    <t>https://www.etsy.com/ca/listing/4333129905/personalized-pumpkin-baby-romper-fall?transaction_id=4661466548</t>
  </si>
  <si>
    <t>https://www.etsy.com/ca/listing/4333134764/wizard-font-baby-romper-personalized?transaction_id=4676923465</t>
  </si>
  <si>
    <t>https://www.etsy.com/ca/listing/4330488178/new-to-the-club-embroidered-baby-romper?transaction_id=4677109693</t>
  </si>
  <si>
    <t>https://www.etsy.com/ca/listing/4330504943/born-to-play-like-my-daddy-baby-romper?transaction_id=4677401553</t>
  </si>
  <si>
    <t>https://www.etsy.com/ca/listing/4333134764/wizard-font-baby-romper-personalized?transaction_id=4662380754</t>
  </si>
  <si>
    <t>https://www.etsy.com/ca/listing/4333135410/little-pumpkin-baby-romper-fall?transaction_id=4677962607</t>
  </si>
  <si>
    <t>https://www.etsy.com/ca/listing/4330504400/born-to-play-like-my-daddy-baby-romper?transaction_id=4662976286</t>
  </si>
  <si>
    <t>https://www.etsy.com/ca/listing/4336900156/personalized-soccer-baby-romper-daddys?transaction_id=4663211590</t>
  </si>
  <si>
    <t>https://www.etsy.com/ca/listing/4330488178/new-to-the-club-embroidered-baby-romper?transaction_id=4663215106</t>
  </si>
  <si>
    <t>https://www.etsy.com/ca/listing/4330488178/new-to-the-club-embroidered-baby-romper?transaction_id=4664495796</t>
  </si>
  <si>
    <t>https://www.etsy.com/ca/listing/4330504400/born-to-play-like-my-daddy-baby-romper?transaction_id=4679768087</t>
  </si>
  <si>
    <t>https://www.etsy.com/ca/listing/4330504943/born-to-play-like-my-daddy-baby-romper?transaction_id=4664783316</t>
  </si>
  <si>
    <t>https://www.etsy.com/ca/listing/4333135410/little-pumpkin-baby-romper-fall?transaction_id=4679967069</t>
  </si>
  <si>
    <t>https://www.etsy.com/ca/listing/4336900156/personalized-soccer-baby-romper-daddys?transaction_id=4664910306</t>
  </si>
  <si>
    <t>https://www.etsy.com/ca/listing/4330488178/new-to-the-club-embroidered-baby-romper?transaction_id=4680131695</t>
  </si>
  <si>
    <t>https://www.etsy.com/ca/listing/4333135410/little-pumpkin-baby-romper-fall?transaction_id=4680565121</t>
  </si>
  <si>
    <t>https://www.etsy.com/ca/listing/4330504943/born-to-play-like-my-daddy-baby-romper?transaction_id=4680819881</t>
  </si>
  <si>
    <t>https://www.etsy.com/ca/listing/4333135410/little-pumpkin-baby-romper-fall?transaction_id=4680875391</t>
  </si>
  <si>
    <t>https://www.etsy.com/ca/listing/4330488178/new-to-the-club-embroidered-baby-romper?transaction_id=4666080848</t>
  </si>
  <si>
    <t>https://www.etsy.com/ca/listing/4330488178/new-to-the-club-embroidered-baby-romper?transaction_id=4681080427</t>
  </si>
  <si>
    <t>https://www.etsy.com/ca/listing/4330480699/little-prince-baby-romper-embroidered?transaction_id=4666670884</t>
  </si>
  <si>
    <t>Mexico</t>
  </si>
  <si>
    <t>https://www.etsy.com/ca/listing/4330488178/new-to-the-club-embroidered-baby-romper?transaction_id=4681773589</t>
  </si>
  <si>
    <t>https://www.etsy.com/ca/listing/4330492054/cutie-pie-embroidered-baby-outfit-with?transaction_id=4667109780</t>
  </si>
  <si>
    <t>https://www.etsy.com/ca/listing/4330479964/personalized-fox-baby-bodysuit?transaction_id=4667228504</t>
  </si>
  <si>
    <t>https://www.etsy.com/ca/listing/4330488178/new-to-the-club-embroidered-baby-romper?transaction_id=4667469914</t>
  </si>
  <si>
    <t>https://www.etsy.com/ca/listing/4330488178/new-to-the-club-embroidered-baby-romper?transaction_id=4682374015</t>
  </si>
  <si>
    <t>https://www.etsy.com/ca/listing/4330504400/born-to-play-like-my-daddy-baby-romper?transaction_id=4667873380</t>
  </si>
  <si>
    <t>https://www.etsy.com/ca/listing/4330480699/little-prince-baby-romper-embroidered?transaction_id=4668028980</t>
  </si>
  <si>
    <t>https://www.etsy.com/ca/listing/4333135410/little-pumpkin-baby-romper-fall?transaction_id=4683203891</t>
  </si>
  <si>
    <t>https://www.etsy.com/ca/listing/4333135410/little-pumpkin-baby-romper-fall?transaction_id=4669181946</t>
  </si>
  <si>
    <t>https://www.etsy.com/ca/listing/4330488178/new-to-the-club-embroidered-baby-romper?transaction_id=4669270162</t>
  </si>
  <si>
    <t>https://www.etsy.com/ca/listing/4330488178/new-to-the-club-embroidered-baby-romper?transaction_id=4669430984</t>
  </si>
  <si>
    <t>https://www.etsy.com/ca/listing/4330488178/new-to-the-club-embroidered-baby-romper?transaction_id=4669435002</t>
  </si>
  <si>
    <t>https://www.etsy.com/ca/listing/4330504943/born-to-play-like-my-daddy-baby-romper?transaction_id=4684296685</t>
  </si>
  <si>
    <t>https://www.etsy.com/ca/listing/4333131808/mamas-little-pumpkin-baby-romper-fall?transaction_id=4670199470</t>
  </si>
  <si>
    <t>https://www.etsy.com/ca/listing/4330488178/new-to-the-club-embroidered-baby-romper?transaction_id=4684778079</t>
  </si>
  <si>
    <t>https://www.etsy.com/ca/listing/4330504943/born-to-play-like-my-daddy-baby-romper?transaction_id=4684857767</t>
  </si>
  <si>
    <t>https://www.etsy.com/ca/listing/4330504400/born-to-play-like-my-daddy-baby-romper?transaction_id=4684883969</t>
  </si>
  <si>
    <t>https://www.etsy.com/ca/listing/4330495722/born-to-birdie-baby-romper-embroidered?transaction_id=4671230506</t>
  </si>
  <si>
    <t>https://www.etsy.com/ca/listing/4333135410/little-pumpkin-baby-romper-fall?transaction_id=4671348058</t>
  </si>
  <si>
    <t>https://www.etsy.com/ca/listing/4330488178/new-to-the-club-embroidered-baby-romper?transaction_id=4685753961</t>
  </si>
  <si>
    <t>https://www.etsy.com/ca/listing/4330486464/crawl-walk-hunt-baby-romper-embroidered?transaction_id=4671511988</t>
  </si>
  <si>
    <t>https://www.etsy.com/ca/listing/4330488178/new-to-the-club-embroidered-baby-romper?transaction_id=4671813296</t>
  </si>
  <si>
    <t>https://www.etsy.com/ca/listing/4330504943/born-to-play-like-my-daddy-baby-romper?transaction_id=4686081083</t>
  </si>
  <si>
    <t>https://www.etsy.com/ca/listing/4333135410/little-pumpkin-baby-romper-fall?transaction_id=4686244903</t>
  </si>
  <si>
    <t>https://www.etsy.com/ca/listing/4330483435/little-bean-embroidered-baby-romper-cute?transaction_id=4686935383</t>
  </si>
  <si>
    <t>https://www.etsy.com/ca/listing/4330488178/new-to-the-club-embroidered-baby-romper?transaction_id=4672865802</t>
  </si>
  <si>
    <t>https://www.etsy.com/ca/listing/4330504400/born-to-play-like-my-daddy-baby-romper?transaction_id=4673342016</t>
  </si>
  <si>
    <t>https://www.etsy.com/ca/listing/4333135410/little-pumpkin-baby-romper-fall?transaction_id=4673387416</t>
  </si>
  <si>
    <t>https://www.etsy.com/ca/listing/4333135410/little-pumpkin-baby-romper-fall?transaction_id=4673387417</t>
  </si>
  <si>
    <t>https://www.etsy.com/ca/listing/4330488178/new-to-the-club-embroidered-baby-romper?transaction_id=4674097642</t>
  </si>
  <si>
    <t>https://www.etsy.com/ca/listing/4330488178/new-to-the-club-embroidered-baby-romper?transaction_id=4674480072</t>
  </si>
  <si>
    <t>https://www.etsy.com/ca/listing/4333131808/mamas-little-pumpkin-baby-romper-fall?transaction_id=4688662327</t>
  </si>
  <si>
    <t>https://www.etsy.com/ca/listing/4330485404/cat-face-embroidered-baby-romper-my?transaction_id=4675793040</t>
  </si>
  <si>
    <t>https://www.etsy.com/ca/listing/4330481826/bee-kind-baby-romper-embroidered-infant?transaction_id=4690071355</t>
  </si>
  <si>
    <t>https://www.etsy.com/ca/listing/4336907597/custom-running-baby-romper-daddys-future?transaction_id=4676434710</t>
  </si>
  <si>
    <t>https://www.etsy.com/ca/listing/4330492054/cutie-pie-embroidered-baby-outfit-with?transaction_id=4691808081</t>
  </si>
  <si>
    <t>https://www.etsy.com/ca/listing/4330488178/new-to-the-club-embroidered-baby-romper?transaction_id=4691987357</t>
  </si>
  <si>
    <t>https://www.etsy.com/ca/listing/4330488178/new-to-the-club-embroidered-baby-romper?transaction_id=4693391593</t>
  </si>
  <si>
    <t>https://www.etsy.com/ca/listing/4330482502/mama-is-my-bestie-romper-embroidered?transaction_id=4693585207</t>
  </si>
  <si>
    <t>https://www.etsy.com/ca/listing/4330485404/cat-face-embroidered-baby-romper-my?transaction_id=4680506698</t>
  </si>
  <si>
    <t>https://www.etsy.com/ca/listing/4330488178/new-to-the-club-embroidered-baby-romper?transaction_id=4693795163</t>
  </si>
  <si>
    <t>https://www.etsy.com/ca/listing/4343130134/funny-golf-baby-bodysuit-im-told-i-like?transaction_id=4693795161</t>
  </si>
  <si>
    <t>https://www.etsy.com/ca/listing/4330488178/new-to-the-club-embroidered-baby-romper?transaction_id=4680766640</t>
  </si>
  <si>
    <t>https://www.etsy.com/ca/listing/4346126210/daddys-future-lifting-buddy-romper-baby?transaction_id=4681271582</t>
  </si>
  <si>
    <t>https://www.etsy.com/ca/listing/4336907597/custom-running-baby-romper-daddys-future?transaction_id=4694504845</t>
  </si>
  <si>
    <t>https://www.etsy.com/ca/listing/4346129239/soccer-baby-romper-embroidered-daddy-and?transaction_id=4681784078</t>
  </si>
  <si>
    <t>https://www.etsy.com/ca/listing/4344235495/new-kid-on-the-block-baby-bodysuit-funny?transaction_id=4696189625</t>
  </si>
  <si>
    <t>https://www.etsy.com/ca/listing/4346126210/daddys-future-lifting-buddy-romper-baby?transaction_id=4696859319</t>
  </si>
  <si>
    <t>https://www.etsy.com/ca/listing/4346126210/daddys-future-lifting-buddy-romper-baby?transaction_id=4684639864</t>
  </si>
  <si>
    <t>https://www.etsy.com/ca/listing/4330488178/new-to-the-club-embroidered-baby-romper?transaction_id=4697553633</t>
  </si>
  <si>
    <t>https://www.etsy.com/ca/listing/4330485404/cat-face-embroidered-baby-romper-my?transaction_id=4697704073</t>
  </si>
  <si>
    <t>https://www.etsy.com/ca/listing/4330488178/new-to-the-club-embroidered-baby-romper?transaction_id=4685403854</t>
  </si>
  <si>
    <t>https://www.etsy.com/ca/listing/4330486464/crawl-walk-hunt-baby-romper-embroidered?transaction_id=4698463279</t>
  </si>
  <si>
    <t>https://www.etsy.com/ca/listing/4346126210/daddys-future-lifting-buddy-romper-baby?transaction_id=4686599774</t>
  </si>
  <si>
    <t>https://www.etsy.com/ca/listing/4330504943/born-to-play-like-my-daddy-baby-romper?transaction_id=4687058592</t>
  </si>
  <si>
    <t>https://www.etsy.com/ca/listing/4347885967/gigis-bestie-baby-bodysuit-baby-shower?transaction_id=4687106886</t>
  </si>
  <si>
    <t>https://www.etsy.com/ca/listing/4330485404/cat-face-embroidered-baby-romper-my?transaction_id=4699560197</t>
  </si>
  <si>
    <t>https://www.etsy.com/ca/listing/4330483435/little-bean-embroidered-baby-romper-cute?transaction_id=4687652182</t>
  </si>
  <si>
    <t>https://www.etsy.com/ca/listing/4344235128/new-to-the-hive-baby-romper-embroidered?transaction_id=4688011900</t>
  </si>
  <si>
    <t>https://www.etsy.com/ca/listing/4330495722/born-to-birdie-baby-romper-embroidered?transaction_id=4700062467</t>
  </si>
  <si>
    <t>https://www.etsy.com/ca/listing/4330492936/a-roar-able-dinosaur-baby-bodysuit-cute?transaction_id=4700687715</t>
  </si>
  <si>
    <t>https://www.etsy.com/ca/listing/4330480699/little-prince-baby-romper-embroidered?transaction_id=4701054055</t>
  </si>
  <si>
    <t>https://www.etsy.com/ca/listing/4336907597/custom-running-baby-romper-daddys-future?transaction_id=4701568635</t>
  </si>
  <si>
    <t>https://www.etsy.com/ca/listing/4333134764/wizard-font-baby-romper-personalized?transaction_id=4702155211</t>
  </si>
  <si>
    <t>https://www.etsy.com/ca/listing/4330478867/personalized-hippo-baby-bodysuit?transaction_id=4690630416</t>
  </si>
  <si>
    <t>https://www.etsy.com/ca/listing/4347265018/made-with-love-baby-romper-funny-baby?transaction_id=4690630414</t>
  </si>
  <si>
    <t>https://www.etsy.com/ca/listing/4330488178/new-to-the-club-embroidered-baby-romper?transaction_id=4691212138</t>
  </si>
  <si>
    <t>https://www.etsy.com/ca/listing/4330504943/born-to-play-like-my-daddy-baby-romper?transaction_id=4691410912</t>
  </si>
  <si>
    <t>https://www.etsy.com/ca/listing/4347885967/gigis-bestie-baby-bodysuit-baby-shower?transaction_id=4691662478</t>
  </si>
  <si>
    <t>https://www.etsy.com/ca/listing/4330478867/personalized-hippo-baby-bodysuit?transaction_id=4703692453</t>
  </si>
  <si>
    <t>https://www.etsy.com/ca/listing/4333129905/personalized-pumpkin-baby-romper-fall?transaction_id=4692842358</t>
  </si>
  <si>
    <t>https://www.etsy.com/ca/listing/4330488178/new-to-the-club-embroidered-baby-romper?transaction_id=4705825229</t>
  </si>
  <si>
    <t>https://www.etsy.com/ca/listing/4330480699/little-prince-baby-romper-embroidered?transaction_id=4694659208</t>
  </si>
  <si>
    <t>https://www.etsy.com/ca/listing/4333134764/wizard-font-baby-romper-personalized?transaction_id=4695135916</t>
  </si>
  <si>
    <t>https://www.etsy.com/ca/listing/4330485404/cat-face-embroidered-baby-romper-my?transaction_id=4706765723</t>
  </si>
  <si>
    <t>https://www.etsy.com/ca/listing/4347885967/gigis-bestie-baby-bodysuit-baby-shower?transaction_id=4696218022</t>
  </si>
  <si>
    <t>https://www.etsy.com/ca/listing/4330488178/new-to-the-club-embroidered-baby-romper?transaction_id=4696428320</t>
  </si>
  <si>
    <t>https://www.etsy.com/ca/listing/4330488178/new-to-the-club-embroidered-baby-romper?transaction_id=4708528751</t>
  </si>
  <si>
    <t>https://www.etsy.com/ca/listing/4330485404/cat-face-embroidered-baby-romper-my?transaction_id=4708782987</t>
  </si>
  <si>
    <t>https://www.etsy.com/ca/listing/4346126210/daddys-future-lifting-buddy-romper-baby?transaction_id=4709004943</t>
  </si>
  <si>
    <t>https://www.etsy.com/ca/listing/4330485404/cat-face-embroidered-baby-romper-my?transaction_id=4698322626</t>
  </si>
  <si>
    <t>https://www.etsy.com/ca/listing/4330488178/new-to-the-club-embroidered-baby-romper?transaction_id=4698591720</t>
  </si>
  <si>
    <t>https://www.etsy.com/ca/listing/4330483435/little-bean-embroidered-baby-romper-cute?transaction_id=4699126392</t>
  </si>
  <si>
    <t>https://www.etsy.com/ca/listing/4330485404/cat-face-embroidered-baby-romper-my?transaction_id=4710519141</t>
  </si>
  <si>
    <t>https://www.etsy.com/ca/listing/4330488178/new-to-the-club-embroidered-baby-romper?transaction_id=4710824013</t>
  </si>
  <si>
    <t>https://www.etsy.com/ca/listing/4330480699/little-prince-baby-romper-embroidered?transaction_id=4711382765</t>
  </si>
  <si>
    <t>https://www.etsy.com/ca/listing/4336899579/personalized-basketball-baby-romper?transaction_id=4701540940</t>
  </si>
  <si>
    <t>https://www.etsy.com/ca/listing/4347885967/gigis-bestie-baby-bodysuit-baby-shower?transaction_id=4702568368</t>
  </si>
  <si>
    <t>https://www.etsy.com/ca/listing/4336900156/personalized-soccer-baby-romper-daddys?transaction_id=4714293849</t>
  </si>
  <si>
    <t>https://www.etsy.com/ca/listing/4330504943/born-to-play-like-my-daddy-baby-romper?transaction_id=4714761471</t>
  </si>
  <si>
    <t>https://www.etsy.com/ca/listing/4336900156/personalized-soccer-baby-romper-daddys?transaction_id=4705376910</t>
  </si>
  <si>
    <t>https://www.etsy.com/ca/listing/4347885967/gigis-bestie-baby-bodysuit-baby-shower?transaction_id=4705446732</t>
  </si>
  <si>
    <t>https://www.etsy.com/ca/listing/4330492054/cutie-pie-embroidered-baby-outfit-with?transaction_id=4716107289</t>
  </si>
  <si>
    <t>https://www.etsy.com/ca/listing/4330488178/new-to-the-club-embroidered-baby-romper?transaction_id=4716226007</t>
  </si>
  <si>
    <t>https://www.etsy.com/ca/listing/4333135410/little-pumpkin-baby-romper-fall?transaction_id=4716243711</t>
  </si>
  <si>
    <t>https://www.etsy.com/ca/listing/4330479964/personalized-fox-baby-bodysuit?transaction_id=4706809824</t>
  </si>
  <si>
    <t>https://www.etsy.com/ca/listing/4330488178/new-to-the-club-embroidered-baby-romper?transaction_id=4707355032</t>
  </si>
  <si>
    <t>https://www.etsy.com/ca/listing/4330488178/new-to-the-club-embroidered-baby-romper?transaction_id=4707721896</t>
  </si>
  <si>
    <t>https://www.etsy.com/ca/listing/4330485404/cat-face-embroidered-baby-romper-my?transaction_id=4718046297</t>
  </si>
  <si>
    <t>https://www.etsy.com/ca/listing/4330488178/new-to-the-club-embroidered-baby-romper?transaction_id=4708066012</t>
  </si>
  <si>
    <t>https://www.etsy.com/ca/listing/4347885967/gigis-bestie-baby-bodysuit-baby-shower?transaction_id=4708707652</t>
  </si>
  <si>
    <t>https://www.etsy.com/ca/listing/4330488178/new-to-the-club-embroidered-baby-romper?transaction_id=4709194364</t>
  </si>
  <si>
    <t>https://www.etsy.com/ca/listing/4330485404/cat-face-embroidered-baby-romper-my?transaction_id=4720284481</t>
  </si>
  <si>
    <t>https://www.etsy.com/ca/listing/4330488178/new-to-the-club-embroidered-baby-romper?transaction_id=4721084755</t>
  </si>
  <si>
    <t>https://www.etsy.com/ca/listing/4352935112/custom-baby-romper-personalized-newborn?transaction_id=4711260624</t>
  </si>
  <si>
    <t>https://www.etsy.com/ca/listing/4343130134/funny-golf-baby-bodysuit-im-told-i-like?transaction_id=4711508060</t>
  </si>
  <si>
    <t>https://www.etsy.com/ca/listing/4330488178/new-to-the-club-embroidered-baby-romper?transaction_id=4721426705</t>
  </si>
  <si>
    <t>https://www.etsy.com/ca/listing/4347260564/football-baby-romper-game-day-baby?transaction_id=4712091064</t>
  </si>
  <si>
    <t>https://www.etsy.com/ca/listing/4330495722/born-to-birdie-baby-romper-embroidered?transaction_id=4712966894</t>
  </si>
  <si>
    <t>https://www.etsy.com/ca/listing/4344239173/little-pumpkin-baby-romper-fall?transaction_id=4713646560</t>
  </si>
  <si>
    <t>https://www.etsy.com/ca/listing/4336907597/custom-running-baby-romper-daddys-future?transaction_id=4724415087</t>
  </si>
  <si>
    <t>https://www.etsy.com/ca/listing/4344239173/little-pumpkin-baby-romper-fall?transaction_id=4715074104</t>
  </si>
  <si>
    <t>https://www.etsy.com/ca/listing/4330488178/new-to-the-club-embroidered-baby-romper?transaction_id=4725500739</t>
  </si>
  <si>
    <t>https://www.etsy.com/ca/listing/4330488178/new-to-the-club-embroidered-baby-romper?transaction_id=4716057278</t>
  </si>
  <si>
    <t>https://www.etsy.com/ca/listing/4344235128/new-to-the-hive-baby-romper-embroidered?transaction_id=4726741309</t>
  </si>
  <si>
    <t>https://www.etsy.com/ca/listing/4346126210/daddys-future-lifting-buddy-romper-baby?transaction_id=4717010522</t>
  </si>
  <si>
    <t>https://www.etsy.com/ca/listing/4330502784/born-to-play-like-my-daddy-baby-romper?transaction_id=4717400794</t>
  </si>
  <si>
    <t>https://www.etsy.com/ca/listing/4330488178/new-to-the-club-embroidered-baby-romper?transaction_id=4728275669</t>
  </si>
  <si>
    <t>https://www.etsy.com/ca/listing/4330485404/cat-face-embroidered-baby-romper-my?transaction_id=4728548465</t>
  </si>
  <si>
    <t>https://www.etsy.com/ca/listing/4330485404/cat-face-embroidered-baby-romper-my?transaction_id=4728765645</t>
  </si>
  <si>
    <t>https://www.etsy.com/ca/listing/4330488178/new-to-the-club-embroidered-baby-romper?transaction_id=4718829522</t>
  </si>
  <si>
    <t>https://www.etsy.com/ca/listing/4330485404/cat-face-embroidered-baby-romper-my?transaction_id=4719162100</t>
  </si>
  <si>
    <t>https://www.etsy.com/ca/listing/4330492054/cutie-pie-embroidered-baby-outfit-with?transaction_id=4729539663</t>
  </si>
  <si>
    <t>https://www.etsy.com/ca/listing/4347260564/football-baby-romper-game-day-baby?transaction_id=4719602546</t>
  </si>
  <si>
    <t>https://www.etsy.com/ca/listing/4343131516/pickleball-baby-bodysuit-pickle-baby?transaction_id=4730557805</t>
  </si>
  <si>
    <t>https://www.etsy.com/ca/listing/4330485404/cat-face-embroidered-baby-romper-my?transaction_id=4730800635</t>
  </si>
  <si>
    <t>https://www.etsy.com/ca/listing/4330504943/born-to-play-like-my-daddy-baby-romper?transaction_id=4731398031</t>
  </si>
  <si>
    <t>https://www.etsy.com/ca/listing/4330488178/new-to-the-club-embroidered-baby-romper?transaction_id=4731421255</t>
  </si>
  <si>
    <t>https://www.etsy.com/ca/listing/4330485404/cat-face-embroidered-baby-romper-my?transaction_id=4731674167</t>
  </si>
  <si>
    <t>https://www.etsy.com/ca/listing/4330485404/cat-face-embroidered-baby-romper-my?transaction_id=4732309845</t>
  </si>
  <si>
    <t>https://www.etsy.com/ca/listing/4346126210/daddys-future-lifting-buddy-romper-baby?transaction_id=4734850159</t>
  </si>
  <si>
    <t>https://www.etsy.com/ca/listing/4330485404/cat-face-embroidered-baby-romper-my?transaction_id=4724122758</t>
  </si>
  <si>
    <t>https://www.etsy.com/ca/listing/4330485404/cat-face-embroidered-baby-romper-my?transaction_id=4724144604</t>
  </si>
  <si>
    <t>https://www.etsy.com/ca/listing/4336907597/custom-running-baby-romper-daddys-future?transaction_id=4724182078</t>
  </si>
  <si>
    <t>https://www.etsy.com/ca/listing/4330485404/cat-face-embroidered-baby-romper-my?transaction_id=4735335509</t>
  </si>
  <si>
    <t>https://www.etsy.com/ca/listing/4330488178/new-to-the-club-embroidered-baby-romper?transaction_id=4736192207</t>
  </si>
  <si>
    <t>https://www.etsy.com/ca/listing/4347260564/football-baby-romper-game-day-baby?transaction_id=4725488854</t>
  </si>
  <si>
    <t>https://www.etsy.com/ca/listing/4330488178/new-to-the-club-embroidered-baby-romper?transaction_id=4725633012</t>
  </si>
  <si>
    <t>https://www.etsy.com/ca/listing/4330485404/cat-face-embroidered-baby-romper-my?transaction_id=4726092968</t>
  </si>
  <si>
    <t>https://www.etsy.com/ca/listing/4330478867/personalized-hippo-baby-bodysuit?transaction_id=4726439578</t>
  </si>
  <si>
    <t>https://www.etsy.com/ca/listing/4330504943/born-to-play-like-my-daddy-baby-romper?transaction_id=4737554703</t>
  </si>
  <si>
    <t>https://www.etsy.com/ca/listing/4336907597/custom-running-baby-romper-daddys-future?transaction_id=4738334005</t>
  </si>
  <si>
    <t>https://www.etsy.com/ca/listing/4330485404/cat-face-embroidered-baby-romper-my?transaction_id=4738455053</t>
  </si>
  <si>
    <t>https://www.etsy.com/ca/listing/4333134764/wizard-font-baby-romper-personalized?transaction_id=4727601538</t>
  </si>
  <si>
    <t>https://www.etsy.com/ca/listing/4330485404/cat-face-embroidered-baby-romper-my?transaction_id=4728273438</t>
  </si>
  <si>
    <t>https://www.etsy.com/ca/listing/4336903235/personalized-tennis-baby-romper-daddys?transaction_id=4739653163</t>
  </si>
  <si>
    <t>https://www.etsy.com/ca/listing/4344232490/freshly-brewed-baby-bodysuit-cute-coffee?transaction_id=4739795933</t>
  </si>
  <si>
    <t>https://www.etsy.com/ca/listing/4344237213/mamas-coffee-date-baby-bodysuit-funny?transaction_id=4739795931</t>
  </si>
  <si>
    <t>https://www.etsy.com/ca/listing/4347885744/turtley-awesome-baby-romper-turtle?transaction_id=4728825382</t>
  </si>
  <si>
    <t>https://www.etsy.com/ca/listing/4344237213/mamas-coffee-date-baby-bodysuit-funny?transaction_id=4728825380</t>
  </si>
  <si>
    <t>https://www.etsy.com/ca/listing/4352935112/custom-baby-romper-personalized-newborn?transaction_id=4739949575</t>
  </si>
  <si>
    <t>https://www.etsy.com/ca/listing/4330504943/born-to-play-like-my-daddy-baby-romper?transaction_id=4740247833</t>
  </si>
  <si>
    <t>https://www.etsy.com/ca/listing/4333134764/wizard-font-baby-romper-personalized?transaction_id=47293017988</t>
  </si>
  <si>
    <t>https://www.etsy.com/ca/listing/4330488178/new-to-the-club-embroidered-baby-romper?transaction_id=4740498811</t>
  </si>
  <si>
    <t>https://www.etsy.com/ca/listing/4330504943/born-to-play-like-my-daddy-baby-romper?transaction_id=4741109053</t>
  </si>
  <si>
    <t>https://www.etsy.com/ca/listing/4330485404/cat-face-embroidered-baby-romper-my?transaction_id=4741265621</t>
  </si>
  <si>
    <t>https://www.etsy.com/ca/listing/4344235128/new-to-the-hive-baby-romper-embroidered?transaction_id=4730370306</t>
  </si>
  <si>
    <t>https://www.etsy.com/ca/listing/4330485404/cat-face-embroidered-baby-romper-my?transaction_id=4741366103</t>
  </si>
  <si>
    <t>https://www.etsy.com/ca/listing/4330485404/cat-face-embroidered-baby-romper-my?transaction_id=4741423091</t>
  </si>
  <si>
    <t>https://www.etsy.com/ca/listing/4330485404/cat-face-embroidered-baby-romper-my?transaction_id=4730486742</t>
  </si>
  <si>
    <t>https://www.etsy.com/ca/listing/4346126210/daddys-future-lifting-buddy-romper-baby?transaction_id=4741659311</t>
  </si>
  <si>
    <t>https://www.etsy.com/ca/listing/4333134764/wizard-font-baby-romper-personalized?transaction_id=4742562083</t>
  </si>
  <si>
    <t>https://www.etsy.com/ca/listing/4330504943/born-to-play-like-my-daddy-baby-romper?transaction_id=4742679045</t>
  </si>
  <si>
    <t>https://www.etsy.com/ca/listing/4330485404/cat-face-embroidered-baby-romper-my?transaction_id=4742843379</t>
  </si>
  <si>
    <t>https://www.etsy.com/ca/listing/4333134764/wizard-font-baby-romper-personalized?transaction_id=47435381299</t>
  </si>
  <si>
    <t>https://www.etsy.com/ca/listing/4330488178/new-to-the-club-embroidered-baby-romper?transaction_id=4733079140</t>
  </si>
  <si>
    <t>https://www.etsy.com/ca/listing/4330485404/cat-face-embroidered-baby-romper-my?transaction_id=4744178867</t>
  </si>
  <si>
    <t>https://www.etsy.com/ca/listing/4330488178/new-to-the-club-embroidered-baby-romper?transaction_id=4744726063</t>
  </si>
  <si>
    <t>https://www.etsy.com/ca/listing/4330488178/new-to-the-club-embroidered-baby-romper?transaction_id=4734032216</t>
  </si>
  <si>
    <t>https://www.etsy.com/ca/listing/4343127890/funny-baby-bodysuit-daddys-best-shot?transaction_id=4744905523</t>
  </si>
  <si>
    <t>https://www.etsy.com/ca/listing/4330479964/personalized-fox-baby-bodysuit?transaction_id=4744914049</t>
  </si>
  <si>
    <t>https://www.etsy.com/ca/listing/4351828361/i-may-be-small-but-im-the-boss-baby?transaction_id=4734579254</t>
  </si>
  <si>
    <t>https://www.etsy.com/ca/listing/4346126210/daddys-future-lifting-buddy-romper-baby?transaction_id=4745878719</t>
  </si>
  <si>
    <t>https://www.etsy.com/ca/listing/4330485404/cat-face-embroidered-baby-romper-my?transaction_id=4735176312</t>
  </si>
  <si>
    <t>https://www.etsy.com/ca/listing/4330488178/new-to-the-club-embroidered-baby-romper?transaction_id=4735259992</t>
  </si>
  <si>
    <t>https://www.etsy.com/ca/listing/4330485404/cat-face-embroidered-baby-romper-my?transaction_id=4735363162</t>
  </si>
  <si>
    <t>https://www.etsy.com/ca/listing/4330488178/new-to-the-club-embroidered-baby-romper?transaction_id=4746834159</t>
  </si>
  <si>
    <t>https://www.etsy.com/ca/listing/4347260564/football-baby-romper-game-day-baby?transaction_id=4736149260</t>
  </si>
  <si>
    <t>https://www.etsy.com/ca/listing/4351832735/pretty-eyes-chubby-thighs-baby-romper?transaction_id=4747103845</t>
  </si>
  <si>
    <t>https://www.etsy.com/ca/listing/4347890281/little-pumpkin-baby-romper-fall-baby?transaction_id=4747103843</t>
  </si>
  <si>
    <t>https://www.etsy.com/ca/listing/4343130134/funny-golf-baby-bodysuit-im-told-i-like?transaction_id=4736174952</t>
  </si>
  <si>
    <t>https://www.etsy.com/ca/listing/4330485404/cat-face-embroidered-baby-romper-my?transaction_id=4747240577</t>
  </si>
  <si>
    <t>https://www.etsy.com/ca/listing/4330485404/cat-face-embroidered-baby-romper-my?transaction_id=4748190737</t>
  </si>
  <si>
    <t>https://www.etsy.com/ca/listing/4346126210/daddys-future-lifting-buddy-romper-baby?transaction_id=4737423808</t>
  </si>
  <si>
    <t>https://www.etsy.com/ca/listing/4330495722/born-to-birdie-baby-romper-embroidered?transaction_id=4737448014</t>
  </si>
  <si>
    <t>https://www.etsy.com/ca/listing/4330504943/born-to-play-like-my-daddy-baby-romper?transaction_id=4737522240</t>
  </si>
  <si>
    <t>https://www.etsy.com/ca/listing/4347885967/gigis-bestie-baby-bodysuit-baby-shower?transaction_id=4738152312</t>
  </si>
  <si>
    <t>https://www.etsy.com/ca/listing/4330485404/cat-face-embroidered-baby-romper-my?transaction_id=4738243648</t>
  </si>
  <si>
    <t>https://www.etsy.com/ca/listing/4333134764/wizard-font-baby-romper-personalized?transaction_id=4738292264</t>
  </si>
  <si>
    <t>https://www.etsy.com/ca/listing/4344239173/little-pumpkin-baby-romper-fall?transaction_id=4738529150</t>
  </si>
  <si>
    <t>https://www.etsy.com/ca/listing/4330504943/born-to-play-like-my-daddy-baby-romper?transaction_id=4749714751</t>
  </si>
  <si>
    <t>https://www.etsy.com/ca/listing/4330477824/personalized-baby-bodysuit-with?transaction_id=4738824442</t>
  </si>
  <si>
    <t>https://www.etsy.com/ca/listing/4330485404/cat-face-embroidered-baby-romper-my?transaction_id=4739617230</t>
  </si>
  <si>
    <t>https://www.etsy.com/ca/listing/4333134764/wizard-font-baby-romper-personalized?transaction_id=4740746026</t>
  </si>
  <si>
    <t>https://www.etsy.com/ca/listing/4369764524/embroidered-snowman-baby-romper?transaction_id=4740766156</t>
  </si>
  <si>
    <t>https://www.etsy.com/ca/listing/4372357398/personalized-hunting-baby-romper-custom?transaction_id=4740914372</t>
  </si>
  <si>
    <t>https://www.etsy.com/ca/listing/4347260564/football-baby-romper-game-day-baby?transaction_id=4752536225</t>
  </si>
  <si>
    <t>https://www.etsy.com/ca/listing/4330504943/born-to-play-like-my-daddy-baby-romper?transaction_id=4742308982</t>
  </si>
  <si>
    <t>https://www.etsy.com/ca/listing/4330504943/born-to-play-like-my-daddy-baby-romper?transaction_id=4753374241</t>
  </si>
  <si>
    <t>https://www.etsy.com/ca/listing/4372355391/personalized-pumpkin-baby-romper?transaction_id=4753648309</t>
  </si>
  <si>
    <t>https://www.etsy.com/ca/listing/4330488178/new-to-the-club-embroidered-baby-romper?transaction_id=4743006774</t>
  </si>
  <si>
    <t>https://www.etsy.com/ca/listing/4369781522/crawl-walk-putt-baby-romper-funny-golf?transaction_id=4754230157</t>
  </si>
  <si>
    <t>https://www.etsy.com/ca/listing/4346126210/daddys-future-lifting-buddy-romper-baby?transaction_id=4754275913</t>
  </si>
  <si>
    <t>https://www.etsy.com/ca/listing/4330492936/a-roar-able-dinosaur-baby-bodysuit-cute?transaction_id=47</t>
  </si>
  <si>
    <t>https://www.etsy.com/ca/listing/4330485404/cat-face-embroidered-baby-romper-my?transaction_id=4743983092</t>
  </si>
  <si>
    <t>https://www.etsy.com/ca/listing/4347260564/football-baby-romper-game-day-baby?transaction_id=4744104096</t>
  </si>
  <si>
    <t>https://www.etsy.com/ca/listing/4369781522/crawl-walk-putt-baby-romper-funny-golf?transaction_id=4756371993</t>
  </si>
  <si>
    <t>https://www.etsy.com/ca/listing/4344239173/little-pumpkin-baby-romper-fall?transaction_id=4756381983</t>
  </si>
  <si>
    <t>https://www.etsy.com/ca/listing/4333129905/personalized-pumpkin-baby-romper-fall?transaction_id=4756381981</t>
  </si>
  <si>
    <t>https://www.etsy.com/ca/listing/4372352286/silly-goose-baby-romper-funny-infant?transaction_id=4756592481</t>
  </si>
  <si>
    <t>https://www.etsy.com/ca/listing/4333134764/wizard-font-baby-romper-personalized?transaction_id=4756629787</t>
  </si>
  <si>
    <t>https://www.etsy.com/ca/listing/4346126111/promoted-to-big-brother-romper?transaction_id=4756633233</t>
  </si>
  <si>
    <t>https://www.etsy.com/ca/listing/4347260564/football-baby-romper-game-day-baby?transaction_id=4746178452</t>
  </si>
  <si>
    <t>https://www.etsy.com/ca/listing/4333134764/wizard-font-baby-romper-personalized</t>
  </si>
  <si>
    <t>https://www.etsy.com/ca/listing/4352935112/custom-baby-romper-personalized-newborn?transaction_id=4746497004</t>
  </si>
  <si>
    <t>https://www.etsy.com/ca/listing/4347270531/hangry-baby-romper-funny-bottle-gauge?transaction_id=4757040373</t>
  </si>
  <si>
    <t>https://www.etsy.com/ca/listing/4330485404/cat-face-embroidered-baby-romper-my?transaction_id=4757052549</t>
  </si>
  <si>
    <t>https://www.etsy.com/ca/listing/4330486464/crawl-walk-hunt-baby-romper-embroidered?transaction_id=4757169225</t>
  </si>
  <si>
    <t>https://www.etsy.com/ca/listing/4346126210/daddys-future-lifting-buddy-romper-baby?transaction_id=4747070832</t>
  </si>
  <si>
    <t>https://www.etsy.com/ca/listing/4346126210/daddys-future-lifting-buddy-romper-baby?transaction_id=4757685809</t>
  </si>
  <si>
    <t>https://www.etsy.com/ca/listing/4330482502/mama-is-my-bestie-romper-embroidered?transaction_id=4757787031</t>
  </si>
  <si>
    <t>https://www.etsy.com/ca/listing/4330492054/cutie-pie-embroidered-baby-outfit-with?transaction_id=4757910877</t>
  </si>
  <si>
    <t>https://www.etsy.com/ca/listing/4330485404/cat-face-embroidered-baby-romper-my?transaction_id=4747569764</t>
  </si>
  <si>
    <t>https://www.etsy.com/ca/listing/4330480699/little-prince-baby-romper-embroidered?transaction_id=4758904297</t>
  </si>
  <si>
    <t>https://www.etsy.com/ca/listing/4330488178/new-to-the-club-embroidered-baby-romper?transaction_id=4748293914</t>
  </si>
  <si>
    <t>https://www.etsy.com/ca/listing/4330488178/new-to-the-club-embroidered-baby-romper?transaction_id=4759057905</t>
  </si>
  <si>
    <t>https://www.etsy.com/ca/listing/4347893451/little-snuggle-bug-baby-romper-ladybug?transaction_id=4748721594</t>
  </si>
  <si>
    <t>https://www.etsy.com/ca/listing/4333134764/wizard-font-baby-romper-personalized?transaction_id=4759660065</t>
  </si>
  <si>
    <t>https://www.etsy.com/ca/listing/4333134764/wizard-font-baby-romper-personalized?transaction_id=4749051208</t>
  </si>
  <si>
    <t>https://www.etsy.com/ca/listing/4330504943/born-to-play-like-my-daddy-baby-romper?transaction_id=4749788468</t>
  </si>
  <si>
    <t>https://www.etsy.com/ca/listing/4330504155/born-to-play-like-my-daddy-baby-romper?transaction_id=4760563765</t>
  </si>
  <si>
    <t>https://www.etsy.com/ca/listing/4344239173/little-pumpkin-baby-romper-fall?transaction_id=4760809939</t>
  </si>
  <si>
    <t>https://www.etsy.com/ca/listing/4371125103/personalized-dog-baby-bodysuit-custom?transaction_id=4760992175</t>
  </si>
  <si>
    <t>https://www.etsy.com/ca/listing/4330500656/born-to-care-like-my-mommy-baby-romper?transaction_id=4750972816</t>
  </si>
  <si>
    <t>https://www.etsy.com/ca/listing/4369781522/crawl-walk-putt-baby-romper-funny-golf?transaction_id=4751014436</t>
  </si>
  <si>
    <t>https://www.etsy.com/ca/listing/4346126111/promoted-to-big-brother-romper?transaction_id=4761703283</t>
  </si>
  <si>
    <t>https://www.etsy.com/ca/listing/4344232490/freshly-brewed-baby-bodysuit-cute-coffee?transaction_id=4761859981</t>
  </si>
  <si>
    <t>https://www.etsy.com/ca/listing/4344237213/mamas-coffee-date-baby-bodysuit-funny?transaction_id=47</t>
  </si>
  <si>
    <t>https://www.etsy.com/ca/listing/4330483435/little-bean-embroidered-baby-romper-cute?transaction_id=4751229074</t>
  </si>
  <si>
    <t>https://www.etsy.com/ca/listing/4376392339/funny-baby-romper-my-brand-of-formula?transaction_id=4762747497</t>
  </si>
  <si>
    <t>https://www.etsy.com/ca/listing/4330488178/new-to-the-club-embroidered-baby-romper?transaction_id=4763177643</t>
  </si>
  <si>
    <t>https://www.etsy.com/ca/listing/4346124431/small-and-spicy-baby-romper-embroidered?transaction_id=4752823574</t>
  </si>
  <si>
    <t>https://www.etsy.com/ca/listing/4330502784/born-to-play-like-my-daddy-baby-romper?transaction_id=4753060314</t>
  </si>
  <si>
    <t>https://www.etsy.com/ca/listing/4347885967/gigis-bestie-baby-bodysuit-baby-shower?transaction_id=4753306060</t>
  </si>
  <si>
    <t>https://www.etsy.com/ca/listing/4333134764/wizard-font-baby-romper-personalized?transaction_id=4753606622</t>
  </si>
  <si>
    <t>https://www.etsy.com/ca/listing/4369781522/crawl-walk-putt-baby-romper-funny-golf?transaction_id=4764365197</t>
  </si>
  <si>
    <t>https://www.etsy.com/ca/listing/4333134764/wizard-font-baby-romper-personalized?transaction_id=4754107930</t>
  </si>
  <si>
    <t>https://www.etsy.com/ca/listing/4371125103/personalized-dog-baby-bodysuit-custom?transaction_id=4754387044</t>
  </si>
  <si>
    <t>https://www.etsy.com/ca/listing/4351829723/i-stole-everyones-heart-baby-romper?transaction_id=4765154843</t>
  </si>
  <si>
    <t>https://www.etsy.com/ca/listing/4330477824/personalized-baby-bodysuit-with?transaction_id=4765597191</t>
  </si>
  <si>
    <t>https://www.etsy.com/ca/listing/4344239173/little-pumpkin-baby-romper-fall?transaction_id=4765623387</t>
  </si>
  <si>
    <t>https://www.etsy.com/ca/listing/4344235128/new-to-the-hive-baby-romper-embroidered?transaction_id=4755491874</t>
  </si>
  <si>
    <t>https://www.etsy.com/ca/listing/4376392339/funny-baby-romper-my-brand-of-formula?transaction_id=4765961759</t>
  </si>
  <si>
    <t>https://www.etsy.com/ca/listing/4336899579/personalized-basketball-baby-romper?transaction_id=4766150721</t>
  </si>
  <si>
    <t>https://www.etsy.com/ca/listing/4372352286/silly-goose-baby-romper-funny-infant?transaction_id=4766191571</t>
  </si>
  <si>
    <t>https://www.etsy.com/ca/listing/4371125103/personalized-dog-baby-bodysuit-custom?transaction_id=4755787464</t>
  </si>
  <si>
    <t>https://www.etsy.com/ca/listing/4379195696/the-life-of-a-babygirl-embroidered?transaction_id=4755787462</t>
  </si>
  <si>
    <t>https://www.etsy.com/ca/listing/4330480699/little-prince-baby-romper-embroidered?transaction_id=4756110936</t>
  </si>
  <si>
    <t>https://www.etsy.com/ca/listing/4333135410/little-pumpkin-baby-romper-fall?transaction_id=4756250846</t>
  </si>
  <si>
    <t>https://www.etsy.com/ca/listing/4376392339/funny-baby-romper-my-brand-of-formula?transaction_id=4766728283</t>
  </si>
  <si>
    <t>https://www.etsy.com/ca/listing/4376389783/player-2-baby-romper-gamer-baby-outfit?transaction_id=4766891077</t>
  </si>
  <si>
    <t>https://www.etsy.com/ca/listing/4371125103/personalized-dog-baby-bodysuit-custom?transaction_id=4767393821</t>
  </si>
  <si>
    <t>https://www.etsy.com/ca/listing/4379188978/littlest-firehouse-embroidered-romper?transaction_id=4757258450</t>
  </si>
  <si>
    <t>https://www.etsy.com/ca/listing/4330480699/little-prince-baby-romper-embroidered?transaction_id=4767648169</t>
  </si>
  <si>
    <t>https://www.etsy.com/ca/listing/4330485404/cat-face-embroidered-baby-romper-my?transaction_id=4767868503</t>
  </si>
  <si>
    <t>https://www.etsy.com/ca/listing/4352935112/custom-baby-romper-personalized-newborn?transaction_id=4757681646</t>
  </si>
  <si>
    <t>https://www.etsy.com/ca/listing/4333134764/wizard-font-baby-romper-personalized?transaction_id=4767995003</t>
  </si>
  <si>
    <t>https://www.etsy.com/ca/listing/4333134764/wizard-font-baby-romper-personalized?transaction_id=4757782874</t>
  </si>
  <si>
    <t>https://www.etsy.com/ca/listing/4333134764/wizard-font-baby-romper-personalized?transaction_id=4768005245</t>
  </si>
  <si>
    <t>https://www.etsy.com/ca/listing/4352935112/custom-baby-romper-personalized-newborn?transaction_id=4757930306</t>
  </si>
  <si>
    <t>https://www.etsy.com/ca/listing/4330488178/new-to-the-club-embroidered-baby-romper?transaction_id=4758158642</t>
  </si>
  <si>
    <t>https://www.etsy.com/ca/listing/4352935112/custom-baby-romper-personalized-newborn?transaction_id=4758498042</t>
  </si>
  <si>
    <t>https://www.etsy.com/ca/listing/4376383422/boo-baby-halloween-romper-cute-fall?transaction_id=4758585350</t>
  </si>
  <si>
    <t>https://www.etsy.com/ca/listing/4371125103/personalized-dog-baby-bodysuit-custom?transaction_id=4758688036</t>
  </si>
  <si>
    <t>https://www.etsy.com/ca/listing/4352935112/custom-baby-romper-personalized-newborn?transaction_id=4768863895</t>
  </si>
  <si>
    <t>https://www.etsy.com/ca/listing/4330504943/born-to-play-like-my-daddy-baby-romper?transaction_id=4758916360</t>
  </si>
  <si>
    <t>https://www.etsy.com/ca/listing/4346126210/daddys-future-lifting-buddy-romper-baby?transaction_id=4759188558</t>
  </si>
  <si>
    <t>https://www.etsy.com/ca/listing/4369781522/crawl-walk-putt-baby-romper-funny-golf?transaction_id=4759412660</t>
  </si>
  <si>
    <t>https://www.etsy.com/ca/listing/4352935112/custom-baby-romper-personalized-newborn?transaction_id=4759412658</t>
  </si>
  <si>
    <t>https://www.etsy.com/ca/listing/4376392339/funny-baby-romper-my-brand-of-formula?transaction_id=4769564911</t>
  </si>
  <si>
    <t>https://www.etsy.com/ca/listing/4336902854/personalized-football-baby-romper-daddys?transaction_id=4770102145</t>
  </si>
  <si>
    <t>https://www.etsy.com/ca/listing/4347263856/besties-baby-romper-matching-baby-outfit?transaction_id=4770174273</t>
  </si>
  <si>
    <t>https://www.etsy.com/ca/listing/4347263856/besties-baby-romper-matching-baby-outfit?transaction_id=4770174271</t>
  </si>
  <si>
    <t>https://www.etsy.com/ca/listing/4336907597/custom-running-baby-romper-daddys-future?transaction_id=4770390255</t>
  </si>
  <si>
    <t>https://www.etsy.com/ca/listing/4376392339/funny-baby-romper-my-brand-of-formula?transaction_id=4760592110</t>
  </si>
  <si>
    <t>https://www.etsy.com/ca/listing/4333134764/wizard-font-baby-romper-personalized?transaction_id=4760665090</t>
  </si>
  <si>
    <t>https://www.etsy.com/ca/listing/4347260564/football-baby-romper-game-day-baby?transaction_id=4760730348</t>
  </si>
  <si>
    <t>https://www.etsy.com/ca/listing/4376401181/challah-at-your-girl-baby-bodysuit-funny?transaction_id=4770789207</t>
  </si>
  <si>
    <t>https://www.etsy.com/ca/listing/4371125103/personalized-dog-baby-bodysuit-custom?transaction_id=4760846098</t>
  </si>
  <si>
    <t>https://www.etsy.com/ca/listing/4344232490/freshly-brewed-baby-bodysuit-cute-coffee?transaction_id=4760899458</t>
  </si>
  <si>
    <t>https://www.etsy.com/ca/listing/4346126210/daddys-future-lifting-buddy-romper-baby?transaction_id=4761662044</t>
  </si>
  <si>
    <t>https://www.etsy.com/ca/listing/4376389783/player-2-baby-romper-gamer-baby-outfit?transaction_id=4771626417</t>
  </si>
  <si>
    <t>https://www.etsy.com/ca/listing/4347885967/gigis-bestie-baby-bodysuit-baby-shower?transaction_id=4771733105</t>
  </si>
  <si>
    <t>https://www.etsy.com/ca/listing/4336907597/custom-running-baby-romper-daddys-future?transaction_id=4771797879</t>
  </si>
  <si>
    <t>https://www.etsy.com/ca/listing/4330488178/new-to-the-club-embroidered-baby-romper?transaction_id=4761980426</t>
  </si>
  <si>
    <t>https://www.etsy.com/ca/listing/4376392339/funny-baby-romper-my-brand-of-formula?transaction_id=4762084502</t>
  </si>
  <si>
    <t>https://www.etsy.com/ca/listing/4330488178/new-to-the-club-embroidered-baby-romper?transaction_id=4771977889</t>
  </si>
  <si>
    <t>https://www.etsy.com/ca/listing/4330488178/new-to-the-club-embroidered-baby-romper?transaction_id=4762085608</t>
  </si>
  <si>
    <t>https://www.etsy.com/ca/listing/4333134764/wizard-font-baby-romper-personalized?transaction_id=4762134210</t>
  </si>
  <si>
    <t>https://www.etsy.com/ca/listing/4344235128/new-to-the-hive-baby-romper-embroidered?transaction_id=4772047349</t>
  </si>
  <si>
    <t>https://www.etsy.com/ca/listing/4330488178/new-to-the-club-embroidered-baby-romper?transaction_id=4762685324</t>
  </si>
  <si>
    <t>https://www.etsy.com/ca/listing/4346126210/daddys-future-lifting-buddy-romper-baby?transaction_id=4762846470</t>
  </si>
  <si>
    <t>https://www.etsy.com/ca/listing/4336903235/personalized-tennis-baby-romper-daddys?transaction_id=4762997506</t>
  </si>
  <si>
    <t>https://www.etsy.com/ca/listing/4346126210/daddys-future-lifting-buddy-romper-baby?transaction_id=4763036282</t>
  </si>
  <si>
    <t>https://www.etsy.com/ca/listing/4333134764/wizard-font-baby-romper-personalized?transaction_id=4763354432</t>
  </si>
  <si>
    <t>https://www.etsy.com/ca/listing/4372352286/silly-goose-baby-romper-funny-infant?transaction_id=4773219415</t>
  </si>
  <si>
    <t>https://www.etsy.com/ca/listing/4330485404/cat-face-embroidered-baby-romper-my?transaction_id=4773480441</t>
  </si>
  <si>
    <t>https://www.etsy.com/ca/listing/4347260564/football-baby-romper-game-day-baby?transaction_id=4763979656</t>
  </si>
  <si>
    <t>https://www.etsy.com/ca/listing/4346126210/daddys-future-lifting-buddy-romper-baby?transaction_id=4764238612</t>
  </si>
  <si>
    <t>https://www.etsy.com/ca/listing/4330480699/little-prince-baby-romper-embroidered?transaction_id=4774171273</t>
  </si>
  <si>
    <t>https://www.etsy.com/ca/listing/4351827017/i-woke-up-this-cute-baby-bodysuit-funny?transaction_id=4764676182</t>
  </si>
  <si>
    <t>https://www.etsy.com/ca/listing/4330488178/new-to-the-club-embroidered-baby-romper?transaction_id=4775275115</t>
  </si>
  <si>
    <t>https://www.etsy.com/ca/listing/4352935112/custom-baby-romper-personalized-newborn?transaction_id=4775409257</t>
  </si>
  <si>
    <t>https://www.etsy.com/ca/listing/4330488178/new-to-the-club-embroidered-baby-romper?transaction_id=4775459183</t>
  </si>
  <si>
    <t>https://www.etsy.com/ca/listing/4376392339/funny-baby-romper-my-brand-of-formula?transaction_id=4775486439</t>
  </si>
  <si>
    <t>https://www.etsy.com/ca/listing/4330485404/cat-face-embroidered-baby-romper-my?transaction_id=4776018563</t>
  </si>
  <si>
    <t>https://www.etsy.com/ca/listing/4344237213/mamas-coffee-date-baby-bodysuit-funny?transaction_id=4766582504</t>
  </si>
  <si>
    <t>https://www.etsy.com/ca/listing/4330488178/new-to-the-club-embroidered-baby-romper?transaction_id=4766618270</t>
  </si>
  <si>
    <t>https://www.etsy.com/ca/listing/4330488178/new-to-the-club-embroidered-baby-romper?transaction_id=4767332430</t>
  </si>
  <si>
    <t>https://www.etsy.com/ca/listing/4372357398/personalized-hunting-baby-romper-custom?transaction_id=4777076849</t>
  </si>
  <si>
    <t>https://www.etsy.com/ca/listing/4330485404/cat-face-embroidered-baby-romper-my?transaction_id=4777131415</t>
  </si>
  <si>
    <t>https://www.etsy.com/ca/listing/4336907597/custom-running-baby-romper-daddys-future?transaction_id=4777355331</t>
  </si>
  <si>
    <t>https://www.etsy.com/ca/listing/4336903235/personalized-tennis-baby-romper-daddys?transaction_id=4777913793</t>
  </si>
  <si>
    <t>https://www.etsy.com/ca/listing/4330488178/new-to-the-club-embroidered-baby-romper?transaction_id=4778082557</t>
  </si>
  <si>
    <t>https://www.etsy.com/ca/listing/4376389783/player-2-baby-romper-gamer-baby-outfit?transaction_id=4778366825</t>
  </si>
  <si>
    <t>https://www.etsy.com/ca/listing/4330488178/new-to-the-club-embroidered-baby-romper?transaction_id=4778452029</t>
  </si>
  <si>
    <t>https://www.etsy.com/ca/listing/4376392339/funny-baby-romper-my-brand-of-formula?transaction_id=4769137900</t>
  </si>
  <si>
    <t>https://www.etsy.com/ca/listing/4330485404/cat-face-embroidered-baby-romper-my?transaction_id=4769968346</t>
  </si>
  <si>
    <t>https://www.etsy.com/ca/listing/4379182759/golf-baby-outfit-custom-name-golf-cart?transaction_id=4779301133</t>
  </si>
  <si>
    <t>https://www.etsy.com/ca/listing/4330488178/new-to-the-club-embroidered-baby-romper?transaction_id=4770474564</t>
  </si>
  <si>
    <t>https://www.etsy.com/ca/listing/4330504943/born-to-play-like-my-daddy-baby-romper?transaction_id=4770595332</t>
  </si>
  <si>
    <t>https://www.etsy.com/ca/listing/4347885967/gigis-bestie-baby-bodysuit-baby-shower?transaction_id=4771434042</t>
  </si>
  <si>
    <t>https://www.etsy.com/ca/listing/4330488178/new-to-the-club-embroidered-baby-romper?transaction_id=4771658960</t>
  </si>
  <si>
    <t>https://www.etsy.com/ca/listing/4344239173/little-pumpkin-baby-romper-fall?transaction_id=4781362427</t>
  </si>
  <si>
    <t>https://www.etsy.com/ca/listing/4346126210/daddys-future-lifting-buddy-romper-baby?transaction_id=4781544223</t>
  </si>
  <si>
    <t>https://www.etsy.com/ca/listing/4330488178/new-to-the-club-embroidered-baby-romper?transaction_id=4772692816</t>
  </si>
  <si>
    <t>https://www.etsy.com/ca/listing/4376389783/player-2-baby-romper-gamer-baby-outfit?transaction_id=4772699592</t>
  </si>
  <si>
    <t>https://www.etsy.com/ca/listing/4330488178/new-to-the-club-embroidered-baby-romper?transaction_id=4772820858</t>
  </si>
  <si>
    <t>https://www.etsy.com/ca/listing/4344237949/great-grandma-baby-romper-embroidered?transaction_id=4782043373</t>
  </si>
  <si>
    <t>https://www.etsy.com/ca/listing/4330504400/born-to-play-like-my-daddy-baby-romper?transaction_id=4782217637</t>
  </si>
  <si>
    <t>https://www.etsy.com/ca/listing/4330485404/cat-face-embroidered-baby-romper-my?transaction_id=4782324265</t>
  </si>
  <si>
    <t>https://www.etsy.com/ca/listing/4371125103/personalized-dog-baby-bodysuit-custom?transaction_id=4773423356</t>
  </si>
  <si>
    <t>https://www.etsy.com/ca/listing/4347260564/football-baby-romper-game-day-baby?transaction_id=4774060898</t>
  </si>
  <si>
    <t>https://www.etsy.com/ca/listing/4336907597/custom-running-baby-romper-daddys-future?transaction_id=4783207265</t>
  </si>
  <si>
    <t>https://www.etsy.com/ca/listing/4376392339/funny-baby-romper-my-brand-of-formula?transaction_id=4775021540</t>
  </si>
  <si>
    <t>https://www.etsy.com/ca/listing/4330488178/new-to-the-club-embroidered-baby-romper?transaction_id=4775033140</t>
  </si>
  <si>
    <t>https://www.etsy.com/ca/listing/4330488178/new-to-the-club-embroidered-baby-romper?transaction_id=4783980757</t>
  </si>
  <si>
    <t>https://www.etsy.com/ca/listing/4330485404/cat-face-embroidered-baby-romper-my?transaction_id=4784412741</t>
  </si>
  <si>
    <t>https://www.etsy.com/ca/listing/4330485404/cat-face-embroidered-baby-romper-my?transaction_id=4776234036</t>
  </si>
  <si>
    <t>https://www.etsy.com/ca/listing/4330488178/new-to-the-club-embroidered-baby-romper?transaction_id=4784929621</t>
  </si>
  <si>
    <t>https://www.etsy.com/ca/listing/4376392339/funny-baby-romper-my-brand-of-formula?transaction_id=4784943489</t>
  </si>
  <si>
    <t>https://www.etsy.com/ca/listing/4330485404/cat-face-embroidered-baby-romper-my?transaction_id=4784992435</t>
  </si>
  <si>
    <t>https://www.etsy.com/ca/listing/4347885967/gigis-bestie-baby-bodysuit-baby-shower?transaction_id=4776858628</t>
  </si>
  <si>
    <t>https://www.etsy.com/ca/listing/4330485404/cat-face-embroidered-baby-romper-my?transaction_id=4776896966</t>
  </si>
  <si>
    <t>https://www.etsy.com/ca/listing/4347885967/gigis-bestie-baby-bodysuit-baby-shower?transaction_id=4785817033</t>
  </si>
  <si>
    <t>https://www.etsy.com/ca/listing/4330485404/cat-face-embroidered-baby-romper-my?transaction_id=4777833434</t>
  </si>
  <si>
    <t>https://www.etsy.com/ca/listing/4330488178/new-to-the-club-embroidered-baby-romper?transaction_id=4786313817</t>
  </si>
  <si>
    <t>https://www.etsy.com/ca/listing/4376389783/player-2-baby-romper-gamer-baby-outfit?transaction_id=4777925464</t>
  </si>
  <si>
    <t>https://www.etsy.com/ca/listing/4347880114/funny-baby-romper-sorry-i-tooted-outfit?transaction_id=4777943286</t>
  </si>
  <si>
    <t>https://www.etsy.com/ca/listing/4330485404/cat-face-embroidered-baby-romper-my?transaction_id=4777989480</t>
  </si>
  <si>
    <t>https://www.etsy.com/ca/listing/4346126210/daddys-future-lifting-buddy-romper-baby?transaction_id=4778186828</t>
  </si>
  <si>
    <t>https://www.etsy.com/ca/listing/4347885967/gigis-bestie-baby-bodysuit-baby-shower?transaction_id=4778189496</t>
  </si>
  <si>
    <t>https://www.etsy.com/ca/listing/4369781522/crawl-walk-putt-baby-romper-funny-golf?transaction_id=4778775602</t>
  </si>
  <si>
    <t>https://www.etsy.com/ca/listing/4346126210/daddys-future-lifting-buddy-romper-baby?transaction_id=4778802876</t>
  </si>
  <si>
    <t>https://www.etsy.com/ca/listing/4330488178/new-to-the-club-embroidered-baby-romper?transaction_id=4778924846</t>
  </si>
  <si>
    <t>https://www.etsy.com/ca/listing/4330488178/new-to-the-club-embroidered-baby-romper?transaction_id=4787414565</t>
  </si>
  <si>
    <t>https://www.etsy.com/ca/listing/4330488178/new-to-the-club-embroidered-baby-romper?transaction_id=4779126338</t>
  </si>
  <si>
    <t>https://www.etsy.com/ca/listing/4376389783/player-2-baby-romper-gamer-baby-outfit?transaction_id=4779226476</t>
  </si>
  <si>
    <t>https://www.etsy.com/ca/listing/4376389783/player-2-baby-romper-gamer-baby-outfit?transaction_id=4787742753</t>
  </si>
  <si>
    <t>https://www.etsy.com/ca/listing/4379194627/new-to-the-farm-embroidered-romper-baby?transaction_id=4787763443</t>
  </si>
  <si>
    <t>https://www.etsy.com/ca/listing/4376392339/funny-baby-romper-my-brand-of-formula?transaction_id=4779580814</t>
  </si>
  <si>
    <t>https://www.etsy.com/ca/listing/4346126210/daddys-future-lifting-buddy-romper-baby?transaction_id=4788173851</t>
  </si>
  <si>
    <t>https://www.etsy.com/ca/listing/4376389783/player-2-baby-romper-gamer-baby-outfit?transaction_id=4788282177</t>
  </si>
  <si>
    <t>https://www.etsy.com/ca/listing/4346126210/daddys-future-lifting-buddy-romper-baby?transaction_id=4788547263</t>
  </si>
  <si>
    <t>https://www.etsy.com/ca/listing/4347266127/basketball-baby-romper-game-day-baby?transaction_id=4780342274</t>
  </si>
  <si>
    <t>https://www.etsy.com/ca/listing/4330504155/born-to-play-like-my-daddy-baby-romper?transaction_id=4780712596</t>
  </si>
  <si>
    <t>https://www.etsy.com/ca/listing/4330488178/new-to-the-club-embroidered-baby-romper?transaction_id=4780795772</t>
  </si>
  <si>
    <t>https://www.etsy.com/ca/listing/4376389783/player-2-baby-romper-gamer-baby-outfit?transaction_id=4780826558</t>
  </si>
  <si>
    <t>https://www.etsy.com/ca/listing/4330488178/new-to-the-club-embroidered-baby-romper?transaction_id=4789874329</t>
  </si>
  <si>
    <t>https://www.etsy.com/ca/listing/4344237949/great-grandma-baby-romper-embroidered?transaction_id=4790351165</t>
  </si>
  <si>
    <t>https://www.etsy.com/ca/listing/4330489800/personalized-badminton-baby-romper?transaction_id=4790938147</t>
  </si>
  <si>
    <t>https://www.etsy.com/ca/listing/4351828361/i-may-be-small-but-im-the-boss-baby?transaction_id=4783773442</t>
  </si>
  <si>
    <t>https://www.etsy.com/ca/listing/4379194627/new-to-the-farm-embroidered-romper-baby?transaction_id=4783965330</t>
  </si>
  <si>
    <t>https://www.etsy.com/ca/listing/4372375963/whaley-cute-baby-romper-funny-whale-baby?transaction_id=4793144897</t>
  </si>
  <si>
    <t>https://www.etsy.com/ca/listing/4379194627/new-to-the-farm-embroidered-romper-baby?transaction_id=4785874468</t>
  </si>
  <si>
    <t>https://www.etsy.com/ca/listing/4330488178/new-to-the-club-embroidered-baby-romper?transaction_id=4793787359</t>
  </si>
  <si>
    <t>https://www.etsy.com/ca/listing/4376389783/player-2-baby-romper-gamer-baby-outfit?transaction_id=4786468634</t>
  </si>
  <si>
    <t>https://www.etsy.com/ca/listing/4330504943/born-to-play-like-my-daddy-baby-romper?transaction_id=4786479914</t>
  </si>
  <si>
    <t>https://www.etsy.com/ca/listing/4330488178/new-to-the-club-embroidered-baby-romper?transaction_id=4794753885</t>
  </si>
  <si>
    <t>https://www.etsy.com/ca/listing/4392935796/box-box-for-fresh-diapers-embroidered?transaction_id=4794947933</t>
  </si>
  <si>
    <t>https://www.etsy.com/ca/listing/4347260564/football-baby-romper-game-day-baby?transaction_id=4787816140</t>
  </si>
  <si>
    <t>https://www.etsy.com/ca/listing/4376399899/the-littlest-book-club-member-baby?transaction_id=4795445411</t>
  </si>
  <si>
    <t>https://www.etsy.com/ca/listing/4330488178/new-to-the-club-embroidered-baby-romper?transaction_id=4795782413</t>
  </si>
  <si>
    <t>https://www.etsy.com/ca/listing/4392929794/little-latke-embroidered-romper-hanukkah?transaction_id=4796034497</t>
  </si>
  <si>
    <t>https://www.etsy.com/ca/listing/4330488178/new-to-the-club-embroidered-baby-romper?transaction_id=4788888486</t>
  </si>
  <si>
    <t>https://www.etsy.com/ca/listing/4392932100/born-to-ride-with-my-daddy-embroidered?transaction_id=4789074346</t>
  </si>
  <si>
    <t>https://www.etsy.com/ca/listing/4330488178/new-to-the-club-embroidered-baby-romper?transaction_id=4789117098</t>
  </si>
  <si>
    <t>https://www.etsy.com/ca/listing/4346126210/daddys-future-lifting-buddy-romper-baby?transaction_id=4789471474</t>
  </si>
  <si>
    <t>https://www.etsy.com/ca/listing/4330488178/new-to-the-club-embroidered-baby-romper?transaction_id=4790021242</t>
  </si>
  <si>
    <t>https://www.etsy.com/ca/listing/4376401181/challah-at-your-girl-baby-bodysuit-funny?transaction_id=4797460051</t>
  </si>
  <si>
    <t>https://www.etsy.com/ca/listing/4330485404/cat-face-embroidered-baby-romper-my?transaction_id=4797906719</t>
  </si>
  <si>
    <t>https://www.etsy.com/ca/listing/4392932100/born-to-ride-with-my-daddy-embroidered?transaction_id=4798046737</t>
  </si>
  <si>
    <t>https://www.etsy.com/ca/listing/4371125103/personalized-dog-baby-bodysuit-custom?transaction_id=4790701024</t>
  </si>
  <si>
    <t>https://www.etsy.com/ca/listing/4330485404/cat-face-embroidered-baby-romper-my?transaction_id=4790836200</t>
  </si>
  <si>
    <t>https://www.etsy.com/ca/listing/4346126210/daddys-future-lifting-buddy-romper-baby?transaction_id=4798481163</t>
  </si>
  <si>
    <t>https://www.etsy.com/ca/listing/4392929794/little-latke-embroidered-romper-hanukkah?transaction_id=4798639335</t>
  </si>
  <si>
    <t>https://www.etsy.com/ca/listing/4376399899/the-littlest-book-club-member-baby?transaction_id=4791570500</t>
  </si>
  <si>
    <t>https://www.etsy.com/ca/listing/4392929794/little-latke-embroidered-romper-hanukkah?transaction_id=4799541059</t>
  </si>
  <si>
    <t>https://www.etsy.com/ca/listing/4330488178/new-to-the-club-embroidered-baby-romper?transaction_id=4799597203</t>
  </si>
  <si>
    <t>https://www.etsy.com/ca/listing/4344231895/shhh-im-reading-with-mommy-baby-bodysuit?transaction_id=4792415746</t>
  </si>
  <si>
    <t>https://www.etsy.com/ca/listing/4330485404/cat-face-embroidered-baby-romper-my?transaction_id=4792415744</t>
  </si>
  <si>
    <t>https://www.etsy.com/ca/listing/4346126210/daddys-future-lifting-buddy-romper-baby?transaction_id=4792445404</t>
  </si>
  <si>
    <t>https://www.etsy.com/ca/listing/4330485404/cat-face-embroidered-baby-romper-my?transaction_id=4799789203</t>
  </si>
  <si>
    <t>https://www.etsy.com/ca/listing/4379182759/golf-baby-outfit-custom-name-golf-cart?transaction_id=4792977398</t>
  </si>
  <si>
    <t>https://www.etsy.com/ca/listing/4330485404/cat-face-embroidered-baby-romper-my?transaction_id=4793202970</t>
  </si>
  <si>
    <t>https://www.etsy.com/ca/listing/4330488178/new-to-the-club-embroidered-baby-romper?transaction_id=4801210545</t>
  </si>
  <si>
    <t>https://www.etsy.com/ca/listing/4392929794/little-latke-embroidered-romper-hanukkah?transaction_id=4794119302</t>
  </si>
  <si>
    <t>https://www.etsy.com/ca/listing/4371125103/personalized-dog-baby-bodysuit-custom?transaction_id=4801423345</t>
  </si>
  <si>
    <t>https://www.etsy.com/ca/listing/4336902854/personalized-football-baby-romper-daddys?transaction_id=4801428183</t>
  </si>
  <si>
    <t>https://www.etsy.com/ca/listing/4392929794/little-latke-embroidered-romper-hanukkah?transaction_id=4794593480</t>
  </si>
  <si>
    <t>https://www.etsy.com/ca/listing/4392929794/little-latke-embroidered-romper-hanukkah?transaction_id=4801754261</t>
  </si>
  <si>
    <t>https://www.etsy.com/ca/listing/4379182759/golf-baby-outfit-custom-name-golf-cart?transaction_id=4801856889</t>
  </si>
  <si>
    <t>https://www.etsy.com/ca/listing/4392929794/little-latke-embroidered-romper-hanukkah?transaction_id=4801894013</t>
  </si>
  <si>
    <t>https://www.etsy.com/ca/listing/4333134764/wizard-font-baby-romper-personalized?transaction_id=4801919135</t>
  </si>
  <si>
    <t>https://www.etsy.com/ca/listing/4330504943/embroidered-tennis-baby-romper-daddys?transaction_id=4795025916</t>
  </si>
  <si>
    <t>https://www.etsy.com/ca/listing/4346126210/daddys-future-lifting-buddy-romper-baby?transaction_id=4795092456</t>
  </si>
  <si>
    <t>https://www.etsy.com/ca/listing/4330485404/cat-face-embroidered-baby-romper-funny?transaction_id=4795119478</t>
  </si>
  <si>
    <t>https://www.etsy.com/ca/listing/4392929794/little-latke-embroidered-romper-hanukkah?transaction_id=4795137958</t>
  </si>
  <si>
    <t>https://www.etsy.com/ca/listing/4330485404/cat-face-embroidered-baby-romper-funny?transaction_id=4795289634</t>
  </si>
  <si>
    <t>https://www.etsy.com/ca/listing/4344235128/new-to-the-hive-baby-romper-embroidered?transaction_id=4802598967</t>
  </si>
  <si>
    <t>https://www.etsy.com/ca/listing/4376389783/player-2-baby-romper-gamer-baby-outfit?transaction_id=4802761791</t>
  </si>
  <si>
    <t>https://www.etsy.com/ca/listing/4392929794/little-latke-embroidered-romper-hanukkah?transaction_id=4795710912</t>
  </si>
  <si>
    <t>https://www.etsy.com/ca/listing/4330485404/cat-face-embroidered-baby-romper-funny?transaction_id=4802778277</t>
  </si>
  <si>
    <t>https://www.etsy.com/ca/listing/4352935112/custom-baby-romper-personalized-newborn?transaction_id=4795957426</t>
  </si>
  <si>
    <t>https://www.etsy.com/ca/listing/4376389783/player-2-baby-romper-gamer-baby-outfit?transaction_id=4803198411</t>
  </si>
  <si>
    <t>https://www.etsy.com/ca/listing/4371125103/personalized-dog-baby-bodysuit-custom?transaction_id=4803328799</t>
  </si>
  <si>
    <t>https://www.etsy.com/ca/listing/4330483435/embroidered-coffee-bean-baby-romper?transaction_id=4803339611</t>
  </si>
  <si>
    <t>https://www.etsy.com/ca/listing/4371125103/personalized-dog-baby-bodysuit-custom?transaction_id=4803685059</t>
  </si>
  <si>
    <t>https://www.etsy.com/ca/listing/4372352286/silly-goose-baby-romper-funny-infant?transaction_id=4797264906</t>
  </si>
  <si>
    <t>https://www.etsy.com/ca/listing/4392935796/box-box-for-fresh-diapers-embroidered?transaction_id=4804593617</t>
  </si>
  <si>
    <t>https://www.etsy.com/ca/listing/4392929794/little-latke-embroidered-romper-hanukkah?transaction_id=4797580766</t>
  </si>
  <si>
    <t>https://www.etsy.com/ca/listing/4392929794/little-latke-embroidered-romper-hanukkah?transaction_id=4797836512</t>
  </si>
  <si>
    <t>https://www.etsy.com/ca/listing/4330488178/embroidered-golf-baby-romper-new-to-the?transaction_id=4805170131</t>
  </si>
  <si>
    <t>https://www.etsy.com/ca/listing/4392929794/little-latke-embroidered-romper-hanukkah?transaction_id=4805283957</t>
  </si>
  <si>
    <t>https://www.etsy.com/ca/listing/4330488178/embroidered-golf-baby-romper-new-to-the?transaction_id=4805299605</t>
  </si>
  <si>
    <t>https://www.etsy.com/ca/listing/4392932100/born-to-ride-with-my-daddy-embroidered?transaction_id=4798197704</t>
  </si>
  <si>
    <t>https://www.etsy.com/listing/4330492936/a-roar-able-dinosaur-baby-bodysuit-cute</t>
  </si>
  <si>
    <t>https://www.etsy.com/ca/listing/4396731652/personalized-babys-first-christmas?transaction_id=4805818697</t>
  </si>
  <si>
    <t>https://www.etsy.com/ca/listing/4396750091/mamas-little-latke-embroidered-baby?transaction_id=4806074411</t>
  </si>
  <si>
    <t>https://www.etsy.com/ca/listing/4330504943/embroidered-tennis-baby-romper-daddys?transaction_id=4806185205</t>
  </si>
  <si>
    <t>https://www.etsy.com/ca/listing/4330480699/little-prince-baby-romper-embroidered?transaction_id=4806252301</t>
  </si>
  <si>
    <t>https://www.etsy.com/ca/listing/4330485404/cat-face-embroidered-baby-romper-funny?transaction_id=4806639215</t>
  </si>
  <si>
    <t>https://www.etsy.com/ca/listing/4376399899/the-littlest-book-club-member-baby?transaction_id=4806670939</t>
  </si>
  <si>
    <t>https://www.etsy.com/ca/listing/4392929794/little-latke-embroidered-romper-hanukkah?transaction_id=4806898897</t>
  </si>
  <si>
    <t>https://www.etsy.com/ca/listing/4330485404/cat-face-embroidered-baby-romper-funny?transaction_id=4799712304</t>
  </si>
  <si>
    <t>https://www.etsy.com/ca/listing/4344235128/new-to-the-hive-baby-romper-embroidered?transaction_id=4799880870</t>
  </si>
  <si>
    <t>https://www.etsy.com/ca/listing/4347260564/football-baby-romper-game-day-baby?transaction_id=4807139975</t>
  </si>
  <si>
    <t>https://www.etsy.com/ca/listing/4392929794/little-latke-embroidered-romper-hanukkah?transaction_id=4799982846</t>
  </si>
  <si>
    <t>https://www.etsy.com/ca/listing/4330488178/embroidered-golf-baby-romper-new-to-the?transaction_id=4800222848</t>
  </si>
  <si>
    <t>https://www.etsy.com/ca/listing/4330504943/embroidered-tennis-baby-romper-daddys?transaction_id=4807498661</t>
  </si>
  <si>
    <t>https://www.etsy.com/ca/listing/4371125103/personalized-dog-baby-bodysuit-custom?transaction_id=4800504760</t>
  </si>
  <si>
    <t>https://www.etsy.com/ca/listing/4376389783/player-2-baby-romper-gamer-baby-outfit?transaction_id=4807763449</t>
  </si>
  <si>
    <t>https://www.etsy.com/ca/listing/4396750091/mamas-little-latke-embroidered-baby?transaction_id=4800917448</t>
  </si>
  <si>
    <t>https://www.etsy.com/ca/listing/4330492936/a-roar-able-dinosaur-baby-bodysuit-cute?transaction_id=4808438081</t>
  </si>
  <si>
    <t>https://www.etsy.com/ca/listing/4330483435/embroidered-coffee-bean-baby-romper?transaction_id=4809073531</t>
  </si>
  <si>
    <t>https://www.etsy.com/ca/listing/4396731652/personalized-babys-first-christmas?transaction_id=4809204115</t>
  </si>
  <si>
    <t>https://www.etsy.com/ca/listing/4351827687/handsome-just-like-daddy-baby-romper?transaction_id=4801750074</t>
  </si>
  <si>
    <t>https://www.etsy.com/ca/listing/4369778165/funny-baby-romper-resting-baby-face?transaction_id=4801750072</t>
  </si>
  <si>
    <t>https://www.etsy.com/ca/listing/4396746353/its-a-beaut-clark-embroidered-baby?transaction_id=4809563799</t>
  </si>
  <si>
    <t>https://www.etsy.com/ca/listing/4372352286/silly-goose-baby-romper-funny-infant?transaction_id=4802159374</t>
  </si>
  <si>
    <t>https://www.etsy.com/ca/listing/4371125103/personalized-dog-baby-bodysuit-custom?transaction_id=4802298666</t>
  </si>
  <si>
    <t>https://www.etsy.com/ca/listing/4344237949/great-grandma-baby-romper-embroidered?transaction_id=4802394272</t>
  </si>
  <si>
    <t>https://www.etsy.com/ca/listing/4392929794/little-latke-embroidered-romper-hanukkah?transaction_id=4810174317</t>
  </si>
  <si>
    <t>https://www.etsy.com/ca/listing/4376401181/challah-at-your-girl-baby-bodysuit-funny?transaction_id=4802584146</t>
  </si>
  <si>
    <t>https://www.etsy.com/ca/listing/4344232490/freshly-brewed-baby-bodysuit-cute-coffee?transaction_id=4803052388</t>
  </si>
  <si>
    <t>https://www.etsy.com/ca/listing/4369781522/crawl-walk-putt-baby-romper-funny-golf?transaction_id=4811507637</t>
  </si>
  <si>
    <t>https://www.etsy.com/ca/listing/4376389783/player-2-baby-romper-gamer-baby-outfit?transaction_id=4803865092</t>
  </si>
  <si>
    <t>https://www.etsy.com/ca/listing/4346126210/daddys-future-lifting-buddy-romper-baby?transaction_id=4803934718</t>
  </si>
  <si>
    <t>https://www.etsy.com/ca/listing/4330499732/embroidered-baby-romper-little-sunshine?transaction_id=4811721809</t>
  </si>
  <si>
    <t>https://www.etsy.com/ca/listing/4376401181/challah-at-your-girl-baby-bodysuit-funny?transaction_id=4804161288</t>
  </si>
  <si>
    <t>https://www.etsy.com/ca/listing/4392929794/little-latke-embroidered-romper-hanukkah?transaction_id=4804174318</t>
  </si>
  <si>
    <t>https://www.etsy.com/ca/listing/4371125103/personalized-dog-baby-bodysuit-custom?transaction_id=4811990173</t>
  </si>
  <si>
    <t>https://www.etsy.com/ca/listing/4336902854/personalized-football-baby-romper-daddys?transaction_id=4804423442</t>
  </si>
  <si>
    <t>https://www.etsy.com/ca/listing/4330488178/embroidered-golf-baby-romper-new-to-the?transaction_id=4812286771</t>
  </si>
  <si>
    <t>https://www.etsy.com/ca/listing/4343133641/golf-skills-loading-embroidered-baby?transaction_id=4812286769</t>
  </si>
  <si>
    <t>https://www.etsy.com/ca/listing/4369781522/crawl-walk-putt-baby-romper-funny-golf?transaction_id=4804527636</t>
  </si>
  <si>
    <t>https://www.etsy.com/ca/listing/4336900156/personalized-soccer-baby-romper?transaction_id=4812453645</t>
  </si>
  <si>
    <t>https://www.etsy.com/ca/listing/4330495722/embroidered-golf-baby-romper-custom?transaction_id=4804765904</t>
  </si>
  <si>
    <t>https://www.etsy.com/ca/listing/4371125103/personalized-dog-baby-bodysuit-custom?transaction_id=4812626437</t>
  </si>
  <si>
    <t>https://www.etsy.com/ca/listing/4392929794/little-latke-embroidered-romper-hanukkah?transaction_id=4812721631</t>
  </si>
  <si>
    <t>https://www.etsy.com/ca/listing/4376392339/funny-baby-romper-my-brand-of-formula?transaction_id=4805172122</t>
  </si>
  <si>
    <t>https://www.etsy.com/ca/listing/4392929794/little-latke-embroidered-romper-hanukkah?transaction_id=4805261632</t>
  </si>
  <si>
    <t>https://www.etsy.com/ca/listing/4372352286/silly-goose-baby-romper-funny-infant?transaction_id=4813192775</t>
  </si>
  <si>
    <t>https://www.etsy.com/ca/listing/4392929794/little-latke-embroidered-romper-hanukkah?transaction_id=4813278093</t>
  </si>
  <si>
    <t>https://www.etsy.com/ca/listing/4330492512/funny-goose-embroidered-baby-romper?transaction_id=4813513019</t>
  </si>
  <si>
    <t>https://www.etsy.com/ca/listing/4371125103/personalized-dog-baby-bodysuit-custom?transaction_id=4813595395</t>
  </si>
  <si>
    <t>https://www.etsy.com/ca/listing/4376399899/the-littlest-book-club-member-baby?transaction_id=4813609249</t>
  </si>
  <si>
    <t>https://www.etsy.com/ca/listing/4371125103/personalized-dog-baby-bodysuit-custom?transaction_id=4805704874</t>
  </si>
  <si>
    <t>https://www.etsy.com/ca/listing/4396746353/its-a-beaut-clark-embroidered-baby?transaction_id=4805750412</t>
  </si>
  <si>
    <t>https://www.etsy.com/ca/listing/4392929794/little-latke-embroidered-romper-hanukkah?transaction_id=4813828737</t>
  </si>
  <si>
    <t>https://www.etsy.com/ca/listing/4330485404/cat-face-embroidered-baby-romper-funny?transaction_id=4814062527</t>
  </si>
  <si>
    <t>https://www.etsy.com/ca/listing/4330504943/embroidered-tennis-baby-romper-daddys?transaction_id=4814062525</t>
  </si>
  <si>
    <t>https://www.etsy.com/ca/listing/4392929794/little-latke-embroidered-romper-hanukkah?transaction_id=4806188280</t>
  </si>
  <si>
    <t>https://www.etsy.com/ca/listing/4392929794/little-latke-embroidered-romper-hanukkah?transaction_id=4814210757</t>
  </si>
  <si>
    <t>https://www.etsy.com/ca/listing/4376389783/player-2-baby-romper-gamer-baby-outfit?transaction_id=4806219414</t>
  </si>
  <si>
    <t>https://www.etsy.com/ca/listing/4376392339/funny-baby-romper-my-brand-of-formula?transaction_id=4814266087</t>
  </si>
  <si>
    <t>https://www.etsy.com/ca/listing/4372352286/silly-goose-baby-romper-funny-infant?transaction_id=4814327063</t>
  </si>
  <si>
    <t>https://www.etsy.com/ca/listing/4392929794/little-latke-embroidered-romper-hanukkah?transaction_id=4814550365</t>
  </si>
  <si>
    <t>https://www.etsy.com/ca/listing/4352935112/custom-baby-romper-personalized-newborn?transaction_id=4806482510</t>
  </si>
  <si>
    <t>https://www.etsy.com/ca/listing/4392935796/box-box-for-fresh-diapers-embroidered?transaction_id=4814696963</t>
  </si>
  <si>
    <t>https://www.etsy.com/ca/listing/4330492054/embroidered-baby-romper-cutie-pie-design?transaction_id=4814767741</t>
  </si>
  <si>
    <t>https://www.etsy.com/ca/listing/4392929794/little-latke-embroidered-romper-hanukkah?transaction_id=4814813459</t>
  </si>
  <si>
    <t>https://www.etsy.com/ca/listing/4392935796/box-box-for-fresh-diapers-embroidered?transaction_id=4814969041</t>
  </si>
  <si>
    <t>https://www.etsy.com/ca/listing/4369764524/embroidered-snowman-baby-romper?transaction_id=4806853404</t>
  </si>
  <si>
    <t>https://www.etsy.com/ca/listing/4336900156/personalized-soccer-baby-romper?transaction_id=4807114072</t>
  </si>
  <si>
    <t>https://www.etsy.com/ca/listing/4371125103/personalized-dog-baby-bodysuit-custom?transaction_id=4815294701</t>
  </si>
  <si>
    <t>https://www.etsy.com/ca/listing/4376389783/player-2-baby-romper-gamer-baby-outfit?transaction_id=4807118908</t>
  </si>
  <si>
    <t>https://www.etsy.com/ca/listing/4371125103/personalized-dog-baby-bodysuit-custom?transaction_id=4815384505</t>
  </si>
  <si>
    <t>https://www.etsy.com/ca/listing/4392936921/apparently-i-like-golf-embroidered?transaction_id=4807205440</t>
  </si>
  <si>
    <t>https://www.etsy.com/ca/listing/4392929794/little-latke-embroidered-romper-hanukkah?transaction_id=4807430060</t>
  </si>
  <si>
    <t>https://www.etsy.com/ca/listing/4344237949/great-grandma-baby-romper-embroidered?transaction_id=4807441188</t>
  </si>
  <si>
    <t>https://www.etsy.com/ca/listing/4336899579/personalized-basketball-baby-romper?transaction_id=4815743739</t>
  </si>
  <si>
    <t>https://www.etsy.com/ca/listing/4330504943/embroidered-tennis-baby-romper-daddys?transaction_id=4815840911</t>
  </si>
  <si>
    <t>https://www.etsy.com/ca/listing/4376399899/the-littlest-book-club-member-baby?transaction_id=4815893325</t>
  </si>
  <si>
    <t>https://www.etsy.com/ca/listing/4392929794/little-latke-embroidered-romper-hanukkah?transaction_id=4807768024</t>
  </si>
  <si>
    <t>https://www.etsy.com/ca/listing/4392929794/little-latke-embroidered-romper-hanukkah?transaction_id=4808203700</t>
  </si>
  <si>
    <t>https://www.etsy.com/ca/listing/4392929794/little-latke-embroidered-romper-hanukkah?transaction_id=4816558449</t>
  </si>
  <si>
    <t>https://www.etsy.com/ca/listing/4330488178/embroidered-golf-baby-romper-new-to-the?transaction_id=4808210264</t>
  </si>
  <si>
    <t>https://www.etsy.com/ca/listing/4344231895/embroidered-baby-romper-shhh-im-reading?transaction_id=4816579833</t>
  </si>
  <si>
    <t>https://www.etsy.com/ca/listing/4392929794/little-latke-embroidered-romper-hanukkah?transaction_id=4816896019</t>
  </si>
  <si>
    <t>https://www.etsy.com/ca/listing/4344232490/freshly-brewed-baby-bodysuit-cute-coffee?transaction_id=4808528310</t>
  </si>
  <si>
    <t>https://www.etsy.com/ca/listing/4392929794/little-latke-embroidered-romper-hanukkah?transaction_id=4817129423</t>
  </si>
  <si>
    <t>https://www.etsy.com/ca/listing/4376389783/player-2-baby-romper-gamer-baby-outfit?transaction_id=4817480905</t>
  </si>
  <si>
    <t>https://www.etsy.com/ca/listing/4344231895/embroidered-baby-romper-shhh-im-reading?transaction_id=4809695568</t>
  </si>
  <si>
    <t>https://www.etsy.com/ca/listing/4352935112/custom-baby-romper-personalized-newborn?transaction_id=4818317325</t>
  </si>
  <si>
    <t>https://www.etsy.com/ca/listing/4352935112/custom-baby-romper-personalized-newborn?transaction_id=4809851478</t>
  </si>
  <si>
    <t>https://www.etsy.com/ca/listing/4392929794/little-latke-embroidered-romper-hanukkah?transaction_id=4818350025</t>
  </si>
  <si>
    <t>https://www.etsy.com/ca/listing/4330485404/cat-face-embroidered-baby-romper-funny?transaction_id=4809911836</t>
  </si>
  <si>
    <t>https://www.etsy.com/ca/listing/4376399899/the-littlest-book-club-member-baby?transaction_id=4810359056</t>
  </si>
  <si>
    <t>https://www.etsy.com/ca/listing/4371125103/personalized-dog-baby-bodysuit-custom?transaction_id=4818903099</t>
  </si>
  <si>
    <t>https://www.etsy.com/ca/listing/4371125103/personalized-dog-baby-bodysuit-custom?transaction_id=4818919225</t>
  </si>
  <si>
    <t>https://www.etsy.com/ca/listing/4336907597/custom-running-baby-romper-daddys-future?transaction_id=4819102141</t>
  </si>
  <si>
    <t>https://www.etsy.com/ca/listing/4376399899/the-littlest-book-club-member-baby?transaction_id=4819325883</t>
  </si>
  <si>
    <t>https://www.etsy.com/ca/listing/4330495722/embroidered-golf-baby-romper-custom?transaction_id=4810978258</t>
  </si>
  <si>
    <t>https://www.etsy.com/ca/listing/4330488178/embroidered-golf-baby-romper-new-to-the?transaction_id=4811331770</t>
  </si>
  <si>
    <t>https://www.etsy.com/ca/listing/4392929794/little-latke-embroidered-romper-hanukkah?transaction_id=4811343232</t>
  </si>
  <si>
    <t>https://www.etsy.com/ca/listing/4376392339/funny-baby-romper-my-brand-of-formula?transaction_id=4819944457</t>
  </si>
  <si>
    <t>https://www.etsy.com/ca/listing/4372357398/personalized-hunting-baby-romper-custom?transaction_id=4820224359</t>
  </si>
  <si>
    <t>https://www.etsy.com/ca/listing/4347885967/gigis-bestie-baby-bodysuit-baby-shower</t>
  </si>
  <si>
    <t>https://www.etsy.com/ca/listing/4392929794/little-latke-embroidered-romper-hanukkah?transaction_id=4804559924</t>
  </si>
  <si>
    <t>https://www.etsy.com/ca/listing/4330483435/embroidered-coffee-bean-baby-romper?transaction_id=4812488042</t>
  </si>
  <si>
    <t>https://www.etsy.com/ca/listing/4376392339/funny-baby-romper-my-brand-of-formula?transaction_id=4821323125</t>
  </si>
  <si>
    <t>https://www.etsy.com/ca/listing/4392929794/little-latke-embroidered-romper-hanukkah?transaction_id=4821495945</t>
  </si>
  <si>
    <t>https://www.etsy.com/ca/listing/4392929794/little-latke-embroidered-romper-hanukkah?transaction_id=4813385268</t>
  </si>
  <si>
    <t>https://www.etsy.com/ca/listing/4392936921/apparently-i-like-golf-embroidered?transaction_id=4813550968</t>
  </si>
  <si>
    <t>https://www.etsy.com/ca/listing/4392932100/born-to-ride-with-my-daddy-embroidered?transaction_id=4822344079</t>
  </si>
  <si>
    <t>https://www.etsy.com/ca/listing/4392932100/born-to-ride-with-my-daddy-embroidered?transaction_id=4814144518</t>
  </si>
  <si>
    <t>https://www.etsy.com/ca/listing/4346126210/daddys-future-lifting-buddy-romper-baby?transaction_id=4814340176</t>
  </si>
  <si>
    <t>https://www.etsy.com/ca/listing/4333134764/wizard-font-baby-romper-personalized?transaction_id=4823318145</t>
  </si>
  <si>
    <t>https://www.etsy.com/ca/listing/4376389783/player-2-baby-romper-gamer-baby-outfit?transaction_id=4824225989</t>
  </si>
  <si>
    <t>https://www.etsy.com/ca/listing/4392932100/born-to-ride-with-my-daddy-embroidered?transaction_id=4824225987</t>
  </si>
  <si>
    <t>https://www.etsy.com/ca/listing/4333134764/wizard-font-baby-romper-personalized?transaction_id=4815648886</t>
  </si>
  <si>
    <t>https://www.etsy.com/ca/listing/4392929794/little-latke-embroidered-romper-hanukkah?transaction_id=4816858292</t>
  </si>
  <si>
    <t>https://www.etsy.com/ca/listing/4330504400/embroidered-bicycle-baby-romper-born-to?transaction_id=4817517114</t>
  </si>
  <si>
    <t>https://www.etsy.com/ca/listing/4392929794/little-latke-embroidered-romper-hanukkah?transaction_id=4818518738</t>
  </si>
  <si>
    <t>https://www.etsy.com/ca/listing/4392936688/shhh-im-watching-motogp-with-daddy?transaction_id=4827978539</t>
  </si>
  <si>
    <t>https://www.etsy.com/ca/listing/4392929794/little-latke-embroidered-romper-hanukkah?transaction_id=4819485998</t>
  </si>
  <si>
    <t>https://www.etsy.com/ca/listing/4330474831/embroidered-hedgehog-baby-bodysuit?transaction_id=4819885272</t>
  </si>
  <si>
    <t>https://www.etsy.com/ca/listing/4376392339/funny-baby-romper-my-brand-of-formula?transaction_id=4828822419</t>
  </si>
  <si>
    <t>https://www.etsy.com/ca/listing/4330488178/embroidered-golf-baby-romper-new-to-the?transaction_id=4820268122</t>
  </si>
  <si>
    <t>https://www.etsy.com/ca/listing/4392925828/hello-grandma-embroidered-romper-i-cant?transaction_id=4829913163</t>
  </si>
  <si>
    <t>https://www.etsy.com/ca/listing/4330485404/cat-face-embroidered-baby-romper-funny?transaction_id=4829914387</t>
  </si>
  <si>
    <t>https://www.etsy.com/ca/listing/4392932100/born-to-ride-with-my-daddy-embroidered?transaction_id=4821223672</t>
  </si>
  <si>
    <t>https://www.etsy.com/ca/listing/4392935796/box-box-for-fresh-diapers-embroidered?transaction_id=4821333260</t>
  </si>
  <si>
    <t>https://www.etsy.com/ca/listing/4330488178/embroidered-golf-baby-romper-new-to-the?transaction_id=4821333258</t>
  </si>
  <si>
    <t>https://www.etsy.com/ca/listing/4371125103/personalized-dog-baby-bodysuit-custom?transaction_id=4830530457</t>
  </si>
  <si>
    <t>https://www.etsy.com/ca/listing/4392929794/little-latke-embroidered-romper-hanukkah?transaction_id=4821488636</t>
  </si>
  <si>
    <t>https://www.etsy.com/ca/listing/4371125103/personalized-dog-baby-bodysuit-custom?transaction_id=4821556832</t>
  </si>
  <si>
    <t>https://www.etsy.com/ca/listing/4347885967/gigis-bestie-baby-bodysuit-baby-shower?transaction_id=4830919287</t>
  </si>
  <si>
    <t>https://www.etsy.com/ca/listing/4369781522/crawl-walk-putt-baby-romper-funny-golf?transaction_id=4831152257</t>
  </si>
  <si>
    <t>https://www.etsy.com/ca/listing/4330488178/embroidered-golf-baby-romper-new-to-the?transaction_id=4831152255</t>
  </si>
  <si>
    <t>https://www.etsy.com/ca/listing/4392929794/little-latke-embroidered-romper-hanukkah?transaction_id=4822367496</t>
  </si>
  <si>
    <t>https://www.etsy.com/ca/listing/4393819210/sweet-dreams-are-made-of-cheese?transaction_id=4832286761</t>
  </si>
  <si>
    <t>https://www.etsy.com/ca/listing/4392929794/little-latke-embroidered-romper-hanukkah?transaction_id=4823057016</t>
  </si>
  <si>
    <t>https://www.etsy.com/ca/listing/4393855716/lil-chef-embroidered-romper-cute-baby?transaction_id=4832616651</t>
  </si>
  <si>
    <t>https://www.etsy.com/ca/listing/4330488178/embroidered-golf-baby-romper-new-to-the?transaction_id=4832830101</t>
  </si>
  <si>
    <t>https://www.etsy.com/ca/listing/4376399899/the-littlest-book-club-member-baby?transaction_id=4832872923</t>
  </si>
  <si>
    <t>https://www.etsy.com/ca/listing/4392929794/little-latke-embroidered-romper-hanukkah?transaction_id=4823703278</t>
  </si>
  <si>
    <t>https://www.etsy.com/ca/listing/4392929794/little-latke-embroidered-romper-hanukkah?transaction_id=4833190521</t>
  </si>
  <si>
    <t>https://www.etsy.com/ca/listing/4330485404/cat-face-embroidered-baby-romper-funny?transaction_id=4823802770</t>
  </si>
  <si>
    <t>https://www.etsy.com/ca/listing/4392936921/apparently-i-like-golf-embroidered?transaction_id=4823834506</t>
  </si>
  <si>
    <t>https://www.etsy.com/ca/listing/4330487785/personalized-embroidered-baby-romper?transaction_id=4823910892</t>
  </si>
  <si>
    <t>https://www.etsy.com/ca/listing/4392935796/box-box-for-fresh-diapers-embroidered?transaction_id=4824303894</t>
  </si>
  <si>
    <t>https://www.etsy.com/ca/listing/4392929794/little-latke-embroidered-romper-hanukkah?transaction_id=4833935533</t>
  </si>
  <si>
    <t>https://www.etsy.com/ca/listing/4392932100/born-to-ride-with-my-daddy-embroidered?transaction_id=4834142349</t>
  </si>
  <si>
    <t>https://www.etsy.com/ca/listing/4376399899/the-littlest-book-club-member-baby?transaction_id=4834266841</t>
  </si>
  <si>
    <t>https://www.etsy.com/ca/listing/4330488178/embroidered-golf-baby-romper-new-to-the?transaction_id=4834336723</t>
  </si>
  <si>
    <t>www.etsy.com/ca/listing/4376389783/player-2-baby-romper-gamer-baby-outfit?transaction_id=4834361419</t>
  </si>
  <si>
    <t>https://www.etsy.com/ca/listing/4392929794/little-latke-embroidered-romper-hanukkah?transaction_id=4825064008</t>
  </si>
  <si>
    <t>https://www.etsy.com/ca/listing/4330488178/embroidered-golf-baby-romper-new-to-the?transaction_id=4834873063</t>
  </si>
  <si>
    <t>https://www.etsy.com/ca/listing/4369764524/embroidered-snowman-baby-romper?transaction_id=4834902171</t>
  </si>
  <si>
    <t>https://www.etsy.com/ca/listing/4330488178/embroidered-golf-baby-romper-new-to-the?transaction_id=4835024489</t>
  </si>
  <si>
    <t>https://www.etsy.com/ca/listing/4376392339/funny-baby-romper-my-brand-of-formula?transaction_id=4835132377</t>
  </si>
  <si>
    <t>https://www.etsy.com/ca/listing/4392936921/apparently-i-like-golf-embroidered?transaction_id=4835171473</t>
  </si>
  <si>
    <t>https://www.etsy.com/ca/listing/4392929794/little-latke-embroidered-romper-hanukkah?transaction_id=4825588060</t>
  </si>
  <si>
    <t>https://www.etsy.com/ca/listing/4392929794/little-latke-embroidered-romper-hanukkah?transaction_id=4825675808</t>
  </si>
  <si>
    <t>https://www.etsy.com/ca/listing/4392929794/little-latke-embroidered-romper-hanukkah?transaction_id=4825701904</t>
  </si>
  <si>
    <t>https://www.etsy.com/ca/listing/4392929794/little-latke-embroidered-romper-hanukkah?transaction_id=4825752860</t>
  </si>
  <si>
    <t>https://www.etsy.com/ca/listing/4376389783/player-2-baby-romper-gamer-baby-outfit?transaction_id=4825780760</t>
  </si>
  <si>
    <t>https://www.etsy.com/ca/listing/4392929794/little-latke-embroidered-romper-hanukkah?transaction_id=4825923918</t>
  </si>
  <si>
    <t>https://www.etsy.com/ca/listing/4330488178/embroidered-golf-baby-romper-new-to-the?transaction_id=4835724507</t>
  </si>
  <si>
    <t>https://www.etsy.com/ca/listing/4392929794/little-latke-embroidered-romper-hanukkah?transaction_id=4835967145</t>
  </si>
  <si>
    <t>https://www.etsy.com/ca/listing/4392929794/little-latke-embroidered-romper-hanukkah?transaction_id=4826317594</t>
  </si>
  <si>
    <t>https://www.etsy.com/ca/listing/4330492512/funny-goose-embroidered-baby-romper?transaction_id=4826354598</t>
  </si>
  <si>
    <t>https://www.etsy.com/ca/listing/4371125103/personalized-dog-baby-bodysuit-custom?transaction_id=4836235457</t>
  </si>
  <si>
    <t>https://www.etsy.com/ca/listing/4393855716/lil-chef-embroidered-romper-cute-baby?transaction_id=4826588198</t>
  </si>
  <si>
    <t>https://www.etsy.com/ca/listing/4376401181/challah-at-your-girl-baby-bodysuit-funny?transaction_id=4836694975</t>
  </si>
  <si>
    <t>https://www.etsy.com/ca/listing/4392929794/little-latke-embroidered-romper-hanukkah?transaction_id=4826804620</t>
  </si>
  <si>
    <t>https://www.etsy.com/ca/listing/4376392339/funny-baby-romper-my-brand-of-formula?transaction_id=4837409439</t>
  </si>
  <si>
    <t>https://www.etsy.com/ca/listing/4330488178/embroidered-golf-baby-romper-new-to-the?transaction_id=4837713919</t>
  </si>
  <si>
    <t>https://www.etsy.com/ca/listing/4336907597/custom-running-baby-romper-daddys-future?transaction_id=4837831831</t>
  </si>
  <si>
    <t>https://www.etsy.com/ca/listing/4392932100/born-to-ride-with-my-daddy-embroidered?transaction_id=4827877884</t>
  </si>
  <si>
    <t>https://www.etsy.com/ca/listing/4392929794/little-latke-embroidered-romper-hanukkah?transaction_id=4828064350</t>
  </si>
  <si>
    <t>https://www.etsy.com/ca/listing/4330488178/embroidered-golf-baby-romper-new-to-the?transaction_id=4838214863</t>
  </si>
  <si>
    <t>https://www.etsy.com/ca/listing/4376392339/funny-baby-romper-my-brand-of-formula?transaction_id=4828194470</t>
  </si>
  <si>
    <t>https://www.etsy.com/ca/listing/4392929794/little-latke-embroidered-romper-hanukkah?transaction_id=4838357341</t>
  </si>
  <si>
    <t>https://www.etsy.com/ca/listing/4393819210/sweet-dreams-are-made-of-cheese?transaction_id=4828312364</t>
  </si>
  <si>
    <t>https://www.etsy.com/ca/listing/4392929794/little-latke-embroidered-romper-hanukkah?transaction_id=4839076481</t>
  </si>
  <si>
    <t>https://www.etsy.com/ca/listing/4392929794/little-latke-embroidered-romper-hanukkah?transaction_id=4839093187</t>
  </si>
  <si>
    <t>https://www.etsy.com/ca/listing/4347885967/gigis-bestie-baby-bodysuit-baby-shower?transaction_id=4839140737</t>
  </si>
  <si>
    <t>https://www.etsy.com/ca/listing/4392929794/little-latke-embroidered-romper-hanukkah?transaction_id=4828859680</t>
  </si>
  <si>
    <t>https://www.etsy.com/ca/listing/4330499355/born-to-fix-like-my-daddy-baby-romper?transaction_id=4839543895</t>
  </si>
  <si>
    <t>https://www.etsy.com/ca/listing/4343133680/embroidered-bowling-baby-bodysuit-crawl?transaction_id=4839594921</t>
  </si>
  <si>
    <t>https://www.etsy.com/ca/listing/4336905599/personalized-swimming-baby-romper-daddys?transaction_id=4839690741</t>
  </si>
  <si>
    <t>https://www.etsy.com/ca/listing/4392929794/little-latke-embroidered-romper-hanukkah?transaction_id=4829390274</t>
  </si>
  <si>
    <t>https://www.etsy.com/ca/listing/4392932100/born-to-ride-with-my-daddy-embroidered?transaction_id=4840029619</t>
  </si>
  <si>
    <t>https://www.etsy.com/ca/listing/4343133641/golf-skills-loading-embroidered-baby?transaction_id=4829698182</t>
  </si>
  <si>
    <t>https://www.etsy.com/ca/listing/4371125103/personalized-dog-baby-bodysuit-custom?transaction_id=4840380593</t>
  </si>
  <si>
    <t>https://www.etsy.com/ca/listing/4376392339/funny-baby-romper-my-brand-of-formula?transaction_id=4829952598</t>
  </si>
  <si>
    <t>https://www.etsy.com/ca/listing/4376401181/challah-at-your-girl-baby-bodysuit-funny?transaction_id=4830030820</t>
  </si>
  <si>
    <t>https://www.etsy.com/ca/listing/4344235128/new-to-the-hive-baby-romper-embroidered?transaction_id=4830039076</t>
  </si>
  <si>
    <t>https://www.etsy.com/ca/listing/4343130134/embroidered-golf-baby-bodysuit-funny?transaction_id=4840521365</t>
  </si>
  <si>
    <t>https://www.etsy.com/ca/listing/4346126210/daddys-future-lifting-buddy-romper-baby?transaction_id=4840540997</t>
  </si>
  <si>
    <t>https://www.etsy.com/ca/listing/4371125103/personalized-dog-baby-bodysuit-custom?transaction_id=4830152730</t>
  </si>
  <si>
    <t>https://www.etsy.com/ca/listing/4330488178/embroidered-golf-baby-romper-new-to-the?transaction_id=4840913493</t>
  </si>
  <si>
    <t>https://www.etsy.com/ca/listing/4396750091/mamas-little-latke-embroidered-baby?transaction_id=4830730266</t>
  </si>
  <si>
    <t>https://www.etsy.com/ca/listing/4392936921/apparently-i-like-golf-embroidered?transaction_id=4830950046</t>
  </si>
  <si>
    <t>https://www.etsy.com/ca/listing/4392929794/little-latke-embroidered-romper-hanukkah?transaction_id=4841809237</t>
  </si>
  <si>
    <t>https://www.etsy.com/ca/listing/4330488178/embroidered-golf-baby-romper-new-to-the?transaction_id=4841827823</t>
  </si>
  <si>
    <t>https://www.etsy.com/ca/listing/4330488178/embroidered-golf-baby-romper-new-to-the?transaction_id=4831215414</t>
  </si>
  <si>
    <t>https://www.etsy.com/ca/listing/4330488178/embroidered-golf-baby-romper-new-to-the?transaction_id=4831215412</t>
  </si>
  <si>
    <t>https://www.etsy.com/ca/listing/4392929794/little-latke-embroidered-romper-hanukkah?transaction_id=4831242206</t>
  </si>
  <si>
    <t>https://www.etsy.com/ca/listing/4392929794/little-latke-embroidered-romper-hanukkah?transaction_id=4831294324</t>
  </si>
  <si>
    <t>https://www.etsy.com/ca/listing/4346126210/daddys-future-lifting-buddy-romper-baby?transaction_id=4842039055</t>
  </si>
  <si>
    <t>https://www.etsy.com/ca/listing/4376389783/player-2-baby-romper-gamer-baby-outfit?transaction_id=4842085133</t>
  </si>
  <si>
    <t>https://www.etsy.com/ca/listing/4330485404/cat-face-embroidered-baby-romper-funny?transaction_id=4842089139</t>
  </si>
  <si>
    <t>https://www.etsy.com/ca/listing/4343133641/golf-skills-loading-embroidered-baby?transaction_id=4831568176</t>
  </si>
  <si>
    <t>https://www.etsy.com/ca/listing/4330504943/embroidered-tennis-baby-romper-daddys?transaction_id=4831627370</t>
  </si>
  <si>
    <t>https://www.etsy.com/ca/listing/4396750091/mamas-little-latke-embroidered-baby?transaction_id=4842539573</t>
  </si>
  <si>
    <t>https://www.etsy.com/ca/listing/4392935796/box-box-for-fresh-diapers-embroidered?transaction_id=4842776271</t>
  </si>
  <si>
    <t>https://www.etsy.com/ca/listing/4352935112/custom-baby-romper-personalized-newborn?transaction_id=4843165983</t>
  </si>
  <si>
    <t>https://www.etsy.com/ca/listing/4396731652/personalized-babys-first-christmas?transaction_id=4843188545</t>
  </si>
  <si>
    <t>https://www.etsy.com/ca/listing/4392936921/apparently-i-like-golf-embroidered?transaction_id=4832687578</t>
  </si>
  <si>
    <t>https://www.etsy.com/ca/listing/4371125103/personalized-dog-baby-bodysuit-custom?transaction_id=4843925027</t>
  </si>
  <si>
    <t>https://www.etsy.com/ca/listing/4344237949/great-grandma-baby-romper-embroidered?transaction_id=4833514066</t>
  </si>
  <si>
    <t>https://www.etsy.com/ca/listing/4336899579/personalized-basketball-baby-romper?transaction_id=4844999243</t>
  </si>
  <si>
    <t>https://www.etsy.com/ca/listing/4392929794/little-latke-embroidered-romper-hanukkah?transaction_id=4833922810</t>
  </si>
  <si>
    <t>https://www.etsy.com/ca/listing/4376399899/the-littlest-book-club-member-baby?transaction_id=4834378530</t>
  </si>
  <si>
    <t>https://www.etsy.com/ca/listing/4371125103/personalized-dog-baby-bodysuit-custom?transaction_id=4834815928</t>
  </si>
  <si>
    <t>https://www.etsy.com/ca/listing/4379194627/new-to-the-farm-embroidered-romper-baby?transaction_id=4834862858</t>
  </si>
  <si>
    <t>https://www.etsy.com/ca/listing/4330478867/personalized-hippo-baby-bodysuit-custom?transaction_id=4835152714</t>
  </si>
  <si>
    <t>https://www.etsy.com/ca/listing/4330485404/cat-face-embroidered-baby-romper-funny?transaction_id=4835569368</t>
  </si>
  <si>
    <t>https://www.etsy.com/ca/listing/4392929794/little-latke-embroidered-romper-hanukkah?transaction_id=4847073257</t>
  </si>
  <si>
    <t>https://www.etsy.com/ca/listing/4333134764/wizard-font-baby-romper-personalized?transaction_id=4847191001</t>
  </si>
  <si>
    <t>https://www.etsy.com/ca/listing/4336903235/personalized-tennis-baby-romper?transaction_id=4836033950</t>
  </si>
  <si>
    <t>https://www.etsy.com/ca/listing/4346126210/daddys-future-lifting-buddy-romper-baby?transaction_id=4848064345</t>
  </si>
  <si>
    <t>https://www.etsy.com/ca/listing/4347260564/football-baby-romper-game-day-baby?transaction_id=4836790522</t>
  </si>
  <si>
    <t>https://www.etsy.com/ca/listing/4376401181/challah-at-your-girl-baby-bodysuit-funny?transaction_id=4836905376</t>
  </si>
  <si>
    <t>https://www.etsy.com/ca/listing/4336900156/personalized-soccer-baby-romper?transaction_id=4837114200</t>
  </si>
  <si>
    <t>https://www.etsy.com/ca/listing/4330488178/embroidered-golf-baby-romper-new-to-the?transaction_id=4849357745</t>
  </si>
  <si>
    <t>https://www.etsy.com/ca/listing/4330488178/embroidered-golf-baby-romper-new-to-the?transaction_id=4849357741</t>
  </si>
  <si>
    <t>https://www.etsy.com/ca/listing/4346126210/daddys-future-lifting-buddy-romper-baby?transaction_id=4849415519</t>
  </si>
  <si>
    <t>https://www.etsy.com/ca/listing/4392929794/little-latke-embroidered-romper-hanukkah?transaction_id=4838021766</t>
  </si>
  <si>
    <t>https://www.etsy.com/ca/listing/4392929794/little-latke-embroidered-romper-hanukkah?transaction_id=4850643351</t>
  </si>
  <si>
    <t>https://www.etsy.com/ca/listing/4379194627/new-to-the-farm-embroidered-romper-baby?transaction_id=4840461952</t>
  </si>
  <si>
    <t>https://www.etsy.com/ca/listing/4392929794/little-latke-embroidered-romper-hanukkah?transaction_id=4840795382</t>
  </si>
  <si>
    <t xml:space="preserve">, </t>
  </si>
  <si>
    <t>https://www.etsy.com/ca/listing/4392936921/apparently-i-like-golf-embroidered?transaction_id=4840857912</t>
  </si>
  <si>
    <t>https://www.etsy.com/ca/listing/4330485404/cat-face-embroidered-baby-romper-funny?transaction_id=4841190498</t>
  </si>
  <si>
    <t>https://www.etsy.com/ca/listing/4346126210/daddys-future-lifting-buddy-romper-baby?transaction_id=4841386696</t>
  </si>
  <si>
    <t>https://www.etsy.com/ca/listing/4392929794/little-latke-embroidered-romper-hanukkah?transaction_id=4841463136</t>
  </si>
  <si>
    <t>https://www.etsy.com/ca/listing/4376399899/the-littlest-book-club-member-baby?transaction_id=4854052517</t>
  </si>
  <si>
    <t>https://www.etsy.com/ca/listing/4392935796/box-box-for-fresh-diapers-embroidered?transaction_id=4855323573</t>
  </si>
  <si>
    <t>https://www.etsy.com/ca/listing/4376399899/the-littlest-book-club-member-baby?transaction_id=4855773915</t>
  </si>
  <si>
    <t>https://www.etsy.com/ca/listing/4376399899/the-littlest-book-club-member-baby?transaction_id=4856026739</t>
  </si>
  <si>
    <t>https://www.etsy.com/ca/listing/4376389783/player-2-baby-romper-gamer-baby-outfit?transaction_id=4856147203</t>
  </si>
  <si>
    <t>https://www.etsy.com/ca/listing/4347260564/football-baby-romper-game-day-baby?transaction_id=4843581676</t>
  </si>
  <si>
    <t>https://www.etsy.com/ca/listing/4330485404/cat-face-embroidered-baby-romper-funny?transaction_id=4843590166</t>
  </si>
  <si>
    <t>https://www.etsy.com/ca/listing/4330488178/embroidered-golf-baby-romper-new-to-the?transaction_id=4843600768</t>
  </si>
  <si>
    <t>https://www.etsy.com/ca/listing/4352935112/custom-baby-romper-personalized-newborn?transaction_id=4844419070</t>
  </si>
  <si>
    <t>https://www.etsy.com/ca/listing/4330485404/cat-face-embroidered-baby-romper-funny?transaction_id=4857344845</t>
  </si>
  <si>
    <t>https://www.etsy.com/ca/listing/4330492054/embroidered-baby-romper-cutie-pie-design?transaction_id=4844773376</t>
  </si>
  <si>
    <t>https://www.etsy.com/ca/listing/4333134764/wizard-font-baby-romper-personalized?transaction_id=4857539875</t>
  </si>
  <si>
    <t>https://www.etsy.com/ca/listing/4392929794/little-latke-embroidered-romper-hanukkah?transaction_id=4857591981</t>
  </si>
  <si>
    <t>https://www.etsy.com/ca/listing/4330474831/embroidered-hedgehog-baby-bodysuit?transaction_id=4857830821</t>
  </si>
  <si>
    <t>https://www.etsy.com/ca/listing/4376401181/challah-at-your-girl-baby-bodysuit-funny?transaction_id=4858359967</t>
  </si>
  <si>
    <t>https://www.etsy.com/ca/listing/4392935796/box-box-for-fresh-diapers-embroidered?transaction_id=4845560574</t>
  </si>
  <si>
    <t>https://www.etsy.com/ca/listing/4371125103/personalized-dog-baby-bodysuit-custom?transaction_id=4846019980</t>
  </si>
  <si>
    <t>https://www.etsy.com/ca/listing/4376401181/challah-at-your-girl-baby-bodysuit-funny?transaction_id=4859044069</t>
  </si>
  <si>
    <t>https://www.etsy.com/ca/listing/4376389783/player-2-baby-romper-gamer-baby-outfit?transaction_id=4846232776</t>
  </si>
  <si>
    <t>https://www.etsy.com/ca/listing/4392936921/apparently-i-like-golf-embroidered?transaction_id=4859261249</t>
  </si>
  <si>
    <t>https://www.etsy.com/ca/listing/4392929794/little-latke-embroidered-romper-hanukkah?transaction_id=4847070222</t>
  </si>
  <si>
    <t>https://www.etsy.com/ca/listing/4392936921/apparently-i-like-golf-embroidered?transaction_id=4847175176</t>
  </si>
  <si>
    <t>https://www.etsy.com/ca/listing/4392929794/little-latke-embroidered-romper-hanukkah?transaction_id=4860202549</t>
  </si>
  <si>
    <t>https://www.etsy.com/ca/listing/4371125103/personalized-dog-baby-bodysuit-custom?transaction_id=4860278387</t>
  </si>
  <si>
    <t>https://www.etsy.com/ca/listing/4376389783/player-2-baby-romper-gamer-baby-outfit?transaction_id=4860741727&amp;dd_referrer=</t>
  </si>
  <si>
    <t>https://www.etsy.com/ca/listing/4376399899/the-littlest-book-club-member-baby?transaction_id=4848074858</t>
  </si>
  <si>
    <t>https://www.etsy.com/ca/listing/4376399899/the-littlest-book-club-member-baby?transaction_id=4848074856</t>
  </si>
  <si>
    <t>https://www.etsy.com/ca/listing/4376392339/funny-baby-romper-my-brand-of-formula?transaction_id=4848125872</t>
  </si>
  <si>
    <t>https://www.etsy.com/ca/listing/4336899579/personalized-basketball-baby-romper?transaction_id=4848490208</t>
  </si>
  <si>
    <t>https://www.etsy.com/ca/listing/4344231895/embroidered-baby-romper-shhh-im-reading?transaction_id=4861599579</t>
  </si>
  <si>
    <t>https://www.etsy.com/ca/listing/4346126210/daddys-future-lifting-buddy-romper-baby?transaction_id=4861752591</t>
  </si>
  <si>
    <t>https://www.etsy.com/ca/listing/4371125103/personalized-dog-baby-bodysuit-custom?transaction_id=4848772802</t>
  </si>
  <si>
    <t>https://www.etsy.com/ca/listing/4330488178/embroidered-golf-baby-romper-new-to-the?transaction_id=4862651945</t>
  </si>
  <si>
    <t>https://www.etsy.com/ca/listing/4346126210/daddys-future-lifting-buddy-romper-baby?transaction_id=4849830428</t>
  </si>
  <si>
    <t>https://www.etsy.com/ca/listing/4330479964/personalized-fox-baby-bodysuit-custom?transaction_id=4849993922</t>
  </si>
  <si>
    <t>https://www.etsy.com/ca/listing/4371125103/personalized-dog-baby-bodysuit-custom?transaction_id=4863186641</t>
  </si>
  <si>
    <t>https://www.etsy.com/ca/listing/4392929794/little-latke-embroidered-romper-hanukkah?transaction_id=4850441536</t>
  </si>
  <si>
    <t>https://www.etsy.com/ca/listing/4343131516/embroidered-pickleball-baby-bodysuit?transaction_id=4850687700</t>
  </si>
  <si>
    <t>https://www.etsy.com/ca/listing/4372352286/silly-goose-baby-romper-funny-infant?transaction_id=4850701530</t>
  </si>
  <si>
    <t>https://www.etsy.com/ca/listing/4392932100/born-to-ride-with-my-daddy-embroidered?transaction_id=4851090820</t>
  </si>
  <si>
    <t>https://www.etsy.com/ca/listing/4376392339/funny-baby-romper-my-brand-of-formula?transaction_id=4851133384</t>
  </si>
  <si>
    <t>https://www.etsy.com/ca/listing/4392929794/little-latke-embroidered-romper-hanukkah?transaction_id=4851387206</t>
  </si>
  <si>
    <t>https://www.etsy.com/ca/listing/4344231895/embroidered-baby-romper-shhh-im-reading?transaction_id=4864922225</t>
  </si>
  <si>
    <t>https://www.etsy.com/ca/listing/4376392339/funny-baby-romper-my-brand-of-formula?transaction_id=4865046655</t>
  </si>
  <si>
    <t>https://www.etsy.com/ca/listing/4330477824/embroidered-crocodile-baby-bodysuit?transaction_id=4851781006</t>
  </si>
  <si>
    <t>https://www.etsy.com/ca/listing/4392936688/shhh-im-watching-motogp-with-daddy?transaction_id=4865058543</t>
  </si>
  <si>
    <t>https://www.etsy.com/ca/listing/4371125103/personalized-dog-baby-bodysuit-custom?transaction_id=4851875430</t>
  </si>
  <si>
    <t>https://www.etsy.com/ca/listing/4376389783/player-2-baby-romper-gamer-baby-outfit?transaction_id=4865226661</t>
  </si>
  <si>
    <t>https://www.etsy.com/ca/listing/4392929794/little-latke-embroidered-romper-hanukkah?transaction_id=4852556518</t>
  </si>
  <si>
    <t>https://www.etsy.com/ca/listing/4376399899/the-littlest-book-club-member-baby?transaction_id=4865910307</t>
  </si>
  <si>
    <t>https://www.etsy.com/ca/listing/4371125103/personalized-dog-baby-bodysuit-custom?transaction_id=4866004655</t>
  </si>
  <si>
    <t>https://www.etsy.com/ca/listing/4379194627/new-to-the-farm-embroidered-romper-baby?transaction_id=4852791974</t>
  </si>
  <si>
    <t>https://www.etsy.com/ca/listing/4392929794/little-latke-embroidered-romper-hanukkah?transaction_id=4866851951</t>
  </si>
  <si>
    <t>https://www.etsy.com/ca/listing/4372352286/silly-goose-baby-romper-funny-infant?transaction_id=4853725384</t>
  </si>
  <si>
    <t>https://www.etsy.com/ca/listing/4392932100/born-to-ride-with-my-daddy-embroidered?transaction_id=4867372495</t>
  </si>
  <si>
    <t>https://www.etsy.com/ca/listing/4344231895/embroidered-baby-romper-shhh-im-reading?transaction_id=4854621734</t>
  </si>
  <si>
    <t>https://www.etsy.com/ca/listing/4392929794/little-latke-embroidered-romper-hanukkah?transaction_id=4868495507</t>
  </si>
  <si>
    <t>https://www.etsy.com/ca/listing/4330488178/embroidered-golf-baby-romper-new-to-the?transaction_id=4854877930</t>
  </si>
  <si>
    <t>https://www.etsy.com/ca/listing/4392935796/box-box-for-fresh-diapers-embroidered?transaction_id=4868567813</t>
  </si>
  <si>
    <t>https://www.etsy.com/ca/listing/4371125103/personalized-dog-baby-bodysuit-custom?transaction_id=4868710179</t>
  </si>
  <si>
    <t>https://www.etsy.com/ca/listing/4376399899/the-littlest-book-club-member-baby?transaction_id=4855119846</t>
  </si>
  <si>
    <t>https://www.etsy.com/ca/listing/4392929794/little-latke-embroidered-romper-hanukkah?transaction_id=4855389840</t>
  </si>
  <si>
    <t>https://www.etsy.com/ca/listing/4371125103/personalized-dog-baby-bodysuit-custom?transaction_id=4855456748</t>
  </si>
  <si>
    <t>https://www.etsy.com/ca/listing/4392929794/little-latke-embroidered-romper-hanukkah?transaction_id=4869274739</t>
  </si>
  <si>
    <t>https://www.etsy.com/ca/listing/4392929794/little-latke-embroidered-romper-hanukkah?transaction_id=4855670554</t>
  </si>
  <si>
    <t>https://www.etsy.com/ca/listing/4371112234/personalized-pet-line-art-baby-bodysuit?transaction_id=4869776657</t>
  </si>
  <si>
    <t>https://www.etsy.com/ca/listing/4392935796/box-box-for-fresh-diapers-embroidered?transaction_id=4869823017</t>
  </si>
  <si>
    <t>https://www.etsy.com/ca/listing/4336907597/custom-running-baby-romper-daddys-future?transaction_id=4869926435</t>
  </si>
  <si>
    <t>https://www.etsy.com/ca/listing/4371125103/personalized-dog-baby-bodysuit-custom?transaction_id=4856097780</t>
  </si>
  <si>
    <t>https://www.etsy.com/ca/listing/4371125103/personalized-dog-baby-bodysuit-custom?transaction_id=4870023497</t>
  </si>
  <si>
    <t>https://www.etsy.com/ca/listing/4372352286/silly-goose-baby-romper-funny-infant?transaction_id=4870233229</t>
  </si>
  <si>
    <t>https://www.etsy.com/ca/listing/4376399899/the-littlest-book-club-member-baby?transaction_id=4856411976</t>
  </si>
  <si>
    <t>https://www.etsy.com/ca/listing/4392929794/little-latke-embroidered-romper-hanukkah?transaction_id=4870979747</t>
  </si>
  <si>
    <t>https://www.etsy.com/ca/listing/4392936921/apparently-i-like-golf-embroidered?transaction_id=4857156042</t>
  </si>
  <si>
    <t>https://www.etsy.com/ca/listing/4344231895/embroidered-baby-romper-shhh-im-reading?transaction_id=4857209988</t>
  </si>
  <si>
    <t>https://www.etsy.com/ca/listing/4376399899/the-littlest-book-club-member-baby?transaction_id=4857209986</t>
  </si>
  <si>
    <t>https://www.etsy.com/ca/listing/4392932100/born-to-ride-with-my-daddy-embroidered?transaction_id=4871912061</t>
  </si>
  <si>
    <t>https://www.etsy.com/ca/listing/4392935796/box-box-for-fresh-diapers-embroidered?transaction_id=4872017743</t>
  </si>
  <si>
    <t>https://www.etsy.com/ca/listing/4344231895/embroidered-baby-romper-shhh-im-reading?transaction_id=4857862464</t>
  </si>
  <si>
    <t>https://www.etsy.com/ca/listing/4392929794/little-latke-embroidered-romper-hanukkah?transaction_id=4872162051</t>
  </si>
  <si>
    <t>https://www.etsy.com/ca/listing/4392929794/little-latke-embroidered-romper-hanukkah?transaction_id=4872288705</t>
  </si>
  <si>
    <t>https://www.etsy.com/ca/listing/4392929794/little-latke-embroidered-romper-hanukkah?transaction_id=4872288703</t>
  </si>
  <si>
    <t>https://www.etsy.com/ca/listing/4330488178/embroidered-golf-baby-romper-new-to-the?transaction_id=4872383461</t>
  </si>
  <si>
    <t>https://www.etsy.com/ca/listing/4392929794/little-latke-embroidered-romper-hanukkah?transaction_id=4858156008</t>
  </si>
  <si>
    <t>https://www.etsy.com/ca/listing/4371125103/personalized-dog-baby-bodysuit-custom?transaction_id=4858329686</t>
  </si>
  <si>
    <t>https://www.etsy.com/ca/listing/4330485404/cat-face-embroidered-baby-romper-funny?transaction_id=4872883375</t>
  </si>
  <si>
    <t>https://www.etsy.com/ca/listing/4392929794/little-latke-embroidered-romper-hanukkah?transaction_id=4858566246</t>
  </si>
  <si>
    <t>https://www.etsy.com/ca/listing/4371125103/personalized-dog-baby-bodysuit-custom?transaction_id=4873226763</t>
  </si>
  <si>
    <t>https://www.etsy.com/ca/listing/4392962015/cant-wait-to-jam-with-daddy-embroidered?transaction_id=4873539821</t>
  </si>
  <si>
    <t>https://www.etsy.com/ca/listing/4346126210/daddys-future-lifting-buddy-romper-baby?transaction_id=4859129110</t>
  </si>
  <si>
    <t>https://www.etsy.com/ca/listing/4330488178/embroidered-golf-baby-romper-new-to-the?transaction_id=4859183606</t>
  </si>
  <si>
    <t>https://www.etsy.com/ca/listing/4371125103/personalized-dog-baby-bodysuit-custom?transaction_id=4873692789</t>
  </si>
  <si>
    <t>https://www.etsy.com/ca/listing/4372357398/personalized-hunting-baby-romper-custom?transaction_id=4859479316</t>
  </si>
  <si>
    <t>https://www.etsy.com/ca/listing/4344231895/embroidered-baby-romper-shhh-im-reading?transaction_id=4859550342</t>
  </si>
  <si>
    <t>https://www.etsy.com/ca/listing/4392929794/little-latke-embroidered-romper-hanukkah?transaction_id=4874086211</t>
  </si>
  <si>
    <t>https://www.etsy.com/ca/listing/4347894651/giraffe-baby-bodysuit-you-bet-giraffe-im?transaction_id=4874529319</t>
  </si>
  <si>
    <t>https://www.etsy.com/ca/listing/4392932100/born-to-ride-with-my-daddy-embroidered?transaction_id=4860100358</t>
  </si>
  <si>
    <t>https://www.etsy.com/ca/listing/4376389783/player-2-baby-romper-gamer-baby-outfit?transaction_id=4875410555</t>
  </si>
  <si>
    <t>https://www.etsy.com/ca/listing/4371125103/personalized-dog-baby-bodysuit-custom?transaction_id=4875561349</t>
  </si>
  <si>
    <t>https://www.etsy.com/ca/listing/4392936688/shhh-im-watching-motogp-with-daddy?transaction_id=4860971376</t>
  </si>
  <si>
    <t>https://www.etsy.com/ca/listing/4346126210/daddys-future-lifting-buddy-romper-baby?transaction_id=4875914889</t>
  </si>
  <si>
    <t>https://www.etsy.com/ca/listing/4376392339/funny-baby-romper-my-brand-of-formula?transaction_id=4861564616</t>
  </si>
  <si>
    <t>https://www.etsy.com/ca/listing/4392929794/little-latke-embroidered-romper-hanukkah?transaction_id=4876267957</t>
  </si>
  <si>
    <t>https://www.etsy.com/ca/listing/4392929794/little-latke-embroidered-romper-hanukkah?transaction_id=4861578816</t>
  </si>
  <si>
    <t>https://www.etsy.com/ca/listing/4333134764/wizard-font-baby-romper-personalized?transaction_id=4876267959</t>
  </si>
  <si>
    <t>https://www.etsy.com/ca/listing/4392929794/little-latke-embroidered-romper-hanukkah?transaction_id=4876556047</t>
  </si>
  <si>
    <t>https://www.etsy.com/ca/listing/4330485404/cat-face-embroidered-baby-romper-funny?transaction_id=4861893832</t>
  </si>
  <si>
    <t>https://www.etsy.com/ca/listing/4372352286/silly-goose-baby-romper-funny-infant?transaction_id=4861902508</t>
  </si>
  <si>
    <t>https://www.etsy.com/ca/listing/4372352286/silly-goose-baby-romper-funny-infant?transaction_id=4862045178</t>
  </si>
  <si>
    <t>https://www.etsy.com/ca/listing/4392932100/born-to-ride-with-my-daddy-embroidered?transaction_id=4862055226</t>
  </si>
  <si>
    <t>https://www.etsy.com/ca/listing/4371125103/personalized-dog-baby-bodysuit-custom?transaction_id=4877204285</t>
  </si>
  <si>
    <t>https://www.etsy.com/ca/listing/4336902854/personalized-football-baby-romper-daddys?transaction_id=4877587813</t>
  </si>
  <si>
    <t>https://www.etsy.com/ca/listing/4392932100/born-to-ride-with-my-daddy-embroidered?transaction_id=4877624189</t>
  </si>
  <si>
    <t>https://www.etsy.com/ca/listing/4330488178/embroidered-golf-baby-romper-new-to-the?transaction_id=4877726859</t>
  </si>
  <si>
    <t>https://www.etsy.com/ca/listing/4392962015/cant-wait-to-jam-with-daddy-embroidered?transaction_id=4877860395</t>
  </si>
  <si>
    <t>https://www.etsy.com/ca/listing/4392962015/cant-wait-to-jam-with-daddy-embroidered?transaction_id=4863851092</t>
  </si>
  <si>
    <t>https://www.etsy.com/ca/listing/4376389783/player-2-baby-romper-gamer-baby-outfit?transaction_id=4864072152</t>
  </si>
  <si>
    <t>https://www.etsy.com/ca/listing/4376389783/player-2-baby-romper-gamer-baby-outfit?transaction_id=4864072150</t>
  </si>
  <si>
    <t>https://www.etsy.com/ca/listing/4376399899/the-littlest-book-club-member-baby?transaction_id=4879156403</t>
  </si>
  <si>
    <t>https://www.etsy.com/ca/listing/4371125103/personalized-dog-baby-bodysuit-custom?transaction_id=4864361708</t>
  </si>
  <si>
    <t>https://www.etsy.com/ca/listing/4330463387/embroidered-baby-romper-relax-mommy-is-a?transaction_id=4879318535</t>
  </si>
  <si>
    <t>https://www.etsy.com/ca/listing/4376399899/the-littlest-book-club-member-baby?transaction_id=4864549578</t>
  </si>
  <si>
    <t>https://www.etsy.com/ca/listing/4392929794/little-latke-embroidered-romper-hanukkah?transaction_id=4879736441</t>
  </si>
  <si>
    <t>https://www.etsy.com/ca/listing/4344231895/embroidered-baby-romper-shhh-im-reading?transaction_id=4879826921</t>
  </si>
  <si>
    <t>https://www.etsy.com/ca/listing/4392936921/apparently-i-like-golf-embroidered?transaction_id=4864903980</t>
  </si>
  <si>
    <t>https://www.etsy.com/ca/listing/4376389783/player-2-baby-romper-gamer-baby-outfit?transaction_id=4880351691</t>
  </si>
  <si>
    <t>https://www.etsy.com/ca/listing/4351827687/handsome-just-like-daddy-baby-romper?transaction_id=4865442062</t>
  </si>
  <si>
    <t>https://www.etsy.com/ca/listing/4330474831/embroidered-hedgehog-baby-bodysuit?transaction_id=4865583132</t>
  </si>
  <si>
    <t>https://www.etsy.com/ca/listing/4371125103/personalized-dog-baby-bodysuit-custom?transaction_id=4880796203</t>
  </si>
  <si>
    <t>https://www.etsy.com/ca/listing/4330488178/embroidered-golf-baby-romper-new-to-the?transaction_id=4880953625</t>
  </si>
  <si>
    <t>https://www.etsy.com/ca/listing/4392929794/little-latke-embroidered-romper-hanukkah?transaction_id=4881090023</t>
  </si>
  <si>
    <t>https://www.etsy.com/ca/listing/4347880114/funny-baby-romper-sorry-i-tooted-outfit?transaction_id=4865989084</t>
  </si>
  <si>
    <t>https://www.etsy.com/ca/listing/4346126111/promoted-to-big-brother-romper?transaction_id=4866616984</t>
  </si>
  <si>
    <t>https://www.etsy.com/ca/listing/4379194627/new-to-the-farm-embroidered-romper-baby?transaction_id=4866845154</t>
  </si>
  <si>
    <t>https://www.etsy.com/ca/listing/4330488178/embroidered-golf-baby-romper-new-to-the?transaction_id=4867118654</t>
  </si>
  <si>
    <t>https://www.etsy.com/ca/listing/4392925828/hello-grandma-embroidered-romper-i-cant?transaction_id=4882809817</t>
  </si>
  <si>
    <t>https://www.etsy.com/ca/listing/4336907597/custom-running-baby-romper-daddys-future?transaction_id=4882928621</t>
  </si>
  <si>
    <t>https://www.etsy.com/ca/listing/4392962015/cant-wait-to-jam-with-daddy-embroidered?transaction_id=4867693284</t>
  </si>
  <si>
    <t>https://www.etsy.com/ca/listing/4376399899/the-littlest-book-club-member-baby?transaction_id=4867740288</t>
  </si>
  <si>
    <t>https://www.etsy.com/ca/listing/4330488178/embroidered-golf-baby-romper-new-to-the?transaction_id=4883214617</t>
  </si>
  <si>
    <t>https://www.etsy.com/ca/listing/4346126210/daddys-future-lifting-buddy-romper-baby?transaction_id=4883481447</t>
  </si>
  <si>
    <t>https://www.etsy.com/ca/listing/4392929794/little-latke-embroidered-romper-hanukkah?transaction_id=4868023350</t>
  </si>
  <si>
    <t>https://www.etsy.com/ca/listing/4371125103/personalized-dog-baby-bodysuit-custom?transaction_id=4883723607</t>
  </si>
  <si>
    <t>https://www.etsy.com/ca/listing/4371125103/personalized-dog-baby-bodysuit-custom?transaction_id=4868178848</t>
  </si>
  <si>
    <t>https://www.etsy.com/ca/listing/4369764524/embroidered-snowman-baby-romper?transaction_id=4868233832</t>
  </si>
  <si>
    <t>https://www.etsy.com/ca/listing/4392932100/born-to-ride-with-my-daddy-embroidered?transaction_id=4868299602</t>
  </si>
  <si>
    <t>https://www.etsy.com/ca/listing/4371125103/personalized-dog-baby-bodysuit-custom?transaction_id=4884033693</t>
  </si>
  <si>
    <t>https://www.etsy.com/ca/listing/4330488178/embroidered-golf-baby-romper-new-to-the?transaction_id=4868522066</t>
  </si>
  <si>
    <t>https://www.etsy.com/ca/listing/4330488178/embroidered-golf-baby-romper-new-to-the?transaction_id=4868568236</t>
  </si>
  <si>
    <t>https://www.etsy.com/ca/listing/4392929794/little-latke-embroidered-romper-hanukkah?transaction_id=4884267909</t>
  </si>
  <si>
    <t>https://www.etsy.com/ca/listing/4392935796/box-box-for-fresh-diapers-embroidered?transaction_id=4884573003</t>
  </si>
  <si>
    <t>https://www.etsy.com/ca/listing/4330488178/embroidered-golf-baby-romper-new-to-the?transaction_id=4868970124</t>
  </si>
  <si>
    <t>https://www.etsy.com/ca/listing/4379194627/new-to-the-farm-embroidered-romper-baby?transaction_id=4869001342</t>
  </si>
  <si>
    <t>https://www.etsy.com/ca/listing/4392929794/little-latke-embroidered-romper-hanukkah?transaction_id=4884810191</t>
  </si>
  <si>
    <t>https://www.etsy.com/ca/listing/4371125103/personalized-dog-baby-bodysuit-custom?transaction_id=4869103322</t>
  </si>
  <si>
    <t>https://www.etsy.com/ca/listing/4347269351/captain-crabby-baby-romper-funny-crab?ref=shop_home_active_35&amp;logging_key=2d6b1dd046c252e1bcf9e20ad9add27dd3f263c7%3A4347269351</t>
  </si>
  <si>
    <t>https://www.etsy.com/ca/listing/4392929794/little-latke-embroidered-romper-hanukkah?transaction_id=4885168883</t>
  </si>
  <si>
    <t>https://www.etsy.com/ca/listing/4376389783/player-2-baby-romper-gamer-baby-outfit?transaction_id=4869473898</t>
  </si>
  <si>
    <t>https://www.etsy.com/ca/listing/4352935112/custom-baby-romper-personalized-newborn?transaction_id=4869476468</t>
  </si>
  <si>
    <t>https://www.etsy.com/ca/listing/4371125103/personalized-dog-baby-bodysuit-custom?transaction_id=4885841149</t>
  </si>
  <si>
    <t>https://www.etsy.com/ca/listing/4392929794/little-latke-embroidered-romper-hanukkah?transaction_id=4885938271</t>
  </si>
  <si>
    <t>https://www.etsy.com/ca/listing/4392929794/little-latke-embroidered-romper-hanukkah?transaction_id=4886143393</t>
  </si>
  <si>
    <t>https://www.etsy.com/ca/listing/4376399899/the-littlest-book-club-member-baby?transaction_id=4870302272</t>
  </si>
  <si>
    <t>https://www.etsy.com/ca/listing/4346126210/daddys-future-lifting-buddy-romper-baby?transaction_id=4886310337</t>
  </si>
  <si>
    <t>https://www.etsy.com/ca/listing/4347260564/football-baby-romper-game-day-baby?transaction_id=4870413456</t>
  </si>
  <si>
    <t>https://www.etsy.com/ca/listing/4376389783/player-2-baby-romper-gamer-baby-outfit?transaction_id=4870526656</t>
  </si>
  <si>
    <t>https://www.etsy.com/ca/listing/4371125103/personalized-dog-baby-bodysuit-custom?transaction_id=4870556756</t>
  </si>
  <si>
    <t>https://www.etsy.com/ca/listing/4371125103/personalized-dog-baby-bodysuit-custom?transaction_id=4870677830</t>
  </si>
  <si>
    <t>https://www.etsy.com/ca/listing/4376399899/the-littlest-book-club-member-baby?transaction_id=4886765487</t>
  </si>
  <si>
    <t>https://www.etsy.com/ca/listing/4392962015/cant-wait-to-jam-with-daddy-embroidered?transaction_id=4886789511</t>
  </si>
  <si>
    <t>https://www.etsy.com/ca/listing/4330488178/embroidered-golf-baby-romper-new-to-the?transaction_id=4871225708</t>
  </si>
  <si>
    <t>https://www.etsy.com/ca/listing/4330485404/cat-face-embroidered-baby-romper-funny?transaction_id=4887620565</t>
  </si>
  <si>
    <t>https://www.etsy.com/ca/listing/4392935796/box-box-for-fresh-diapers-embroidered?transaction_id=4871666476</t>
  </si>
  <si>
    <t>https://www.etsy.com/ca/listing/4392935796/box-box-for-fresh-diapers-embroidered?transaction_id=4872041714</t>
  </si>
  <si>
    <t>https://www.etsy.com/ca/listing/4346126210/daddys-future-lifting-buddy-romper-baby?transaction_id=4872236786</t>
  </si>
  <si>
    <t>https://www.etsy.com/ca/listing/4392936921/apparently-i-like-golf-embroidered?transaction_id=4888365865</t>
  </si>
  <si>
    <t>https://www.etsy.com/ca/listing/4376399899/the-littlest-book-club-member-baby?transaction_id=4888369577</t>
  </si>
  <si>
    <t>https://www.etsy.com/ca/listing/4392935796/box-box-for-fresh-diapers-embroidered?transaction_id=4872346382</t>
  </si>
  <si>
    <t>https://www.etsy.com/ca/listing/4376389783/player-2-baby-romper-gamer-baby-outfit?transaction_id=4872439302</t>
  </si>
  <si>
    <t>https://www.etsy.com/ca/listing/4392929794/little-latke-embroidered-romper-hanukkah?transaction_id=4872441642</t>
  </si>
  <si>
    <t>https://www.etsy.com/ca/listing/4371125103/personalized-dog-baby-bodysuit-custom?transaction_id=4872470220</t>
  </si>
  <si>
    <t>https://www.etsy.com/ca/listing/4346126210/daddys-future-lifting-buddy-romper-baby?transaction_id=4888651819</t>
  </si>
  <si>
    <t>https://www.etsy.com/ca/listing/4376399899/the-littlest-book-club-member-baby?transaction_id=4872675586</t>
  </si>
  <si>
    <t>https://www.etsy.com/ca/listing/4376389783/player-2-baby-romper-gamer-baby-outfit?transaction_id=4895590685</t>
  </si>
  <si>
    <t>https://www.etsy.com/ca/listing/4392935796/box-box-for-fresh-diapers-embroidered?transaction_id=4872736884</t>
  </si>
  <si>
    <t>https://www.etsy.com/ca/listing/4376389783/player-2-baby-romper-gamer-baby-outfit?transaction_id=4872736882</t>
  </si>
  <si>
    <t>https://www.etsy.com/ca/listing/4330488178/embroidered-golf-baby-romper-new-to-the?transaction_id=4889078453</t>
  </si>
  <si>
    <t>https://www.etsy.com/ca/listing/4392962015/cant-wait-to-jam-with-daddy-embroidered?transaction_id=4873045284</t>
  </si>
  <si>
    <t>https://www.etsy.com/ca/listing/4346126210/daddys-future-lifting-buddy-romper-baby?transaction_id=4889239375</t>
  </si>
  <si>
    <t>https://www.etsy.com/ca/listing/4330499732/embroidered-baby-romper-little-sunshine?transaction_id=4889409993</t>
  </si>
  <si>
    <t>https://www.etsy.com/ca/listing/4371125103/personalized-dog-baby-bodysuit-custom?transaction_id=4889583625</t>
  </si>
  <si>
    <t>https://www.etsy.com/ca/listing/4392935796/box-box-for-fresh-diapers-embroidered?transaction_id=4889775189</t>
  </si>
  <si>
    <t>https://www.etsy.com/ca/listing/4330488178/embroidered-golf-baby-romper-new-to-the?transaction_id=4873820262</t>
  </si>
  <si>
    <t>https://www.etsy.com/ca/listing/4371125103/personalized-dog-baby-bodysuit-custom?transaction_id=4873873094</t>
  </si>
  <si>
    <t>https://www.etsy.com/ca/listing/4392929794/little-latke-embroidered-romper-hanukkah?transaction_id=4890347561</t>
  </si>
  <si>
    <t>https://www.etsy.com/ca/listing/4330504943/embroidered-tennis-baby-romper-daddys?transaction_id=4874456802</t>
  </si>
  <si>
    <t>https://www.etsy.com/ca/listing/4376399899/the-littlest-book-club-member-baby?transaction_id=4875008978</t>
  </si>
  <si>
    <t>https://www.etsy.com/ca/listing/4346129239/soccer-baby-romper-embroidered-daddy-and?transaction_id=4891474463</t>
  </si>
  <si>
    <t>https://www.etsy.com/ca/listing/4371125103/personalized-dog-baby-bodysuit-custom?transaction_id=4875332340</t>
  </si>
  <si>
    <t>https://www.etsy.com/ca/listing/4392932100/born-to-ride-with-my-daddy-embroidered?transaction_id=4875550594</t>
  </si>
  <si>
    <t>https://www.etsy.com/ca/listing/4346126210/daddys-future-lifting-buddy-romper-baby?transaction_id=4892836885</t>
  </si>
  <si>
    <t>https://www.etsy.com/ca/listing/4346124431/small-and-spicy-baby-romper-embroidered?transaction_id=4893033623</t>
  </si>
  <si>
    <t>https://www.etsy.com/ca/listing/4347894651/giraffe-baby-bodysuit-you-bet-giraffe-im?transaction_id=4876830654</t>
  </si>
  <si>
    <t>https://www.etsy.com/ca/listing/4392929794/little-latke-embroidered-romper-hanukkah?transaction_id=4876853492</t>
  </si>
  <si>
    <t>https://www.etsy.com/ca/listing/4376389783/player-2-baby-romper-gamer-baby-outfit?transaction_id=4893442257</t>
  </si>
  <si>
    <t>https://www.etsy.com/ca/listing/4392936921/apparently-i-like-golf-embroidered?transaction_id=4877314470</t>
  </si>
  <si>
    <t>https://www.etsy.com/ca/listing/4376389783/player-2-baby-romper-gamer-baby-outfit?transaction_id=4877439160</t>
  </si>
  <si>
    <t>https://www.etsy.com/ca/listing/4392935796/box-box-for-fresh-diapers-embroidered?transaction_id=4893912781</t>
  </si>
  <si>
    <t>https://www.etsy.com/ca/listing/4372352286/silly-goose-baby-romper-funny-infant?transaction_id=4877681596</t>
  </si>
  <si>
    <t>https://www.etsy.com/ca/listing/4371125103/personalized-dog-baby-bodysuit-custom?transaction_id=4877741250</t>
  </si>
  <si>
    <t>https://www.etsy.com/ca/listing/4330485404/cat-face-embroidered-baby-romper-funny?transaction_id=4894756159</t>
  </si>
  <si>
    <t>https://www.etsy.com/ca/listing/4392962015/cant-wait-to-jam-with-daddy-embroidered?transaction_id=4894911917</t>
  </si>
  <si>
    <t>https://www.etsy.com/ca/listing/4330488178/embroidered-golf-baby-romper-new-to-the?transaction_id=4895121237</t>
  </si>
  <si>
    <t>https://www.etsy.com/ca/listing/4346126210/daddys-future-lifting-buddy-romper-baby?transaction_id=4895221615</t>
  </si>
  <si>
    <t>https://www.etsy.com/ca/listing/4376401181/challah-at-your-girl-baby-bodysuit-funny?transaction_id=4879590438</t>
  </si>
  <si>
    <t>https://www.etsy.com/ca/listing/4392936921/apparently-i-like-golf-embroidered?transaction_id=4896080897</t>
  </si>
  <si>
    <t>https://www.etsy.com/ca/listing/4330488178/embroidered-golf-baby-romper-new-to-the?transaction_id=4879621176</t>
  </si>
  <si>
    <t>https://www.etsy.com/ca/listing/4371125103/personalized-dog-baby-bodysuit-custom?transaction_id=4896167929</t>
  </si>
  <si>
    <t>https://www.etsy.com/ca/listing/4392962015/cant-wait-to-jam-with-daddy-embroidered?transaction_id=4896240089</t>
  </si>
  <si>
    <t>https://www.etsy.com/ca/listing/4376399899/the-littlest-book-club-member-baby?transaction_id=4896456419</t>
  </si>
  <si>
    <t>https://www.etsy.com/ca/listing/4344231895/embroidered-baby-romper-shhh-im-reading?transaction_id=4896661851</t>
  </si>
  <si>
    <t>https://www.etsy.com/ca/listing/4372352286/silly-goose-baby-romper-funny-infant?transaction_id=4896909603</t>
  </si>
  <si>
    <t>https://www.etsy.com/ca/listing/4344231895/embroidered-baby-romper-shhh-im-reading?transaction_id=4897293093</t>
  </si>
  <si>
    <t>https://www.etsy.com/ca/listing/4376399899/the-littlest-book-club-member-baby?transaction_id=4881355434</t>
  </si>
  <si>
    <t>https://www.etsy.com/ca/listing/4330488178/embroidered-golf-baby-romper-new-to-the?transaction_id=4881499794</t>
  </si>
  <si>
    <t>https://www.etsy.com/ca/listing/4392962015/cant-wait-to-jam-with-daddy-embroidered?transaction_id=4881522728</t>
  </si>
  <si>
    <t>https://www.etsy.com/ca/listing/4392932100/born-to-ride-with-my-daddy-embroidered?transaction_id=4881749024</t>
  </si>
  <si>
    <t>https://www.etsy.com/ca/listing/4372357398/personalized-hunting-baby-romper-custom?transaction_id=4898651399</t>
  </si>
  <si>
    <t>https://www.etsy.com/ca/listing/4392936688/shhh-im-watching-motogp-with-daddy?transaction_id=4882341734</t>
  </si>
  <si>
    <t>https://www.etsy.com/ca/listing/4376389783/player-2-baby-romper-gamer-baby-outfit?transaction_id=4899076897</t>
  </si>
  <si>
    <t>https://www.etsy.com/ca/listing/4376389783/player-2-baby-romper-gamer-baby-outfit?transaction_id=4882761154</t>
  </si>
  <si>
    <t>https://www.etsy.com/ca/listing/4330488178/embroidered-golf-baby-romper-new-to-the?transaction_id=4899650943</t>
  </si>
  <si>
    <t>https://www.etsy.com/ca/listing/4376392339/funny-baby-romper-my-brand-of-formula?transaction_id=4883210716</t>
  </si>
  <si>
    <t>https://www.etsy.com/ca/listing/4376389783/player-2-baby-romper-gamer-baby-outfit?transaction_id=4883346970</t>
  </si>
  <si>
    <t>https://www.etsy.com/ca/listing/4347263856/besties-baby-romper-matching-baby-outfit?transaction_id=4883381966</t>
  </si>
  <si>
    <t>https://www.etsy.com/ca/listing/4392929794/little-latke-embroidered-romper-hanukkah?transaction_id=4871062938</t>
  </si>
  <si>
    <t>https://www.etsy.com/ca/listing/4346126210/daddys-future-lifting-buddy-romper-baby?transaction_id=4883404608</t>
  </si>
  <si>
    <t>https://www.etsy.com/ca/listing/4330488178/embroidered-golf-baby-romper-new-to-the?transaction_id=4883687990</t>
  </si>
  <si>
    <t>https://www.etsy.com/ca/listing/4376389783/player-2-baby-romper-gamer-baby-outfit?transaction_id=4883801206</t>
  </si>
  <si>
    <t>https://www.etsy.com/ca/listing/4376392339/funny-baby-romper-my-brand-of-formula?transaction_id=4883807420</t>
  </si>
  <si>
    <t>https://www.etsy.com/ca/listing/4376389783/player-2-baby-romper-gamer-baby-outfit?transaction_id=4900526161</t>
  </si>
  <si>
    <t>https://www.etsy.com/ca/listing/4330488178/embroidered-golf-baby-romper-new-to-the?transaction_id=4900780677</t>
  </si>
  <si>
    <t>https://www.etsy.com/ca/listing/4376399899/the-littlest-book-club-member-baby?transaction_id=4884615108</t>
  </si>
  <si>
    <t>https://www.etsy.com/ca/listing/4376392339/funny-baby-romper-my-brand-of-formula?transaction_id=4884645054</t>
  </si>
  <si>
    <t>https://www.etsy.com/ca/listing/4330485404/cat-face-embroidered-baby-romper-funny?transaction_id=4885741524</t>
  </si>
  <si>
    <t>https://www.etsy.com/ca/listing/4330488178/embroidered-golf-baby-romper-new-to-the?transaction_id=4886198272</t>
  </si>
  <si>
    <t>https://www.etsy.com/ca/listing/4330488178/embroidered-golf-baby-romper-new-to-the?transaction_id=4902744511</t>
  </si>
  <si>
    <t>https://www.etsy.com/ca/listing/4376392339/funny-baby-romper-my-brand-of-formula?transaction_id=4902894493</t>
  </si>
  <si>
    <t>https://www.etsy.com/ca/listing/4330488178/embroidered-golf-baby-romper-new-to-the?transaction_id=4887304584</t>
  </si>
  <si>
    <t>https://www.etsy.com/ca/listing/4346126210/daddys-future-lifting-buddy-romper-baby?transaction_id=4887976030</t>
  </si>
  <si>
    <t>https://www.etsy.com/ca/listing/4346128211/golf-baby-romper-embroidered-daddy-and?transaction_id=4888120484</t>
  </si>
  <si>
    <t>https://www.etsy.com/ca/listing/4369781522/crawl-walk-putt-baby-romper-funny-golf?transaction_id=4888120482</t>
  </si>
  <si>
    <t>https://www.etsy.com/ca/listing/4371125103/personalized-dog-baby-bodysuit-custom?transaction_id=4888203516</t>
  </si>
  <si>
    <t>https://www.etsy.com/ca/listing/4376389783/player-2-baby-romper-gamer-baby-outfit?transaction_id=4904365969</t>
  </si>
  <si>
    <t>https://www.etsy.com/ca/listing/4330485404/cat-face-embroidered-baby-romper-funny?transaction_id=4888419906</t>
  </si>
  <si>
    <t>https://www.etsy.com/ca/listing/4347880114/funny-baby-romper-sorry-i-tooted-outfit?transaction_id=4888668946</t>
  </si>
  <si>
    <t>https://www.etsy.com/ca/listing/4330488178/embroidered-golf-baby-romper-new-to-the?transaction_id=4904939281</t>
  </si>
  <si>
    <t>https://www.etsy.com/ca/listing/4371125103/personalized-dog-baby-bodysuit-custom?transaction_id=4889058720</t>
  </si>
  <si>
    <t>https://www.etsy.com/ca/listing/4371125103/personalized-dog-baby-bodysuit-custom?transaction_id=4905085873</t>
  </si>
  <si>
    <t>https://www.etsy.com/ca/listing/4376399899/the-littlest-book-club-member-baby?transaction_id=4905456551</t>
  </si>
  <si>
    <t>https://www.etsy.com/ca/listing/4336902854/personalized-football-baby-romper-daddys?transaction_id=4905764655</t>
  </si>
  <si>
    <t>https://www.etsy.com/ca/listing/4330488178/embroidered-golf-baby-romper-new-to-the?transaction_id=4889924102</t>
  </si>
  <si>
    <t>https://www.etsy.com/ca/listing/4330485404/cat-face-embroidered-baby-romper-funny?transaction_id=4890004286</t>
  </si>
  <si>
    <t>https://www.etsy.com/ca/listing/4376399899/the-littlest-book-club-member-baby?transaction_id=4905962443</t>
  </si>
  <si>
    <t>https://www.etsy.com/ca/listing/4371125103/personalized-dog-baby-bodysuit-custom?transaction_id=4890169652</t>
  </si>
  <si>
    <t>https://www.etsy.com/ca/listing/4376399899/the-littlest-book-club-member-baby?transaction_id=4906081031</t>
  </si>
  <si>
    <t>https://www.etsy.com/ca/listing/4371125103/personalized-dog-baby-bodysuit-custom?transaction_id=4890198310</t>
  </si>
  <si>
    <t>https://www.etsy.com/ca/listing/4392932100/born-to-ride-with-my-daddy-embroidered?transaction_id=4906190347</t>
  </si>
  <si>
    <t>https://www.etsy.com/ca/listing/4347894651/giraffe-baby-bodysuit-you-bet-giraffe-im?transaction_id=4906289639</t>
  </si>
  <si>
    <t>https://www.etsy.com/ca/listing/4344235128/new-to-the-hive-baby-romper-embroidered?transaction_id=4890987802</t>
  </si>
  <si>
    <t>https://www.etsy.com/ca/listing/4376399899/the-littlest-book-club-member-baby?transaction_id=4906829363</t>
  </si>
  <si>
    <t>https://www.etsy.com/ca/listing/4371125103/personalized-dog-baby-bodysuit-custom?transaction_id=4891360288</t>
  </si>
  <si>
    <t>https://www.etsy.com/ca/listing/4330488178/embroidered-golf-baby-romper-new-to-the?transaction_id=4891446486</t>
  </si>
  <si>
    <t>https://www.etsy.com/ca/listing/4344231895/embroidered-baby-romper-shhh-im-reading?transaction_id=4907374827</t>
  </si>
  <si>
    <t>https://www.etsy.com/ca/listing/4392935796/box-box-for-fresh-diapers-embroidered?transaction_id=4891710306</t>
  </si>
  <si>
    <t>https://www.etsy.com/ca/listing/4371125103/personalized-dog-baby-bodysuit-custom?transaction_id=4891841484</t>
  </si>
  <si>
    <t>https://www.etsy.com/ca/listing/4371125103/personalized-dog-baby-bodysuit-custom?transaction_id=4891874040</t>
  </si>
  <si>
    <t>https://www.etsy.com/ca/listing/4330488178/embroidered-golf-baby-romper-new-to-the?transaction_id=4892172430</t>
  </si>
  <si>
    <t>https://www.etsy.com/ca/listing/4392936688/shhh-im-watching-motogp-with-daddy?transaction_id=4892399532</t>
  </si>
  <si>
    <t>https://www.etsy.com/ca/listing/4376399899/the-littlest-book-club-member-baby?transaction_id=4892824690</t>
  </si>
  <si>
    <t>https://www.etsy.com/ca/listing/4371125103/personalized-dog-baby-bodysuit-custom?transaction_id=4908650725</t>
  </si>
  <si>
    <t>https://www.etsy.com/ca/listing/4344231895/embroidered-baby-romper-shhh-im-reading?transaction_id=4893159412</t>
  </si>
  <si>
    <t>https://www.etsy.com/ca/listing/4369781522/crawl-walk-putt-baby-romper-funny-golf?transaction_id=4893187168</t>
  </si>
  <si>
    <t>https://www.etsy.com/ca/listing/4330485404/cat-face-embroidered-baby-romper-funny?transaction_id=4908988809</t>
  </si>
  <si>
    <t>https://www.etsy.com/ca/listing/4376399899/the-littlest-book-club-member-baby?transaction_id=4909072273</t>
  </si>
  <si>
    <t>https://www.etsy.com/ca/listing/4376392339/funny-baby-romper-my-brand-of-formula?transaction_id=4893858456</t>
  </si>
  <si>
    <t>https://www.etsy.com/ca/listing/4392935796/box-box-for-fresh-diapers-embroidered?transaction_id=4893858454</t>
  </si>
  <si>
    <t>https://www.etsy.com/ca/listing/4392935796/box-box-for-fresh-diapers-embroidered?transaction_id=4909436883</t>
  </si>
  <si>
    <t>https://www.etsy.com/ca/listing/4392935796/box-box-for-fresh-diapers-embroidered?transaction_id=4894144848</t>
  </si>
  <si>
    <t>https://www.etsy.com/ca/listing/4330480699/little-prince-baby-romper-embroidered?transaction_id=4909578467</t>
  </si>
  <si>
    <t>https://www.etsy.com/ca/listing/4392936921/apparently-i-like-golf-embroidered?transaction_id=4894391404</t>
  </si>
  <si>
    <t>https://www.etsy.com/ca/listing/4376399899/the-littlest-book-club-member-baby?transaction_id=4894582318</t>
  </si>
  <si>
    <t>https://www.etsy.com/ca/listing/4333134764/wizard-font-baby-romper-personalized?transaction_id=4894647988</t>
  </si>
  <si>
    <t>https://www.etsy.com/ca/listing/4371125103/personalized-dog-baby-bodysuit-custom?transaction_id=4895047350</t>
  </si>
  <si>
    <t>https://www.etsy.com/ca/listing/4392935796/box-box-for-fresh-diapers-embroidered?transaction_id=4895102070</t>
  </si>
  <si>
    <t>https://www.etsy.com/ca/listing/4344230374/food-critic-baby-bodysuit-funny-newborn?transaction_id=4910519761</t>
  </si>
  <si>
    <t>https://www.etsy.com/ca/listing/4333134764/wizard-font-baby-romper-personalized?transaction_id=4896168384</t>
  </si>
  <si>
    <t>https://www.etsy.com/ca/listing/4333134764/wizard-font-baby-romper-personalized?transaction_id=4896169562</t>
  </si>
  <si>
    <t>https://www.etsy.com/ca/listing/4330485404/cat-face-embroidered-baby-romper-funny?transaction_id=4896327986</t>
  </si>
  <si>
    <t>https://www.etsy.com/ca/listing/4330492936/a-roar-able-dinosaur-baby-bodysuit-cute?transaction_id=4911523903</t>
  </si>
  <si>
    <t>https://www.etsy.com/ca/listing/4330479964/personalized-fox-baby-bodysuit-custom?transaction_id=4896682888</t>
  </si>
  <si>
    <t>https://www.etsy.com/ca/listing/4344232490/freshly-brewed-baby-bodysuit-cute-coffee?transaction_id=4896684618</t>
  </si>
  <si>
    <t>https://www.etsy.com/ca/listing/4392935796/box-box-for-fresh-diapers-embroidered?transaction_id=4896775706</t>
  </si>
  <si>
    <t>https://www.etsy.com/ca/listing/4376389783/player-2-baby-romper-gamer-baby-outfit?transaction_id=4896775704</t>
  </si>
  <si>
    <t>https://www.etsy.com/ca/listing/4369781522/crawl-walk-putt-baby-romper-funny-golf?transaction_id=4911845381</t>
  </si>
  <si>
    <t>https://www.etsy.com/ca/listing/4371125103/personalized-dog-baby-bodysuit-custom?transaction_id=4911903625</t>
  </si>
  <si>
    <t>https://www.etsy.com/ca/listing/4330492512/funny-goose-embroidered-baby-romper?transaction_id=4897117934</t>
  </si>
  <si>
    <t>https://www.etsy.com/ca/listing/4371125103/personalized-dog-baby-bodysuit-custom?transaction_id=4897273812</t>
  </si>
  <si>
    <t>https://www.etsy.com/ca/listing/4376399899/the-littlest-book-club-member-baby?transaction_id=4897633698</t>
  </si>
  <si>
    <t>https://www.etsy.com/ca/listing/4371125103/personalized-dog-baby-bodysuit-custom?transaction_id=4912448601</t>
  </si>
  <si>
    <t>https://www.etsy.com/ca/listing/4376389783/player-2-baby-romper-gamer-baby-outfit?transaction_id=4912729553</t>
  </si>
  <si>
    <t>https://www.etsy.com/ca/listing/4369781522/crawl-walk-putt-baby-romper-funny-golf?transaction_id=4897928606</t>
  </si>
  <si>
    <t>https://www.etsy.com/ca/listing/4347270071/baby-coming-soon-romper-personalized?transaction_id=4912990617</t>
  </si>
  <si>
    <t>https://www.etsy.com/ca/listing/4330488178/embroidered-golf-baby-romper-new-to-the?transaction_id=4898202570</t>
  </si>
  <si>
    <t>https://www.etsy.com/ca/listing/4371125103/personalized-dog-baby-bodysuit-custom?transaction_id=4913108645</t>
  </si>
  <si>
    <t>https://www.etsy.com/ca/listing/4392935796/box-box-for-fresh-diapers-embroidered?transaction_id=4913282091</t>
  </si>
  <si>
    <t>https://www.etsy.com/ca/listing/4346126210/daddys-future-lifting-buddy-romper-baby?transaction_id=4898581806</t>
  </si>
  <si>
    <t>https://www.etsy.com/ca/listing/4369764524/embroidered-snowman-baby-romper?transaction_id=4898751622</t>
  </si>
  <si>
    <t>https://www.etsy.com/ca/listing/4330485404/cat-face-embroidered-baby-romper-funny?transaction_id=4898873668</t>
  </si>
  <si>
    <t>https://www.etsy.com/ca/listing/4376399899/the-littlest-book-club-member-baby?transaction_id=4898938420</t>
  </si>
  <si>
    <t>https://www.etsy.com/ca/listing/4330488178/embroidered-golf-baby-romper-new-to-the?transaction_id=4899080770</t>
  </si>
  <si>
    <t>https://www.etsy.com/ca/listing/4371125103/personalized-dog-baby-bodysuit-custom?transaction_id=4913884533</t>
  </si>
  <si>
    <t>https://www.etsy.com/ca/listing/4376399899/the-littlest-book-club-member-baby?transaction_id=4899385354</t>
  </si>
  <si>
    <t>https://www.etsy.com/ca/listing/4392935796/box-box-for-fresh-diapers-embroidered?transaction_id=4914202407</t>
  </si>
  <si>
    <t>https://www.etsy.com/ca/listing/4376399899/the-littlest-book-club-member-baby?transaction_id=4914235745</t>
  </si>
  <si>
    <t>https://www.etsy.com/ca/listing/4371112234/personalized-pet-line-art-baby-bodysuit?transaction_id=4914363683</t>
  </si>
  <si>
    <t>https://www.etsy.com/ca/listing/4343133680/embroidered-bowling-baby-bodysuit-crawl?transaction_id=4914495857</t>
  </si>
  <si>
    <t>https://www.etsy.com/ca/listing/4344231895/embroidered-baby-romper-shhh-im-reading?transaction_id=4914516239</t>
  </si>
  <si>
    <t>https://www.etsy.com/ca/listing/4330485404/cat-face-embroidered-baby-romper-funny?transaction_id=4914529823</t>
  </si>
  <si>
    <t>https://www.etsy.com/ca/listing/4369764524/embroidered-snowman-baby-romper?transaction_id=4914703323</t>
  </si>
  <si>
    <t>https://www.etsy.com/ca/listing/4376399899/the-littlest-book-club-member-baby?transaction_id=4900250912</t>
  </si>
  <si>
    <t>https://www.etsy.com/ca/listing/4371125103/personalized-dog-baby-bodysuit-custom?transaction_id=4914809919</t>
  </si>
  <si>
    <t>https://www.etsy.com/ca/listing/4330504943/embroidered-tennis-baby-romper-daddys?transaction_id=4900441922</t>
  </si>
  <si>
    <t>https://www.etsy.com/ca/listing/4344232490/freshly-brewed-baby-bodysuit-cute-coffee?transaction_id=4900522506</t>
  </si>
  <si>
    <t>https://www.etsy.com/ca/listing/4392935796/box-box-for-fresh-diapers-embroidered?transaction_id=4915183043</t>
  </si>
  <si>
    <t>https://www.etsy.com/ca/listing/4376399899/the-littlest-book-club-member-baby?transaction_id=4900682960</t>
  </si>
  <si>
    <t>https://www.etsy.com/ca/listing/4372350408/my-first-football-season-baby-romper?transaction_id=4915439999</t>
  </si>
  <si>
    <t>https://www.etsy.com/ca/listing/4371125103/personalized-dog-baby-bodysuit-custom?transaction_id=4915486773</t>
  </si>
  <si>
    <t>https://www.etsy.com/ca/listing/4330477824/embroidered-crocodile-baby-bodysuit?transaction_id=4901215620</t>
  </si>
  <si>
    <t>https://www.etsy.com/ca/listing/4393819210/sweet-dreams-are-made-of-cheese?transaction_id=4915695277</t>
  </si>
  <si>
    <t>https://www.etsy.com/ca/listing/4376399899/the-littlest-book-club-member-baby?transaction_id=4915751627</t>
  </si>
  <si>
    <t>https://www.etsy.com/ca/listing/4344237213/mamas-coffee-date-baby-bodysuit-funny?transaction_id=4916049657</t>
  </si>
  <si>
    <t>https://www.etsy.com/ca/listing/4344232490/freshly-brewed-baby-bodysuit-cute-coffee?transaction_id=4901647892</t>
  </si>
  <si>
    <t>https://www.etsy.com/ca/listing/4371125103/personalized-dog-baby-bodysuit-custom?transaction_id=4901458798</t>
  </si>
  <si>
    <t>https://www.etsy.com/ca/listing/4343133641/golf-skills-loading-embroidered-baby?transaction_id=4901865972</t>
  </si>
  <si>
    <t>https://www.etsy.com/ca/listing/4371125103/personalized-dog-baby-bodysuit-custom?transaction_id=4916299425</t>
  </si>
  <si>
    <t>https://www.etsy.com/ca/listing/4371125103/personalized-dog-baby-bodysuit-custom?transaction_id=4901964620</t>
  </si>
  <si>
    <t>https://www.etsy.com/ca/listing/4347265018/made-with-love-baby-romper-funny-baby?transaction_id=4916378947</t>
  </si>
  <si>
    <t>https://www.etsy.com/ca/listing/4371125103/personalized-dog-baby-bodysuit-custom?transaction_id=4916381469</t>
  </si>
  <si>
    <t>https://www.etsy.com/ca/listing/4330478867/personalized-hippo-baby-bodysuit-custom?transaction_id=4902125888</t>
  </si>
  <si>
    <t>https://www.etsy.com/ca/listing/4344231895/embroidered-baby-romper-shhh-im-reading?transaction_id=4902143884</t>
  </si>
  <si>
    <t>https://www.etsy.com/ca/listing/4376399899/the-littlest-book-club-member-baby?transaction_id=4916760109</t>
  </si>
  <si>
    <t>https://www.etsy.com/ca/listing/4330495722/embroidered-golf-baby-romper-custom?transaction_id=4902770108</t>
  </si>
  <si>
    <t>https://www.etsy.com/ca/listing/4344232490/freshly-brewed-baby-bodysuit-cute-coffee?transaction_id=4902810008</t>
  </si>
  <si>
    <t>https://www.etsy.com/ca/listing/4372360540/taco-bout-cute-baby-romper-funny-food?transaction_id=4902844386</t>
  </si>
  <si>
    <t>https://www.etsy.com/ca/listing/4343133641/golf-skills-loading-embroidered-baby?transaction_id=4917301321</t>
  </si>
  <si>
    <t>https://www.etsy.com/ca/listing/4343133641/golf-skills-loading-embroidered-baby?transaction_id=4903092920</t>
  </si>
  <si>
    <t>https://www.etsy.com/ca/listing/4346126210/daddys-future-lifting-buddy-romper-baby?transaction_id=4917367705</t>
  </si>
  <si>
    <t>https://www.etsy.com/ca/listing/4371125103/personalized-dog-baby-bodysuit-custom?transaction_id=4903341950</t>
  </si>
  <si>
    <t>https://www.etsy.com/ca/listing/4392935796/box-box-for-fresh-diapers-embroidered?transaction_id=4917701081</t>
  </si>
  <si>
    <t>https://www.etsy.com/ca/listing/4376399899/the-littlest-book-club-member-baby?transaction_id=4917745355</t>
  </si>
  <si>
    <t>https://www.etsy.com/ca/listing/4376399899/the-littlest-book-club-member-baby?transaction_id=4903598262</t>
  </si>
  <si>
    <t>https://www.etsy.com/ca/listing/4376399899/the-littlest-book-club-member-baby?transaction_id=4917792051</t>
  </si>
  <si>
    <t>https://www.etsy.com/ca/listing/4330488178/embroidered-golf-baby-romper-new-to-the?transaction_id=4903720986</t>
  </si>
  <si>
    <t>https://www.etsy.com/ca/listing/4330488178/embroidered-golf-baby-romper-new-to-the?transaction_id=4903847702</t>
  </si>
  <si>
    <t>https://www.etsy.com/ca/listing/4330488178/embroidered-golf-baby-romper-new-to-the?transaction_id=4918020125</t>
  </si>
  <si>
    <t>https://www.etsy.com/ca/listing/4392936921/apparently-i-like-golf-embroidered?transaction_id=4903920838</t>
  </si>
  <si>
    <t>https://www.etsy.com/ca/listing/4330488178/embroidered-golf-baby-romper-new-to-the?transaction_id=4904201578</t>
  </si>
  <si>
    <t>https://www.etsy.com/ca/listing/4376399899/the-littlest-book-club-member-baby?transaction_id=4918307199</t>
  </si>
  <si>
    <t>https://www.etsy.com/ca/listing/4333134764/wizard-font-baby-romper-personalized?transaction_id=4918491641</t>
  </si>
  <si>
    <t>https://www.etsy.com/ca/listing/4333134764/wizard-font-baby-romper-personalized?transaction_id=4904405986</t>
  </si>
  <si>
    <t>https://www.etsy.com/ca/listing/4333134764/wizard-font-baby-romper-personalized?transaction_id=4918532157</t>
  </si>
  <si>
    <t>https://www.etsy.com/ca/listing/4392936688/shhh-im-watching-motogp-with-daddy?transaction_id=4918662347</t>
  </si>
  <si>
    <t>https://www.etsy.com/ca/listing/4372352286/silly-goose-baby-romper-funny-infant?transaction_id=4918798903</t>
  </si>
  <si>
    <t>https://www.etsy.com/ca/listing/4376399899/the-littlest-book-club-member-baby?transaction_id=4905160166</t>
  </si>
  <si>
    <t>https://www.etsy.com/ca/listing/4376392339/funny-baby-romper-my-brand-of-formula?transaction_id=4919165019</t>
  </si>
  <si>
    <t>https://www.etsy.com/ca/listing/4392936921/apparently-i-like-golf-embroidered?transaction_id=4905165954</t>
  </si>
  <si>
    <t>https://www.etsy.com/ca/listing/4376389783/player-2-baby-romper-gamer-baby-outfit?transaction_id=4905193530</t>
  </si>
  <si>
    <t>https://www.etsy.com/ca/listing/4376399899/the-littlest-book-club-member-baby?transaction_id=4919206035</t>
  </si>
  <si>
    <t>https://www.etsy.com/ca/listing/4376399899/the-littlest-book-club-member-baby?transaction_id=4919435813</t>
  </si>
  <si>
    <t>https://www.etsy.com/ca/listing/4376392339/funny-baby-romper-my-brand-of-formula?transaction_id=4905498500</t>
  </si>
  <si>
    <t>https://www.etsy.com/ca/listing/4330488178/embroidered-golf-baby-romper-new-to-the?transaction_id=4905545492</t>
  </si>
  <si>
    <t>https://www.etsy.com/ca/listing/4392935796/box-box-for-fresh-diapers-embroidered?transaction_id=4919511625</t>
  </si>
  <si>
    <t>https://www.etsy.com/ca/listing/4392936921/apparently-i-like-golf-embroidered?transaction_id=4919519099</t>
  </si>
  <si>
    <t>https://www.etsy.com/ca/listing/4376399899/the-littlest-book-club-member-baby?transaction_id=4905571542</t>
  </si>
  <si>
    <t>https://www.etsy.com/ca/listing/4347263856/besties-baby-romper-matching-baby-outfit?transaction_id=4919675315</t>
  </si>
  <si>
    <t>https://www.etsy.com/ca/listing/4347263856/besties-baby-romper-matching-baby-outfit?transaction_id=4919675313</t>
  </si>
  <si>
    <t>https://www.etsy.com/ca/listing/4347263856/besties-baby-romper-matching-baby-outfit?transaction_id=4905727382</t>
  </si>
  <si>
    <t>https://www.etsy.com/ca/listing/4347263856/besties-baby-romper-matching-baby-outfit?transaction_id=4905727380</t>
  </si>
  <si>
    <t>https://www.etsy.com/ca/listing/4371125103/personalized-dog-baby-bodysuit-custom?transaction_id=4919767563</t>
  </si>
  <si>
    <t>https://www.etsy.com/ca/listing/4376399899/the-littlest-book-club-member-baby?transaction_id=4905846156</t>
  </si>
  <si>
    <t>https://www.etsy.com/ca/listing/4347885967/gigis-bestie-baby-bodysuit-baby-shower?transaction_id=4910107281</t>
  </si>
  <si>
    <t>https://www.etsy.com/ca/listing/4344231895/embroidered-baby-romper-shhh-im-reading?transaction_id=4921154513</t>
  </si>
  <si>
    <t>https://www.etsy.com/ca/listing/4376399899/the-littlest-book-club-member-baby?transaction_id=4901145602</t>
  </si>
  <si>
    <t>https://www.etsy.com/ca/listing/4330485404/cat-face-embroidered-baby-romper-funny?transaction_id=4920029057</t>
  </si>
  <si>
    <t>https://www.etsy.com/ca/listing/4351827687/handsome-just-like-daddy-baby-romper?transaction_id=4920029055</t>
  </si>
  <si>
    <t>https://www.etsy.com/ca/listing/4376399899/the-littlest-book-club-member-baby?transaction_id=4906130344</t>
  </si>
  <si>
    <t>https://www.etsy.com/ca/listing/4392935796/box-box-for-fresh-diapers-embroidered?transaction_id=4920075451</t>
  </si>
  <si>
    <t>https://www.etsy.com/ca/listing/4392935796/box-box-for-fresh-diapers-embroidered?transaction_id=4906180570</t>
  </si>
  <si>
    <t>https://www.etsy.com/ca/listing/4376389783/player-2-baby-romper-gamer-baby-outfit?transaction_id=4906432830</t>
  </si>
  <si>
    <t>https://www.etsy.com/ca/listing/4330504943/embroidered-tennis-baby-romper-daddys?transaction_id=4906519306</t>
  </si>
  <si>
    <t>https://www.etsy.com/ca/listing/4376399899/the-littlest-book-club-member-baby?transaction_id=4920405157</t>
  </si>
  <si>
    <t>https://www.etsy.com/ca/listing/4371125103/personalized-dog-baby-bodysuit-custom?transaction_id=4920477005</t>
  </si>
  <si>
    <t>https://www.etsy.com/ca/listing/4376399899/the-littlest-book-club-member-baby?transaction_id=4920493027</t>
  </si>
  <si>
    <t>https://www.etsy.com/ca/listing/4330504943/embroidered-tennis-baby-romper-daddys?transaction_id=4920675535</t>
  </si>
  <si>
    <t>https://www.etsy.com/ca/listing/4376399899/the-littlest-book-club-member-baby?transaction_id=4906846794</t>
  </si>
  <si>
    <t>https://www.etsy.com/ca/listing/4392962015/cant-wait-to-jam-with-daddy-embroidered?transaction_id=4906864300</t>
  </si>
  <si>
    <t>https://www.etsy.com/ca/listing/4372350408/my-first-football-season-baby-romper?transaction_id=4920786839</t>
  </si>
  <si>
    <t>https://www.etsy.com/ca/listing/4376399899/the-littlest-book-club-member-baby?transaction_id=4906985906</t>
  </si>
  <si>
    <t>https://www.etsy.com/ca/listing/4330488178/embroidered-golf-baby-romper-new-to-the?transaction_id=4920892779</t>
  </si>
  <si>
    <t>https://www.etsy.com/ca/listing/4376399899/the-littlest-book-club-member-baby?transaction_id=4907113370</t>
  </si>
  <si>
    <t>https://www.etsy.com/ca/listing/4376399899/the-littlest-book-club-member-baby?transaction_id=4907184016</t>
  </si>
  <si>
    <t>https://www.etsy.com/ca/listing/4376399899/the-littlest-book-club-member-baby?transaction_id=4907236086</t>
  </si>
  <si>
    <t>https://www.etsy.com/ca/listing/4371125103/personalized-dog-baby-bodysuit-custom?transaction_id=4907529194</t>
  </si>
  <si>
    <t>https://www.etsy.com/ca/listing/4376399899/the-littlest-book-club-member-baby?transaction_id=4907718928</t>
  </si>
  <si>
    <t>https://www.etsy.com/ca/listing/4376399899/the-littlest-book-club-member-baby?transaction_id=4921495783</t>
  </si>
  <si>
    <t>https://www.etsy.com/ca/listing/4330488178/embroidered-golf-baby-romper-new-to-the?transaction_id=4907827022</t>
  </si>
  <si>
    <t>https://www.etsy.com/ca/listing/4376399899/the-littlest-book-club-member-baby?transaction_id=4908043188</t>
  </si>
  <si>
    <t>https://www.etsy.com/ca/listing/4330488178/embroidered-golf-baby-romper-new-to-the?transaction_id=4921823849</t>
  </si>
  <si>
    <t>https://www.etsy.com/ca/listing/4392962015/cant-wait-to-jam-with-daddy-embroidered?transaction_id=4908129704</t>
  </si>
  <si>
    <t>https://www.etsy.com/ca/listing/4330485404/cat-face-embroidered-baby-romper-funny?transaction_id=4921866851</t>
  </si>
  <si>
    <t>https://www.etsy.com/ca/listing/4376399899/the-littlest-book-club-member-baby?transaction_id=4921965303</t>
  </si>
  <si>
    <t>https://www.etsy.com/ca/listing/4392935796/box-box-for-fresh-diapers-embroidered?transaction_id=4908422220</t>
  </si>
  <si>
    <t>https://www.etsy.com/ca/listing/4376399899/the-littlest-book-club-member-baby?transaction_id=4908433664</t>
  </si>
  <si>
    <t>https://www.etsy.com/ca/listing/4379182759/golf-baby-outfit-custom-name-golf-cart?transaction_id=4908467814</t>
  </si>
  <si>
    <t>https://www.etsy.com/ca/listing/4347266987/hi-im-new-here-romper-newborn-baby?transaction_id=4908569896</t>
  </si>
  <si>
    <t>https://www.etsy.com/ca/listing/4371125103/personalized-dog-baby-bodysuit-custom?transaction_id=4908792180</t>
  </si>
  <si>
    <t>https://www.etsy.com/ca/listing/4347894651/giraffe-baby-bodysuit-you-bet-giraffe-im?transaction_id=4922544503</t>
  </si>
  <si>
    <t>https://www.etsy.com/ca/listing/4344231895/embroidered-baby-romper-shhh-im-reading?transaction_id=4922637407</t>
  </si>
  <si>
    <t>https://www.etsy.com/ca/listing/4330488178/embroidered-golf-baby-romper-new-to-the?transaction_id=4909038078</t>
  </si>
  <si>
    <t>https://www.etsy.com/ca/listing/4376399899/the-littlest-book-club-member-baby?transaction_id=4922853019</t>
  </si>
  <si>
    <t>https://www.etsy.com/ca/listing/4344235495/new-kid-on-the-block-baby-bodysuit-funny?transaction_id=4909611504</t>
  </si>
  <si>
    <t>https://www.etsy.com/ca/listing/4376389783/player-2-baby-romper-gamer-baby-outfit?transaction_id=4909620142</t>
  </si>
  <si>
    <t>https://www.etsy.com/ca/listing/4330483435/embroidered-coffee-bean-baby-romper?transaction_id=4909628892</t>
  </si>
  <si>
    <t>https://www.etsy.com/ca/listing/4333134764/wizard-font-baby-romper-personalized?transaction_id=4909635090</t>
  </si>
  <si>
    <t>https://www.etsy.com/ca/listing/4393855716/lil-chef-embroidered-romper-cute-baby?transaction_id=4923228875</t>
  </si>
  <si>
    <t>https://www.etsy.com/ca/listing/4344235128/new-to-the-hive-baby-romper-embroidered?transaction_id=4923428919</t>
  </si>
  <si>
    <t>https://www.etsy.com/ca/listing/4376389783/player-2-baby-romper-gamer-baby-outfit?transaction_id=4923481771</t>
  </si>
  <si>
    <t>https://www.etsy.com/ca/listing/4376389783/player-2-baby-romper-gamer-baby-outfit?transaction_id=4923599623</t>
  </si>
  <si>
    <t>https://www.etsy.com/ca/listing/4371125103/personalized-dog-baby-bodysuit-custom?transaction_id=4923604555</t>
  </si>
  <si>
    <t>https://www.etsy.com/ca/listing/4371125103/personalized-dog-baby-bodysuit-custom?transaction_id=4910096792</t>
  </si>
  <si>
    <t>https://www.etsy.com/ca/listing/4330486464/crawl-walk-hunt-baby-romper-embroidered?transaction_id=4910100320</t>
  </si>
  <si>
    <t>https://www.etsy.com/ca/listing/4330488178/embroidered-golf-baby-romper-new-to-the?transaction_id=4910112184</t>
  </si>
  <si>
    <t>https://www.etsy.com/ca/listing/4372352286/silly-goose-baby-romper-funny-infant?transaction_id=4923781369</t>
  </si>
  <si>
    <t>https://www.etsy.com/ca/listing/4371125103/personalized-dog-baby-bodysuit-custom?transaction_id=4910742938</t>
  </si>
  <si>
    <t>https://www.etsy.com/ca/listing/4371125103/personalized-dog-baby-bodysuit-custom?transaction_id=4910763674</t>
  </si>
  <si>
    <t>https://www.etsy.com/ca/listing/4376399899/the-littlest-book-club-member-baby?transaction_id=4924296761</t>
  </si>
  <si>
    <t>https://www.etsy.com/ca/listing/4376399899/the-littlest-book-club-member-baby?transaction_id=4910883698</t>
  </si>
  <si>
    <t>https://www.etsy.com/ca/listing/4344231895/embroidered-baby-romper-shhh-im-reading?transaction_id=4910883696</t>
  </si>
  <si>
    <t>https://www.etsy.com/ca/listing/4330488178/embroidered-golf-baby-romper-new-to-the?transaction_id=4911031194</t>
  </si>
  <si>
    <t>https://www.etsy.com/ca/listing/4330488178/embroidered-golf-baby-romper-new-to-the?transaction_id=4913668135</t>
  </si>
  <si>
    <t>https://www.etsy.com/ca/listing/4330474476/so-ducking-cute-embroidered-baby-romper?transaction_id=4902805283</t>
  </si>
  <si>
    <t>https://www.etsy.com/ca/listing/4330504155/born-to-play-like-my-daddy-baby-romper?transaction_id=4902872733</t>
  </si>
  <si>
    <t>https://www.etsy.com/ca/listing/4371125103/personalized-dog-baby-bodysuit-custom?transaction_id=4924711357</t>
  </si>
  <si>
    <t>https://www.etsy.com/ca/listing/4376399899/the-littlest-book-club-member-baby?transaction_id=4911440988</t>
  </si>
  <si>
    <t>https://www.etsy.com/ca/listing/4371125103/personalized-dog-baby-bodysuit-custom?transaction_id=4911462386</t>
  </si>
  <si>
    <t>https://www.etsy.com/ca/listing/4376399899/the-littlest-book-club-member-baby?transaction_id=4924992383</t>
  </si>
  <si>
    <t>https://www.etsy.com/ca/listing/4371125103/personalized-dog-baby-bodysuit-custom?transaction_id=4911714908</t>
  </si>
  <si>
    <t>https://www.etsy.com/ca/listing/4371125103/personalized-dog-baby-bodysuit-custom?transaction_id=4925099751</t>
  </si>
  <si>
    <t>https://www.etsy.com/ca/listing/4330495722/embroidered-golf-baby-romper-custom?transaction_id=4911855082</t>
  </si>
  <si>
    <t>https://www.etsy.com/ca/listing/4346124881/little-turkey-baby-romper-embroidered?transaction_id=4925250699</t>
  </si>
  <si>
    <t>https://www.etsy.com/ca/listing/4344231895/embroidered-baby-romper-shhh-im-reading?transaction_id=4911898974</t>
  </si>
  <si>
    <t>https://www.etsy.com/ca/listing/4392935796/box-box-for-fresh-diapers-embroidered?transaction_id=4925350807</t>
  </si>
  <si>
    <t>https://www.etsy.com/ca/listing/4344231895/embroidered-baby-romper-shhh-im-reading?transaction_id=4912076660</t>
  </si>
  <si>
    <t>https://www.etsy.com/ca/listing/4376399899/the-littlest-book-club-member-baby?transaction_id=4925653123</t>
  </si>
  <si>
    <t>https://www.etsy.com/ca/listing/4330488178/embroidered-golf-baby-romper-new-to-the?transaction_id=4912469202</t>
  </si>
  <si>
    <t>https://www.etsy.com/ca/listing/4371125103/personalized-dog-baby-bodysuit-custom?transaction_id=4925982433</t>
  </si>
  <si>
    <t>https://www.etsy.com/ca/listing/4344231895/embroidered-baby-romper-shhh-im-reading?transaction_id=4912734196</t>
  </si>
  <si>
    <t>https://www.etsy.com/ca/listing/4376399899/the-littlest-book-club-member-baby?transaction_id=4912801296</t>
  </si>
  <si>
    <t>https://www.etsy.com/ca/listing/4330488178/embroidered-golf-baby-romper-new-to-the?transaction_id=4913277232</t>
  </si>
  <si>
    <t>https://www.etsy.com/ca/listing/4330479964/personalized-fox-baby-bodysuit-custom?transaction_id=4926479825</t>
  </si>
  <si>
    <t>https://www.etsy.com/ca/listing/4376399899/the-littlest-book-club-member-baby?transaction_id=4926491751</t>
  </si>
  <si>
    <t>https://www.etsy.com/ca/listing/4347265018/made-with-love-baby-romper-funny-baby?transaction_id=4913411008</t>
  </si>
  <si>
    <t>https://www.etsy.com/ca/listing/4371125103/personalized-dog-baby-bodysuit-custom?transaction_id=4926593223</t>
  </si>
  <si>
    <t>https://www.etsy.com/ca/listing/4371125103/personalized-dog-baby-bodysuit-custom?transaction_id=4913424120</t>
  </si>
  <si>
    <t>https://www.etsy.com/ca/listing/4376399899/the-littlest-book-club-member-baby?transaction_id=4913439056</t>
  </si>
  <si>
    <t>https://www.etsy.com/ca/listing/4376399899/the-littlest-book-club-member-baby?transaction_id=4913626072</t>
  </si>
  <si>
    <t>https://www.etsy.com/ca/listing/4376399899/the-littlest-book-club-member-baby?transaction_id=4913817910</t>
  </si>
  <si>
    <t>https://www.etsy.com/ca/listing/4372352286/silly-goose-baby-romper-funny-infant?transaction_id=4927202423</t>
  </si>
  <si>
    <t>https://www.etsy.com/ca/listing/4330504943/embroidered-tennis-baby-romper-daddys?transaction_id=4914506494</t>
  </si>
  <si>
    <t>https://www.etsy.com/ca/listing/4392929794/little-latke-embroidered-romper-hanukkah?transaction_id=4914581308</t>
  </si>
  <si>
    <t>https://www.etsy.com/ca/listing/4347263856/besties-baby-romper-matching-baby-outfit?transaction_id=4927766087</t>
  </si>
  <si>
    <t>https://www.etsy.com/ca/listing/4330488178/embroidered-golf-baby-romper-new-to-the?transaction_id=4914796862</t>
  </si>
  <si>
    <t>https://www.etsy.com/ca/listing/4376399899/the-littlest-book-club-member-baby?transaction_id=4914909730</t>
  </si>
  <si>
    <t>https://www.etsy.com/ca/listing/4371125103/personalized-dog-baby-bodysuit-custom?transaction_id=4927947279</t>
  </si>
  <si>
    <t>https://www.etsy.com/ca/listing/4371125103/personalized-dog-baby-bodysuit-custom?transaction_id=4927950787</t>
  </si>
  <si>
    <t>https://www.etsy.com/ca/listing/4344237213/mamas-coffee-date-baby-bodysuit-funny?transaction_id=4915279976</t>
  </si>
  <si>
    <t>https://www.etsy.com/ca/listing/4330488178/embroidered-golf-baby-romper-new-to-the?transaction_id=4928252855</t>
  </si>
  <si>
    <t>https://www.etsy.com/ca/listing/4392935796/box-box-for-fresh-diapers-embroidered?transaction_id=4928305065</t>
  </si>
  <si>
    <t>https://www.etsy.com/ca/listing/4330504943/embroidered-tennis-baby-romper-daddys?transaction_id=4915455604</t>
  </si>
  <si>
    <t>https://www.etsy.com/ca/listing/4344231895/embroidered-baby-romper-shhh-im-reading?transaction_id=4928400879</t>
  </si>
  <si>
    <t>https://www.etsy.com/ca/listing/4371125103/personalized-dog-baby-bodysuit-custom?transaction_id=4915656510</t>
  </si>
  <si>
    <t>https://www.etsy.com/ca/listing/4330504943/embroidered-tennis-baby-romper-daddys?transaction_id=4915660114</t>
  </si>
  <si>
    <t>https://www.etsy.com/ca/listing/4330485404/cat-face-embroidered-baby-romper-funny?transaction_id=4928870997</t>
  </si>
  <si>
    <t>https://www.etsy.com/ca/listing/4376392339/funny-baby-romper-my-brand-of-formula?transaction_id=4916041924</t>
  </si>
  <si>
    <t>https://www.etsy.com/ca/listing/4376399899/the-littlest-book-club-member-baby?transaction_id=4928913677</t>
  </si>
  <si>
    <t>https://www.etsy.com/ca/listing/4330477824/embroidered-crocodile-baby-bodysuit?transaction_id=4928916289</t>
  </si>
  <si>
    <t>https://www.etsy.com/ca/listing/4343133680/embroidered-bowling-baby-bodysuit-crawl?transaction_id=4928980733</t>
  </si>
  <si>
    <t>https://www.etsy.com/ca/listing/4392936921/apparently-i-like-golf-embroidered?transaction_id=4916186250</t>
  </si>
  <si>
    <t>https://www.etsy.com/ca/listing/4376399899/the-littlest-book-club-member-baby?transaction_id=4916194860</t>
  </si>
  <si>
    <t>https://www.etsy.com/ca/listing/4392936688/shhh-im-watching-motogp-with-daddy?transaction_id=4929058759</t>
  </si>
  <si>
    <t>https://www.etsy.com/ca/listing/4330488178/embroidered-golf-baby-romper-new-to-the?transaction_id=4929269839</t>
  </si>
  <si>
    <t>https://www.etsy.com/ca/listing/4376399899/the-littlest-book-club-member-baby?transaction_id=4916593066</t>
  </si>
  <si>
    <t>https://www.etsy.com/ca/listing/4330493015/embroidered-mini-golfer-baby-romper?transaction_id=4916652108</t>
  </si>
  <si>
    <t>https://www.etsy.com/ca/listing/4392935796/box-box-for-fresh-diapers-embroidered?transaction_id=4929439039</t>
  </si>
  <si>
    <t>https://www.etsy.com/ca/listing/4336903235/personalized-tennis-baby-romper?transaction_id=4916679504</t>
  </si>
  <si>
    <t>https://www.etsy.com/ca/listing/4392929794/little-latke-embroidered-romper-hanukkah?transaction_id=4929701579</t>
  </si>
  <si>
    <t>https://www.etsy.com/ca/listing/4330488178/embroidered-golf-baby-romper-new-to-the?transaction_id=4917313042</t>
  </si>
  <si>
    <t>https://www.etsy.com/ca/listing/4371125103/personalized-dog-baby-bodysuit-custom?transaction_id=4930125953</t>
  </si>
  <si>
    <t>https://www.etsy.com/ca/listing/4330488178/embroidered-golf-baby-romper-new-to-the?transaction_id=4917444630</t>
  </si>
  <si>
    <t>https://www.etsy.com/ca/listing/4376389783/player-2-baby-romper-gamer-baby-outfit?transaction_id=4917475768</t>
  </si>
  <si>
    <t>https://www.etsy.com/ca/listing/4330485404/cat-face-embroidered-baby-romper-funny?transaction_id=4917572764</t>
  </si>
  <si>
    <t>https://www.etsy.com/ca/listing/4376399899/the-littlest-book-club-member-baby?transaction_id=4917624230</t>
  </si>
  <si>
    <t>https://www.etsy.com/ca/listing/4371125103/personalized-dog-baby-bodysuit-custom?transaction_id=4917737476</t>
  </si>
  <si>
    <t>https://www.etsy.com/ca/listing/4371125103/personalized-dog-baby-bodysuit-custom?transaction_id=4917822614</t>
  </si>
  <si>
    <t>https://www.etsy.com/ca/listing/4330488178/embroidered-golf-baby-romper-new-to-the?transaction_id=4930632145</t>
  </si>
  <si>
    <t>https://www.etsy.com/ca/listing/4330488178/embroidered-golf-baby-romper-new-to-the?transaction_id=4918008072</t>
  </si>
  <si>
    <t>https://www.etsy.com/ca/listing/4371125103/personalized-dog-baby-bodysuit-custom?transaction_id=4918230022</t>
  </si>
  <si>
    <t>https://www.etsy.com/ca/listing/4372352286/silly-goose-baby-romper-funny-infant?transaction_id=4918397822</t>
  </si>
  <si>
    <t>https://www.etsy.com/ca/listing/4392935796/box-box-for-fresh-diapers-embroidered?transaction_id=4931078809</t>
  </si>
  <si>
    <t>https://www.etsy.com/ca/listing/4344232490/freshly-brewed-baby-bodysuit-cute-coffee?transaction_id=4931162473</t>
  </si>
  <si>
    <t>https://www.etsy.com/ca/listing/4376399899/the-littlest-book-club-member-baby?transaction_id=4931173335</t>
  </si>
  <si>
    <t>https://www.etsy.com/ca/listing/4330488178/embroidered-golf-baby-romper-new-to-the?transaction_id=4918704666</t>
  </si>
  <si>
    <t>https://www.etsy.com/ca/listing/4376399899/the-littlest-book-club-member-baby?transaction_id=4918797382</t>
  </si>
  <si>
    <t>https://www.etsy.com/ca/listing/4376392339/funny-baby-romper-my-brand-of-formula?transaction_id=4901980596</t>
  </si>
  <si>
    <t>https://www.etsy.com/ca/listing/4376399899/the-littlest-book-club-member-baby?transaction_id=4931550561</t>
  </si>
  <si>
    <t>https://www.etsy.com/ca/listing/4369781409/burpee-machine-baby-bodysuit-funny-baby?transaction_id=4918960126</t>
  </si>
  <si>
    <t>https://www.etsy.com/ca/listing/4330488178/embroidered-golf-baby-romper-new-to-the?transaction_id=4931624881</t>
  </si>
  <si>
    <t>https://www.etsy.com/ca/listing/4344235128/new-to-the-hive-baby-romper-embroidered?transaction_id=4931644031</t>
  </si>
  <si>
    <t>https://www.etsy.com/ca/listing/4371125103/personalized-dog-baby-bodysuit-custom?transaction_id=4931911275</t>
  </si>
  <si>
    <t>https://www.etsy.com/ca/listing/4376399899/the-littlest-book-club-member-baby?transaction_id=4931985051</t>
  </si>
  <si>
    <t>https://www.etsy.com/ca/listing/4376399899/the-littlest-book-club-member-baby?transaction_id=4932184329</t>
  </si>
  <si>
    <t>https://www.etsy.com/ca/listing/4346126210/daddys-future-lifting-buddy-romper-baby?transaction_id=4932211689</t>
  </si>
  <si>
    <t>https://www.etsy.com/ca/listing/4376399899/the-littlest-book-club-member-baby?transaction_id=4919639814</t>
  </si>
  <si>
    <t>https://www.etsy.com/ca/listing/4330488178/embroidered-golf-baby-romper-new-to-the?transaction_id=4919681510</t>
  </si>
  <si>
    <t>https://www.etsy.com/ca/listing/4376389783/player-2-baby-romper-gamer-baby-outfit?transaction_id=4932375397</t>
  </si>
  <si>
    <t>https://www.etsy.com/ca/listing/4376399899/the-littlest-book-club-member-baby?transaction_id=4932380357</t>
  </si>
  <si>
    <t>https://www.etsy.com/ca/listing/4371125103/personalized-dog-baby-bodysuit-custom?transaction_id=4932443569</t>
  </si>
  <si>
    <t>https://www.etsy.com/ca/listing/4330488178/embroidered-golf-baby-romper-new-to-the?transaction_id=4919915038</t>
  </si>
  <si>
    <t>https://www.etsy.com/ca/listing/4392935796/box-box-for-fresh-diapers-embroidered?transaction_id=4920258280</t>
  </si>
  <si>
    <t>https://www.etsy.com/ca/listing/4330504943/embroidered-tennis-baby-romper-daddys?transaction_id=4920353512</t>
  </si>
  <si>
    <t>https://www.etsy.com/ca/listing/4330504943/embroidered-tennis-baby-romper-daddys?transaction_id=4933029773</t>
  </si>
  <si>
    <t>https://www.etsy.com/ca/listing/4344231895/embroidered-baby-romper-shhh-im-reading?transaction_id=4920491746</t>
  </si>
  <si>
    <t>https://www.etsy.com/ca/listing/4376399899/the-littlest-book-club-member-baby?transaction_id=4920504094</t>
  </si>
  <si>
    <t>https://www.etsy.com/ca/listing/4376399899/the-littlest-book-club-member-baby?transaction_id=4920673408</t>
  </si>
  <si>
    <t>https://www.etsy.com/ca/listing/4352935112/custom-baby-romper-personalized-newborn?transaction_id=4920730680</t>
  </si>
  <si>
    <t>https://www.etsy.com/ca/listing/4371125103/personalized-dog-baby-bodysuit-custom?transaction_id=4933394095</t>
  </si>
  <si>
    <t>https://www.etsy.com/ca/listing/4330488178/embroidered-golf-baby-romper-new-to-the?transaction_id=4933408151</t>
  </si>
  <si>
    <t>https://www.etsy.com/ca/listing/4376399899/the-littlest-book-club-member-baby?transaction_id=4920880818</t>
  </si>
  <si>
    <t>https://www.etsy.com/ca/listing/4376392339/funny-baby-romper-my-brand-of-formula?transaction_id=4920891376</t>
  </si>
  <si>
    <t>https://www.etsy.com/ca/listing/4371125103/personalized-dog-baby-bodysuit-custom?transaction_id=4920980924</t>
  </si>
  <si>
    <t>https://www.etsy.com/ca/listing/4376399899/the-littlest-book-club-member-baby?transaction_id=4921084850</t>
  </si>
  <si>
    <t>https://www.etsy.com/ca/listing/4346126210/daddys-future-lifting-buddy-romper-baby?transaction_id=4933651949</t>
  </si>
  <si>
    <t>https://www.etsy.com/ca/listing/4330485404/cat-face-embroidered-baby-romper-funny?transaction_id=4921211826</t>
  </si>
  <si>
    <t>https://www.etsy.com/ca/listing/4376399899/the-littlest-book-club-member-baby?transaction_id=4933797719</t>
  </si>
  <si>
    <t>https://www.etsy.com/ca/listing/4371125103/personalized-dog-baby-bodysuit-custom?transaction_id=4921253960</t>
  </si>
  <si>
    <t>https://www.etsy.com/ca/listing/4376392339/funny-baby-romper-my-brand-of-formula?transaction_id=4921358584</t>
  </si>
  <si>
    <t>https://www.etsy.com/ca/listing/4376399899/the-littlest-book-club-member-baby?transaction_id=4921575824</t>
  </si>
  <si>
    <t>https://www.etsy.com/ca/listing/4376389783/player-2-baby-romper-gamer-baby-outfit?transaction_id=4921714902</t>
  </si>
  <si>
    <t>https://www.etsy.com/ca/listing/4376399899/the-littlest-book-club-member-baby?transaction_id=4934468511</t>
  </si>
  <si>
    <t>https://www.etsy.com/ca/listing/4371125103/personalized-dog-baby-bodysuit-custom?transaction_id=4922093452</t>
  </si>
  <si>
    <t>https://www.etsy.com/ca/listing/4376399899/the-littlest-book-club-member-baby?transaction_id=4922187892</t>
  </si>
  <si>
    <t>https://www.etsy.com/ca/listing/4330488178/embroidered-golf-baby-romper-new-to-the?transaction_id=4934616519</t>
  </si>
  <si>
    <t>https://www.etsy.com/ca/listing/4346126210/daddys-future-lifting-buddy-romper-baby?transaction_id=4934669023</t>
  </si>
  <si>
    <t>https://www.etsy.com/ca/listing/4330488178/embroidered-golf-baby-romper-new-to-the?transaction_id=4922299592</t>
  </si>
  <si>
    <t>www.etsy.com/ca/listing/4392932100/born-to-ride-with-my-daddy-embroidered?transaction_id=4922447106</t>
  </si>
  <si>
    <t>https://www.etsy.com/ca/listing/4347260564/football-baby-romper-game-day-baby?transaction_id=4922588540</t>
  </si>
  <si>
    <t>https://www.etsy.com/ca/listing/4371125103/personalized-dog-baby-bodysuit-custom?transaction_id=4934958577</t>
  </si>
  <si>
    <t>https://www.etsy.com/ca/listing/4376399899/the-littlest-book-club-member-baby?transaction_id=4934997299</t>
  </si>
  <si>
    <t>https://www.etsy.com/ca/listing/4376399899/the-littlest-book-club-member-baby?transaction_id=4923068010</t>
  </si>
  <si>
    <t>https://www.etsy.com/ca/listing/4376399899/the-littlest-book-club-member-baby?transaction_id=4935411681</t>
  </si>
  <si>
    <t>https://www.etsy.com/ca/listing/4376399899/the-littlest-book-club-member-baby?transaction_id=4923270804</t>
  </si>
  <si>
    <t>https://www.etsy.com/ca/listing/4330488178/embroidered-golf-baby-romper-new-to-the?transaction_id=4923272972</t>
  </si>
  <si>
    <t>https://www.etsy.com/ca/listing/4330488178/embroidered-golf-baby-romper-new-to-the?transaction_id=4935627263</t>
  </si>
  <si>
    <t>https://www.etsy.com/ca/listing/4376399899/the-littlest-book-club-member-baby?transaction_id=4935705741</t>
  </si>
  <si>
    <t>https://www.etsy.com/ca/listing/4346126210/daddys-future-lifting-buddy-romper-baby?transaction_id=4923481588</t>
  </si>
  <si>
    <t>https://www.etsy.com/ca/listing/4392932100/born-to-ride-with-my-daddy-embroidered?transaction_id=4935795997</t>
  </si>
  <si>
    <t>https://www.etsy.com/ca/listing/4392962015/cant-wait-to-jam-with-daddy-embroidered?transaction_id=4935812517</t>
  </si>
  <si>
    <t>https://www.etsy.com/ca/listing/4372375963/whaley-cute-baby-romper-funny-whale-baby?transaction_id=4923708192</t>
  </si>
  <si>
    <t>https://www.etsy.com/ca/listing/4376389783/player-2-baby-romper-gamer-baby-outfit?transaction_id=4936002325</t>
  </si>
  <si>
    <t>https://www.etsy.com/ca/listing/4333134764/wizard-font-baby-romper-personalized?transaction_id=4923833174</t>
  </si>
  <si>
    <t>https://www.etsy.com/ca/listing/4372352286/silly-goose-baby-romper-funny-infant?transaction_id=4923871728</t>
  </si>
  <si>
    <t>https://www.etsy.com/ca/listing/4376399899/the-littlest-book-club-member-baby?transaction_id=4923896498</t>
  </si>
  <si>
    <t>https://www.etsy.com/ca/listing/4379194627/new-to-the-farm-embroidered-romper-baby?transaction_id=4923976912</t>
  </si>
  <si>
    <t>https://www.etsy.com/ca/listing/4376392339/funny-baby-romper-my-brand-of-formula?transaction_id=4936287457</t>
  </si>
  <si>
    <t>https://www.etsy.com/ca/listing/4376389783/player-2-baby-romper-gamer-baby-outfit?transaction_id=4924402406</t>
  </si>
  <si>
    <t>https://www.etsy.com/ca/listing/4336907597/custom-running-baby-romper-daddys-future?transaction_id=4924469510</t>
  </si>
  <si>
    <t>https://www.etsy.com/ca/listing/4371125103/personalized-dog-baby-bodysuit-custom?transaction_id=4924486628</t>
  </si>
  <si>
    <t>https://www.etsy.com/ca/listing/4392936921/apparently-i-like-golf-embroidered?transaction_id=4924599848</t>
  </si>
  <si>
    <t>https://www.etsy.com/ca/listing/4376399899/the-littlest-book-club-member-baby?transaction_id=4924604958</t>
  </si>
  <si>
    <t>https://www.etsy.com/ca/listing/4371125103/personalized-dog-baby-bodysuit-custom?transaction_id=4936769747</t>
  </si>
  <si>
    <t>https://www.etsy.com/ca/listing/4392935796/box-box-for-fresh-diapers-embroidered?transaction_id=4936823369</t>
  </si>
  <si>
    <t>https://www.etsy.com/ca/listing/4376392339/funny-baby-romper-my-brand-of-formula?transaction_id=4924684448</t>
  </si>
  <si>
    <t>https://www.etsy.com/ca/listing/4371125103/personalized-dog-baby-bodysuit-custom?transaction_id=4936866023</t>
  </si>
  <si>
    <t>https://www.etsy.com/ca/listing/4392932100/born-to-ride-with-my-daddy-embroidered?transaction_id=4937078099</t>
  </si>
  <si>
    <t>https://www.etsy.com/ca/listing/4330488178/embroidered-golf-baby-romper-new-to-the?transaction_id=4937303065</t>
  </si>
  <si>
    <t>https://www.etsy.com/ca/listing/4330488178/embroidered-golf-baby-romper-new-to-the?transaction_id=4925280890</t>
  </si>
  <si>
    <t>https://www.etsy.com/ca/listing/4392935796/box-box-for-fresh-diapers-embroidered?transaction_id=4925815098</t>
  </si>
  <si>
    <t>https://www.etsy.com/ca/listing/4330504943/embroidered-tennis-baby-romper-daddys?transaction_id=4937884731</t>
  </si>
  <si>
    <t>https://www.etsy.com/ca/listing/4330488178/embroidered-golf-baby-romper-new-to-the?transaction_id=4937890871</t>
  </si>
  <si>
    <t>https://www.etsy.com/ca/listing/4330488178/embroidered-golf-baby-romper-new-to-the?transaction_id=4926017414</t>
  </si>
  <si>
    <t>https://www.etsy.com/ca/listing/4371125103/personalized-dog-baby-bodysuit-custom?transaction_id=4926141350</t>
  </si>
  <si>
    <t>https://www.etsy.com/ca/listing/4376389783/player-2-baby-romper-gamer-baby-outfit?transaction_id=4926358382</t>
  </si>
  <si>
    <t>https://www.etsy.com/ca/listing/4392962015/cant-wait-to-jam-with-daddy-embroidered?transaction_id=4926608214</t>
  </si>
  <si>
    <t>https://www.etsy.com/ca/listing/4392932100/born-to-ride-with-my-daddy-embroidered?transaction_id=4927044608</t>
  </si>
  <si>
    <t>https://www.etsy.com/ca/listing/4376399899/the-littlest-book-club-member-baby?transaction_id=4927178010</t>
  </si>
  <si>
    <t>https://www.etsy.com/ca/listing/4346126210/daddys-future-lifting-buddy-romper-baby?transaction_id=4939329249</t>
  </si>
  <si>
    <t>https://www.etsy.com/ca/listing/4376399899/the-littlest-book-club-member-baby?transaction_id=4939394421</t>
  </si>
  <si>
    <t>https://www.etsy.com/ca/listing/4344231895/embroidered-baby-romper-shhh-im-reading?transaction_id=4927485328</t>
  </si>
  <si>
    <t>https://www.etsy.com/ca/listing/4330488178/embroidered-golf-baby-romper-new-to-the?transaction_id=4939555643</t>
  </si>
  <si>
    <t>https://www.etsy.com/ca/listing/4371125103/personalized-dog-baby-bodysuit-custom?transaction_id=4927672868</t>
  </si>
  <si>
    <t>https://www.etsy.com/ca/listing/4376389783/player-2-baby-romper-gamer-baby-outfit?transaction_id=4927682244</t>
  </si>
  <si>
    <t>https://www.etsy.com/ca/listing/4330483435/embroidered-coffee-bean-baby-romper?transaction_id=4939811131</t>
  </si>
  <si>
    <t>https://www.etsy.com/ca/listing/4330488178/embroidered-golf-baby-romper-new-to-the?transaction_id=4939830787</t>
  </si>
  <si>
    <t>https://www.etsy.com/ca/listing/4330485404/cat-face-embroidered-baby-romper-funny?transaction_id=4939867685</t>
  </si>
  <si>
    <t>https://www.etsy.com/ca/listing/4392936688/shhh-im-watching-motogp-with-daddy?transaction_id=4928159008</t>
  </si>
  <si>
    <t>https://www.etsy.com/ca/listing/4376399899/the-littlest-book-club-member-baby?transaction_id=4940500239</t>
  </si>
  <si>
    <t>https://www.etsy.com/ca/listing/4371125103/personalized-dog-baby-bodysuit-custom?transaction_id=4940653097</t>
  </si>
  <si>
    <t>https://www.etsy.com/ca/listing/4376399899/the-littlest-book-club-member-baby?transaction_id=4928736924</t>
  </si>
  <si>
    <t>https://www.etsy.com/ca/listing/4376399899/the-littlest-book-club-member-baby?transaction_id=4940795585</t>
  </si>
  <si>
    <t>https://www.etsy.com/ca/listing/4371125103/personalized-dog-baby-bodysuit-custom?transaction_id=4940894543</t>
  </si>
  <si>
    <t>https://www.etsy.com/ca/listing/4392962015/cant-wait-to-jam-with-daddy-embroidered?transaction_id=4929049130</t>
  </si>
  <si>
    <t>https://www.etsy.com/ca/listing/4346126210/daddys-future-lifting-buddy-romper-baby?transaction_id=4929289232</t>
  </si>
  <si>
    <t>https://www.etsy.com/ca/listing/4371125103/personalized-dog-baby-bodysuit-custom?transaction_id=4941630649</t>
  </si>
  <si>
    <t>https://www.etsy.com/ca/listing/4330488178/embroidered-golf-baby-romper-new-to-the?transaction_id=4929807872</t>
  </si>
  <si>
    <t>https://www.etsy.com/ca/listing/4371125103/personalized-dog-baby-bodysuit-custom?transaction_id=4941696781</t>
  </si>
  <si>
    <t>https://www.etsy.com/ca/listing/4392935796/box-box-for-fresh-diapers-embroidered?transaction_id=4929837982</t>
  </si>
  <si>
    <t>https://www.etsy.com/ca/listing/4376399899/the-littlest-book-club-member-baby?transaction_id=4941737155</t>
  </si>
  <si>
    <t>https://www.etsy.com/ca/listing/4330488178/embroidered-golf-baby-romper-new-to-the?transaction_id=4930180770</t>
  </si>
  <si>
    <t>https://www.etsy.com/ca/listing/4376399899/the-littlest-book-club-member-baby?transaction_id=4930197818</t>
  </si>
  <si>
    <t>https://www.etsy.com/ca/listing/4330488178/embroidered-golf-baby-romper-new-to-the?transaction_id=4942112259</t>
  </si>
  <si>
    <t>https://www.etsy.com/ca/listing/4369779608/baby-vampire-halloween-romper-funny?transaction_id=4942275265</t>
  </si>
  <si>
    <t>https://www.etsy.com/ca/listing/4392935796/box-box-for-fresh-diapers-embroidered?transaction_id=4930470896</t>
  </si>
  <si>
    <t>https://www.etsy.com/ca/listing/4330485404/cat-face-embroidered-baby-romper-funny?transaction_id=4930507880</t>
  </si>
  <si>
    <t>https://www.etsy.com/ca/listing/4371125103/personalized-dog-baby-bodysuit-custom?transaction_id=4942424475</t>
  </si>
  <si>
    <t>https://www.etsy.com/ca/listing/4371125103/personalized-dog-baby-bodysuit-custom?transaction_id=4930676674</t>
  </si>
  <si>
    <t>https://www.etsy.com/ca/listing/4347260564/football-baby-romper-game-day-baby?transaction_id=4942491783</t>
  </si>
  <si>
    <t>https://www.etsy.com/ca/listing/4376399899/the-littlest-book-club-member-baby?transaction_id=4930821512</t>
  </si>
  <si>
    <t>https://www.etsy.com/ca/listing/4330463387/embroidered-baby-romper-relax-mommy-is-a?transaction_id=4942606753</t>
  </si>
  <si>
    <t>https://www.etsy.com/ca/listing/4346126210/daddys-future-lifting-buddy-romper-baby?transaction_id=4942768509</t>
  </si>
  <si>
    <t>https://www.etsy.com/ca/listing/4392935796/box-box-for-fresh-diapers-embroidered?transaction_id=4931293952</t>
  </si>
  <si>
    <t>https://www.etsy.com/ca/listing/4371125103/personalized-dog-baby-bodysuit-custom?transaction_id=4931330072</t>
  </si>
  <si>
    <t>https://www.etsy.com/ca/listing/4376392339/funny-baby-romper-my-brand-of-formula?transaction_id=4931593090</t>
  </si>
  <si>
    <t>https://www.etsy.com/ca/listing/4371125103/personalized-dog-baby-bodysuit-custom?transaction_id=4943641677</t>
  </si>
  <si>
    <t>https://www.etsy.com/ca/listing/4371125103/personalized-dog-baby-bodysuit-custom?transaction_id=4932321700</t>
  </si>
  <si>
    <t>https://www.etsy.com/ca/listing/4371125103/personalized-dog-baby-bodysuit-custom?transaction_id=4943922629</t>
  </si>
  <si>
    <t>https://www.etsy.com/ca/listing/4371125103/personalized-dog-baby-bodysuit-custom?transaction_id=4944144695</t>
  </si>
  <si>
    <t>https://www.etsy.com/ca/listing/4347885967/gigis-bestie-baby-bodysuit-baby-shower?transaction_id=4932709620</t>
  </si>
  <si>
    <t>https://www.etsy.com/ca/listing/4376399899/the-littlest-book-club-member-baby?transaction_id=4944380147</t>
  </si>
  <si>
    <t>https://www.etsy.com/ca/listing/4371125103/personalized-dog-baby-bodysuit-custom?transaction_id=4932920272</t>
  </si>
  <si>
    <t>https://www.etsy.com/ca/listing/4330481826/bee-kind-baby-romper-embroidered-infant?transaction_id=4944486241</t>
  </si>
  <si>
    <t>https://www.etsy.com/ca/listing/4376399899/the-littlest-book-club-member-baby?transaction_id=4933121020</t>
  </si>
  <si>
    <t>https://www.etsy.com/ca/listing/4376392339/funny-baby-romper-my-brand-of-formula?transaction_id=4933182068</t>
  </si>
  <si>
    <t>https://www.etsy.com/ca/listing/4376399899/the-littlest-book-club-member-baby?transaction_id=4944838599</t>
  </si>
  <si>
    <t>https://www.etsy.com/ca/listing/4336907597/custom-running-baby-romper-daddys-future?transaction_id=4933341456</t>
  </si>
  <si>
    <t>https://www.etsy.com/ca/listing/4371125103/personalized-dog-baby-bodysuit-custom?transaction_id=4933394230</t>
  </si>
  <si>
    <t>https://www.etsy.com/ca/listing/4371125103/personalized-dog-baby-bodysuit-custom?transaction_id=4945037437</t>
  </si>
  <si>
    <t>https://www.etsy.com/ca/listing/4372352286/silly-goose-baby-romper-funny-infant?transaction_id=4934064286</t>
  </si>
  <si>
    <t>https://www.etsy.com/ca/listing/4393855716/lil-chef-embroidered-romper-cute-baby?transaction_id=4934134598</t>
  </si>
  <si>
    <t>https://www.etsy.com/ca/listing/4371125103/personalized-dog-baby-bodysuit-custom?transaction_id=4934190034</t>
  </si>
  <si>
    <t>https://www.etsy.com/ca/listing/4344239173/little-pumpkin-baby-romper-fall?transaction_id=4945647767</t>
  </si>
  <si>
    <t>https://www.etsy.com/ca/listing/4330485404/cat-face-embroidered-baby-romper-funny?transaction_id=4934227168</t>
  </si>
  <si>
    <t>https://www.etsy.com/ca/listing/4376399899/the-littlest-book-club-member-baby?transaction_id=4934258022</t>
  </si>
  <si>
    <t>https://www.etsy.com/ca/listing/4376389783/player-2-baby-romper-gamer-baby-outfit?transaction_id=4945888955</t>
  </si>
  <si>
    <t>https://www.etsy.com/ca/listing/4371125103/personalized-dog-baby-bodysuit-custom?transaction_id=4934852272</t>
  </si>
  <si>
    <t>https://www.etsy.com/ca/listing/4376399899/the-littlest-book-club-member-baby?transaction_id=4946458149</t>
  </si>
  <si>
    <t>https://www.etsy.com/ca/listing/4392932100/born-to-ride-with-my-daddy-embroidered?transaction_id=4935352762</t>
  </si>
  <si>
    <t>https://www.etsy.com/ca/listing/4376399899/the-littlest-book-club-member-baby?transaction_id=4946789667</t>
  </si>
  <si>
    <t>https://www.etsy.com/ca/listing/4371125103/personalized-dog-baby-bodysuit-custom?transaction_id=4946819219</t>
  </si>
  <si>
    <t>https://www.etsy.com/ca/listing/4392936688/shhh-im-watching-motogp-with-daddy?transaction_id=4935705774</t>
  </si>
  <si>
    <t>https://www.etsy.com/ca/listing/4371125103/personalized-dog-baby-bodysuit-custom?transaction_id=4947136669</t>
  </si>
  <si>
    <t>https://www.etsy.com/ca/listing/4369766034/funny-golf-baby-romper-i-just-shanked-my?transaction_id=4935828606</t>
  </si>
  <si>
    <t>https://www.etsy.com/ca/listing/4330488178/embroidered-golf-baby-romper-new-to-the?transaction_id=4935857716</t>
  </si>
  <si>
    <t>https://www.etsy.com/ca/listing/4371125103/personalized-dog-baby-bodysuit-custom?transaction_id=4935924508</t>
  </si>
  <si>
    <t>https://www.etsy.com/ca/listing/4376399899/the-littlest-book-club-member-baby?transaction_id=4947412855</t>
  </si>
  <si>
    <t>https://www.etsy.com/ca/listing/4330485404/cat-face-embroidered-baby-romper-funny?transaction_id=4947501121</t>
  </si>
  <si>
    <t>https://www.etsy.com/ca/listing/4376399899/the-littlest-book-club-member-baby?transaction_id=4936190030</t>
  </si>
  <si>
    <t>https://www.etsy.com/ca/listing/4346126210/daddys-future-lifting-buddy-romper-baby?transaction_id=4947867441</t>
  </si>
  <si>
    <t>https://www.etsy.com/ca/listing/4393855716/lil-chef-embroidered-romper-cute-baby?transaction_id=4948066033</t>
  </si>
  <si>
    <t>https://www.etsy.com/ca/listing/4376399899/the-littlest-book-club-member-baby?transaction_id=4936799448</t>
  </si>
  <si>
    <t>https://www.etsy.com/ca/listing/4376399899/the-littlest-book-club-member-baby?transaction_id=4936925444</t>
  </si>
  <si>
    <t>https://www.etsy.com/ca/listing/4371125103/personalized-dog-baby-bodysuit-custom?transaction_id=4937100754</t>
  </si>
  <si>
    <t>https://www.etsy.com/ca/listing/4330463387/embroidered-baby-romper-relax-mommy-is-a?transaction_id=4948557231</t>
  </si>
  <si>
    <t>https://www.etsy.com/ca/listing/4330483435/embroidered-coffee-bean-baby-romper?transaction_id=4937294586</t>
  </si>
  <si>
    <t>https://www.etsy.com/ca/listing/4344231895/embroidered-baby-romper-shhh-im-reading?transaction_id=4937339238</t>
  </si>
  <si>
    <t>https://www.etsy.com/ca/listing/4371125103/personalized-dog-baby-bodysuit-custom?transaction_id=4948787769</t>
  </si>
  <si>
    <t>https://www.etsy.com/ca/listing/4371125103/personalized-dog-baby-bodysuit-custom?transaction_id=4948936101</t>
  </si>
  <si>
    <t>https://www.etsy.com/ca/listing/4376401181/challah-at-your-girl-baby-bodysuit-funny?transaction_id=4937634946</t>
  </si>
  <si>
    <t>https://www.etsy.com/ca/listing/4330488178/embroidered-golf-baby-romper-new-to-the?transaction_id=4937813930</t>
  </si>
  <si>
    <t>https://www.etsy.com/ca/listing/4371125103/personalized-dog-baby-bodysuit-custom?transaction_id=4937872456</t>
  </si>
  <si>
    <t>https://www.etsy.com/ca/listing/4376399899/the-littlest-book-club-member-baby?transaction_id=4949190889</t>
  </si>
  <si>
    <t>https://www.etsy.com/ca/listing/4344235128/new-to-the-hive-baby-romper-embroidered?transaction_id=4949368105</t>
  </si>
  <si>
    <t>https://www.etsy.com/ca/listing/4392936921/apparently-i-like-golf-embroidered?transaction_id=4949584817</t>
  </si>
  <si>
    <t>https://www.etsy.com/ca/listing/4371125103/personalized-dog-baby-bodysuit-custom?transaction_id=4938416818</t>
  </si>
  <si>
    <t>https://www.etsy.com/ca/listing/4330488178/embroidered-golf-baby-romper-new-to-the?transaction_id=4938703208</t>
  </si>
  <si>
    <t>https://www.etsy.com/ca/listing/4392962015/cant-wait-to-jam-with-daddy-embroidered?transaction_id=4938896016</t>
  </si>
  <si>
    <t>https://www.etsy.com/ca/listing/4347260564/football-baby-romper-game-day-baby?transaction_id=4938950258</t>
  </si>
  <si>
    <t>https://www.etsy.com/ca/listing/4330495722/embroidered-golf-baby-romper-custom?transaction_id=4939137062</t>
  </si>
  <si>
    <t>https://www.etsy.com/ca/listing/4344231895/embroidered-baby-romper-shhh-im-reading?transaction_id=4950441467</t>
  </si>
  <si>
    <t>https://www.etsy.com/ca/listing/4376399899/the-littlest-book-club-member-baby?transaction_id=4950449971</t>
  </si>
  <si>
    <t>https://www.etsy.com/ca/listing/4371125103/personalized-dog-baby-bodysuit-custom?transaction_id=4950485645</t>
  </si>
  <si>
    <t>https://www.etsy.com/ca/listing/4330504400/embroidered-bicycle-baby-romper-born-to?transaction_id=4950853851</t>
  </si>
  <si>
    <t>https://www.etsy.com/ca/listing/4330488178/embroidered-golf-baby-romper-new-to-the?transaction_id=4939683906</t>
  </si>
  <si>
    <t>https://www.etsy.com/ca/listing/4372360540/taco-bout-cute-baby-romper-funny-food?transaction_id=4939711726</t>
  </si>
  <si>
    <t>https://www.etsy.com/ca/listing/4393855716/lil-chef-embroidered-romper-cute-baby?transaction_id=4939711724</t>
  </si>
  <si>
    <t>https://www.etsy.com/ca/listing/4344230374/food-critic-baby-bodysuit-funny-newborn?transaction_id=4939711722</t>
  </si>
  <si>
    <t>https://www.etsy.com/ca/listing/4376399899/the-littlest-book-club-member-baby?transaction_id=4939763814</t>
  </si>
  <si>
    <t>https://www.etsy.com/ca/listing/4330474831/embroidered-hedgehog-baby-bodysuit?transaction_id=4951378649</t>
  </si>
  <si>
    <t>https://www.etsy.com/ca/listing/4372352286/silly-goose-baby-romper-funny-infant?transaction_id=4940475060</t>
  </si>
  <si>
    <t>https://www.etsy.com/ca/listing/4372352286/silly-goose-baby-romper-funny-infant?transaction_id=4951754127</t>
  </si>
  <si>
    <t>https://www.etsy.com/ca/listing/4371125103/personalized-dog-baby-bodysuit-custom?transaction_id=4940707550</t>
  </si>
  <si>
    <t>https://www.etsy.com/ca/listing/4376399899/the-littlest-book-club-member-baby?transaction_id=4952040509</t>
  </si>
  <si>
    <t>https://www.etsy.com/ca/listing/4371125103/personalized-dog-baby-bodysuit-custom?transaction_id=4941213470</t>
  </si>
  <si>
    <t>https://www.etsy.com/ca/listing/4376399899/the-littlest-book-club-member-baby?transaction_id=4941230498</t>
  </si>
  <si>
    <t>https://www.etsy.com/ca/listing/4330488178/embroidered-golf-baby-romper-new-to-the?transaction_id=4952362953</t>
  </si>
  <si>
    <t>https://www.etsy.com/ca/listing/4371125103/personalized-dog-baby-bodysuit-custom?transaction_id=4941369252</t>
  </si>
  <si>
    <t>https://www.etsy.com/ca/listing/4371125103/personalized-dog-baby-bodysuit-custom?transaction_id=4953646437</t>
  </si>
  <si>
    <t>https://www.etsy.com/ca/listing/4330488178/embroidered-golf-baby-romper-new-to-the?transaction_id=4953865813</t>
  </si>
  <si>
    <t>https://www.etsy.com/ca/listing/4392932100/born-to-ride-with-my-daddy-embroidered?transaction_id=4953933831</t>
  </si>
  <si>
    <t>https://www.etsy.com/ca/listing/4330488178/embroidered-golf-baby-romper-new-to-the?transaction_id=4954037833</t>
  </si>
  <si>
    <t>https://www.etsy.com/ca/listing/4330488178/embroidered-golf-baby-romper-new-to-the?transaction_id=4954187879</t>
  </si>
  <si>
    <t>https://www.etsy.com/ca/listing/4392935796/box-box-for-fresh-diapers-embroidered?transaction_id=4943340888</t>
  </si>
  <si>
    <t>https://www.etsy.com/ca/listing/4392936921/apparently-i-like-golf-embroidered?transaction_id=4954304013</t>
  </si>
  <si>
    <t>https://www.etsy.com/ca/listing/4344231895/embroidered-baby-romper-shhh-im-reading?transaction_id=4943396514</t>
  </si>
  <si>
    <t>https://www.etsy.com/ca/listing/4392962015/cant-wait-to-jam-with-daddy-embroidered?transaction_id=4954361285</t>
  </si>
  <si>
    <t>https://www.etsy.com/ca/listing/4376399899/the-littlest-book-club-member-baby?transaction_id=4943476692</t>
  </si>
  <si>
    <t>https://www.etsy.com/ca/listing/4330488178/embroidered-golf-baby-romper-new-to-the?transaction_id=4943574960</t>
  </si>
  <si>
    <t>https://www.etsy.com/ca/listing/4344231895/embroidered-baby-romper-shhh-im-reading?transaction_id=4954560307</t>
  </si>
  <si>
    <t>https://www.etsy.com/ca/listing/4330495722/embroidered-golf-baby-romper-custom?transaction_id=4954744177</t>
  </si>
  <si>
    <t>https://www.etsy.com/ca/listing/4376389783/player-2-baby-romper-gamer-baby-outfit?transaction_id=4954748377</t>
  </si>
  <si>
    <t>https://www.etsy.com/ca/listing/4330488178/embroidered-golf-baby-romper-new-to-the?transaction_id=4943939322</t>
  </si>
  <si>
    <t>https://www.etsy.com/ca/listing/4392929794/little-latke-embroidered-romper-hanukkah?transaction_id=4954906977</t>
  </si>
  <si>
    <t>https://www.etsy.com/ca/listing/4376401181/challah-at-your-girl-baby-bodysuit-funny?transaction_id=4954906975</t>
  </si>
  <si>
    <t>https://www.etsy.com/ca/listing/4392932100/born-to-ride-with-my-daddy-embroidered?transaction_id=4944021678</t>
  </si>
  <si>
    <t>https://www.etsy.com/ca/listing/4344237213/mamas-coffee-date-baby-bodysuit-funny?transaction_id=4944021676</t>
  </si>
  <si>
    <t>https://www.etsy.com/ca/listing/4376399899/the-littlest-book-club-member-baby?transaction_id=4954939199</t>
  </si>
  <si>
    <t>https://www.etsy.com/ca/listing/4371125103/personalized-dog-baby-bodysuit-custom?transaction_id=4954997697</t>
  </si>
  <si>
    <t>https://www.etsy.com/ca/listing/4376399899/the-littlest-book-club-member-baby?transaction_id=4944321220</t>
  </si>
  <si>
    <t>https://www.etsy.com/ca/listing/4371125103/personalized-dog-baby-bodysuit-custom?transaction_id=4944369360</t>
  </si>
  <si>
    <t>https://www.etsy.com/ca/listing/4330485404/cat-face-embroidered-baby-romper-funny?transaction_id=4955249583</t>
  </si>
  <si>
    <t>https://www.etsy.com/ca/listing/4376399899/the-littlest-book-club-member-baby?transaction_id=4955541305</t>
  </si>
  <si>
    <t>https://www.etsy.com/ca/listing/4330488178/embroidered-golf-baby-romper-new-to-the?transaction_id=4944719110</t>
  </si>
  <si>
    <t>https://www.etsy.com/ca/listing/4376399899/the-littlest-book-club-member-baby?transaction_id=4944755382</t>
  </si>
  <si>
    <t>https://www.etsy.com/ca/listing/4376399899/the-littlest-book-club-member-baby?transaction_id=4945116826</t>
  </si>
  <si>
    <t>https://www.etsy.com/ca/listing/4330488178/embroidered-golf-baby-romper-new-to-the?transaction_id=4945948024</t>
  </si>
  <si>
    <t>https://www.etsy.com/ca/listing/4376399899/the-littlest-book-club-member-baby?transaction_id=4956768673</t>
  </si>
  <si>
    <t>https://www.etsy.com/ca/listing/4344231895/embroidered-baby-romper-shhh-im-reading?transaction_id=4956860027</t>
  </si>
  <si>
    <t>https://www.etsy.com/ca/listing/4371125103/personalized-dog-baby-bodysuit-custom?transaction_id=4956918187</t>
  </si>
  <si>
    <t>https://www.etsy.com/ca/listing/4376399899/the-littlest-book-club-member-baby?transaction_id=4946207220</t>
  </si>
  <si>
    <t>https://www.etsy.com/ca/listing/4330463387/embroidered-baby-romper-relax-mommy-is-a?transaction_id=4946211706</t>
  </si>
  <si>
    <t>https://www.etsy.com/ca/listing/4330495722/embroidered-golf-baby-romper-custom?transaction_id=4946380996</t>
  </si>
  <si>
    <t>https://www.etsy.com/ca/listing/4346124431/small-and-spicy-baby-romper-embroidered?transaction_id=4946403960</t>
  </si>
  <si>
    <t>https://www.etsy.com/ca/listing/4371125103/personalized-dog-baby-bodysuit-custom?transaction_id=4946567950</t>
  </si>
  <si>
    <t>https://www.etsy.com/ca/listing/4376399899/the-littlest-book-club-member-baby?transaction_id=4957508621</t>
  </si>
  <si>
    <t>https://www.etsy.com/ca/listing/4392932100/born-to-ride-with-my-daddy-embroidered?transaction_id=4946792538</t>
  </si>
  <si>
    <t>https://www.etsy.com/ca/listing/4376399899/the-littlest-book-club-member-baby?transaction_id=4946833486</t>
  </si>
  <si>
    <t>https://www.etsy.com/ca/listing/4346126210/daddys-future-lifting-buddy-romper-baby?transaction_id=4947002586</t>
  </si>
  <si>
    <t>https://www.etsy.com/ca/listing/4330495722/embroidered-golf-baby-romper-custom?transaction_id=4957846909</t>
  </si>
  <si>
    <t>https://www.etsy.com/ca/listing/4330485404/cat-face-embroidered-baby-romper-funny?transaction_id=4947257836</t>
  </si>
  <si>
    <t>https://www.etsy.com/ca/listing/4336907597/custom-running-baby-romper-daddys-future?transaction_id=4947301536</t>
  </si>
  <si>
    <t>https://www.etsy.com/ca/listing/4330488178/embroidered-golf-baby-romper-new-to-the?transaction_id=4958333001</t>
  </si>
  <si>
    <t>https://www.etsy.com/ca/listing/4371125103/personalized-dog-baby-bodysuit-custom?transaction_id=4947729168</t>
  </si>
  <si>
    <t>https://www.etsy.com/ca/listing/4344235128/new-to-the-hive-baby-romper-embroidered?transaction_id=4958450773</t>
  </si>
  <si>
    <t>https://www.etsy.com/ca/listing/4393855716/lil-chef-embroidered-romper-cute-baby?transaction_id=4958454981</t>
  </si>
  <si>
    <t>https://www.etsy.com/ca/listing/4330504943/embroidered-tennis-baby-romper-daddys?transaction_id=4958554841</t>
  </si>
  <si>
    <t>https://www.etsy.com/ca/listing/4330485404/cat-face-embroidered-baby-romper-funny?transaction_id=4958584327</t>
  </si>
  <si>
    <t>https://www.etsy.com/ca/listing/4371125103/personalized-dog-baby-bodysuit-custom?transaction_id=4948085356</t>
  </si>
  <si>
    <t>https://www.etsy.com/ca/listing/4379194627/new-to-the-farm-embroidered-romper-baby?transaction_id=4948949194</t>
  </si>
  <si>
    <t>https://www.etsy.com/ca/listing/4330485404/cat-face-embroidered-baby-romper-funny?transaction_id=4948995038</t>
  </si>
  <si>
    <t>https://www.etsy.com/ca/listing/4376399899/the-littlest-book-club-member-baby?transaction_id=4949115684</t>
  </si>
  <si>
    <t>https://www.etsy.com/ca/listing/4376399899/the-littlest-book-club-member-baby?transaction_id=4949228434</t>
  </si>
  <si>
    <t>https://www.etsy.com/ca/listing/4371125103/personalized-dog-baby-bodysuit-custom?transaction_id=4960008691</t>
  </si>
  <si>
    <t>https://www.etsy.com/ca/listing/4376392339/funny-baby-romper-my-brand-of-formula?transaction_id=4950258100</t>
  </si>
  <si>
    <t>https://www.etsy.com/ca/listing/4376399899/the-littlest-book-club-member-baby?transaction_id=4960957605</t>
  </si>
  <si>
    <t>https://www.etsy.com/ca/listing/4376399899/the-littlest-book-club-member-baby?transaction_id=4961268877</t>
  </si>
  <si>
    <t>https://www.etsy.com/ca/listing/4392935796/box-box-for-fresh-diapers-embroidered?transaction_id=4950625242</t>
  </si>
  <si>
    <t>https://www.etsy.com/ca/listing/4372352286/silly-goose-baby-romper-funny-infant?transaction_id=4950678606</t>
  </si>
  <si>
    <t>https://www.etsy.com/ca/listing/4344231895/embroidered-baby-romper-shhh-im-reading?transaction_id=4961379893</t>
  </si>
  <si>
    <t>https://www.etsy.com/ca/listing/4376399899/the-littlest-book-club-member-baby?transaction_id=4961460265</t>
  </si>
  <si>
    <t>https://www.etsy.com/ca/listing/4347260564/football-baby-romper-game-day-baby?transaction_id=4961623597</t>
  </si>
  <si>
    <t>https://www.etsy.com/ca/listing/4330480699/little-prince-baby-romper-embroidered?transaction_id=4961690595</t>
  </si>
  <si>
    <t>https://www.etsy.com/ca/listing/4371125103/personalized-dog-baby-bodysuit-custom?transaction_id=4951122238</t>
  </si>
  <si>
    <t>https://www.etsy.com/ca/listing/4372352286/silly-goose-baby-romper-funny-infant?transaction_id=4951482928</t>
  </si>
  <si>
    <t>https://www.etsy.com/ca/listing/4376392339/funny-baby-romper-my-brand-of-formula?transaction_id=4951529346</t>
  </si>
  <si>
    <t>https://www.etsy.com/ca/listing/4376399899/the-littlest-book-club-member-baby?transaction_id=4951554412</t>
  </si>
  <si>
    <t>https://www.etsy.com/ca/listing/4330488178/embroidered-golf-baby-romper-new-to-the?transaction_id=4962118241</t>
  </si>
  <si>
    <t>https://www.etsy.com/ca/listing/4371125103/personalized-dog-baby-bodysuit-custom?transaction_id=4962121155</t>
  </si>
  <si>
    <t>https://www.etsy.com/ca/listing/4347260564/football-baby-romper-game-day-baby?transaction_id=4962231587</t>
  </si>
  <si>
    <t>https://www.etsy.com/ca/listing/4376389783/player-2-baby-romper-gamer-baby-outfit?transaction_id=4951751080</t>
  </si>
  <si>
    <t>https://www.etsy.com/ca/listing/4371125103/personalized-dog-baby-bodysuit-custom?transaction_id=4951772494</t>
  </si>
  <si>
    <t>https://www.etsy.com/ca/listing/4392935796/box-box-for-fresh-diapers-embroidered?transaction_id=4951798158</t>
  </si>
  <si>
    <t>https://www.etsy.com/ca/listing/4376389783/player-2-baby-romper-gamer-baby-outfit?transaction_id=4962438723</t>
  </si>
  <si>
    <t>https://www.etsy.com/ca/listing/4376389783/player-2-baby-romper-gamer-baby-outfit?transaction_id=4962446497</t>
  </si>
  <si>
    <t>https://www.etsy.com/ca/listing/4347260564/football-baby-romper-game-day-baby?transaction_id=4962907159</t>
  </si>
  <si>
    <t>https://www.etsy.com/ca/listing/4376399899/the-littlest-book-club-member-baby?transaction_id=4962909409</t>
  </si>
  <si>
    <t>https://www.etsy.com/ca/listing/4376399899/the-littlest-book-club-member-baby?transaction_id=4962923615</t>
  </si>
  <si>
    <t>https://www.etsy.com/ca/listing/4392936688/shhh-im-watching-motogp-with-daddy?transaction_id=4952470784</t>
  </si>
  <si>
    <t>https://www.etsy.com/ca/listing/4346129239/soccer-baby-romper-embroidered-daddy-and?transaction_id=4963192287</t>
  </si>
  <si>
    <t>https://www.etsy.com/ca/listing/4376399899/the-littlest-book-club-member-baby?transaction_id=4963513643</t>
  </si>
  <si>
    <t>https://www.etsy.com/ca/listing/4336902854/personalized-football-baby-romper-daddys?transaction_id=4953131138</t>
  </si>
  <si>
    <t>https://www.etsy.com/ca/listing/4376399899/the-littlest-book-club-member-baby?transaction_id=4953363702</t>
  </si>
  <si>
    <t>https://www.etsy.com/ca/listing/4330485404/cat-face-embroidered-baby-romper-funny?transaction_id=4953413984</t>
  </si>
  <si>
    <t>https://www.etsy.com/ca/listing/4392936921/apparently-i-like-golf-embroidered?transaction_id=4963912835</t>
  </si>
  <si>
    <t>https://www.etsy.com/ca/listing/4330488178/embroidered-golf-baby-romper-new-to-the?transaction_id=4953802486</t>
  </si>
  <si>
    <t>https://www.etsy.com/ca/listing/4376399899/the-littlest-book-club-member-baby?transaction_id=4953938526</t>
  </si>
  <si>
    <t>https://www.etsy.com/ca/listing/4371125103/personalized-dog-baby-bodysuit-custom?transaction_id=4964464741</t>
  </si>
  <si>
    <t>https://www.etsy.com/ca/listing/4376389783/player-2-baby-romper-gamer-baby-outfit?transaction_id=4964553225</t>
  </si>
  <si>
    <t xml:space="preserve">https://www.etsy.com/ca/listing/4392932100/born-to-ride-with-my-daddy-embroidered?transaction_id=4954151678 </t>
  </si>
  <si>
    <t>https://www.etsy.com/ca/listing/4392935796/box-box-for-fresh-diapers-embroidered?transaction_id=4965091119</t>
  </si>
  <si>
    <t>https://www.etsy.com/ca/listing/4330488178/embroidered-golf-baby-romper-new-to-the?transaction_id=4954612558</t>
  </si>
  <si>
    <t>https://www.etsy.com/ca/listing/4371125103/personalized-dog-baby-bodysuit-custom?transaction_id=4939193292</t>
  </si>
  <si>
    <t>https://www.etsy.com/ca/listing/4371125103/personalized-dog-baby-bodysuit-custom?transaction_id=4953661118</t>
  </si>
  <si>
    <t>https://www.etsy.com/ca/listing/4392962015/cant-wait-to-jam-with-daddy-embroidered?transaction_id=4965571943</t>
  </si>
  <si>
    <t>https://www.etsy.com/ca/listing/4376399899/the-littlest-book-club-member-baby?transaction_id=4955261716</t>
  </si>
  <si>
    <t>https://www.etsy.com/ca/listing/4371125103/personalized-dog-baby-bodysuit-custom?transaction_id=4955322146</t>
  </si>
  <si>
    <t>https://www.etsy.com/ca/listing/4346126210/daddys-future-lifting-buddy-romper-baby?transaction_id=4965849527</t>
  </si>
  <si>
    <t>https://www.etsy.com/ca/listing/4392935796/box-box-for-fresh-diapers-embroidered?transaction_id=4966046337</t>
  </si>
  <si>
    <t>https://www.etsy.com/ca/listing/4376399899/the-littlest-book-club-member-baby?transaction_id=4955893866</t>
  </si>
  <si>
    <t>https://www.etsy.com/ca/listing/4347885967/gigis-bestie-baby-bodysuit-baby-shower?transaction_id=4955920252</t>
  </si>
  <si>
    <t>https://www.etsy.com/ca/listing/4376399899/the-littlest-book-club-member-baby?transaction_id=4956296490</t>
  </si>
  <si>
    <t>https://www.etsy.com/ca/listing/4376399899/the-littlest-book-club-member-baby?transaction_id=4967186851</t>
  </si>
  <si>
    <t>https://www.etsy.com/ca/listing/4336902854/personalized-football-baby-romper-daddys?transaction_id=4956866612</t>
  </si>
  <si>
    <t>https://www.etsy.com/ca/listing/4347260564/football-baby-romper-game-day-baby?transaction_id=4957152008</t>
  </si>
  <si>
    <t>https://www.etsy.com/ca/listing/4372357398/personalized-hunting-baby-romper-custom?transaction_id=4957185078</t>
  </si>
  <si>
    <t>https://www.etsy.com/ca/listing/4376399899/the-littlest-book-club-member-baby?transaction_id=4957199070</t>
  </si>
  <si>
    <t>https://www.etsy.com/ca/listing/4376392339/funny-baby-romper-my-brand-of-formula?transaction_id=4957277886</t>
  </si>
  <si>
    <t>https://www.etsy.com/ca/listing/4392936921/apparently-i-like-golf-embroidered?transaction_id=4957348034</t>
  </si>
  <si>
    <t>https://www.etsy.com/ca/listing/4330492936/a-roar-able-dinosaur-baby-bodysuit-cute?transaction_id=4957445120</t>
  </si>
  <si>
    <t>https://www.etsy.com/ca/listing/4376392339/funny-baby-romper-my-brand-of-formula?transaction_id=4967804263</t>
  </si>
  <si>
    <t>https://www.etsy.com/ca/listing/4392962015/cant-wait-to-jam-with-daddy-embroidered?transaction_id=4957551862</t>
  </si>
  <si>
    <t>https://www.etsy.com/ca/listing/4330488178/embroidered-golf-baby-romper-new-to-the?transaction_id=4968070469</t>
  </si>
  <si>
    <t>https://www.etsy.com/ca/listing/4392936688/shhh-im-watching-motogp-with-daddy?transaction_id=4957789690</t>
  </si>
  <si>
    <t>https://www.etsy.com/ca/listing/4371125103/personalized-dog-baby-bodysuit-custom?transaction_id=4968601961</t>
  </si>
  <si>
    <t>https://www.etsy.com/ca/listing/4392935796/box-box-for-fresh-diapers-embroidered?transaction_id=4968785629</t>
  </si>
  <si>
    <t>https://www.etsy.com/ca/listing/4344231159/embroidered-bookworm-baby-romper?transaction_id=4958544660</t>
  </si>
  <si>
    <t>https://www.etsy.com/ca/listing/4330493015/embroidered-mini-golfer-baby-romper?transaction_id=4958877784</t>
  </si>
  <si>
    <t>https://www.etsy.com/ca/listing/4392962015/cant-wait-to-jam-with-daddy-embroidered?transaction_id=4969190867</t>
  </si>
  <si>
    <t>https://www.etsy.com/ca/listing/4330488178/embroidered-golf-baby-romper-new-to-the?transaction_id=4969310693</t>
  </si>
  <si>
    <t>https://www.etsy.com/ca/listing/4330463387/embroidered-baby-romper-relax-mommy-is-a?transaction_id=4969361475</t>
  </si>
  <si>
    <t>https://www.etsy.com/ca/listing/4392936921/apparently-i-like-golf-embroidered?transaction_id=4969420395</t>
  </si>
  <si>
    <t>https://www.etsy.com/ca/listing/4376392339/funny-baby-romper-my-brand-of-formula?transaction_id=4969471851</t>
  </si>
  <si>
    <t>https://www.etsy.com/ca/listing/4330483435/embroidered-coffee-bean-baby-romper?transaction_id=4969680261</t>
  </si>
  <si>
    <t>https://www.etsy.com/ca/listing/4392962015/cant-wait-to-jam-with-daddy-embroidered?transaction_id=4959472408</t>
  </si>
  <si>
    <t>https://www.etsy.com/ca/listing/4330483435/embroidered-coffee-bean-baby-romper?transaction_id=4969781855</t>
  </si>
  <si>
    <t>https://www.etsy.com/ca/listing/4392936688/shhh-im-watching-motogp-with-daddy?transaction_id=4969899993</t>
  </si>
  <si>
    <t>https://www.etsy.com/ca/listing/4371125103/personalized-dog-baby-bodysuit-custom?transaction_id=4959743506</t>
  </si>
  <si>
    <t>https://www.etsy.com/ca/listing/4392935796/box-box-for-fresh-diapers-embroidered?transaction_id=4970248331</t>
  </si>
  <si>
    <t>https://www.etsy.com/ca/listing/4392936921/apparently-i-like-golf-embroidered?transaction_id=4960295990</t>
  </si>
  <si>
    <t>https://www.etsy.com/ca/listing/4330483435/embroidered-coffee-bean-baby-romper?transaction_id=4970840657</t>
  </si>
  <si>
    <t>https://www.etsy.com/ca/listing/4346126210/daddys-future-lifting-buddy-romper-baby?transaction_id=4960733102</t>
  </si>
  <si>
    <t>https://www.etsy.com/ca/listing/4346126210/daddys-future-lifting-buddy-romper-baby?transaction_id=4961610608</t>
  </si>
  <si>
    <t>https://www.etsy.com/ca/listing/4352935112/custom-baby-romper-personalized-newborn?transaction_id=4968486065</t>
  </si>
  <si>
    <t>https://www.etsy.com/ca/listing/4330485404/cat-face-embroidered-baby-romper-funny?transaction_id=4971828557</t>
  </si>
  <si>
    <t>https://www.etsy.com/ca/listing/4344231895/embroidered-baby-romper-shhh-im-reading?transaction_id=4961853232</t>
  </si>
  <si>
    <t>https://www.etsy.com/ca/listing/4343131516/embroidered-pickleball-baby-bodysuit?transaction_id=4972339387</t>
  </si>
  <si>
    <t>https://www.etsy.com/ca/listing/4376389783/player-2-baby-romper-gamer-baby-outfit?transaction_id=4962294952</t>
  </si>
  <si>
    <t>https://www.etsy.com/ca/listing/4376392339/funny-baby-romper-my-brand-of-formula?transaction_id=4962315402</t>
  </si>
  <si>
    <t>https://www.etsy.com/ca/listing/4379187006/future-birder-embroidered-romper-cute?transaction_id=4962384964</t>
  </si>
  <si>
    <t>https://www.etsy.com/ca/listing/4371125103/personalized-dog-baby-bodysuit-custom?transaction_id=4972616447</t>
  </si>
  <si>
    <t>https://www.etsy.com/ca/listing/4330480699/little-prince-baby-romper-embroidered?transaction_id=4962629780</t>
  </si>
  <si>
    <t>https://www.etsy.com/ca/listing/4330504943/embroidered-tennis-baby-romper-daddys?transaction_id=4973044503</t>
  </si>
  <si>
    <t>https://www.etsy.com/ca/listing/4376399899/the-littlest-book-club-member-baby?transaction_id=4973786027</t>
  </si>
  <si>
    <t>https://www.etsy.com/ca/listing/4376392339/funny-baby-romper-my-brand-of-formula?transaction_id=4964006538</t>
  </si>
  <si>
    <t>https://www.etsy.com/ca/listing/4330479964/personalized-fox-baby-bodysuit-custom?transaction_id=4964058244</t>
  </si>
  <si>
    <t>https://www.etsy.com/ca/listing/4392962015/cant-wait-to-jam-with-daddy-embroidered?transaction_id=4974494321</t>
  </si>
  <si>
    <t>https://www.etsy.com/ca/listing/4376392339/funny-baby-romper-my-brand-of-formula?transaction_id=4964596600</t>
  </si>
  <si>
    <t>https://www.etsy.com/ca/listing/4376392339/funny-baby-romper-my-brand-of-formula?transaction_id=4964656790</t>
  </si>
  <si>
    <t>https://www.etsy.com/ca/listing/4336903235/personalized-tennis-baby-romper?transaction_id=4964705886</t>
  </si>
  <si>
    <t>https://www.etsy.com/ca/listing/4371125103/personalized-dog-baby-bodysuit-custom?transaction_id=4964787266</t>
  </si>
  <si>
    <t>https://www.etsy.com/ca/listing/4330485404/cat-face-embroidered-baby-romper-funny?transaction_id=4964820430</t>
  </si>
  <si>
    <t>https://www.etsy.com/ca/listing/4344235128/new-to-the-hive-baby-romper-embroidered?transaction_id=4975661883</t>
  </si>
  <si>
    <t>https://www.etsy.com/ca/listing/4336900156/personalized-soccer-baby-romper?transaction_id=4965604302</t>
  </si>
  <si>
    <t>https://www.etsy.com/ca/listing/4376399899/the-littlest-book-club-member-baby?transaction_id=4975910673</t>
  </si>
  <si>
    <t>https://www.etsy.com/ca/listing/4330488178/embroidered-golf-baby-romper-new-to-the?transaction_id=4975997875</t>
  </si>
  <si>
    <t>https://www.etsy.com/ca/listing/4330488178/embroidered-golf-baby-romper-new-to-the?transaction_id=4976108065</t>
  </si>
  <si>
    <t>https://www.etsy.com/ca/listing/4336899579/personalized-basketball-baby-romper?transaction_id=4976344031</t>
  </si>
  <si>
    <t>https://www.etsy.com/ca/listing/4372352286/silly-goose-baby-romper-funny-infant?transaction_id=4966514380</t>
  </si>
  <si>
    <t>https://www.etsy.com/ca/listing/4376399899/the-littlest-book-club-member-baby?transaction_id=4966600456</t>
  </si>
  <si>
    <t>https://www.etsy.com/ca/listing/4330485404/cat-face-embroidered-baby-romper-funny?transaction_id=4966707238</t>
  </si>
  <si>
    <t>https://www.etsy.com/ca/listing/4369766034/funny-golf-baby-romper-i-just-shanked-my?transaction_id=4967009382</t>
  </si>
  <si>
    <t>https://www.etsy.com/ca/listing/4330485404/cat-face-embroidered-baby-romper-funny?transaction_id=4967024890</t>
  </si>
  <si>
    <t>https://www.etsy.com/ca/listing/4376399899/the-littlest-book-club-member-baby?transaction_id=4977190339</t>
  </si>
  <si>
    <t>https://www.etsy.com/ca/listing/4376399899/the-littlest-book-club-member-baby?transaction_id=4977345309</t>
  </si>
  <si>
    <t>https://www.etsy.com/ca/listing/4372352286/silly-goose-baby-romper-funny-infant?transaction_id=4977354359</t>
  </si>
  <si>
    <t>https://www.etsy.com/ca/listing/4376399899/the-littlest-book-club-member-baby?transaction_id=4967243470</t>
  </si>
  <si>
    <t>https://www.etsy.com/ca/listing/4376399899/the-littlest-book-club-member-baby?transaction_id=4967248556</t>
  </si>
  <si>
    <t>https://www.etsy.com/ca/listing/4371112234/personalized-pet-line-art-baby-bodysuit?transaction_id=4972392435</t>
  </si>
  <si>
    <r>
      <t>https://www.etsy.com/ca/listing/4344235128/new-to-the-hive-baby-romper-embroidered?transaction_id=4799880870</t>
    </r>
    <r>
      <rPr>
        <sz val="16"/>
        <rFont val="Times New Roman"/>
        <family val="1"/>
      </rPr>
      <t>0</t>
    </r>
  </si>
  <si>
    <r>
      <t>https://www.etsy.com/ca/listing/4392936921/apparently-i-like-golf-embroidered?transaction_id=4835721825</t>
    </r>
    <r>
      <rPr>
        <sz val="16"/>
        <rFont val="Times New Roman"/>
        <family val="1"/>
      </rPr>
      <t xml:space="preserve"> </t>
    </r>
  </si>
  <si>
    <t>WeekOfYear</t>
  </si>
  <si>
    <t>Color</t>
  </si>
  <si>
    <t>DemandLevel</t>
  </si>
  <si>
    <t>TotalSale</t>
  </si>
  <si>
    <t>Row Labels</t>
  </si>
  <si>
    <t>Bodysuit | 0-3 | Cream</t>
  </si>
  <si>
    <t>Bodysuit | 0-3 | Light Blue</t>
  </si>
  <si>
    <t>Bodysuit | 0-3 | Light Pink</t>
  </si>
  <si>
    <t>Bodysuit | 3-6 | Cream</t>
  </si>
  <si>
    <t>Bodysuit | 3-6 | Light Blue</t>
  </si>
  <si>
    <t>Bodysuit | 3-6 | Light Pink</t>
  </si>
  <si>
    <t>Romper Longer | 0-3 | Caldet Blue</t>
  </si>
  <si>
    <t>Romper Longer | 0-3 | Coffee</t>
  </si>
  <si>
    <t>Romper Longer | 0-3 | Cream</t>
  </si>
  <si>
    <t>Romper Longer | 0-3 | Dusty Pink</t>
  </si>
  <si>
    <t>Romper Longer | 0-3 | Forest Green</t>
  </si>
  <si>
    <t>Romper Longer | 0-3 | Mauve Taupe</t>
  </si>
  <si>
    <t>Romper Longer | 0-3 | Sage Green</t>
  </si>
  <si>
    <t>Romper Longer | 0-3 | Salmon</t>
  </si>
  <si>
    <t>Romper Longer | 0-3 | Texas Orange</t>
  </si>
  <si>
    <t>Romper Longer | 0-3 | Watermelon</t>
  </si>
  <si>
    <t>Romper Longer | 0-3 | White</t>
  </si>
  <si>
    <t>Romper Longer | 1 6-12 | Dusty Pink</t>
  </si>
  <si>
    <t>Romper Longer | 12-18 | Caldet Blue</t>
  </si>
  <si>
    <t>Romper Longer | 12-18 | Coffee</t>
  </si>
  <si>
    <t>Romper Longer | 12-18 | Cream</t>
  </si>
  <si>
    <t>Romper Longer | 12-18 | Dusty Pink</t>
  </si>
  <si>
    <t>Romper Longer | 12-18 | Forest Green</t>
  </si>
  <si>
    <t>Romper Longer | 12-18 | Mauve Taupe</t>
  </si>
  <si>
    <t>Romper Longer | 12-18 | Sage Green</t>
  </si>
  <si>
    <t>Romper Longer | 12-18 | Salmon</t>
  </si>
  <si>
    <t>Romper Longer | 12-18 | Texas Orange</t>
  </si>
  <si>
    <t>Romper Longer | 12-18 | Watermelon</t>
  </si>
  <si>
    <t>Romper Longer | 12-18 | White</t>
  </si>
  <si>
    <t>Romper Longer | 18-24 | Caldet Blue</t>
  </si>
  <si>
    <t>Romper Longer | 18-24 | Coffee</t>
  </si>
  <si>
    <t>Romper Longer | 18-24 | Cream</t>
  </si>
  <si>
    <t>Romper Longer | 18-24 | Sage Green</t>
  </si>
  <si>
    <t>Romper Longer | 18-24 | Watermelon</t>
  </si>
  <si>
    <t>Romper Longer | 18-24 | White</t>
  </si>
  <si>
    <t xml:space="preserve">Romper Longer | 3-6 | </t>
  </si>
  <si>
    <t>Romper Longer | 3-6 | Caldet Blue</t>
  </si>
  <si>
    <t>Romper Longer | 3-6 | Coffee</t>
  </si>
  <si>
    <t>Romper Longer | 3-6 | Cream</t>
  </si>
  <si>
    <t>Romper Longer | 3-6 | Dusty Pink</t>
  </si>
  <si>
    <t>Romper Longer | 3-6 | Forest Green</t>
  </si>
  <si>
    <t>Romper Longer | 3-6 | Mauve Taupe</t>
  </si>
  <si>
    <t>Romper Longer | 3-6 | Sage Green</t>
  </si>
  <si>
    <t>Romper Longer | 3-6 | Salmon</t>
  </si>
  <si>
    <t>Romper Longer | 3-6 | Texas Orange</t>
  </si>
  <si>
    <t>Romper Longer | 3-6 | Watermelon</t>
  </si>
  <si>
    <t>Romper Longer | 3-6 | White</t>
  </si>
  <si>
    <t>Romper Longer | 6-12 | Caldet Blue</t>
  </si>
  <si>
    <t>Romper Longer | 6-12 | Coffee</t>
  </si>
  <si>
    <t>Romper Longer | 6-12 | Cream</t>
  </si>
  <si>
    <t>Romper Longer | 6-12 | Dusty Pink</t>
  </si>
  <si>
    <t>Romper Longer | 6-12 | Forest Green</t>
  </si>
  <si>
    <t>Romper Longer | 6-12 | Mauve Taupe</t>
  </si>
  <si>
    <t>Romper Longer | 6-12 | Sage Green</t>
  </si>
  <si>
    <t>Romper Longer | 6-12 | Salmon</t>
  </si>
  <si>
    <t>Romper Longer | 6-12 | Texas Orange</t>
  </si>
  <si>
    <t>Romper Longer | 6-12 | Watermelon</t>
  </si>
  <si>
    <t>Romper Longer | 6-12 | White</t>
  </si>
  <si>
    <t>Romper Short | 0-3 | Caldet Blue</t>
  </si>
  <si>
    <t>Romper Short | 0-3 | Coffee</t>
  </si>
  <si>
    <t>Romper Short | 0-3 | Cream</t>
  </si>
  <si>
    <t>Romper Short | 0-3 | Dusty Pink</t>
  </si>
  <si>
    <t>Romper Short | 0-3 | Forest Green</t>
  </si>
  <si>
    <t>Romper Short | 0-3 | Mauve Taupe</t>
  </si>
  <si>
    <t>Romper Short | 0-3 | Sage Green</t>
  </si>
  <si>
    <t>Romper Short | 0-3 | Salmon</t>
  </si>
  <si>
    <t>Romper Short | 0-3 | Texas Orange</t>
  </si>
  <si>
    <t>Romper Short | 0-3 | Watermelon</t>
  </si>
  <si>
    <t>Romper Short | 0-3 | White</t>
  </si>
  <si>
    <t>Romper Short | 12-18 | Caldet Blue</t>
  </si>
  <si>
    <t>Romper Short | 12-18 | Coffee</t>
  </si>
  <si>
    <t>Romper Short | 12-18 | Cream</t>
  </si>
  <si>
    <t>Romper Short | 12-18 | Dusty Pink</t>
  </si>
  <si>
    <t>Romper Short | 12-18 | Forest Green</t>
  </si>
  <si>
    <t>Romper Short | 12-18 | Mauve Taupe</t>
  </si>
  <si>
    <t>Romper Short | 12-18 | Sage Green</t>
  </si>
  <si>
    <t>Romper Short | 12-18 | Salmon</t>
  </si>
  <si>
    <t>Romper Short | 12-18 | Texas Orange</t>
  </si>
  <si>
    <t>Romper Short | 12-18 | Watermelon</t>
  </si>
  <si>
    <t>Romper Short | 12-18 | White</t>
  </si>
  <si>
    <t>Romper Short | 18-24 | Caldet Blue</t>
  </si>
  <si>
    <t>Romper Short | 18-24 | Cream</t>
  </si>
  <si>
    <t>Romper Short | 18-24 | Dusty Pink</t>
  </si>
  <si>
    <t>Romper Short | 18-24 | Forest Green</t>
  </si>
  <si>
    <t>Romper Short | 18-24 | Sage Green</t>
  </si>
  <si>
    <t>Romper Short | 18-24 | Salmon</t>
  </si>
  <si>
    <t>Romper Short | 18-24 | Watermelon</t>
  </si>
  <si>
    <t>Romper Short | 18-24 | White</t>
  </si>
  <si>
    <t>Romper Short | 3-6 | Caldet Blue</t>
  </si>
  <si>
    <t>Romper Short | 3-6 | Coffee</t>
  </si>
  <si>
    <t>Romper Short | 3-6 | Cream</t>
  </si>
  <si>
    <t>Romper Short | 3-6 | Dusty Pink</t>
  </si>
  <si>
    <t>Romper Short | 3-6 | Forest Green</t>
  </si>
  <si>
    <t>Romper Short | 3-6 | Mauve Taupe</t>
  </si>
  <si>
    <t>Romper Short | 3-6 | Sage Green</t>
  </si>
  <si>
    <t>Romper Short | 3-6 | Salmon</t>
  </si>
  <si>
    <t>Romper Short | 3-6 | Texas Orange</t>
  </si>
  <si>
    <t>Romper Short | 3-6 | Watermelon</t>
  </si>
  <si>
    <t>Romper Short | 3-6 | White</t>
  </si>
  <si>
    <t>Romper Short | 6-12 | Caldet Blue</t>
  </si>
  <si>
    <t>Romper Short | 6-12 | Coffee</t>
  </si>
  <si>
    <t>Romper Short | 6-12 | Cream</t>
  </si>
  <si>
    <t>Romper Short | 6-12 | Dusty Pink</t>
  </si>
  <si>
    <t>Romper Short | 6-12 | Forest Green</t>
  </si>
  <si>
    <t>Romper Short | 6-12 | Mauve Taupe</t>
  </si>
  <si>
    <t>Romper Short | 6-12 | Sage Green</t>
  </si>
  <si>
    <t>Romper Short | 6-12 | Salmon</t>
  </si>
  <si>
    <t>Romper Short | 6-12 | Watermelon</t>
  </si>
  <si>
    <t>Romper Short | 6-12 | White</t>
  </si>
  <si>
    <t>Grand Total</t>
  </si>
  <si>
    <t>Count of ProductVariant</t>
  </si>
  <si>
    <t>0-3(short-sleeve)</t>
  </si>
  <si>
    <t>12-18(SHORT -SLEEVE)</t>
  </si>
  <si>
    <t>High</t>
  </si>
  <si>
    <t>Low</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</si>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</sst>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
    <numFmt numFmtId="165" formatCode="d/m/yyyy"/>
  </numFmts>
  <fonts count="14" x14ac:knownFonts="1">
    <font>
      <sz val="10"/>
      <color rgb="FF000000"/>
      <name val="Arial"/>
      <scheme val="minor"/>
    </font>
    <font>
      <sz val="10"/>
      <color rgb="FF000000"/>
      <name val="Arial"/>
      <family val="2"/>
      <scheme val="minor"/>
    </font>
    <font>
      <u/>
      <sz val="10"/>
      <color theme="10"/>
      <name val="Arial"/>
      <family val="2"/>
      <scheme val="minor"/>
    </font>
    <font>
      <sz val="16"/>
      <name val="Times New Roman"/>
      <family val="1"/>
    </font>
    <font>
      <u/>
      <sz val="16"/>
      <name val="Times New Roman"/>
      <family val="1"/>
    </font>
    <font>
      <sz val="16"/>
      <color theme="4" tint="-0.499984740745262"/>
      <name val="Times New Roman"/>
      <family val="1"/>
    </font>
    <font>
      <sz val="16"/>
      <color rgb="FF000000"/>
      <name val="Times New Roman"/>
      <family val="1"/>
    </font>
    <font>
      <u/>
      <sz val="16"/>
      <color theme="10"/>
      <name val="Times New Roman"/>
      <family val="1"/>
    </font>
    <font>
      <u/>
      <sz val="16"/>
      <color rgb="FF000000"/>
      <name val="Times New Roman"/>
      <family val="1"/>
    </font>
    <font>
      <u/>
      <sz val="16"/>
      <color rgb="FF0000FF"/>
      <name val="Times New Roman"/>
      <family val="1"/>
    </font>
    <font>
      <b/>
      <sz val="16"/>
      <name val="Times New Roman"/>
      <family val="1"/>
    </font>
    <font>
      <strike/>
      <u/>
      <sz val="16"/>
      <name val="Times New Roman"/>
      <family val="1"/>
    </font>
    <font>
      <strike/>
      <sz val="16"/>
      <name val="Times New Roman"/>
      <family val="1"/>
    </font>
    <font>
      <b/>
      <u/>
      <sz val="16"/>
      <name val="Times New Roman"/>
      <family val="1"/>
    </font>
  </fonts>
  <fills count="4">
    <fill>
      <patternFill patternType="none"/>
    </fill>
    <fill>
      <patternFill patternType="gray125"/>
    </fill>
    <fill>
      <patternFill patternType="solid">
        <fgColor rgb="FFFFFFFF"/>
        <bgColor rgb="FFFFFFFF"/>
      </patternFill>
    </fill>
    <fill>
      <patternFill patternType="solid">
        <fgColor rgb="FFF6F8F9"/>
        <bgColor rgb="FFF6F8F9"/>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s>
  <cellStyleXfs count="2">
    <xf numFmtId="0" fontId="0" fillId="0" borderId="0"/>
    <xf numFmtId="0" fontId="2" fillId="0" borderId="0" applyNumberFormat="0" applyFill="0" applyBorder="0" applyAlignment="0" applyProtection="0"/>
  </cellStyleXfs>
  <cellXfs count="77">
    <xf numFmtId="0" fontId="0" fillId="0" borderId="0" xfId="0"/>
    <xf numFmtId="49" fontId="5" fillId="0" borderId="1" xfId="0" applyNumberFormat="1" applyFont="1" applyBorder="1" applyAlignment="1">
      <alignment horizontal="center" vertical="center"/>
    </xf>
    <xf numFmtId="0" fontId="5" fillId="0" borderId="1" xfId="0" applyFont="1" applyBorder="1" applyAlignment="1">
      <alignment horizontal="center"/>
    </xf>
    <xf numFmtId="0" fontId="4"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164" fontId="3" fillId="0" borderId="1" xfId="0" applyNumberFormat="1" applyFont="1" applyBorder="1" applyAlignment="1">
      <alignment horizontal="center"/>
    </xf>
    <xf numFmtId="14" fontId="3" fillId="0" borderId="1" xfId="0" applyNumberFormat="1" applyFont="1" applyBorder="1" applyAlignment="1">
      <alignment horizontal="center" vertical="center"/>
    </xf>
    <xf numFmtId="14" fontId="6" fillId="0" borderId="1" xfId="0" applyNumberFormat="1" applyFont="1" applyBorder="1" applyAlignment="1">
      <alignment horizontal="center"/>
    </xf>
    <xf numFmtId="14" fontId="3" fillId="0" borderId="1" xfId="0" applyNumberFormat="1" applyFont="1" applyBorder="1" applyAlignment="1">
      <alignment horizontal="center"/>
    </xf>
    <xf numFmtId="16" fontId="3" fillId="0" borderId="1" xfId="0" applyNumberFormat="1" applyFont="1" applyBorder="1" applyAlignment="1">
      <alignment horizontal="center" vertical="center"/>
    </xf>
    <xf numFmtId="0" fontId="3" fillId="0" borderId="1" xfId="0" applyFont="1" applyBorder="1" applyAlignment="1">
      <alignment horizontal="center" vertical="top" wrapText="1"/>
    </xf>
    <xf numFmtId="0" fontId="4" fillId="0" borderId="1" xfId="1" applyFont="1" applyFill="1" applyBorder="1" applyAlignment="1">
      <alignment horizontal="center"/>
    </xf>
    <xf numFmtId="0" fontId="6" fillId="0" borderId="1" xfId="0" applyFont="1" applyBorder="1"/>
    <xf numFmtId="0" fontId="7" fillId="0" borderId="1" xfId="1" applyFont="1" applyBorder="1" applyAlignment="1">
      <alignment horizontal="center"/>
    </xf>
    <xf numFmtId="0" fontId="6" fillId="0" borderId="1" xfId="0" applyFont="1" applyBorder="1" applyAlignment="1">
      <alignment horizontal="center"/>
    </xf>
    <xf numFmtId="0" fontId="3" fillId="0" borderId="1" xfId="0" applyFont="1" applyBorder="1" applyAlignment="1">
      <alignment vertical="center"/>
    </xf>
    <xf numFmtId="14" fontId="3" fillId="0" borderId="1" xfId="0" applyNumberFormat="1" applyFont="1" applyBorder="1" applyAlignment="1">
      <alignment horizontal="left"/>
    </xf>
    <xf numFmtId="0" fontId="4" fillId="0" borderId="1" xfId="0" applyFont="1" applyBorder="1" applyAlignment="1">
      <alignment horizontal="left" vertical="center"/>
    </xf>
    <xf numFmtId="0" fontId="3" fillId="0" borderId="1" xfId="0" applyFont="1" applyBorder="1" applyAlignment="1">
      <alignment horizontal="left" vertical="top"/>
    </xf>
    <xf numFmtId="0" fontId="3" fillId="0" borderId="1" xfId="0" applyFont="1" applyBorder="1" applyAlignment="1">
      <alignment horizontal="left"/>
    </xf>
    <xf numFmtId="0" fontId="3" fillId="0" borderId="1" xfId="0" applyFont="1" applyBorder="1" applyAlignment="1">
      <alignment horizontal="left" vertical="top" wrapText="1"/>
    </xf>
    <xf numFmtId="0" fontId="3" fillId="0" borderId="1" xfId="0" applyFont="1" applyBorder="1" applyAlignment="1">
      <alignment horizontal="left" vertical="center"/>
    </xf>
    <xf numFmtId="0" fontId="10" fillId="0" borderId="1" xfId="0" applyFont="1" applyBorder="1" applyAlignment="1">
      <alignment horizontal="left"/>
    </xf>
    <xf numFmtId="0" fontId="11" fillId="0" borderId="1" xfId="0" applyFont="1" applyBorder="1" applyAlignment="1">
      <alignment horizontal="left" vertical="center"/>
    </xf>
    <xf numFmtId="0" fontId="12" fillId="0" borderId="1" xfId="0" applyFont="1" applyBorder="1" applyAlignment="1">
      <alignment horizontal="left" vertical="center"/>
    </xf>
    <xf numFmtId="0" fontId="12" fillId="0" borderId="1" xfId="0" applyFont="1" applyBorder="1" applyAlignment="1">
      <alignment horizontal="left"/>
    </xf>
    <xf numFmtId="0" fontId="3" fillId="0" borderId="1" xfId="0" applyFont="1" applyBorder="1" applyAlignment="1">
      <alignment horizontal="left" vertical="center" wrapText="1"/>
    </xf>
    <xf numFmtId="0" fontId="3" fillId="0" borderId="1" xfId="0" applyFont="1" applyBorder="1" applyAlignment="1">
      <alignment horizontal="left" wrapText="1"/>
    </xf>
    <xf numFmtId="0" fontId="4" fillId="0" borderId="1" xfId="0" applyFont="1" applyBorder="1" applyAlignment="1">
      <alignment vertical="center"/>
    </xf>
    <xf numFmtId="0" fontId="3" fillId="0" borderId="1" xfId="0" applyFont="1" applyBorder="1"/>
    <xf numFmtId="14" fontId="10" fillId="0" borderId="1" xfId="0" applyNumberFormat="1" applyFont="1" applyBorder="1" applyAlignment="1">
      <alignment horizontal="left" vertical="center"/>
    </xf>
    <xf numFmtId="0" fontId="4" fillId="0" borderId="1" xfId="1" applyFont="1" applyFill="1" applyBorder="1" applyAlignment="1">
      <alignment horizontal="left" vertical="center"/>
    </xf>
    <xf numFmtId="0" fontId="4" fillId="0" borderId="1" xfId="0" applyFont="1" applyBorder="1" applyAlignment="1">
      <alignment horizontal="left"/>
    </xf>
    <xf numFmtId="0" fontId="13" fillId="0" borderId="1" xfId="0" applyFont="1" applyBorder="1" applyAlignment="1">
      <alignment horizontal="left" vertical="center"/>
    </xf>
    <xf numFmtId="0" fontId="10" fillId="0" borderId="1" xfId="0" applyFont="1" applyBorder="1" applyAlignment="1">
      <alignment horizontal="left" vertical="center"/>
    </xf>
    <xf numFmtId="0" fontId="5" fillId="0" borderId="1" xfId="0" applyFont="1" applyBorder="1"/>
    <xf numFmtId="0" fontId="6" fillId="0" borderId="1" xfId="0" applyFont="1" applyBorder="1" applyAlignment="1">
      <alignment vertical="center"/>
    </xf>
    <xf numFmtId="165" fontId="3"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0" fontId="4" fillId="0" borderId="1" xfId="0" applyFont="1" applyBorder="1"/>
    <xf numFmtId="14" fontId="6" fillId="0" borderId="1" xfId="0" applyNumberFormat="1" applyFont="1" applyBorder="1" applyAlignment="1">
      <alignment horizontal="center" vertical="center"/>
    </xf>
    <xf numFmtId="0" fontId="8" fillId="0" borderId="1" xfId="0" applyFont="1" applyBorder="1" applyAlignment="1">
      <alignment horizontal="left" vertical="center"/>
    </xf>
    <xf numFmtId="0" fontId="6" fillId="0" borderId="1" xfId="0" applyFont="1" applyBorder="1" applyAlignment="1">
      <alignment horizontal="center" vertical="center"/>
    </xf>
    <xf numFmtId="165" fontId="6" fillId="0" borderId="1" xfId="0" applyNumberFormat="1" applyFont="1" applyBorder="1" applyAlignment="1">
      <alignment horizontal="center" vertical="center"/>
    </xf>
    <xf numFmtId="0" fontId="9" fillId="0" borderId="1" xfId="0" applyFont="1" applyBorder="1" applyAlignment="1">
      <alignment horizontal="left" vertical="center"/>
    </xf>
    <xf numFmtId="0" fontId="6" fillId="0" borderId="1" xfId="0" applyFont="1" applyBorder="1" applyAlignment="1">
      <alignment horizontal="center" vertical="center" wrapText="1"/>
    </xf>
    <xf numFmtId="14"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6" fillId="0" borderId="0" xfId="0" applyFont="1"/>
    <xf numFmtId="0" fontId="6" fillId="0" borderId="0" xfId="0" applyFont="1" applyAlignment="1">
      <alignment horizontal="center"/>
    </xf>
    <xf numFmtId="0" fontId="5" fillId="0" borderId="0" xfId="0" applyFont="1" applyAlignment="1">
      <alignment horizontal="center"/>
    </xf>
    <xf numFmtId="0" fontId="0" fillId="0" borderId="0" xfId="0" applyAlignment="1">
      <alignment horizontal="center"/>
    </xf>
    <xf numFmtId="0" fontId="3" fillId="0" borderId="1" xfId="0" applyFont="1" applyBorder="1" applyAlignment="1">
      <alignment horizontal="center"/>
    </xf>
    <xf numFmtId="0" fontId="3" fillId="0" borderId="1" xfId="0" applyFont="1" applyBorder="1" applyAlignment="1">
      <alignment horizontal="center" vertical="center"/>
    </xf>
    <xf numFmtId="0" fontId="4" fillId="0" borderId="1" xfId="0" applyFont="1" applyBorder="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2" xfId="0" pivotButton="1" applyBorder="1"/>
    <xf numFmtId="0" fontId="0" fillId="0" borderId="11" xfId="0" applyBorder="1"/>
    <xf numFmtId="0" fontId="0" fillId="0" borderId="2" xfId="0" applyBorder="1" applyAlignment="1">
      <alignment horizontal="left"/>
    </xf>
    <xf numFmtId="0" fontId="0" fillId="0" borderId="11" xfId="0" applyNumberFormat="1" applyBorder="1"/>
    <xf numFmtId="0" fontId="0" fillId="0" borderId="5" xfId="0" applyBorder="1" applyAlignment="1">
      <alignment horizontal="left"/>
    </xf>
    <xf numFmtId="0" fontId="0" fillId="0" borderId="12" xfId="0" applyNumberFormat="1" applyBorder="1"/>
    <xf numFmtId="0" fontId="0" fillId="0" borderId="14" xfId="0" applyBorder="1" applyAlignment="1">
      <alignment horizontal="left"/>
    </xf>
    <xf numFmtId="0" fontId="0" fillId="0" borderId="13" xfId="0" applyNumberFormat="1" applyBorder="1"/>
  </cellXfs>
  <cellStyles count="2">
    <cellStyle name="Hyperlink" xfId="1" builtinId="8"/>
    <cellStyle name="Normal" xfId="0" builtinId="0"/>
  </cellStyles>
  <dxfs count="22">
    <dxf>
      <fill>
        <patternFill patternType="solid">
          <fgColor rgb="FFFEF1CC"/>
          <bgColor rgb="FFFEF1CC"/>
        </patternFill>
      </fill>
    </dxf>
    <dxf>
      <fill>
        <patternFill patternType="solid">
          <fgColor rgb="FFF28E85"/>
          <bgColor rgb="FFF28E85"/>
        </patternFill>
      </fill>
    </dxf>
    <dxf>
      <fill>
        <patternFill patternType="solid">
          <fgColor rgb="FFFAD9D6"/>
          <bgColor rgb="FFFAD9D6"/>
        </patternFill>
      </fill>
    </dxf>
    <dxf>
      <fill>
        <patternFill patternType="solid">
          <fgColor rgb="FF2F9299"/>
          <bgColor rgb="FF2F9299"/>
        </patternFill>
      </fill>
    </dxf>
    <dxf>
      <fill>
        <patternFill patternType="solid">
          <fgColor rgb="FF277E3E"/>
          <bgColor rgb="FF277E3E"/>
        </patternFill>
      </fill>
    </dxf>
    <dxf>
      <fill>
        <patternFill patternType="solid">
          <fgColor rgb="FF7030A0"/>
          <bgColor rgb="FF7030A0"/>
        </patternFill>
      </fill>
    </dxf>
    <dxf>
      <fill>
        <patternFill patternType="solid">
          <fgColor rgb="FF7AD592"/>
          <bgColor rgb="FF7AD592"/>
        </patternFill>
      </fill>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fill>
        <patternFill patternType="solid">
          <fgColor rgb="FFFFFFFF"/>
          <bgColor rgb="FFFFFFFF"/>
        </patternFill>
      </fill>
    </dxf>
    <dxf>
      <fill>
        <patternFill patternType="solid">
          <fgColor rgb="FFF6F8F9"/>
          <bgColor rgb="FFF6F8F9"/>
        </patternFill>
      </fill>
    </dxf>
  </dxfs>
  <tableStyles count="6">
    <tableStyle name="LittleHoopCo-style" pivot="0" count="2" xr9:uid="{00000000-0011-0000-FFFF-FFFF00000000}">
      <tableStyleElement type="firstRowStripe" dxfId="21"/>
      <tableStyleElement type="secondRowStripe" dxfId="20"/>
    </tableStyle>
    <tableStyle name="NDV96Store-style" pivot="0" count="3" xr9:uid="{00000000-0011-0000-FFFF-FFFF01000000}">
      <tableStyleElement type="headerRow" dxfId="19"/>
      <tableStyleElement type="firstRowStripe" dxfId="18"/>
      <tableStyleElement type="secondRowStripe" dxfId="17"/>
    </tableStyle>
    <tableStyle name="ProKsais-style" pivot="0" count="2" xr9:uid="{00000000-0011-0000-FFFF-FFFF02000000}">
      <tableStyleElement type="firstRowStripe" dxfId="16"/>
      <tableStyleElement type="secondRowStripe" dxfId="15"/>
    </tableStyle>
    <tableStyle name="ProKsais-style 2" pivot="0" count="2" xr9:uid="{00000000-0011-0000-FFFF-FFFF03000000}">
      <tableStyleElement type="firstRowStripe" dxfId="14"/>
      <tableStyleElement type="secondRowStripe" dxfId="13"/>
    </tableStyle>
    <tableStyle name="YourEmbroidery-style" pivot="0" count="3" xr9:uid="{00000000-0011-0000-FFFF-FFFF04000000}">
      <tableStyleElement type="headerRow" dxfId="12"/>
      <tableStyleElement type="firstRowStripe" dxfId="11"/>
      <tableStyleElement type="secondRowStripe" dxfId="10"/>
    </tableStyle>
    <tableStyle name="Tramembroidery-style" pivot="0" count="3" xr9:uid="{00000000-0011-0000-FFFF-FFFF05000000}">
      <tableStyleElement type="headerRow" dxfId="9"/>
      <tableStyleElement type="firstRowStripe"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92.6178462963" createdVersion="7" refreshedVersion="7" minRefreshableVersion="3" recordCount="3406" xr:uid="{853B8EE5-470F-448B-AA12-A0B0A5809C82}">
  <cacheSource type="worksheet">
    <worksheetSource ref="L1:L1048576" sheet="ViviEmbroidery"/>
  </cacheSource>
  <cacheFields count="1">
    <cacheField name="ProductVariant"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92.617846643516" createdVersion="7" refreshedVersion="7" minRefreshableVersion="3" recordCount="3405" xr:uid="{98E985B2-D126-4528-A1BE-189B4B5AA7D2}">
  <cacheSource type="worksheet">
    <worksheetSource ref="A1:M3406" sheet="ViviEmbroidery"/>
  </cacheSource>
  <cacheFields count="13">
    <cacheField name="Ngày" numFmtId="0">
      <sharedItems containsSemiMixedTypes="0" containsNonDate="0" containsDate="1" containsString="0" minDate="2025-01-01T00:00:00" maxDate="2027-04-12T00:00:00"/>
    </cacheField>
    <cacheField name="Link ảnh sản phẩm " numFmtId="0">
      <sharedItems containsBlank="1" longText="1"/>
    </cacheField>
    <cacheField name="Màu" numFmtId="0">
      <sharedItems containsBlank="1"/>
    </cacheField>
    <cacheField name="Color" numFmtId="0">
      <sharedItems/>
    </cacheField>
    <cacheField name="Size " numFmtId="0">
      <sharedItems/>
    </cacheField>
    <cacheField name="Country" numFmtId="0">
      <sharedItems containsBlank="1" containsMixedTypes="1" containsNumber="1" containsInteger="1" minValue="22078831" maxValue="17058178558"/>
    </cacheField>
    <cacheField name="ProductType" numFmtId="0">
      <sharedItems/>
    </cacheField>
    <cacheField name="Month" numFmtId="0">
      <sharedItems containsSemiMixedTypes="0" containsString="0" containsNumber="1" containsInteger="1" minValue="1" maxValue="12"/>
    </cacheField>
    <cacheField name="WeekOfYear" numFmtId="0">
      <sharedItems containsSemiMixedTypes="0" containsString="0" containsNumber="1" containsInteger="1" minValue="1" maxValue="53"/>
    </cacheField>
    <cacheField name="Season" numFmtId="0">
      <sharedItems/>
    </cacheField>
    <cacheField name="SizeClean" numFmtId="0">
      <sharedItems/>
    </cacheField>
    <cacheField name="ProductVariant" numFmtId="0">
      <sharedItems count="225">
        <s v="Romper Short | 3-6 | Cream"/>
        <s v="Romper Longer | 3-6 | Cream"/>
        <s v="Romper Longer | 0-3 | Cream"/>
        <s v="Romper Longer | 6-12 | Sage Green"/>
        <s v="Romper Longer | 3-6 | Forest Green"/>
        <s v="Romper Longer | 0-3 | Sage Green"/>
        <s v="Romper Short | 3-6 | Forest Green"/>
        <s v="Romper Longer | 3-6 | Sage Green"/>
        <s v="Romper Longer | 3-6 | Dusty Pink"/>
        <s v="Romper Longer | 0-3 | Caldet Blue"/>
        <s v="Romper Longer | 3-6 | Mauve Taupe"/>
        <s v="Romper Longer | 18-24 | Sage Green"/>
        <s v="Romper Longer | 3-6 | Coffee"/>
        <s v="Romper Short | 0-3 | Sage Green"/>
        <s v="Romper Short | 0-3 | Coffee"/>
        <s v="Romper Short | 0-3 | Cream"/>
        <s v="Romper Short | 18-24 | Cream"/>
        <s v="Romper Longer | 6-12 | Cream"/>
        <s v="Romper Short | 3-6 | Coffee"/>
        <s v="Romper Short | 6-12 | Sage Green"/>
        <s v="Romper Longer | 3-6 | Watermelon"/>
        <s v="Romper Short | 0-3 | White"/>
        <s v="Romper Longer | 12-18 | Sage Green"/>
        <s v="Romper Longer | 3-6 | Caldet Blue"/>
        <s v="Romper Short | 3-6 | Sage Green"/>
        <s v="Romper Longer | 6-12 | Caldet Blue"/>
        <s v="Romper Short | 12-18 | Cream"/>
        <s v="Romper Short | 18-24 | Watermelon"/>
        <s v="Romper Longer | 0-3 | Coffee"/>
        <s v="Romper Short | 3-6 | Caldet Blue"/>
        <s v="Romper Longer | 6-12 | Forest Green"/>
        <s v="Romper Short | 3-6 | Dusty Pink"/>
        <s v="Romper Short | 0-3 | Salmon"/>
        <s v="Romper Longer | 6-12 | Watermelon"/>
        <s v="Romper Short | 0-3 | Dusty Pink"/>
        <s v="Romper Short | 6-12 | Dusty Pink"/>
        <s v="Romper Longer | 0-3 | Watermelon"/>
        <s v="Romper Longer | 12-18 | Forest Green"/>
        <s v="Romper Short | 0-3 | Caldet Blue"/>
        <s v="Romper Short | 3-6 | Watermelon"/>
        <s v="Romper Longer | 0-3 | Mauve Taupe"/>
        <s v="Romper Longer | 0-3 | Forest Green"/>
        <s v="Romper Short | 6-12 | White"/>
        <s v="Romper Short | 18-24 | White"/>
        <s v="Romper Short | 12-18 | Dusty Pink"/>
        <s v="Romper Longer | 0-3 | Dusty Pink"/>
        <s v="Romper Longer | 6-12 | White"/>
        <s v="Romper Short | 6-12 | Cream"/>
        <s v="Romper Short | 18-24 | Sage Green"/>
        <s v="Romper Longer | 3-6 | Salmon"/>
        <s v="Romper Short | 3-6 | Salmon"/>
        <s v="Romper Longer | 6-12 | Dusty Pink"/>
        <s v="Romper Short | 0-3 | Forest Green"/>
        <s v="Romper Longer | 12-18 | Cream"/>
        <s v="Romper Longer | 0-3 | White"/>
        <s v="Romper Longer | 18-24 | Cream"/>
        <s v="Romper Short | 6-12 | Forest Green"/>
        <s v="Romper Short | 12-18 | Salmon"/>
        <s v="Romper Short | 18-24 | Salmon"/>
        <s v="Romper Longer | 6-12 | Salmon"/>
        <s v="Romper Longer | 12-18 | Caldet Blue"/>
        <s v="Romper Longer | 6-12 | Texas Orange"/>
        <s v="Romper Short | 12-18 | Forest Green"/>
        <s v="Romper Short | 6-12 | Caldet Blue"/>
        <s v="Romper Short | 6-12 | Coffee"/>
        <s v="Romper Short | 0-3 | Watermelon"/>
        <s v="Romper Short | 3-6 | Texas Orange"/>
        <s v="Romper Short | 3-6 | Mauve Taupe"/>
        <s v="Romper Short | 12-18 | Watermelon"/>
        <s v="Romper Short | 3-6 | White"/>
        <s v="Romper Longer | 3-6 | White"/>
        <s v="Romper Short | 0-3 | Mauve Taupe"/>
        <s v="Romper Short | 12-18 | Caldet Blue"/>
        <s v="Romper Longer | 12-18 | White"/>
        <s v="Romper Short | 12-18 | Sage Green"/>
        <s v="Romper Longer | 12-18 | Dusty Pink"/>
        <s v="Romper Short | 6-12 | Watermelon"/>
        <s v="Romper Longer | 1 6-12 | Dusty Pink"/>
        <s v="Romper Longer | 12-18 | Watermelon"/>
        <s v="Romper Longer | 12-18 | Coffee"/>
        <s v="Romper Longer | 18-24 | Coffee"/>
        <s v="Romper Short | 12-18 | Texas Orange"/>
        <s v="Romper Longer | 3-6 | Texas Orange"/>
        <s v="Romper Longer | 0-3 | Texas Orange"/>
        <s v="Romper Longer | 0-3 | Salmon"/>
        <s v="Romper Longer | 6-12 | Mauve Taupe"/>
        <s v="Romper Longer | 6-12 | Coffee"/>
        <s v="Romper Short | 12-18 | White"/>
        <s v="Bodysuit | 0-3 | Light Blue"/>
        <s v="Bodysuit | 0-3 | Cream"/>
        <s v="Bodysuit | 3-6 | Cream"/>
        <s v="Bodysuit | 3-6 | Light Pink"/>
        <s v="Bodysuit | 3-6 | Light Blue"/>
        <s v="Bodysuit | 0-3 | Light Pink"/>
        <s v="Romper Longer | 18-24 | White"/>
        <s v="Romper Short | 18-24 | Dusty Pink"/>
        <s v="Romper Short | 0-3 | Texas Orange"/>
        <s v="Romper Short | 12-18 | Coffee"/>
        <s v="Romper Short | 6-12 | Mauve Taupe"/>
        <s v="Romper Short | 18-24 | Forest Green"/>
        <s v="Romper Longer | 18-24 | Watermelon"/>
        <s v="Romper Short | 18-24 | Caldet Blue"/>
        <s v="Romper Short | 6-12 | Salmon"/>
        <s v="Romper Longer | 12-18 | Salmon"/>
        <s v="Romper Longer | 12-18 | Mauve Taupe"/>
        <s v="Romper Longer | 12-18 | Texas Orange"/>
        <s v="Romper Longer | 18-24 | Caldet Blue"/>
        <s v="Romper Longer | 3-6 | "/>
        <s v="Romper Short | 12-18 | Mauve Taupe"/>
        <s v="Bodysuit | 0-3 | Coffee" u="1"/>
        <s v="Romper Short | 0-3 |  Salmon" u="1"/>
        <s v="Romper Short | 3-6 |  Salmon" u="1"/>
        <s v="Bodysuit | 0-3 |  Light Blue " u="1"/>
        <s v="Bodysuit | 3-6 |  Light Blue " u="1"/>
        <s v="Romper Short | 0-3 |   White" u="1"/>
        <s v="Bodysuit | 0-3 | Cream  " u="1"/>
        <s v="Romper Longer | 0-3 |   White" u="1"/>
        <s v="Romper Longer | 12-18 |  Sage Green" u="1"/>
        <s v="Bodysuit | 0-3 |  Light Pink" u="1"/>
        <s v="Bodysuit | 3-6 |  Light Pink" u="1"/>
        <s v="Romper Longer | 0-3 | White " u="1"/>
        <s v="Romper Short | 6-12 | White " u="1"/>
        <s v="Romper Longer | 0-3 |  White" u="1"/>
        <s v="Romper Longer | 3-6 |  White" u="1"/>
        <s v="Romper Short | 6-12 |  White" u="1"/>
        <s v="Bodysuit | 12-18 | Caldet Blue" u="1"/>
        <s v="Romper Short | 0-3 | Caldet Blue " u="1"/>
        <s v="Romper Short | 3-6 | Caldet Blue " u="1"/>
        <s v="Romper Short | 0-3 | Salmon " u="1"/>
        <s v="Romper Short | 0-3 |  Caldet Blue" u="1"/>
        <s v="Romper Short | 3-6 |  Caldet Blue" u="1"/>
        <s v="Romper Short | 3-6 | White " u="1"/>
        <s v="Romper Short | 0-3 | Coffee " u="1"/>
        <s v="Bodysuit | 0-3 |  Light Blue" u="1"/>
        <s v="Bodysuit | 3-6 |  Light Blue" u="1"/>
        <s v="Bodysuit | 0-3 |   Light Pink" u="1"/>
        <s v="Romper Short | 0-3 | Cream_x000a_" u="1"/>
        <s v="Bodysuit | 0-3 | Cream " u="1"/>
        <s v="Bodysuit | 3-6 | Cream " u="1"/>
        <s v="Romper Short | 0-3 |  Sage Green" u="1"/>
        <s v="Romper Short | 3-6 |  Sage Green" u="1"/>
        <e v="#VALUE!" u="1"/>
        <s v="Bodysuit | 3-6 | Light Blue_x000a_Body" u="1"/>
        <s v="Romper Longer | 0-3 |  Sage Green" u="1"/>
        <s v="Romper Longer | 3-6 |  Sage Green" u="1"/>
        <s v="Romper Short | 6-12 |  Sage Green" u="1"/>
        <s v="Romper Longer | 0-3 | Salmon " u="1"/>
        <s v="Romper Longer | 3-6 | Coffe" u="1"/>
        <s v="Romper Short | 6-12 |  White " u="1"/>
        <s v="Romper Short | 0-3 |  White" u="1"/>
        <s v="Romper Longer | 3-6 |   Dusty Pink" u="1"/>
        <s v="Romper Longer | 6-12 |  Dusty Pink" u="1"/>
        <s v="Romper Longer | 6-12 |  Forest Green" u="1"/>
        <s v="Romper Short | 12-18 |  Forest Green" u="1"/>
        <s v="Romper Short | 18-24 | Caldet Blue_x000a_" u="1"/>
        <s v="Romper Short | 6-12 |  Coffee" u="1"/>
        <s v="Bodysuit | 0-3 | Light Blue _x000a_" u="1"/>
        <s v="Romper Short | 0-3 |  Texas Orange" u="1"/>
        <s v="Bodysuit | 0-3 | Cream _x000a_" u="1"/>
        <s v="Romper Longer | 6-12 | Cream  " u="1"/>
        <s v="Romper Longer | 3-6 | Dusty Pink " u="1"/>
        <s v="Romper Longer | 6-12 | Cream " u="1"/>
        <s v="Romper Short | 12-18 | Cream " u="1"/>
        <s v="Romper Short | 18-24 | Cream " u="1"/>
        <s v="Romper Longer | 6-12 |  Watermelon" u="1"/>
        <s v="Romper Longer | 18-24 | Watermelon  " u="1"/>
        <s v="Romper Longer | 0-3 |  Watermelon" u="1"/>
        <s v="Romper Short | 6-12 |  Watermelon" u="1"/>
        <s v="Romper Longer | 0-3 |  Caldet Blue" u="1"/>
        <s v="Romper Longer | 3-6 |  Caldet Blue" u="1"/>
        <s v="Romper Short | 3-6 |   Caldet Blue" u="1"/>
        <s v="Bodysuit | 0-3 | Light Blue " u="1"/>
        <s v="Bodysuit | 3-6 | Light Blue " u="1"/>
        <s v="Bodysuit | 0-3 |  Cream " u="1"/>
        <s v="Romper Short | 3-6 |   Cream" u="1"/>
        <s v="Bodysuit | 3-6 |  Light Blue_x000a_Body" u="1"/>
        <s v="Romper Short | 3-6 |  Cream " u="1"/>
        <s v="Romper Short | 18-24 | Cream_x000a_" u="1"/>
        <s v="Romper Longer | 0-3 |  Cream" u="1"/>
        <s v="Romper Longer | 3-6 |  Cream" u="1"/>
        <s v="Romper Short | 6-12 |  Cream" u="1"/>
        <s v="Bodysuit | 0-3 | Light Pink " u="1"/>
        <s v="Bodysuit | 3-6 | Light Pink " u="1"/>
        <s v="Romper Longer | 0-3 | Cream " u="1"/>
        <s v="Romper Longer | 3-6 | Cream " u="1"/>
        <s v="Romper Short | 6-12 | Cream " u="1"/>
        <s v="Romper Short | 18-24 |  White" u="1"/>
        <s v="Romper Longer | 3-6 | Sage Green " u="1"/>
        <s v="Romper Short | 3-6 |  Sage Green " u="1"/>
        <s v="Romper Longer | 6-12 |  Sage Green" u="1"/>
        <s v="Romper Longer | 3-6 |  Sage Green " u="1"/>
        <s v="Bodysuit | 0-3 |  Cream" u="1"/>
        <s v="Bodysuit | 3-6 |  Cream" u="1"/>
        <s v="Romper Short | 0-3 | Coffe" u="1"/>
        <s v="Romper Longer | 6-12 |  Cream" u="1"/>
        <s v="Romper Short | 18-24 |  Cream" u="1"/>
        <s v="Romper Short | 3-6 |  Watermelon" u="1"/>
        <s v="Romper Longer | 3-6 | Coffee " u="1"/>
        <s v="Romper Longer | 0-3 | Forest Green " u="1"/>
        <s v="Romper Longer | 12-18 |  Dusty Pink" u="1"/>
        <s v="Romper Longer | 3-6 | Forest Green " u="1"/>
        <s v="Romper Longer | 0-3 |  Forest Green" u="1"/>
        <s v="Romper Longer | 3-6 |  Forest Green" u="1"/>
        <s v="Romper Short | 0-3 | Cream " u="1"/>
        <s v="Romper Short | 3-6 | Cream " u="1"/>
        <s v="Romper Longer | 3-6 |  Cream " u="1"/>
        <s v="Romper Short | 3-6 | Sage Green " u="1"/>
        <s v="Romper Longer | 6-12 |  Caldet Blue" u="1"/>
        <s v="Romper Short | 12-18 |  Caldet Blue" u="1"/>
        <s v="Romper Short | 0-3 |  Dusty Pink" u="1"/>
        <s v="Romper Short | 3-6 | Mauve Taupe " u="1"/>
        <s v="Romper Short | 3-6 |  Forest Green" u="1"/>
        <s v="Romper Short | 6-12 | Sage Green  " u="1"/>
        <s v="Romper Longer | 0-3 |  Mauve Taupe " u="1"/>
        <s v="Romper Longer | 0-3 | Coffe" u="1"/>
        <s v="Romper Short | 0-3 |  Cream" u="1"/>
        <s v="Romper Short | 3-6 |  Cream" u="1"/>
        <s v="Romper Longer | 0-3 |  Dusty Pink" u="1"/>
        <s v="Romper Longer | 3-6 |  Dusty Pink" u="1"/>
        <s v="Bodysuit | 0-3 |  Light Pink " u="1"/>
        <s v="Bodysuit | 3-6 |  Light Pink " u="1"/>
        <s v="Romper Longer | 12-18 | White " u="1"/>
        <s v="Romper Longer | 0-3 | Sage Green_x000a_" u="1"/>
        <s v="Romper Short | 6-12 | Sage Green_x000a_" u="1"/>
        <s v="Romper Short | 12-18 | Forest Green  " u="1"/>
      </sharedItems>
    </cacheField>
    <cacheField name="DemandLevel"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6">
  <r>
    <s v="Romper Short | 3-6 | Cream"/>
  </r>
  <r>
    <s v="Romper Longer | 3-6 | Cream"/>
  </r>
  <r>
    <s v="Romper Short | 3-6 | Cream"/>
  </r>
  <r>
    <s v="Romper Longer | 0-3 | Cream"/>
  </r>
  <r>
    <s v="Romper Longer | 6-12 | Sage Green"/>
  </r>
  <r>
    <s v="Romper Longer | 0-3 | Cream"/>
  </r>
  <r>
    <s v="Romper Longer | 0-3 | Cream"/>
  </r>
  <r>
    <s v="Romper Longer | 3-6 | Forest Green"/>
  </r>
  <r>
    <s v="Romper Longer | 0-3 | Sage Green"/>
  </r>
  <r>
    <s v="Romper Longer | 3-6 | Cream"/>
  </r>
  <r>
    <s v="Romper Longer | 3-6 | Cream"/>
  </r>
  <r>
    <s v="Romper Longer | 3-6 | Cream"/>
  </r>
  <r>
    <s v="Romper Short | 3-6 | Forest Green"/>
  </r>
  <r>
    <s v="Romper Longer | 3-6 | Sage Green"/>
  </r>
  <r>
    <s v="Romper Longer | 3-6 | Dusty Pink"/>
  </r>
  <r>
    <s v="Romper Short | 3-6 | Forest Green"/>
  </r>
  <r>
    <s v="Romper Longer | 0-3 | Caldet Blue"/>
  </r>
  <r>
    <s v="Romper Longer | 3-6 | Mauve Taupe"/>
  </r>
  <r>
    <s v="Romper Longer | 18-24 | Sage Green"/>
  </r>
  <r>
    <s v="Romper Longer | 3-6 | Coffee"/>
  </r>
  <r>
    <s v="Romper Short | 0-3 | Sage Green"/>
  </r>
  <r>
    <s v="Romper Short | 0-3 | Coffee"/>
  </r>
  <r>
    <s v="Romper Longer | 0-3 | Cream"/>
  </r>
  <r>
    <s v="Romper Short | 0-3 | Cream"/>
  </r>
  <r>
    <s v="Romper Short | 18-24 | Cream"/>
  </r>
  <r>
    <s v="Romper Longer | 6-12 | Cream"/>
  </r>
  <r>
    <s v="Romper Longer | 0-3 | Caldet Blue"/>
  </r>
  <r>
    <s v="Romper Short | 3-6 | Coffee"/>
  </r>
  <r>
    <s v="Romper Short | 6-12 | Sage Green"/>
  </r>
  <r>
    <s v="Romper Longer | 3-6 | Cream"/>
  </r>
  <r>
    <s v="Romper Short | 0-3 | Cream"/>
  </r>
  <r>
    <s v="Romper Longer | 3-6 | Watermelon"/>
  </r>
  <r>
    <s v="Romper Short | 3-6 | Cream"/>
  </r>
  <r>
    <s v="Romper Short | 0-3 | White"/>
  </r>
  <r>
    <s v="Romper Longer | 12-18 | Sage Green"/>
  </r>
  <r>
    <s v="Romper Longer | 3-6 | Caldet Blue"/>
  </r>
  <r>
    <s v="Romper Longer | 0-3 | Cream"/>
  </r>
  <r>
    <s v="Romper Short | 3-6 | Sage Green"/>
  </r>
  <r>
    <s v="Romper Longer | 0-3 | Cream"/>
  </r>
  <r>
    <s v="Romper Short | 0-3 | White"/>
  </r>
  <r>
    <s v="Romper Longer | 3-6 | Cream"/>
  </r>
  <r>
    <s v="Romper Longer | 3-6 | Cream"/>
  </r>
  <r>
    <s v="Romper Longer | 6-12 | Caldet Blue"/>
  </r>
  <r>
    <s v="Romper Longer | 3-6 | Caldet Blue"/>
  </r>
  <r>
    <s v="Romper Short | 0-3 | Cream"/>
  </r>
  <r>
    <s v="Romper Short | 12-18 | Cream"/>
  </r>
  <r>
    <s v="Romper Short | 18-24 | Watermelon"/>
  </r>
  <r>
    <s v="Romper Longer | 3-6 | Sage Green"/>
  </r>
  <r>
    <s v="Romper Longer | 0-3 | Coffee"/>
  </r>
  <r>
    <s v="Romper Longer | 0-3 | Coffee"/>
  </r>
  <r>
    <s v="Romper Longer | 3-6 | Caldet Blue"/>
  </r>
  <r>
    <s v="Romper Longer | 0-3 | Cream"/>
  </r>
  <r>
    <s v="Romper Short | 3-6 | Cream"/>
  </r>
  <r>
    <s v="Romper Longer | 0-3 | Cream"/>
  </r>
  <r>
    <s v="Romper Short | 0-3 | Cream"/>
  </r>
  <r>
    <s v="Romper Longer | 3-6 | Sage Green"/>
  </r>
  <r>
    <s v="Romper Longer | 0-3 | Caldet Blue"/>
  </r>
  <r>
    <s v="Romper Short | 3-6 | Caldet Blue"/>
  </r>
  <r>
    <s v="Romper Longer | 3-6 | Dusty Pink"/>
  </r>
  <r>
    <s v="Romper Longer | 18-24 | Sage Green"/>
  </r>
  <r>
    <s v="Romper Longer | 6-12 | Forest Green"/>
  </r>
  <r>
    <s v="Romper Short | 3-6 | Dusty Pink"/>
  </r>
  <r>
    <s v="Romper Longer | 3-6 | Cream"/>
  </r>
  <r>
    <s v="Romper Short | 3-6 | Coffee"/>
  </r>
  <r>
    <s v="Romper Short | 0-3 | Salmon"/>
  </r>
  <r>
    <s v="Romper Longer | 3-6 | Cream"/>
  </r>
  <r>
    <s v="Romper Longer | 3-6 | Sage Green"/>
  </r>
  <r>
    <s v="Romper Longer | 6-12 | Watermelon"/>
  </r>
  <r>
    <s v="Romper Longer | 0-3 | Caldet Blue"/>
  </r>
  <r>
    <s v="Romper Short | 0-3 | Dusty Pink"/>
  </r>
  <r>
    <s v="Romper Longer | 3-6 | Sage Green"/>
  </r>
  <r>
    <s v="Romper Longer | 3-6 | Cream"/>
  </r>
  <r>
    <s v="Romper Short | 6-12 | Dusty Pink"/>
  </r>
  <r>
    <s v="Romper Longer | 0-3 | Watermelon"/>
  </r>
  <r>
    <s v="Romper Short | 3-6 | Sage Green"/>
  </r>
  <r>
    <s v="Romper Short | 6-12 | Sage Green"/>
  </r>
  <r>
    <s v="Romper Short | 3-6 | Cream"/>
  </r>
  <r>
    <s v="Romper Longer | 6-12 | Sage Green"/>
  </r>
  <r>
    <s v="Romper Longer | 6-12 | Cream"/>
  </r>
  <r>
    <s v="Romper Short | 0-3 | Sage Green"/>
  </r>
  <r>
    <s v="Romper Short | 0-3 | Cream"/>
  </r>
  <r>
    <s v="Romper Longer | 3-6 | Sage Green"/>
  </r>
  <r>
    <s v="Romper Short | 3-6 | Cream"/>
  </r>
  <r>
    <s v="Romper Longer | 6-12 | Cream"/>
  </r>
  <r>
    <s v="Romper Longer | 3-6 | Cream"/>
  </r>
  <r>
    <s v="Romper Longer | 12-18 | Forest Green"/>
  </r>
  <r>
    <s v="Romper Short | 0-3 | Caldet Blue"/>
  </r>
  <r>
    <s v="Romper Longer | 3-6 | Dusty Pink"/>
  </r>
  <r>
    <s v="Romper Longer | 0-3 | Cream"/>
  </r>
  <r>
    <s v="Romper Short | 3-6 | Watermelon"/>
  </r>
  <r>
    <s v="Romper Longer | 0-3 | Mauve Taupe"/>
  </r>
  <r>
    <s v="Romper Longer | 3-6 | Sage Green"/>
  </r>
  <r>
    <s v="Romper Longer | 6-12 | Sage Green"/>
  </r>
  <r>
    <s v="Romper Longer | 0-3 | Forest Green"/>
  </r>
  <r>
    <s v="Romper Longer | 6-12 | Cream"/>
  </r>
  <r>
    <s v="Romper Short | 3-6 | Caldet Blue"/>
  </r>
  <r>
    <s v="Romper Longer | 3-6 | Cream"/>
  </r>
  <r>
    <s v="Romper Longer | 3-6 | Coffee"/>
  </r>
  <r>
    <s v="Romper Short | 0-3 | Cream"/>
  </r>
  <r>
    <s v="Romper Longer | 0-3 | Sage Green"/>
  </r>
  <r>
    <s v="Romper Short | 3-6 | Cream"/>
  </r>
  <r>
    <s v="Romper Short | 3-6 | Cream"/>
  </r>
  <r>
    <s v="Romper Short | 0-3 | Coffee"/>
  </r>
  <r>
    <s v="Romper Short | 0-3 | White"/>
  </r>
  <r>
    <s v="Romper Short | 0-3 | Sage Green"/>
  </r>
  <r>
    <s v="Romper Short | 6-12 | White"/>
  </r>
  <r>
    <s v="Romper Short | 18-24 | White"/>
  </r>
  <r>
    <s v="Romper Longer | 0-3 | Cream"/>
  </r>
  <r>
    <s v="Romper Short | 12-18 | Dusty Pink"/>
  </r>
  <r>
    <s v="Romper Short | 0-3 | Cream"/>
  </r>
  <r>
    <s v="Romper Short | 0-3 | Caldet Blue"/>
  </r>
  <r>
    <s v="Romper Longer | 3-6 | Dusty Pink"/>
  </r>
  <r>
    <s v="Romper Longer | 0-3 | Dusty Pink"/>
  </r>
  <r>
    <s v="Romper Short | 3-6 | Sage Green"/>
  </r>
  <r>
    <s v="Romper Longer | 0-3 | Cream"/>
  </r>
  <r>
    <s v="Romper Short | 0-3 | Cream"/>
  </r>
  <r>
    <s v="Romper Longer | 6-12 | Caldet Blue"/>
  </r>
  <r>
    <s v="Romper Longer | 0-3 | Cream"/>
  </r>
  <r>
    <s v="Romper Short | 3-6 | Cream"/>
  </r>
  <r>
    <s v="Romper Short | 0-3 | Cream"/>
  </r>
  <r>
    <s v="Romper Short | 3-6 | Cream"/>
  </r>
  <r>
    <s v="Romper Short | 3-6 | Sage Green"/>
  </r>
  <r>
    <s v="Romper Longer | 6-12 | Watermelon"/>
  </r>
  <r>
    <s v="Romper Longer | 6-12 | Sage Green"/>
  </r>
  <r>
    <s v="Romper Short | 3-6 | Cream"/>
  </r>
  <r>
    <s v="Romper Longer | 3-6 | Cream"/>
  </r>
  <r>
    <s v="Romper Short | 3-6 | Watermelon"/>
  </r>
  <r>
    <s v="Romper Short | 3-6 | Coffee"/>
  </r>
  <r>
    <s v="Romper Longer | 3-6 | Watermelon"/>
  </r>
  <r>
    <s v="Romper Longer | 6-12 | Watermelon"/>
  </r>
  <r>
    <s v="Romper Short | 3-6 | Dusty Pink"/>
  </r>
  <r>
    <s v="Romper Short | 3-6 | Forest Green"/>
  </r>
  <r>
    <s v="Romper Longer | 6-12 | White"/>
  </r>
  <r>
    <s v="Romper Longer | 0-3 | Mauve Taupe"/>
  </r>
  <r>
    <s v="Romper Short | 6-12 | Cream"/>
  </r>
  <r>
    <s v="Romper Short | 3-6 | Sage Green"/>
  </r>
  <r>
    <s v="Romper Longer | 6-12 | Cream"/>
  </r>
  <r>
    <s v="Romper Longer | 3-6 | Cream"/>
  </r>
  <r>
    <s v="Romper Short | 18-24 | Sage Green"/>
  </r>
  <r>
    <s v="Romper Longer | 0-3 | Cream"/>
  </r>
  <r>
    <s v="Romper Longer | 0-3 | Cream"/>
  </r>
  <r>
    <s v="Romper Longer | 3-6 | Cream"/>
  </r>
  <r>
    <s v="Romper Longer | 0-3 | Cream"/>
  </r>
  <r>
    <s v="Romper Longer | 6-12 | Cream"/>
  </r>
  <r>
    <s v="Romper Short | 3-6 | Caldet Blue"/>
  </r>
  <r>
    <s v="Romper Short | 3-6 | Coffee"/>
  </r>
  <r>
    <s v="Romper Short | 0-3 | Cream"/>
  </r>
  <r>
    <s v="Romper Short | 0-3 | Salmon"/>
  </r>
  <r>
    <s v="Romper Longer | 3-6 | Salmon"/>
  </r>
  <r>
    <s v="Romper Longer | 0-3 | Caldet Blue"/>
  </r>
  <r>
    <s v="Romper Short | 6-12 | Dusty Pink"/>
  </r>
  <r>
    <s v="Romper Short | 3-6 | Sage Green"/>
  </r>
  <r>
    <s v="Romper Short | 0-3 | Cream"/>
  </r>
  <r>
    <s v="Romper Short | 3-6 | Forest Green"/>
  </r>
  <r>
    <s v="Romper Short | 3-6 | Cream"/>
  </r>
  <r>
    <s v="Romper Short | 3-6 | Cream"/>
  </r>
  <r>
    <s v="Romper Short | 3-6 | Salmon"/>
  </r>
  <r>
    <s v="Romper Longer | 0-3 | Sage Green"/>
  </r>
  <r>
    <s v="Romper Short | 3-6 | Sage Green"/>
  </r>
  <r>
    <s v="Romper Short | 6-12 | Sage Green"/>
  </r>
  <r>
    <s v="Romper Short | 3-6 | Caldet Blue"/>
  </r>
  <r>
    <s v="Romper Longer | 3-6 | Coffee"/>
  </r>
  <r>
    <s v="Romper Short | 3-6 | Cream"/>
  </r>
  <r>
    <s v="Romper Longer | 3-6 | Cream"/>
  </r>
  <r>
    <s v="Romper Longer | 6-12 | Dusty Pink"/>
  </r>
  <r>
    <s v="Romper Longer | 0-3 | Cream"/>
  </r>
  <r>
    <s v="Romper Short | 0-3 | Cream"/>
  </r>
  <r>
    <s v="Romper Short | 0-3 | Forest Green"/>
  </r>
  <r>
    <s v="Romper Longer | 3-6 | Cream"/>
  </r>
  <r>
    <s v="Romper Longer | 0-3 | Sage Green"/>
  </r>
  <r>
    <s v="Romper Short | 0-3 | White"/>
  </r>
  <r>
    <s v="Romper Longer | 0-3 | Cream"/>
  </r>
  <r>
    <s v="Romper Longer | 3-6 | Cream"/>
  </r>
  <r>
    <s v="Romper Longer | 3-6 | Sage Green"/>
  </r>
  <r>
    <s v="Romper Longer | 12-18 | Cream"/>
  </r>
  <r>
    <s v="Romper Short | 0-3 | Cream"/>
  </r>
  <r>
    <s v="Romper Longer | 0-3 | Cream"/>
  </r>
  <r>
    <s v="Romper Short | 3-6 | Sage Green"/>
  </r>
  <r>
    <s v="Romper Longer | 0-3 | Cream"/>
  </r>
  <r>
    <s v="Romper Short | 3-6 | Caldet Blue"/>
  </r>
  <r>
    <s v="Romper Longer | 0-3 | Caldet Blue"/>
  </r>
  <r>
    <s v="Romper Longer | 6-12 | Sage Green"/>
  </r>
  <r>
    <s v="Romper Short | 6-12 | Cream"/>
  </r>
  <r>
    <s v="Romper Short | 3-6 | Cream"/>
  </r>
  <r>
    <s v="Romper Short | 3-6 | Cream"/>
  </r>
  <r>
    <s v="Romper Longer | 3-6 | Sage Green"/>
  </r>
  <r>
    <s v="Romper Short | 0-3 | Cream"/>
  </r>
  <r>
    <s v="Romper Short | 3-6 | Sage Green"/>
  </r>
  <r>
    <s v="Romper Short | 0-3 | Sage Green"/>
  </r>
  <r>
    <s v="Romper Longer | 0-3 | Cream"/>
  </r>
  <r>
    <s v="Romper Longer | 3-6 | Cream"/>
  </r>
  <r>
    <s v="Romper Longer | 0-3 | White"/>
  </r>
  <r>
    <s v="Romper Longer | 0-3 | Cream"/>
  </r>
  <r>
    <s v="Romper Short | 6-12 | Cream"/>
  </r>
  <r>
    <s v="Romper Longer | 3-6 | Forest Green"/>
  </r>
  <r>
    <s v="Romper Short | 3-6 | Cream"/>
  </r>
  <r>
    <s v="Romper Short | 0-3 | Cream"/>
  </r>
  <r>
    <s v="Romper Longer | 6-12 | Sage Green"/>
  </r>
  <r>
    <s v="Romper Longer | 3-6 | Cream"/>
  </r>
  <r>
    <s v="Romper Longer | 0-3 | Cream"/>
  </r>
  <r>
    <s v="Romper Short | 0-3 | Sage Green"/>
  </r>
  <r>
    <s v="Romper Short | 3-6 | Cream"/>
  </r>
  <r>
    <s v="Romper Longer | 3-6 | Cream"/>
  </r>
  <r>
    <s v="Romper Longer | 18-24 | Cream"/>
  </r>
  <r>
    <s v="Romper Longer | 0-3 | Cream"/>
  </r>
  <r>
    <s v="Romper Short | 6-12 | Cream"/>
  </r>
  <r>
    <s v="Romper Longer | 6-12 | Sage Green"/>
  </r>
  <r>
    <s v="Romper Short | 6-12 | Forest Green"/>
  </r>
  <r>
    <s v="Romper Short | 6-12 | Cream"/>
  </r>
  <r>
    <s v="Romper Longer | 12-18 | Cream"/>
  </r>
  <r>
    <s v="Romper Short | 12-18 | Salmon"/>
  </r>
  <r>
    <s v="Romper Longer | 6-12 | Cream"/>
  </r>
  <r>
    <s v="Romper Short | 18-24 | Salmon"/>
  </r>
  <r>
    <s v="Romper Longer | 6-12 | Salmon"/>
  </r>
  <r>
    <s v="Romper Longer | 0-3 | Cream"/>
  </r>
  <r>
    <s v="Romper Longer | 6-12 | Cream"/>
  </r>
  <r>
    <s v="Romper Longer | 0-3 | Cream"/>
  </r>
  <r>
    <s v="Romper Longer | 3-6 | Caldet Blue"/>
  </r>
  <r>
    <s v="Romper Longer | 6-12 | Forest Green"/>
  </r>
  <r>
    <s v="Romper Longer | 12-18 | Cream"/>
  </r>
  <r>
    <s v="Romper Longer | 6-12 | Forest Green"/>
  </r>
  <r>
    <s v="Romper Longer | 3-6 | Cream"/>
  </r>
  <r>
    <s v="Romper Longer | 6-12 | Forest Green"/>
  </r>
  <r>
    <s v="Romper Short | 6-12 | Cream"/>
  </r>
  <r>
    <s v="Romper Longer | 12-18 | Caldet Blue"/>
  </r>
  <r>
    <s v="Romper Longer | 3-6 | Sage Green"/>
  </r>
  <r>
    <s v="Romper Short | 3-6 | Coffee"/>
  </r>
  <r>
    <s v="Romper Short | 3-6 | Cream"/>
  </r>
  <r>
    <s v="Romper Longer | 12-18 | Cream"/>
  </r>
  <r>
    <s v="Romper Longer | 6-12 | Texas Orange"/>
  </r>
  <r>
    <s v="Romper Longer | 0-3 | Caldet Blue"/>
  </r>
  <r>
    <s v="Romper Short | 0-3 | Cream"/>
  </r>
  <r>
    <s v="Romper Short | 0-3 | Dusty Pink"/>
  </r>
  <r>
    <s v="Romper Short | 12-18 | Forest Green"/>
  </r>
  <r>
    <s v="Romper Longer | 0-3 | Forest Green"/>
  </r>
  <r>
    <s v="Romper Short | 6-12 | Caldet Blue"/>
  </r>
  <r>
    <s v="Romper Longer | 3-6 | Sage Green"/>
  </r>
  <r>
    <s v="Romper Short | 6-12 | Coffee"/>
  </r>
  <r>
    <s v="Romper Short | 3-6 | Sage Green"/>
  </r>
  <r>
    <s v="Romper Short | 3-6 | Salmon"/>
  </r>
  <r>
    <s v="Romper Longer | 0-3 | Cream"/>
  </r>
  <r>
    <s v="Romper Short | 3-6 | Cream"/>
  </r>
  <r>
    <s v="Romper Short | 3-6 | Sage Green"/>
  </r>
  <r>
    <s v="Romper Longer | 3-6 | Sage Green"/>
  </r>
  <r>
    <s v="Romper Short | 3-6 | Dusty Pink"/>
  </r>
  <r>
    <s v="Romper Short | 3-6 | Cream"/>
  </r>
  <r>
    <s v="Romper Short | 6-12 | Sage Green"/>
  </r>
  <r>
    <s v="Romper Short | 0-3 | Watermelon"/>
  </r>
  <r>
    <s v="Romper Short | 0-3 | Sage Green"/>
  </r>
  <r>
    <s v="Romper Longer | 6-12 | Cream"/>
  </r>
  <r>
    <s v="Romper Short | 3-6 | Dusty Pink"/>
  </r>
  <r>
    <s v="Romper Longer | 0-3 | White"/>
  </r>
  <r>
    <s v="Romper Longer | 3-6 | Cream"/>
  </r>
  <r>
    <s v="Romper Short | 3-6 | Cream"/>
  </r>
  <r>
    <s v="Romper Short | 3-6 | Cream"/>
  </r>
  <r>
    <s v="Romper Longer | 6-12 | Dusty Pink"/>
  </r>
  <r>
    <s v="Romper Longer | 3-6 | Watermelon"/>
  </r>
  <r>
    <s v="Romper Longer | 6-12 | Cream"/>
  </r>
  <r>
    <s v="Romper Short | 3-6 | Cream"/>
  </r>
  <r>
    <s v="Romper Longer | 0-3 | Sage Green"/>
  </r>
  <r>
    <s v="Romper Short | 0-3 | Cream"/>
  </r>
  <r>
    <s v="Romper Short | 0-3 | Cream"/>
  </r>
  <r>
    <s v="Romper Longer | 3-6 | Sage Green"/>
  </r>
  <r>
    <s v="Romper Short | 3-6 | Cream"/>
  </r>
  <r>
    <s v="Romper Short | 6-12 | Sage Green"/>
  </r>
  <r>
    <s v="Romper Short | 3-6 | Texas Orange"/>
  </r>
  <r>
    <s v="Romper Short | 3-6 | Cream"/>
  </r>
  <r>
    <s v="Romper Short | 3-6 | Cream"/>
  </r>
  <r>
    <s v="Romper Longer | 6-12 | Sage Green"/>
  </r>
  <r>
    <s v="Romper Longer | 3-6 | Cream"/>
  </r>
  <r>
    <s v="Romper Longer | 3-6 | Watermelon"/>
  </r>
  <r>
    <s v="Romper Short | 3-6 | Mauve Taupe"/>
  </r>
  <r>
    <s v="Romper Longer | 6-12 | Watermelon"/>
  </r>
  <r>
    <s v="Romper Short | 0-3 | Cream"/>
  </r>
  <r>
    <s v="Romper Short | 12-18 | Watermelon"/>
  </r>
  <r>
    <s v="Romper Short | 0-3 | Coffee"/>
  </r>
  <r>
    <s v="Romper Short | 0-3 | Sage Green"/>
  </r>
  <r>
    <s v="Romper Longer | 0-3 | Cream"/>
  </r>
  <r>
    <s v="Romper Short | 3-6 | White"/>
  </r>
  <r>
    <s v="Romper Short | 0-3 | Cream"/>
  </r>
  <r>
    <s v="Romper Longer | 0-3 | Dusty Pink"/>
  </r>
  <r>
    <s v="Romper Longer | 3-6 | Cream"/>
  </r>
  <r>
    <s v="Romper Short | 3-6 | Salmon"/>
  </r>
  <r>
    <s v="Romper Short | 3-6 | Sage Green"/>
  </r>
  <r>
    <s v="Romper Longer | 0-3 | Dusty Pink"/>
  </r>
  <r>
    <s v="Romper Longer | 6-12 | Cream"/>
  </r>
  <r>
    <s v="Romper Short | 3-6 | Sage Green"/>
  </r>
  <r>
    <s v="Romper Longer | 0-3 | Cream"/>
  </r>
  <r>
    <s v="Romper Longer | 0-3 | White"/>
  </r>
  <r>
    <s v="Romper Longer | 0-3 | Cream"/>
  </r>
  <r>
    <s v="Romper Short | 12-18 | Cream"/>
  </r>
  <r>
    <s v="Romper Short | 0-3 | Salmon"/>
  </r>
  <r>
    <s v="Romper Short | 0-3 | Cream"/>
  </r>
  <r>
    <s v="Romper Short | 3-6 | Cream"/>
  </r>
  <r>
    <s v="Romper Short | 0-3 | Cream"/>
  </r>
  <r>
    <s v="Romper Longer | 6-12 | Forest Green"/>
  </r>
  <r>
    <s v="Romper Short | 0-3 | Forest Green"/>
  </r>
  <r>
    <s v="Romper Longer | 3-6 | Sage Green"/>
  </r>
  <r>
    <s v="Romper Short | 3-6 | Cream"/>
  </r>
  <r>
    <s v="Romper Longer | 0-3 | Sage Green"/>
  </r>
  <r>
    <s v="Romper Short | 0-3 | Caldet Blue"/>
  </r>
  <r>
    <s v="Romper Longer | 3-6 | Cream"/>
  </r>
  <r>
    <s v="Romper Longer | 0-3 | Dusty Pink"/>
  </r>
  <r>
    <s v="Romper Short | 3-6 | Salmon"/>
  </r>
  <r>
    <s v="Romper Longer | 0-3 | Cream"/>
  </r>
  <r>
    <s v="Romper Longer | 3-6 | Cream"/>
  </r>
  <r>
    <s v="Romper Longer | 3-6 | Caldet Blue"/>
  </r>
  <r>
    <s v="Romper Longer | 3-6 | Coffee"/>
  </r>
  <r>
    <s v="Romper Short | 6-12 | Sage Green"/>
  </r>
  <r>
    <s v="Romper Longer | 3-6 | Dusty Pink"/>
  </r>
  <r>
    <s v="Romper Longer | 0-3 | Cream"/>
  </r>
  <r>
    <s v="Romper Longer | 0-3 | Dusty Pink"/>
  </r>
  <r>
    <s v="Romper Longer | 3-6 | Dusty Pink"/>
  </r>
  <r>
    <s v="Romper Longer | 3-6 | Sage Green"/>
  </r>
  <r>
    <s v="Romper Longer | 6-12 | Sage Green"/>
  </r>
  <r>
    <s v="Romper Short | 0-3 | Caldet Blue"/>
  </r>
  <r>
    <s v="Romper Longer | 0-3 | Cream"/>
  </r>
  <r>
    <s v="Romper Longer | 3-6 | White"/>
  </r>
  <r>
    <s v="Romper Short | 0-3 | Mauve Taupe"/>
  </r>
  <r>
    <s v="Romper Short | 6-12 | Sage Green"/>
  </r>
  <r>
    <s v="Romper Short | 0-3 | Cream"/>
  </r>
  <r>
    <s v="Romper Short | 3-6 | Sage Green"/>
  </r>
  <r>
    <s v="Romper Short | 0-3 | Sage Green"/>
  </r>
  <r>
    <s v="Romper Longer | 3-6 | Cream"/>
  </r>
  <r>
    <s v="Romper Short | 6-12 | Cream"/>
  </r>
  <r>
    <s v="Romper Short | 6-12 | Sage Green"/>
  </r>
  <r>
    <s v="Romper Longer | 3-6 | Mauve Taupe"/>
  </r>
  <r>
    <s v="Romper Longer | 6-12 | Sage Green"/>
  </r>
  <r>
    <s v="Romper Longer | 6-12 | Dusty Pink"/>
  </r>
  <r>
    <s v="Romper Short | 3-6 | Sage Green"/>
  </r>
  <r>
    <s v="Romper Short | 0-3 | Cream"/>
  </r>
  <r>
    <s v="Romper Longer | 0-3 | Cream"/>
  </r>
  <r>
    <s v="Romper Longer | 0-3 | Sage Green"/>
  </r>
  <r>
    <s v="Romper Longer | 6-12 | Sage Green"/>
  </r>
  <r>
    <s v="Romper Longer | 3-6 | Cream"/>
  </r>
  <r>
    <s v="Romper Longer | 6-12 | Caldet Blue"/>
  </r>
  <r>
    <s v="Romper Longer | 3-6 | Cream"/>
  </r>
  <r>
    <s v="Romper Short | 3-6 | Cream"/>
  </r>
  <r>
    <s v="Romper Short | 3-6 | Mauve Taupe"/>
  </r>
  <r>
    <s v="Romper Longer | 6-12 | Sage Green"/>
  </r>
  <r>
    <s v="Romper Short | 3-6 | Sage Green"/>
  </r>
  <r>
    <s v="Romper Longer | 0-3 | Watermelon"/>
  </r>
  <r>
    <s v="Romper Short | 0-3 | Sage Green"/>
  </r>
  <r>
    <s v="Romper Short | 0-3 | Cream"/>
  </r>
  <r>
    <s v="Romper Short | 6-12 | Cream"/>
  </r>
  <r>
    <s v="Romper Short | 0-3 | Coffee"/>
  </r>
  <r>
    <s v="Romper Short | 6-12 | Cream"/>
  </r>
  <r>
    <s v="Romper Longer | 3-6 | Sage Green"/>
  </r>
  <r>
    <s v="Romper Longer | 3-6 | Dusty Pink"/>
  </r>
  <r>
    <s v="Romper Longer | 0-3 | Sage Green"/>
  </r>
  <r>
    <s v="Romper Longer | 3-6 | Caldet Blue"/>
  </r>
  <r>
    <s v="Romper Longer | 3-6 | Cream"/>
  </r>
  <r>
    <s v="Romper Longer | 3-6 | Salmon"/>
  </r>
  <r>
    <s v="Romper Short | 0-3 | Cream"/>
  </r>
  <r>
    <s v="Romper Longer | 0-3 | Cream"/>
  </r>
  <r>
    <s v="Romper Longer | 6-12 | Forest Green"/>
  </r>
  <r>
    <s v="Romper Short | 6-12 | Caldet Blue"/>
  </r>
  <r>
    <s v="Romper Longer | 3-6 | Forest Green"/>
  </r>
  <r>
    <s v="Romper Longer | 3-6 | Caldet Blue"/>
  </r>
  <r>
    <s v="Romper Short | 0-3 | Cream"/>
  </r>
  <r>
    <s v="Romper Longer | 0-3 | Cream"/>
  </r>
  <r>
    <s v="Romper Longer | 0-3 | Coffee"/>
  </r>
  <r>
    <s v="Romper Longer | 3-6 | Sage Green"/>
  </r>
  <r>
    <s v="Romper Longer | 0-3 | Cream"/>
  </r>
  <r>
    <s v="Romper Short | 0-3 | White"/>
  </r>
  <r>
    <s v="Romper Short | 0-3 | Cream"/>
  </r>
  <r>
    <s v="Romper Short | 3-6 | Dusty Pink"/>
  </r>
  <r>
    <s v="Romper Short | 3-6 | Cream"/>
  </r>
  <r>
    <s v="Romper Short | 3-6 | Coffee"/>
  </r>
  <r>
    <s v="Romper Longer | 6-12 | Cream"/>
  </r>
  <r>
    <s v="Romper Short | 3-6 | Dusty Pink"/>
  </r>
  <r>
    <s v="Romper Longer | 0-3 | Sage Green"/>
  </r>
  <r>
    <s v="Romper Short | 6-12 | Sage Green"/>
  </r>
  <r>
    <s v="Romper Longer | 18-24 | Cream"/>
  </r>
  <r>
    <s v="Romper Longer | 0-3 | Cream"/>
  </r>
  <r>
    <s v="Romper Longer | 3-6 | Salmon"/>
  </r>
  <r>
    <s v="Romper Longer | 0-3 | Cream"/>
  </r>
  <r>
    <s v="Romper Longer | 3-6 | Sage Green"/>
  </r>
  <r>
    <s v="Romper Short | 0-3 | Cream"/>
  </r>
  <r>
    <s v="Romper Longer | 3-6 | Cream"/>
  </r>
  <r>
    <s v="Romper Short | 0-3 | Dusty Pink"/>
  </r>
  <r>
    <s v="Romper Longer | 6-12 | Cream"/>
  </r>
  <r>
    <s v="Romper Short | 3-6 | Dusty Pink"/>
  </r>
  <r>
    <s v="Romper Longer | 0-3 | Cream"/>
  </r>
  <r>
    <s v="Romper Longer | 3-6 | Cream"/>
  </r>
  <r>
    <s v="Romper Longer | 6-12 | Cream"/>
  </r>
  <r>
    <s v="Romper Short | 3-6 | Cream"/>
  </r>
  <r>
    <s v="Romper Short | 6-12 | Caldet Blue"/>
  </r>
  <r>
    <s v="Romper Longer | 6-12 | Caldet Blue"/>
  </r>
  <r>
    <s v="Romper Short | 0-3 | White"/>
  </r>
  <r>
    <s v="Romper Longer | 0-3 | Cream"/>
  </r>
  <r>
    <s v="Romper Longer | 3-6 | Dusty Pink"/>
  </r>
  <r>
    <s v="Romper Longer | 3-6 | Cream"/>
  </r>
  <r>
    <s v="Romper Longer | 3-6 | Sage Green"/>
  </r>
  <r>
    <s v="Romper Short | 0-3 | Cream"/>
  </r>
  <r>
    <s v="Romper Short | 12-18 | Caldet Blue"/>
  </r>
  <r>
    <s v="Romper Longer | 3-6 | Watermelon"/>
  </r>
  <r>
    <s v="Romper Longer | 0-3 | White"/>
  </r>
  <r>
    <s v="Romper Short | 6-12 | Cream"/>
  </r>
  <r>
    <s v="Romper Longer | 6-12 | Caldet Blue"/>
  </r>
  <r>
    <s v="Romper Short | 6-12 | Cream"/>
  </r>
  <r>
    <s v="Romper Longer | 3-6 | White"/>
  </r>
  <r>
    <s v="Romper Longer | 3-6 | Sage Green"/>
  </r>
  <r>
    <s v="Romper Longer | 3-6 | Cream"/>
  </r>
  <r>
    <s v="Romper Short | 0-3 | Sage Green"/>
  </r>
  <r>
    <s v="Romper Short | 3-6 | Cream"/>
  </r>
  <r>
    <s v="Romper Longer | 0-3 | Cream"/>
  </r>
  <r>
    <s v="Romper Short | 3-6 | Watermelon"/>
  </r>
  <r>
    <s v="Romper Longer | 6-12 | Cream"/>
  </r>
  <r>
    <s v="Romper Longer | 0-3 | Cream"/>
  </r>
  <r>
    <s v="Romper Longer | 0-3 | Coffee"/>
  </r>
  <r>
    <s v="Romper Longer | 12-18 | White"/>
  </r>
  <r>
    <s v="Romper Short | 0-3 | Cream"/>
  </r>
  <r>
    <s v="Romper Longer | 3-6 | Dusty Pink"/>
  </r>
  <r>
    <s v="Romper Longer | 6-12 | Cream"/>
  </r>
  <r>
    <s v="Romper Longer | 6-12 | Sage Green"/>
  </r>
  <r>
    <s v="Romper Longer | 0-3 | Forest Green"/>
  </r>
  <r>
    <s v="Romper Longer | 3-6 | Salmon"/>
  </r>
  <r>
    <s v="Romper Longer | 12-18 | Cream"/>
  </r>
  <r>
    <s v="Romper Longer | 3-6 | Dusty Pink"/>
  </r>
  <r>
    <s v="Romper Longer | 3-6 | Dusty Pink"/>
  </r>
  <r>
    <s v="Romper Longer | 0-3 | Cream"/>
  </r>
  <r>
    <s v="Romper Longer | 6-12 | White"/>
  </r>
  <r>
    <s v="Romper Longer | 12-18 | Sage Green"/>
  </r>
  <r>
    <s v="Romper Short | 3-6 | Cream"/>
  </r>
  <r>
    <s v="Romper Longer | 3-6 | Cream"/>
  </r>
  <r>
    <s v="Romper Short | 3-6 | Cream"/>
  </r>
  <r>
    <s v="Romper Short | 3-6 | Sage Green"/>
  </r>
  <r>
    <s v="Romper Longer | 3-6 | Caldet Blue"/>
  </r>
  <r>
    <s v="Romper Short | 12-18 | Sage Green"/>
  </r>
  <r>
    <s v="Romper Short | 0-3 | Sage Green"/>
  </r>
  <r>
    <s v="Romper Short | 3-6 | Cream"/>
  </r>
  <r>
    <s v="Romper Short | 6-12 | Coffee"/>
  </r>
  <r>
    <s v="Romper Longer | 3-6 | Dusty Pink"/>
  </r>
  <r>
    <s v="Romper Short | 3-6 | Forest Green"/>
  </r>
  <r>
    <s v="Romper Short | 6-12 | Sage Green"/>
  </r>
  <r>
    <s v="Romper Longer | 6-12 | Dusty Pink"/>
  </r>
  <r>
    <s v="Romper Longer | 6-12 | Cream"/>
  </r>
  <r>
    <s v="Romper Short | 0-3 | Caldet Blue"/>
  </r>
  <r>
    <s v="Romper Short | 3-6 | Sage Green"/>
  </r>
  <r>
    <s v="Romper Longer | 6-12 | Cream"/>
  </r>
  <r>
    <s v="Romper Longer | 0-3 | Cream"/>
  </r>
  <r>
    <s v="Romper Longer | 0-3 | Dusty Pink"/>
  </r>
  <r>
    <s v="Romper Longer | 6-12 | Cream"/>
  </r>
  <r>
    <s v="Romper Short | 12-18 | Cream"/>
  </r>
  <r>
    <s v="Romper Short | 6-12 | Cream"/>
  </r>
  <r>
    <s v="Romper Short | 6-12 | Cream"/>
  </r>
  <r>
    <s v="Romper Short | 6-12 | Forest Green"/>
  </r>
  <r>
    <s v="Romper Longer | 3-6 | Caldet Blue"/>
  </r>
  <r>
    <s v="Romper Short | 3-6 | Dusty Pink"/>
  </r>
  <r>
    <s v="Romper Longer | 6-12 | Cream"/>
  </r>
  <r>
    <s v="Romper Longer | 0-3 | Coffee"/>
  </r>
  <r>
    <s v="Romper Longer | 0-3 | Cream"/>
  </r>
  <r>
    <s v="Romper Short | 3-6 | Sage Green"/>
  </r>
  <r>
    <s v="Romper Short | 0-3 | Cream"/>
  </r>
  <r>
    <s v="Romper Short | 6-12 | Cream"/>
  </r>
  <r>
    <s v="Romper Longer | 0-3 | Forest Green"/>
  </r>
  <r>
    <s v="Romper Longer | 12-18 | Dusty Pink"/>
  </r>
  <r>
    <s v="Romper Short | 3-6 | Cream"/>
  </r>
  <r>
    <s v="Romper Longer | 0-3 | Coffee"/>
  </r>
  <r>
    <s v="Romper Short | 3-6 | Coffee"/>
  </r>
  <r>
    <s v="Romper Longer | 3-6 | Watermelon"/>
  </r>
  <r>
    <s v="Romper Short | 0-3 | Dusty Pink"/>
  </r>
  <r>
    <s v="Romper Longer | 0-3 | Cream"/>
  </r>
  <r>
    <s v="Romper Longer | 3-6 | Sage Green"/>
  </r>
  <r>
    <s v="Romper Short | 0-3 | Sage Green"/>
  </r>
  <r>
    <s v="Romper Short | 3-6 | Coffee"/>
  </r>
  <r>
    <s v="Romper Short | 0-3 | Caldet Blue"/>
  </r>
  <r>
    <s v="Romper Longer | 0-3 | Cream"/>
  </r>
  <r>
    <s v="Romper Longer | 0-3 | Cream"/>
  </r>
  <r>
    <s v="Romper Short | 0-3 | Sage Green"/>
  </r>
  <r>
    <s v="Romper Short | 0-3 | Cream"/>
  </r>
  <r>
    <s v="Romper Longer | 0-3 | Cream"/>
  </r>
  <r>
    <s v="Romper Longer | 0-3 | Dusty Pink"/>
  </r>
  <r>
    <s v="Romper Longer | 0-3 | Coffee"/>
  </r>
  <r>
    <s v="Romper Longer | 0-3 | Cream"/>
  </r>
  <r>
    <s v="Romper Longer | 3-6 | Sage Green"/>
  </r>
  <r>
    <s v="Romper Longer | 3-6 | Cream"/>
  </r>
  <r>
    <s v="Romper Longer | 0-3 | Sage Green"/>
  </r>
  <r>
    <s v="Romper Short | 6-12 | Caldet Blue"/>
  </r>
  <r>
    <s v="Romper Short | 3-6 | Sage Green"/>
  </r>
  <r>
    <s v="Romper Short | 6-12 | Cream"/>
  </r>
  <r>
    <s v="Romper Longer | 0-3 | Cream"/>
  </r>
  <r>
    <s v="Romper Longer | 0-3 | Cream"/>
  </r>
  <r>
    <s v="Romper Longer | 0-3 | Sage Green"/>
  </r>
  <r>
    <s v="Romper Short | 6-12 | Watermelon"/>
  </r>
  <r>
    <s v="Romper Longer | 6-12 | Salmon"/>
  </r>
  <r>
    <s v="Romper Longer | 6-12 | Cream"/>
  </r>
  <r>
    <s v="Romper Longer | 0-3 | White"/>
  </r>
  <r>
    <s v="Romper Short | 3-6 | Salmon"/>
  </r>
  <r>
    <s v="Romper Short | 3-6 | Cream"/>
  </r>
  <r>
    <s v="Romper Longer | 0-3 | Sage Green"/>
  </r>
  <r>
    <s v="Romper Short | 3-6 | Forest Green"/>
  </r>
  <r>
    <s v="Romper Short | 0-3 | Cream"/>
  </r>
  <r>
    <s v="Romper Short | 3-6 | Cream"/>
  </r>
  <r>
    <s v="Romper Longer | 3-6 | Cream"/>
  </r>
  <r>
    <s v="Romper Longer | 6-12 | Cream"/>
  </r>
  <r>
    <s v="Romper Short | 3-6 | Cream"/>
  </r>
  <r>
    <s v="Romper Longer | 3-6 | Cream"/>
  </r>
  <r>
    <s v="Romper Longer | 3-6 | Caldet Blue"/>
  </r>
  <r>
    <s v="Romper Short | 0-3 | Cream"/>
  </r>
  <r>
    <s v="Romper Short | 3-6 | Cream"/>
  </r>
  <r>
    <s v="Romper Longer | 3-6 | Coffee"/>
  </r>
  <r>
    <s v="Romper Longer | 3-6 | Cream"/>
  </r>
  <r>
    <s v="Romper Longer | 3-6 | Cream"/>
  </r>
  <r>
    <s v="Romper Longer | 3-6 | Watermelon"/>
  </r>
  <r>
    <s v="Romper Longer | 6-12 | Cream"/>
  </r>
  <r>
    <s v="Romper Longer | 3-6 | Cream"/>
  </r>
  <r>
    <s v="Romper Longer | 3-6 | Coffee"/>
  </r>
  <r>
    <s v="Romper Short | 6-12 | Dusty Pink"/>
  </r>
  <r>
    <s v="Romper Short | 3-6 | Salmon"/>
  </r>
  <r>
    <s v="Romper Short | 0-3 | Sage Green"/>
  </r>
  <r>
    <s v="Romper Short | 3-6 | Cream"/>
  </r>
  <r>
    <s v="Romper Short | 3-6 | Caldet Blue"/>
  </r>
  <r>
    <s v="Romper Short | 3-6 | Cream"/>
  </r>
  <r>
    <s v="Romper Longer | 3-6 | Cream"/>
  </r>
  <r>
    <s v="Romper Longer | 3-6 | Forest Green"/>
  </r>
  <r>
    <s v="Romper Longer | 0-3 | Cream"/>
  </r>
  <r>
    <s v="Romper Longer | 0-3 | Cream"/>
  </r>
  <r>
    <s v="Romper Short | 3-6 | Sage Green"/>
  </r>
  <r>
    <s v="Romper Longer | 0-3 | Cream"/>
  </r>
  <r>
    <s v="Romper Short | 0-3 | Dusty Pink"/>
  </r>
  <r>
    <s v="Romper Longer | 3-6 | Cream"/>
  </r>
  <r>
    <s v="Romper Short | 0-3 | Dusty Pink"/>
  </r>
  <r>
    <s v="Romper Longer | 3-6 | Forest Green"/>
  </r>
  <r>
    <s v="Romper Short | 0-3 | Cream"/>
  </r>
  <r>
    <s v="Romper Longer | 3-6 | White"/>
  </r>
  <r>
    <s v="Romper Short | 3-6 | Cream"/>
  </r>
  <r>
    <s v="Romper Longer | 0-3 | Cream"/>
  </r>
  <r>
    <s v="Romper Longer | 0-3 | Cream"/>
  </r>
  <r>
    <s v="Romper Longer | 3-6 | Cream"/>
  </r>
  <r>
    <s v="Romper Longer | 6-12 | Forest Green"/>
  </r>
  <r>
    <s v="Romper Longer | 0-3 | Cream"/>
  </r>
  <r>
    <s v="Romper Longer | 0-3 | Coffee"/>
  </r>
  <r>
    <s v="Romper Longer | 3-6 | Cream"/>
  </r>
  <r>
    <s v="Romper Short | 0-3 | Dusty Pink"/>
  </r>
  <r>
    <s v="Romper Longer | 6-12 | Sage Green"/>
  </r>
  <r>
    <s v="Romper Longer | 6-12 | Caldet Blue"/>
  </r>
  <r>
    <s v="Romper Short | 0-3 | Sage Green"/>
  </r>
  <r>
    <s v="Romper Longer | 3-6 | Sage Green"/>
  </r>
  <r>
    <s v="Romper Short | 3-6 | Caldet Blue"/>
  </r>
  <r>
    <s v="Romper Longer | 6-12 | Salmon"/>
  </r>
  <r>
    <s v="Romper Longer | 3-6 | Cream"/>
  </r>
  <r>
    <s v="Romper Longer | 3-6 | Sage Green"/>
  </r>
  <r>
    <s v="Romper Longer | 6-12 | Sage Green"/>
  </r>
  <r>
    <s v="Romper Short | 0-3 | Mauve Taupe"/>
  </r>
  <r>
    <s v="Romper Short | 0-3 | Cream"/>
  </r>
  <r>
    <s v="Romper Short | 0-3 | Cream"/>
  </r>
  <r>
    <s v="Romper Longer | 0-3 | Cream"/>
  </r>
  <r>
    <s v="Romper Short | 0-3 | Sage Green"/>
  </r>
  <r>
    <s v="Romper Longer | 0-3 | Cream"/>
  </r>
  <r>
    <s v="Romper Longer | 6-12 | Cream"/>
  </r>
  <r>
    <s v="Romper Short | 3-6 | Forest Green"/>
  </r>
  <r>
    <s v="Romper Longer | 0-3 | Sage Green"/>
  </r>
  <r>
    <s v="Romper Short | 0-3 | Sage Green"/>
  </r>
  <r>
    <s v="Romper Longer | 0-3 | Cream"/>
  </r>
  <r>
    <s v="Romper Longer | 3-6 | Cream"/>
  </r>
  <r>
    <s v="Romper Longer | 1 6-12 | Dusty Pink"/>
  </r>
  <r>
    <s v="Romper Longer | 0-3 | Coffee"/>
  </r>
  <r>
    <s v="Romper Short | 18-24 | White"/>
  </r>
  <r>
    <s v="Romper Short | 6-12 | Sage Green"/>
  </r>
  <r>
    <s v="Romper Longer | 0-3 | Cream"/>
  </r>
  <r>
    <s v="Romper Longer | 6-12 | Dusty Pink"/>
  </r>
  <r>
    <s v="Romper Longer | 12-18 | Watermelon"/>
  </r>
  <r>
    <s v="Romper Short | 3-6 | Cream"/>
  </r>
  <r>
    <s v="Romper Longer | 3-6 | Cream"/>
  </r>
  <r>
    <s v="Romper Longer | 0-3 | Cream"/>
  </r>
  <r>
    <s v="Romper Longer | 0-3 | Cream"/>
  </r>
  <r>
    <s v="Romper Short | 6-12 | Caldet Blue"/>
  </r>
  <r>
    <s v="Romper Longer | 6-12 | Cream"/>
  </r>
  <r>
    <s v="Romper Longer | 12-18 | Forest Green"/>
  </r>
  <r>
    <s v="Romper Short | 12-18 | Cream"/>
  </r>
  <r>
    <s v="Romper Short | 3-6 | Cream"/>
  </r>
  <r>
    <s v="Romper Longer | 0-3 | Cream"/>
  </r>
  <r>
    <s v="Romper Short | 6-12 | Dusty Pink"/>
  </r>
  <r>
    <s v="Romper Longer | 0-3 | Sage Green"/>
  </r>
  <r>
    <s v="Romper Short | 0-3 | Cream"/>
  </r>
  <r>
    <s v="Romper Short | 3-6 | Forest Green"/>
  </r>
  <r>
    <s v="Romper Short | 3-6 | Forest Green"/>
  </r>
  <r>
    <s v="Romper Short | 12-18 | Cream"/>
  </r>
  <r>
    <s v="Romper Short | 6-12 | Cream"/>
  </r>
  <r>
    <s v="Romper Longer | 0-3 | Cream"/>
  </r>
  <r>
    <s v="Romper Longer | 12-18 | Coffee"/>
  </r>
  <r>
    <s v="Romper Longer | 0-3 | Sage Green"/>
  </r>
  <r>
    <s v="Romper Longer | 0-3 | Watermelon"/>
  </r>
  <r>
    <s v="Romper Short | 3-6 | Sage Green"/>
  </r>
  <r>
    <s v="Romper Short | 0-3 | Cream"/>
  </r>
  <r>
    <s v="Romper Longer | 0-3 | Cream"/>
  </r>
  <r>
    <s v="Romper Longer | 3-6 | Cream"/>
  </r>
  <r>
    <s v="Romper Longer | 6-12 | Watermelon"/>
  </r>
  <r>
    <s v="Romper Longer | 18-24 | Coffee"/>
  </r>
  <r>
    <s v="Romper Longer | 3-6 | Cream"/>
  </r>
  <r>
    <s v="Romper Short | 3-6 | Cream"/>
  </r>
  <r>
    <s v="Romper Longer | 0-3 | Cream"/>
  </r>
  <r>
    <s v="Romper Longer | 3-6 | Forest Green"/>
  </r>
  <r>
    <s v="Romper Longer | 3-6 | Sage Green"/>
  </r>
  <r>
    <s v="Romper Short | 12-18 | Sage Green"/>
  </r>
  <r>
    <s v="Romper Longer | 0-3 | Sage Green"/>
  </r>
  <r>
    <s v="Romper Longer | 6-12 | Sage Green"/>
  </r>
  <r>
    <s v="Romper Short | 12-18 | Caldet Blue"/>
  </r>
  <r>
    <s v="Romper Short | 12-18 | Forest Green"/>
  </r>
  <r>
    <s v="Romper Short | 12-18 | Texas Orange"/>
  </r>
  <r>
    <s v="Romper Longer | 6-12 | Dusty Pink"/>
  </r>
  <r>
    <s v="Romper Longer | 3-6 | Sage Green"/>
  </r>
  <r>
    <s v="Romper Short | 3-6 | Sage Green"/>
  </r>
  <r>
    <s v="Romper Short | 3-6 | Salmon"/>
  </r>
  <r>
    <s v="Romper Longer | 0-3 | Coffee"/>
  </r>
  <r>
    <s v="Romper Short | 3-6 | White"/>
  </r>
  <r>
    <s v="Romper Short | 0-3 | Cream"/>
  </r>
  <r>
    <s v="Romper Longer | 0-3 | Sage Green"/>
  </r>
  <r>
    <s v="Romper Longer | 0-3 | Caldet Blue"/>
  </r>
  <r>
    <s v="Romper Short | 0-3 | Watermelon"/>
  </r>
  <r>
    <s v="Romper Short | 0-3 | White"/>
  </r>
  <r>
    <s v="Romper Short | 3-6 | Cream"/>
  </r>
  <r>
    <s v="Romper Short | 3-6 | Sage Green"/>
  </r>
  <r>
    <s v="Romper Short | 6-12 | Caldet Blue"/>
  </r>
  <r>
    <s v="Romper Longer | 0-3 | White"/>
  </r>
  <r>
    <s v="Romper Short | 3-6 | Coffee"/>
  </r>
  <r>
    <s v="Romper Longer | 12-18 | Sage Green"/>
  </r>
  <r>
    <s v="Romper Short | 3-6 | Cream"/>
  </r>
  <r>
    <s v="Romper Short | 6-12 | Coffee"/>
  </r>
  <r>
    <s v="Romper Short | 6-12 | Cream"/>
  </r>
  <r>
    <s v="Romper Longer | 3-6 | Cream"/>
  </r>
  <r>
    <s v="Romper Longer | 3-6 | Sage Green"/>
  </r>
  <r>
    <s v="Romper Longer | 6-12 | Sage Green"/>
  </r>
  <r>
    <s v="Romper Longer | 3-6 | Sage Green"/>
  </r>
  <r>
    <s v="Romper Short | 6-12 | Caldet Blue"/>
  </r>
  <r>
    <s v="Romper Short | 12-18 | Caldet Blue"/>
  </r>
  <r>
    <s v="Romper Longer | 0-3 | Sage Green"/>
  </r>
  <r>
    <s v="Romper Short | 3-6 | Forest Green"/>
  </r>
  <r>
    <s v="Romper Short | 0-3 | Cream"/>
  </r>
  <r>
    <s v="Romper Longer | 0-3 | Sage Green"/>
  </r>
  <r>
    <s v="Romper Short | 6-12 | Cream"/>
  </r>
  <r>
    <s v="Romper Short | 12-18 | Forest Green"/>
  </r>
  <r>
    <s v="Romper Longer | 3-6 | Texas Orange"/>
  </r>
  <r>
    <s v="Romper Longer | 3-6 | Cream"/>
  </r>
  <r>
    <s v="Romper Short | 3-6 | Forest Green"/>
  </r>
  <r>
    <s v="Romper Longer | 3-6 | Cream"/>
  </r>
  <r>
    <s v="Romper Longer | 6-12 | Forest Green"/>
  </r>
  <r>
    <s v="Romper Longer | 3-6 | Salmon"/>
  </r>
  <r>
    <s v="Romper Longer | 0-3 | Texas Orange"/>
  </r>
  <r>
    <s v="Romper Short | 12-18 | Caldet Blue"/>
  </r>
  <r>
    <s v="Romper Short | 3-6 | Coffee"/>
  </r>
  <r>
    <s v="Romper Short | 3-6 | Caldet Blue"/>
  </r>
  <r>
    <s v="Romper Longer | 3-6 | Texas Orange"/>
  </r>
  <r>
    <s v="Romper Short | 0-3 | Cream"/>
  </r>
  <r>
    <s v="Romper Longer | 3-6 | Sage Green"/>
  </r>
  <r>
    <s v="Romper Longer | 0-3 | Dusty Pink"/>
  </r>
  <r>
    <s v="Romper Short | 3-6 | Dusty Pink"/>
  </r>
  <r>
    <s v="Romper Short | 6-12 | Cream"/>
  </r>
  <r>
    <s v="Romper Longer | 0-3 | Texas Orange"/>
  </r>
  <r>
    <s v="Romper Longer | 0-3 | Cream"/>
  </r>
  <r>
    <s v="Romper Short | 0-3 | Forest Green"/>
  </r>
  <r>
    <s v="Romper Short | 3-6 | Cream"/>
  </r>
  <r>
    <s v="Romper Longer | 3-6 | Sage Green"/>
  </r>
  <r>
    <s v="Romper Short | 6-12 | Cream"/>
  </r>
  <r>
    <s v="Romper Longer | 3-6 | Cream"/>
  </r>
  <r>
    <s v="Romper Longer | 6-12 | Cream"/>
  </r>
  <r>
    <s v="Romper Short | 0-3 | Watermelon"/>
  </r>
  <r>
    <s v="Romper Short | 0-3 | Dusty Pink"/>
  </r>
  <r>
    <s v="Romper Longer | 6-12 | Dusty Pink"/>
  </r>
  <r>
    <s v="Romper Short | 0-3 | Cream"/>
  </r>
  <r>
    <s v="Romper Longer | 0-3 | Watermelon"/>
  </r>
  <r>
    <s v="Romper Short | 0-3 | Cream"/>
  </r>
  <r>
    <s v="Romper Short | 0-3 | Cream"/>
  </r>
  <r>
    <s v="Romper Longer | 3-6 | Caldet Blue"/>
  </r>
  <r>
    <s v="Romper Longer | 3-6 | Sage Green"/>
  </r>
  <r>
    <s v="Romper Short | 3-6 | Cream"/>
  </r>
  <r>
    <s v="Romper Longer | 3-6 | Cream"/>
  </r>
  <r>
    <s v="Romper Longer | 0-3 | Salmon"/>
  </r>
  <r>
    <s v="Romper Longer | 0-3 | Dusty Pink"/>
  </r>
  <r>
    <s v="Romper Short | 0-3 | Caldet Blue"/>
  </r>
  <r>
    <s v="Romper Longer | 0-3 | Sage Green"/>
  </r>
  <r>
    <s v="Romper Short | 18-24 | Cream"/>
  </r>
  <r>
    <s v="Romper Short | 0-3 | Cream"/>
  </r>
  <r>
    <s v="Romper Short | 0-3 | Caldet Blue"/>
  </r>
  <r>
    <s v="Romper Short | 12-18 | Caldet Blue"/>
  </r>
  <r>
    <s v="Romper Short | 0-3 | Cream"/>
  </r>
  <r>
    <s v="Romper Longer | 6-12 | Cream"/>
  </r>
  <r>
    <s v="Romper Short | 3-6 | Cream"/>
  </r>
  <r>
    <s v="Romper Longer | 6-12 | Mauve Taupe"/>
  </r>
  <r>
    <s v="Romper Longer | 6-12 | Coffee"/>
  </r>
  <r>
    <s v="Romper Longer | 6-12 | Cream"/>
  </r>
  <r>
    <s v="Romper Short | 3-6 | Dusty Pink"/>
  </r>
  <r>
    <s v="Romper Short | 3-6 | Cream"/>
  </r>
  <r>
    <s v="Romper Longer | 0-3 | Coffee"/>
  </r>
  <r>
    <s v="Romper Longer | 3-6 | Cream"/>
  </r>
  <r>
    <s v="Romper Short | 3-6 | Dusty Pink"/>
  </r>
  <r>
    <s v="Romper Longer | 3-6 | Sage Green"/>
  </r>
  <r>
    <s v="Romper Longer | 3-6 | Cream"/>
  </r>
  <r>
    <s v="Romper Longer | 6-12 | Cream"/>
  </r>
  <r>
    <s v="Romper Longer | 0-3 | Dusty Pink"/>
  </r>
  <r>
    <s v="Romper Short | 3-6 | Watermelon"/>
  </r>
  <r>
    <s v="Romper Longer | 3-6 | Cream"/>
  </r>
  <r>
    <s v="Romper Longer | 3-6 | Mauve Taupe"/>
  </r>
  <r>
    <s v="Romper Longer | 3-6 | Dusty Pink"/>
  </r>
  <r>
    <s v="Romper Short | 3-6 | Sage Green"/>
  </r>
  <r>
    <s v="Romper Longer | 6-12 | Cream"/>
  </r>
  <r>
    <s v="Romper Short | 3-6 | Salmon"/>
  </r>
  <r>
    <s v="Romper Longer | 6-12 | Texas Orange"/>
  </r>
  <r>
    <s v="Romper Longer | 3-6 | Forest Green"/>
  </r>
  <r>
    <s v="Romper Longer | 3-6 | Cream"/>
  </r>
  <r>
    <s v="Romper Longer | 3-6 | Cream"/>
  </r>
  <r>
    <s v="Romper Longer | 3-6 | Watermelon"/>
  </r>
  <r>
    <s v="Romper Short | 0-3 | Cream"/>
  </r>
  <r>
    <s v="Romper Short | 6-12 | Caldet Blue"/>
  </r>
  <r>
    <s v="Romper Short | 6-12 | Cream"/>
  </r>
  <r>
    <s v="Romper Short | 6-12 | Dusty Pink"/>
  </r>
  <r>
    <s v="Romper Longer | 6-12 | Cream"/>
  </r>
  <r>
    <s v="Romper Short | 6-12 | Sage Green"/>
  </r>
  <r>
    <s v="Romper Longer | 3-6 | Dusty Pink"/>
  </r>
  <r>
    <s v="Romper Short | 6-12 | Cream"/>
  </r>
  <r>
    <s v="Romper Short | 6-12 | White"/>
  </r>
  <r>
    <s v="Romper Short | 12-18 | Cream"/>
  </r>
  <r>
    <s v="Romper Longer | 3-6 | Sage Green"/>
  </r>
  <r>
    <s v="Romper Short | 6-12 | White"/>
  </r>
  <r>
    <s v="Romper Longer | 3-6 | Sage Green"/>
  </r>
  <r>
    <s v="Romper Longer | 3-6 | Caldet Blue"/>
  </r>
  <r>
    <s v="Romper Longer | 3-6 | Cream"/>
  </r>
  <r>
    <s v="Romper Longer | 3-6 | Cream"/>
  </r>
  <r>
    <s v="Romper Longer | 6-12 | Cream"/>
  </r>
  <r>
    <s v="Romper Short | 3-6 | Cream"/>
  </r>
  <r>
    <s v="Romper Longer | 3-6 | Watermelon"/>
  </r>
  <r>
    <s v="Romper Short | 12-18 | Caldet Blue"/>
  </r>
  <r>
    <s v="Romper Longer | 0-3 | Cream"/>
  </r>
  <r>
    <s v="Romper Longer | 0-3 | Cream"/>
  </r>
  <r>
    <s v="Romper Short | 0-3 | White"/>
  </r>
  <r>
    <s v="Romper Longer | 3-6 | Cream"/>
  </r>
  <r>
    <s v="Romper Longer | 3-6 | Sage Green"/>
  </r>
  <r>
    <s v="Romper Short | 6-12 | Cream"/>
  </r>
  <r>
    <s v="Romper Longer | 6-12 | Forest Green"/>
  </r>
  <r>
    <s v="Romper Longer | 6-12 | Cream"/>
  </r>
  <r>
    <s v="Romper Longer | 3-6 | Cream"/>
  </r>
  <r>
    <s v="Romper Longer | 0-3 | Cream"/>
  </r>
  <r>
    <s v="Romper Short | 6-12 | Forest Green"/>
  </r>
  <r>
    <s v="Romper Longer | 3-6 | Mauve Taupe"/>
  </r>
  <r>
    <s v="Romper Short | 12-18 | White"/>
  </r>
  <r>
    <s v="Romper Short | 0-3 | Cream"/>
  </r>
  <r>
    <s v="Romper Longer | 0-3 | Cream"/>
  </r>
  <r>
    <s v="Romper Longer | 0-3 | Sage Green"/>
  </r>
  <r>
    <s v="Romper Short | 0-3 | Cream"/>
  </r>
  <r>
    <s v="Romper Short | 3-6 | White"/>
  </r>
  <r>
    <s v="Romper Short | 3-6 | Cream"/>
  </r>
  <r>
    <s v="Romper Longer | 6-12 | Dusty Pink"/>
  </r>
  <r>
    <s v="Romper Longer | 3-6 | Forest Green"/>
  </r>
  <r>
    <s v="Romper Short | 6-12 | Cream"/>
  </r>
  <r>
    <s v="Romper Longer | 3-6 | Cream"/>
  </r>
  <r>
    <s v="Romper Short | 18-24 | Cream"/>
  </r>
  <r>
    <s v="Romper Short | 6-12 | Dusty Pink"/>
  </r>
  <r>
    <s v="Romper Short | 0-3 | Cream"/>
  </r>
  <r>
    <s v="Romper Short | 3-6 | Cream"/>
  </r>
  <r>
    <s v="Romper Longer | 6-12 | Cream"/>
  </r>
  <r>
    <s v="Romper Longer | 0-3 | White"/>
  </r>
  <r>
    <s v="Romper Short | 0-3 | White"/>
  </r>
  <r>
    <s v="Romper Short | 6-12 | Cream"/>
  </r>
  <r>
    <s v="Romper Short | 6-12 | Dusty Pink"/>
  </r>
  <r>
    <s v="Romper Longer | 12-18 | Cream"/>
  </r>
  <r>
    <s v="Romper Longer | 0-3 | Sage Green"/>
  </r>
  <r>
    <s v="Romper Longer | 6-12 | Watermelon"/>
  </r>
  <r>
    <s v="Romper Longer | 3-6 | Cream"/>
  </r>
  <r>
    <s v="Romper Longer | 0-3 | Cream"/>
  </r>
  <r>
    <s v="Romper Short | 6-12 | Cream"/>
  </r>
  <r>
    <s v="Romper Longer | 6-12 | Sage Green"/>
  </r>
  <r>
    <s v="Romper Longer | 0-3 | Cream"/>
  </r>
  <r>
    <s v="Romper Longer | 0-3 | Sage Green"/>
  </r>
  <r>
    <s v="Romper Short | 0-3 | Caldet Blue"/>
  </r>
  <r>
    <s v="Romper Longer | 12-18 | Cream"/>
  </r>
  <r>
    <s v="Romper Longer | 0-3 | Caldet Blue"/>
  </r>
  <r>
    <s v="Romper Short | 3-6 | Sage Green"/>
  </r>
  <r>
    <s v="Romper Short | 0-3 | Caldet Blue"/>
  </r>
  <r>
    <s v="Romper Longer | 3-6 | Cream"/>
  </r>
  <r>
    <s v="Romper Short | 0-3 | Watermelon"/>
  </r>
  <r>
    <s v="Romper Longer | 3-6 | Cream"/>
  </r>
  <r>
    <s v="Romper Longer | 6-12 | Caldet Blue"/>
  </r>
  <r>
    <s v="Romper Longer | 3-6 | Cream"/>
  </r>
  <r>
    <s v="Romper Longer | 3-6 | Caldet Blue"/>
  </r>
  <r>
    <s v="Bodysuit | 0-3 | Light Blue"/>
  </r>
  <r>
    <s v="Bodysuit | 0-3 | Cream"/>
  </r>
  <r>
    <s v="Bodysuit | 3-6 | Cream"/>
  </r>
  <r>
    <s v="Bodysuit | 0-3 | Cream"/>
  </r>
  <r>
    <s v="Bodysuit | 0-3 | Cream"/>
  </r>
  <r>
    <s v="Bodysuit | 0-3 | Cream"/>
  </r>
  <r>
    <s v="Bodysuit | 0-3 | Light Blue"/>
  </r>
  <r>
    <s v="Bodysuit | 3-6 | Light Pink"/>
  </r>
  <r>
    <s v="Bodysuit | 0-3 | Light Blue"/>
  </r>
  <r>
    <s v="Bodysuit | 3-6 | Light Blue"/>
  </r>
  <r>
    <s v="Bodysuit | 0-3 | Cream"/>
  </r>
  <r>
    <s v="Bodysuit | 0-3 | Light Pink"/>
  </r>
  <r>
    <s v="Bodysuit | 3-6 | Light Pink"/>
  </r>
  <r>
    <s v="Bodysuit | 0-3 | Light Pink"/>
  </r>
  <r>
    <s v="Bodysuit | 0-3 | Cream"/>
  </r>
  <r>
    <s v="Bodysuit | 3-6 | Light Blue"/>
  </r>
  <r>
    <s v="Bodysuit | 0-3 | Cream"/>
  </r>
  <r>
    <s v="Bodysuit | 0-3 | Cream"/>
  </r>
  <r>
    <s v="Bodysuit | 3-6 | Cream"/>
  </r>
  <r>
    <s v="Bodysuit | 3-6 | Cream"/>
  </r>
  <r>
    <s v="Bodysuit | 3-6 | Light Pink"/>
  </r>
  <r>
    <s v="Bodysuit | 3-6 | Light Blue"/>
  </r>
  <r>
    <s v="Bodysuit | 0-3 | Cream"/>
  </r>
  <r>
    <s v="Bodysuit | 0-3 | Light Blue"/>
  </r>
  <r>
    <s v="Bodysuit | 0-3 | Light Pink"/>
  </r>
  <r>
    <s v="Bodysuit | 0-3 | Cream"/>
  </r>
  <r>
    <s v="Bodysuit | 3-6 | Light Blue"/>
  </r>
  <r>
    <s v="Bodysuit | 0-3 | Light Blue"/>
  </r>
  <r>
    <s v="Bodysuit | 3-6 | Cream"/>
  </r>
  <r>
    <s v="Bodysuit | 0-3 | Light Blue"/>
  </r>
  <r>
    <s v="Bodysuit | 3-6 | Light Pink"/>
  </r>
  <r>
    <s v="Bodysuit | 0-3 | Cream"/>
  </r>
  <r>
    <s v="Bodysuit | 3-6 | Cream"/>
  </r>
  <r>
    <s v="Bodysuit | 3-6 | Cream"/>
  </r>
  <r>
    <s v="Bodysuit | 3-6 | Cream"/>
  </r>
  <r>
    <s v="Bodysuit | 0-3 | Cream"/>
  </r>
  <r>
    <s v="Bodysuit | 3-6 | Cream"/>
  </r>
  <r>
    <s v="Bodysuit | 3-6 | Cream"/>
  </r>
  <r>
    <s v="Bodysuit | 3-6 | Light Pink"/>
  </r>
  <r>
    <s v="Bodysuit | 3-6 | Cream"/>
  </r>
  <r>
    <s v="Bodysuit | 3-6 | Light Pink"/>
  </r>
  <r>
    <s v="Bodysuit | 0-3 | Cream"/>
  </r>
  <r>
    <s v="Bodysuit | 0-3 | Cream"/>
  </r>
  <r>
    <s v="Bodysuit | 3-6 | Cream"/>
  </r>
  <r>
    <s v="Bodysuit | 3-6 | Cream"/>
  </r>
  <r>
    <s v="Bodysuit | 0-3 | Light Pink"/>
  </r>
  <r>
    <s v="Bodysuit | 3-6 | Light Pink"/>
  </r>
  <r>
    <s v="Bodysuit | 0-3 | Cream"/>
  </r>
  <r>
    <s v="Bodysuit | 3-6 | Cream"/>
  </r>
  <r>
    <s v="Bodysuit | 3-6 | Cream"/>
  </r>
  <r>
    <s v="Bodysuit | 3-6 | Light Blue"/>
  </r>
  <r>
    <s v="Bodysuit | 0-3 | Light Blue"/>
  </r>
  <r>
    <s v="Bodysuit | 3-6 | Light Blue"/>
  </r>
  <r>
    <s v="Bodysuit | 3-6 | Light Blue"/>
  </r>
  <r>
    <s v="Bodysuit | 0-3 | Light Pink"/>
  </r>
  <r>
    <s v="Bodysuit | 0-3 | Light Pink"/>
  </r>
  <r>
    <s v="Bodysuit | 0-3 | Light Pink"/>
  </r>
  <r>
    <s v="Bodysuit | 3-6 | Cream"/>
  </r>
  <r>
    <s v="Bodysuit | 0-3 | Cream"/>
  </r>
  <r>
    <s v="Bodysuit | 0-3 | Light Blue"/>
  </r>
  <r>
    <s v="Bodysuit | 3-6 | Light Blue"/>
  </r>
  <r>
    <s v="Bodysuit | 3-6 | Light Blue"/>
  </r>
  <r>
    <s v="Bodysuit | 0-3 | Cream"/>
  </r>
  <r>
    <s v="Bodysuit | 3-6 | Cream"/>
  </r>
  <r>
    <s v="Bodysuit | 3-6 | Cream"/>
  </r>
  <r>
    <s v="Bodysuit | 0-3 | Light Pink"/>
  </r>
  <r>
    <s v="Bodysuit | 3-6 | Cream"/>
  </r>
  <r>
    <s v="Bodysuit | 3-6 | Cream"/>
  </r>
  <r>
    <s v="Bodysuit | 0-3 | Cream"/>
  </r>
  <r>
    <s v="Bodysuit | 0-3 | Cream"/>
  </r>
  <r>
    <s v="Bodysuit | 3-6 | Light Blue"/>
  </r>
  <r>
    <s v="Bodysuit | 3-6 | Cream"/>
  </r>
  <r>
    <s v="Bodysuit | 0-3 | Light Blue"/>
  </r>
  <r>
    <s v="Bodysuit | 3-6 | Cream"/>
  </r>
  <r>
    <s v="Bodysuit | 3-6 | Cream"/>
  </r>
  <r>
    <s v="Bodysuit | 0-3 | Cream"/>
  </r>
  <r>
    <s v="Bodysuit | 0-3 | Cream"/>
  </r>
  <r>
    <s v="Bodysuit | 3-6 | Light Pink"/>
  </r>
  <r>
    <s v="Bodysuit | 3-6 | Cream"/>
  </r>
  <r>
    <s v="Bodysuit | 3-6 | Cream"/>
  </r>
  <r>
    <s v="Bodysuit | 3-6 | Cream"/>
  </r>
  <r>
    <s v="Bodysuit | 3-6 | Cream"/>
  </r>
  <r>
    <s v="Bodysuit | 3-6 | Cream"/>
  </r>
  <r>
    <s v="Bodysuit | 3-6 | Cream"/>
  </r>
  <r>
    <s v="Bodysuit | 3-6 | Light Blue"/>
  </r>
  <r>
    <s v="Bodysuit | 0-3 | Cream"/>
  </r>
  <r>
    <s v="Bodysuit | 0-3 | Light Pink"/>
  </r>
  <r>
    <s v="Bodysuit | 3-6 | Cream"/>
  </r>
  <r>
    <s v="Bodysuit | 3-6 | Cream"/>
  </r>
  <r>
    <s v="Bodysuit | 0-3 | Light Pink"/>
  </r>
  <r>
    <s v="Bodysuit | 0-3 | Light Blue"/>
  </r>
  <r>
    <s v="Bodysuit | 3-6 | Cream"/>
  </r>
  <r>
    <s v="Bodysuit | 3-6 | Cream"/>
  </r>
  <r>
    <s v="Bodysuit | 3-6 | Light Blue"/>
  </r>
  <r>
    <s v="Bodysuit | 0-3 | Light Blue"/>
  </r>
  <r>
    <s v="Bodysuit | 3-6 | Light Pink"/>
  </r>
  <r>
    <s v="Bodysuit | 3-6 | Cream"/>
  </r>
  <r>
    <s v="Bodysuit | 0-3 | Cream"/>
  </r>
  <r>
    <s v="Bodysuit | 3-6 | Light Pink"/>
  </r>
  <r>
    <s v="Bodysuit | 3-6 | Cream"/>
  </r>
  <r>
    <s v="Bodysuit | 0-3 | Light Pink"/>
  </r>
  <r>
    <s v="Bodysuit | 0-3 | Light Blue"/>
  </r>
  <r>
    <s v="Bodysuit | 0-3 | Cream"/>
  </r>
  <r>
    <s v="Bodysuit | 3-6 | Cream"/>
  </r>
  <r>
    <s v="Bodysuit | 0-3 | Cream"/>
  </r>
  <r>
    <s v="Bodysuit | 3-6 | Cream"/>
  </r>
  <r>
    <s v="Bodysuit | 3-6 | Cream"/>
  </r>
  <r>
    <s v="Bodysuit | 3-6 | Cream"/>
  </r>
  <r>
    <s v="Bodysuit | 0-3 | Cream"/>
  </r>
  <r>
    <s v="Bodysuit | 0-3 | Cream"/>
  </r>
  <r>
    <s v="Bodysuit | 3-6 | Light Blue"/>
  </r>
  <r>
    <s v="Bodysuit | 3-6 | Cream"/>
  </r>
  <r>
    <s v="Bodysuit | 0-3 | Cream"/>
  </r>
  <r>
    <s v="Bodysuit | 0-3 | Cream"/>
  </r>
  <r>
    <s v="Bodysuit | 3-6 | Light Blue"/>
  </r>
  <r>
    <s v="Bodysuit | 3-6 | Light Blue"/>
  </r>
  <r>
    <s v="Bodysuit | 3-6 | Light Pink"/>
  </r>
  <r>
    <s v="Bodysuit | 3-6 | Light Pink"/>
  </r>
  <r>
    <s v="Bodysuit | 0-3 | Cream"/>
  </r>
  <r>
    <s v="Bodysuit | 3-6 | Light Blue"/>
  </r>
  <r>
    <s v="Bodysuit | 3-6 | Light Blue"/>
  </r>
  <r>
    <s v="Bodysuit | 0-3 | Cream"/>
  </r>
  <r>
    <s v="Bodysuit | 0-3 | Cream"/>
  </r>
  <r>
    <s v="Bodysuit | 3-6 | Light Blue"/>
  </r>
  <r>
    <s v="Bodysuit | 3-6 | Cream"/>
  </r>
  <r>
    <s v="Bodysuit | 0-3 | Cream"/>
  </r>
  <r>
    <s v="Bodysuit | 3-6 | Cream"/>
  </r>
  <r>
    <s v="Bodysuit | 3-6 | Cream"/>
  </r>
  <r>
    <s v="Bodysuit | 3-6 | Light Blue"/>
  </r>
  <r>
    <s v="Bodysuit | 0-3 | Light Blue"/>
  </r>
  <r>
    <s v="Bodysuit | 0-3 | Cream"/>
  </r>
  <r>
    <s v="Bodysuit | 3-6 | Light Pink"/>
  </r>
  <r>
    <s v="Bodysuit | 3-6 | Cream"/>
  </r>
  <r>
    <s v="Bodysuit | 0-3 | Cream"/>
  </r>
  <r>
    <s v="Bodysuit | 3-6 | Cream"/>
  </r>
  <r>
    <s v="Bodysuit | 0-3 | Light Blue"/>
  </r>
  <r>
    <s v="Bodysuit | 3-6 | Cream"/>
  </r>
  <r>
    <s v="Bodysuit | 3-6 | Light Pink"/>
  </r>
  <r>
    <s v="Romper Short | 6-12 | Caldet Blue"/>
  </r>
  <r>
    <s v="Romper Longer | 3-6 | Salmon"/>
  </r>
  <r>
    <s v="Romper Short | 12-18 | Cream"/>
  </r>
  <r>
    <s v="Romper Short | 0-3 | Cream"/>
  </r>
  <r>
    <s v="Romper Longer | 6-12 | Caldet Blue"/>
  </r>
  <r>
    <s v="Romper Short | 0-3 | White"/>
  </r>
  <r>
    <s v="Romper Short | 0-3 | Caldet Blue"/>
  </r>
  <r>
    <s v="Romper Short | 0-3 | Forest Green"/>
  </r>
  <r>
    <s v="Romper Short | 3-6 | Caldet Blue"/>
  </r>
  <r>
    <s v="Romper Short | 3-6 | White"/>
  </r>
  <r>
    <s v="Romper Longer | 3-6 | Cream"/>
  </r>
  <r>
    <s v="Romper Longer | 0-3 | Cream"/>
  </r>
  <r>
    <s v="Romper Longer | 0-3 | Cream"/>
  </r>
  <r>
    <s v="Romper Longer | 0-3 | Texas Orange"/>
  </r>
  <r>
    <s v="Romper Longer | 3-6 | Sage Green"/>
  </r>
  <r>
    <s v="Romper Longer | 3-6 | White"/>
  </r>
  <r>
    <s v="Romper Short | 0-3 | Cream"/>
  </r>
  <r>
    <s v="Romper Longer | 0-3 | Cream"/>
  </r>
  <r>
    <s v="Romper Short | 3-6 | Cream"/>
  </r>
  <r>
    <s v="Romper Longer | 6-12 | Cream"/>
  </r>
  <r>
    <s v="Romper Longer | 0-3 | Cream"/>
  </r>
  <r>
    <s v="Romper Longer | 3-6 | White"/>
  </r>
  <r>
    <s v="Romper Longer | 3-6 | Cream"/>
  </r>
  <r>
    <s v="Romper Longer | 18-24 | Cream"/>
  </r>
  <r>
    <s v="Romper Short | 6-12 | Caldet Blue"/>
  </r>
  <r>
    <s v="Romper Longer | 3-6 | Cream"/>
  </r>
  <r>
    <s v="Romper Longer | 3-6 | Dusty Pink"/>
  </r>
  <r>
    <s v="Romper Short | 3-6 | White"/>
  </r>
  <r>
    <s v="Romper Short | 0-3 | Cream"/>
  </r>
  <r>
    <s v="Romper Longer | 0-3 | Cream"/>
  </r>
  <r>
    <s v="Romper Short | 6-12 | Cream"/>
  </r>
  <r>
    <s v="Romper Longer | 6-12 | Cream"/>
  </r>
  <r>
    <s v="Romper Short | 6-12 | Cream"/>
  </r>
  <r>
    <s v="Romper Longer | 3-6 | Dusty Pink"/>
  </r>
  <r>
    <s v="Romper Short | 3-6 | Cream"/>
  </r>
  <r>
    <s v="Romper Longer | 3-6 | Cream"/>
  </r>
  <r>
    <s v="Romper Short | 12-18 | Caldet Blue"/>
  </r>
  <r>
    <s v="Romper Longer | 6-12 | Caldet Blue"/>
  </r>
  <r>
    <s v="Romper Longer | 6-12 | Sage Green"/>
  </r>
  <r>
    <s v="Romper Short | 3-6 | Cream"/>
  </r>
  <r>
    <s v="Romper Short | 0-3 | Cream"/>
  </r>
  <r>
    <s v="Romper Short | 3-6 | Caldet Blue"/>
  </r>
  <r>
    <s v="Romper Longer | 3-6 | Caldet Blue"/>
  </r>
  <r>
    <s v="Romper Short | 3-6 | Caldet Blue"/>
  </r>
  <r>
    <s v="Romper Short | 6-12 | Watermelon"/>
  </r>
  <r>
    <s v="Romper Longer | 3-6 | Cream"/>
  </r>
  <r>
    <s v="Romper Short | 0-3 | Cream"/>
  </r>
  <r>
    <s v="Romper Longer | 3-6 | Dusty Pink"/>
  </r>
  <r>
    <s v="Romper Short | 0-3 | Salmon"/>
  </r>
  <r>
    <s v="Romper Short | 6-12 | Cream"/>
  </r>
  <r>
    <s v="Romper Short | 6-12 | Cream"/>
  </r>
  <r>
    <s v="Romper Short | 6-12 | Caldet Blue"/>
  </r>
  <r>
    <s v="Romper Longer | 3-6 | Forest Green"/>
  </r>
  <r>
    <s v="Romper Longer | 0-3 | Dusty Pink"/>
  </r>
  <r>
    <s v="Romper Longer | 0-3 | Cream"/>
  </r>
  <r>
    <s v="Romper Short | 6-12 | Cream"/>
  </r>
  <r>
    <s v="Romper Short | 6-12 | Cream"/>
  </r>
  <r>
    <s v="Romper Short | 6-12 | Watermelon"/>
  </r>
  <r>
    <s v="Romper Short | 0-3 | Caldet Blue"/>
  </r>
  <r>
    <s v="Romper Longer | 0-3 | Watermelon"/>
  </r>
  <r>
    <s v="Romper Longer | 6-12 | White"/>
  </r>
  <r>
    <s v="Romper Short | 6-12 | Cream"/>
  </r>
  <r>
    <s v="Romper Short | 0-3 | Cream"/>
  </r>
  <r>
    <s v="Romper Short | 3-6 | Cream"/>
  </r>
  <r>
    <s v="Romper Short | 3-6 | Dusty Pink"/>
  </r>
  <r>
    <s v="Romper Longer | 0-3 | Cream"/>
  </r>
  <r>
    <s v="Romper Longer | 18-24 | White"/>
  </r>
  <r>
    <s v="Romper Longer | 0-3 | Dusty Pink"/>
  </r>
  <r>
    <s v="Romper Short | 3-6 | Salmon"/>
  </r>
  <r>
    <s v="Romper Short | 3-6 | White"/>
  </r>
  <r>
    <s v="Romper Short | 3-6 | Cream"/>
  </r>
  <r>
    <s v="Romper Longer | 3-6 | Coffee"/>
  </r>
  <r>
    <s v="Romper Longer | 12-18 | White"/>
  </r>
  <r>
    <s v="Romper Longer | 6-12 | White"/>
  </r>
  <r>
    <s v="Romper Short | 0-3 | Salmon"/>
  </r>
  <r>
    <s v="Romper Short | 0-3 | Dusty Pink"/>
  </r>
  <r>
    <s v="Romper Short | 3-6 | Dusty Pink"/>
  </r>
  <r>
    <s v="Romper Short | 18-24 | Dusty Pink"/>
  </r>
  <r>
    <s v="Romper Longer | 3-6 | Salmon"/>
  </r>
  <r>
    <s v="Romper Longer | 12-18 | Cream"/>
  </r>
  <r>
    <s v="Romper Longer | 6-12 | Sage Green"/>
  </r>
  <r>
    <s v="Romper Longer | 0-3 | Coffee"/>
  </r>
  <r>
    <s v="Romper Longer | 6-12 | Cream"/>
  </r>
  <r>
    <s v="Romper Longer | 6-12 | White"/>
  </r>
  <r>
    <s v="Romper Short | 0-3 | Dusty Pink"/>
  </r>
  <r>
    <s v="Romper Short | 3-6 | Sage Green"/>
  </r>
  <r>
    <s v="Romper Short | 0-3 | Caldet Blue"/>
  </r>
  <r>
    <s v="Romper Short | 6-12 | Dusty Pink"/>
  </r>
  <r>
    <s v="Romper Short | 0-3 | White"/>
  </r>
  <r>
    <s v="Romper Longer | 6-12 | Forest Green"/>
  </r>
  <r>
    <s v="Romper Longer | 3-6 | Texas Orange"/>
  </r>
  <r>
    <s v="Romper Short | 3-6 | Coffee"/>
  </r>
  <r>
    <s v="Romper Short | 3-6 | Dusty Pink"/>
  </r>
  <r>
    <s v="Romper Longer | 0-3 | Sage Green"/>
  </r>
  <r>
    <s v="Romper Longer | 0-3 | Cream"/>
  </r>
  <r>
    <s v="Romper Longer | 6-12 | Mauve Taupe"/>
  </r>
  <r>
    <s v="Romper Short | 0-3 | Dusty Pink"/>
  </r>
  <r>
    <s v="Romper Short | 18-24 | Dusty Pink"/>
  </r>
  <r>
    <s v="Romper Longer | 6-12 | Dusty Pink"/>
  </r>
  <r>
    <s v="Romper Short | 12-18 | White"/>
  </r>
  <r>
    <s v="Romper Longer | 3-6 | Sage Green"/>
  </r>
  <r>
    <s v="Romper Short | 6-12 | Cream"/>
  </r>
  <r>
    <s v="Romper Longer | 6-12 | Texas Orange"/>
  </r>
  <r>
    <s v="Romper Short | 6-12 | Caldet Blue"/>
  </r>
  <r>
    <s v="Romper Short | 3-6 | Dusty Pink"/>
  </r>
  <r>
    <s v="Romper Short | 0-3 | Texas Orange"/>
  </r>
  <r>
    <s v="Romper Longer | 12-18 | White"/>
  </r>
  <r>
    <s v="Romper Short | 3-6 | Sage Green"/>
  </r>
  <r>
    <s v="Romper Short | 3-6 | Salmon"/>
  </r>
  <r>
    <s v="Romper Short | 12-18 | Cream"/>
  </r>
  <r>
    <s v="Romper Longer | 3-6 | Dusty Pink"/>
  </r>
  <r>
    <s v="Romper Longer | 0-3 | Cream"/>
  </r>
  <r>
    <s v="Romper Short | 18-24 | White"/>
  </r>
  <r>
    <s v="Romper Longer | 3-6 | Dusty Pink"/>
  </r>
  <r>
    <s v="Romper Longer | 12-18 | Dusty Pink"/>
  </r>
  <r>
    <s v="Romper Longer | 6-12 | Cream"/>
  </r>
  <r>
    <s v="Romper Short | 3-6 | Cream"/>
  </r>
  <r>
    <s v="Romper Short | 12-18 | Dusty Pink"/>
  </r>
  <r>
    <s v="Romper Longer | 6-12 | White"/>
  </r>
  <r>
    <s v="Romper Short | 0-3 | White"/>
  </r>
  <r>
    <s v="Romper Longer | 3-6 | Texas Orange"/>
  </r>
  <r>
    <s v="Romper Longer | 6-12 | White"/>
  </r>
  <r>
    <s v="Romper Longer | 6-12 | Watermelon"/>
  </r>
  <r>
    <s v="Romper Short | 18-24 | Cream"/>
  </r>
  <r>
    <s v="Romper Longer | 6-12 | Sage Green"/>
  </r>
  <r>
    <s v="Romper Short | 3-6 | Dusty Pink"/>
  </r>
  <r>
    <s v="Romper Longer | 3-6 | Cream"/>
  </r>
  <r>
    <s v="Romper Longer | 3-6 | White"/>
  </r>
  <r>
    <s v="Romper Longer | 0-3 | Cream"/>
  </r>
  <r>
    <s v="Romper Longer | 3-6 | White"/>
  </r>
  <r>
    <s v="Romper Longer | 0-3 | Sage Green"/>
  </r>
  <r>
    <s v="Romper Short | 0-3 | Caldet Blue"/>
  </r>
  <r>
    <s v="Romper Longer | 3-6 | Sage Green"/>
  </r>
  <r>
    <s v="Romper Longer | 3-6 | Sage Green"/>
  </r>
  <r>
    <s v="Romper Short | 0-3 | Forest Green"/>
  </r>
  <r>
    <s v="Romper Short | 3-6 | White"/>
  </r>
  <r>
    <s v="Romper Short | 3-6 | Watermelon"/>
  </r>
  <r>
    <s v="Romper Short | 3-6 | Dusty Pink"/>
  </r>
  <r>
    <s v="Romper Longer | 3-6 | Mauve Taupe"/>
  </r>
  <r>
    <s v="Romper Longer | 3-6 | Sage Green"/>
  </r>
  <r>
    <s v="Romper Longer | 0-3 | Cream"/>
  </r>
  <r>
    <s v="Romper Longer | 0-3 | White"/>
  </r>
  <r>
    <s v="Romper Short | 12-18 | Caldet Blue"/>
  </r>
  <r>
    <s v="Romper Longer | 3-6 | Dusty Pink"/>
  </r>
  <r>
    <s v="Romper Short | 3-6 | White"/>
  </r>
  <r>
    <s v="Romper Short | 0-3 | Dusty Pink"/>
  </r>
  <r>
    <s v="Romper Short | 0-3 | Cream"/>
  </r>
  <r>
    <s v="Romper Longer | 3-6 | Cream"/>
  </r>
  <r>
    <s v="Romper Longer | 0-3 | Caldet Blue"/>
  </r>
  <r>
    <s v="Romper Longer | 3-6 | Cream"/>
  </r>
  <r>
    <s v="Romper Longer | 3-6 | Cream"/>
  </r>
  <r>
    <s v="Romper Longer | 3-6 | Cream"/>
  </r>
  <r>
    <s v="Romper Longer | 0-3 | White"/>
  </r>
  <r>
    <s v="Romper Longer | 0-3 | Cream"/>
  </r>
  <r>
    <s v="Romper Longer | 0-3 | White"/>
  </r>
  <r>
    <s v="Romper Short | 3-6 | Coffee"/>
  </r>
  <r>
    <s v="Romper Longer | 3-6 | Watermelon"/>
  </r>
  <r>
    <s v="Romper Longer | 3-6 | Caldet Blue"/>
  </r>
  <r>
    <s v="Romper Short | 3-6 | Coffee"/>
  </r>
  <r>
    <s v="Romper Longer | 3-6 | White"/>
  </r>
  <r>
    <s v="Romper Short | 0-3 | Dusty Pink"/>
  </r>
  <r>
    <s v="Romper Short | 3-6 | White"/>
  </r>
  <r>
    <s v="Romper Short | 3-6 | Forest Green"/>
  </r>
  <r>
    <s v="Romper Longer | 0-3 | Cream"/>
  </r>
  <r>
    <s v="Romper Short | 6-12 | Cream"/>
  </r>
  <r>
    <s v="Romper Short | 0-3 | Cream"/>
  </r>
  <r>
    <s v="Romper Longer | 0-3 | Coffee"/>
  </r>
  <r>
    <s v="Romper Longer | 6-12 | Coffee"/>
  </r>
  <r>
    <s v="Romper Longer | 0-3 | Forest Green"/>
  </r>
  <r>
    <s v="Romper Longer | 0-3 | Forest Green"/>
  </r>
  <r>
    <s v="Romper Short | 3-6 | Dusty Pink"/>
  </r>
  <r>
    <s v="Romper Short | 3-6 | Cream"/>
  </r>
  <r>
    <s v="Romper Short | 3-6 | Dusty Pink"/>
  </r>
  <r>
    <s v="Romper Longer | 6-12 | Coffee"/>
  </r>
  <r>
    <s v="Romper Longer | 6-12 | Sage Green"/>
  </r>
  <r>
    <s v="Romper Short | 3-6 | Cream"/>
  </r>
  <r>
    <s v="Romper Short | 3-6 | White"/>
  </r>
  <r>
    <s v="Romper Short | 6-12 | Cream"/>
  </r>
  <r>
    <s v="Romper Short | 12-18 | Caldet Blue"/>
  </r>
  <r>
    <s v="Romper Longer | 3-6 | White"/>
  </r>
  <r>
    <s v="Romper Short | 3-6 | White"/>
  </r>
  <r>
    <s v="Romper Short | 0-3 | Sage Green"/>
  </r>
  <r>
    <s v="Romper Short | 6-12 | Cream"/>
  </r>
  <r>
    <s v="Romper Short | 6-12 | Cream"/>
  </r>
  <r>
    <s v="Romper Short | 3-6 | White"/>
  </r>
  <r>
    <s v="Romper Longer | 3-6 | Dusty Pink"/>
  </r>
  <r>
    <s v="Romper Short | 6-12 | White"/>
  </r>
  <r>
    <s v="Romper Longer | 6-12 | Dusty Pink"/>
  </r>
  <r>
    <s v="Romper Short | 3-6 | White"/>
  </r>
  <r>
    <s v="Romper Short | 0-3 | White"/>
  </r>
  <r>
    <s v="Romper Short | 3-6 | White"/>
  </r>
  <r>
    <s v="Romper Longer | 0-3 | Coffee"/>
  </r>
  <r>
    <s v="Romper Short | 0-3 | White"/>
  </r>
  <r>
    <s v="Romper Longer | 3-6 | Forest Green"/>
  </r>
  <r>
    <s v="Romper Short | 6-12 | Dusty Pink"/>
  </r>
  <r>
    <s v="Romper Short | 0-3 | Sage Green"/>
  </r>
  <r>
    <s v="Romper Longer | 0-3 | Cream"/>
  </r>
  <r>
    <s v="Romper Short | 12-18 | Sage Green"/>
  </r>
  <r>
    <s v="Romper Longer | 0-3 | Cream"/>
  </r>
  <r>
    <s v="Romper Longer | 6-12 | Dusty Pink"/>
  </r>
  <r>
    <s v="Romper Longer | 0-3 | White"/>
  </r>
  <r>
    <s v="Romper Short | 0-3 | Dusty Pink"/>
  </r>
  <r>
    <s v="Romper Short | 6-12 | Dusty Pink"/>
  </r>
  <r>
    <s v="Romper Longer | 3-6 | Forest Green"/>
  </r>
  <r>
    <s v="Romper Short | 6-12 | Sage Green"/>
  </r>
  <r>
    <s v="Romper Short | 12-18 | Coffee"/>
  </r>
  <r>
    <s v="Romper Longer | 0-3 | Forest Green"/>
  </r>
  <r>
    <s v="Romper Longer | 3-6 | Sage Green"/>
  </r>
  <r>
    <s v="Romper Longer | 0-3 | Forest Green"/>
  </r>
  <r>
    <s v="Romper Longer | 0-3 | Forest Green"/>
  </r>
  <r>
    <s v="Romper Short | 3-6 | Sage Green"/>
  </r>
  <r>
    <s v="Romper Short | 3-6 | Sage Green"/>
  </r>
  <r>
    <s v="Romper Short | 3-6 | Sage Green"/>
  </r>
  <r>
    <s v="Romper Short | 3-6 | Cream"/>
  </r>
  <r>
    <s v="Romper Short | 3-6 | Watermelon"/>
  </r>
  <r>
    <s v="Romper Longer | 3-6 | Caldet Blue"/>
  </r>
  <r>
    <s v="Romper Longer | 0-3 | Cream"/>
  </r>
  <r>
    <s v="Romper Short | 3-6 | Sage Green"/>
  </r>
  <r>
    <s v="Romper Short | 0-3 | White"/>
  </r>
  <r>
    <s v="Romper Short | 3-6 | Cream"/>
  </r>
  <r>
    <s v="Romper Longer | 12-18 | Caldet Blue"/>
  </r>
  <r>
    <s v="Romper Short | 3-6 | Sage Green"/>
  </r>
  <r>
    <s v="Romper Longer | 6-12 | Dusty Pink"/>
  </r>
  <r>
    <s v="Romper Short | 3-6 | Cream"/>
  </r>
  <r>
    <s v="Romper Short | 12-18 | Dusty Pink"/>
  </r>
  <r>
    <s v="Romper Longer | 0-3 | Cream"/>
  </r>
  <r>
    <s v="Romper Longer | 6-12 | Dusty Pink"/>
  </r>
  <r>
    <s v="Romper Longer | 3-6 | Cream"/>
  </r>
  <r>
    <s v="Romper Longer | 3-6 | Caldet Blue"/>
  </r>
  <r>
    <s v="Romper Short | 3-6 | White"/>
  </r>
  <r>
    <s v="Romper Short | 0-3 | Caldet Blue"/>
  </r>
  <r>
    <s v="Romper Short | 0-3 | Cream"/>
  </r>
  <r>
    <s v="Romper Longer | 0-3 | Cream"/>
  </r>
  <r>
    <s v="Romper Short | 18-24 | White"/>
  </r>
  <r>
    <s v="Romper Longer | 0-3 | Sage Green"/>
  </r>
  <r>
    <s v="Romper Longer | 3-6 | Cream"/>
  </r>
  <r>
    <s v="Romper Longer | 12-18 | Sage Green"/>
  </r>
  <r>
    <s v="Romper Short | 3-6 | Dusty Pink"/>
  </r>
  <r>
    <s v="Romper Longer | 6-12 | Cream"/>
  </r>
  <r>
    <s v="Romper Longer | 3-6 | White"/>
  </r>
  <r>
    <s v="Romper Longer | 0-3 | Sage Green"/>
  </r>
  <r>
    <s v="Romper Short | 6-12 | Mauve Taupe"/>
  </r>
  <r>
    <s v="Romper Short | 6-12 | White"/>
  </r>
  <r>
    <s v="Romper Longer | 0-3 | Sage Green"/>
  </r>
  <r>
    <s v="Romper Longer | 0-3 | Forest Green"/>
  </r>
  <r>
    <s v="Romper Short | 12-18 | Coffee"/>
  </r>
  <r>
    <s v="Romper Longer | 3-6 | Coffee"/>
  </r>
  <r>
    <s v="Romper Short | 0-3 | Cream"/>
  </r>
  <r>
    <s v="Romper Short | 0-3 | Cream"/>
  </r>
  <r>
    <s v="Romper Short | 3-6 | Forest Green"/>
  </r>
  <r>
    <s v="Romper Short | 0-3 | White"/>
  </r>
  <r>
    <s v="Romper Short | 3-6 | Sage Green"/>
  </r>
  <r>
    <s v="Romper Short | 0-3 | White"/>
  </r>
  <r>
    <s v="Romper Short | 3-6 | Cream"/>
  </r>
  <r>
    <s v="Romper Longer | 3-6 | White"/>
  </r>
  <r>
    <s v="Romper Longer | 12-18 | Cream"/>
  </r>
  <r>
    <s v="Romper Short | 0-3 | White"/>
  </r>
  <r>
    <s v="Romper Short | 0-3 | Dusty Pink"/>
  </r>
  <r>
    <s v="Romper Short | 6-12 | White"/>
  </r>
  <r>
    <s v="Romper Longer | 3-6 | White"/>
  </r>
  <r>
    <s v="Romper Longer | 0-3 | Forest Green"/>
  </r>
  <r>
    <s v="Romper Longer | 0-3 | Cream"/>
  </r>
  <r>
    <s v="Romper Short | 6-12 | Cream"/>
  </r>
  <r>
    <s v="Romper Longer | 3-6 | Cream"/>
  </r>
  <r>
    <s v="Romper Short | 3-6 | Dusty Pink"/>
  </r>
  <r>
    <s v="Romper Short | 12-18 | Cream"/>
  </r>
  <r>
    <s v="Romper Short | 0-3 | Cream"/>
  </r>
  <r>
    <s v="Romper Short | 0-3 | White"/>
  </r>
  <r>
    <s v="Romper Short | 0-3 | Cream"/>
  </r>
  <r>
    <s v="Romper Short | 0-3 | Dusty Pink"/>
  </r>
  <r>
    <s v="Romper Longer | 3-6 | Sage Green"/>
  </r>
  <r>
    <s v="Romper Longer | 3-6 | Cream"/>
  </r>
  <r>
    <s v="Romper Short | 3-6 | Cream"/>
  </r>
  <r>
    <s v="Romper Short | 0-3 | Cream"/>
  </r>
  <r>
    <s v="Romper Longer | 3-6 | Sage Green"/>
  </r>
  <r>
    <s v="Romper Longer | 0-3 | Sage Green"/>
  </r>
  <r>
    <s v="Romper Longer | 0-3 | Cream"/>
  </r>
  <r>
    <s v="Romper Longer | 6-12 | Cream"/>
  </r>
  <r>
    <s v="Romper Longer | 0-3 | Sage Green"/>
  </r>
  <r>
    <s v="Romper Short | 3-6 | White"/>
  </r>
  <r>
    <s v="Romper Longer | 6-12 | White"/>
  </r>
  <r>
    <s v="Romper Short | 0-3 | Cream"/>
  </r>
  <r>
    <s v="Romper Short | 0-3 | Cream"/>
  </r>
  <r>
    <s v="Romper Short | 3-6 | Salmon"/>
  </r>
  <r>
    <s v="Romper Longer | 3-6 | Dusty Pink"/>
  </r>
  <r>
    <s v="Romper Longer | 3-6 | White"/>
  </r>
  <r>
    <s v="Romper Longer | 3-6 | Dusty Pink"/>
  </r>
  <r>
    <s v="Romper Longer | 6-12 | Dusty Pink"/>
  </r>
  <r>
    <s v="Romper Longer | 6-12 | Dusty Pink"/>
  </r>
  <r>
    <s v="Romper Short | 6-12 | White"/>
  </r>
  <r>
    <s v="Romper Short | 0-3 | Cream"/>
  </r>
  <r>
    <s v="Romper Longer | 0-3 | Cream"/>
  </r>
  <r>
    <s v="Romper Longer | 12-18 | Cream"/>
  </r>
  <r>
    <s v="Romper Longer | 3-6 | Sage Green"/>
  </r>
  <r>
    <s v="Romper Longer | 0-3 | Dusty Pink"/>
  </r>
  <r>
    <s v="Bodysuit | 3-6 | Light Blue"/>
  </r>
  <r>
    <s v="Bodysuit | 0-3 | Cream"/>
  </r>
  <r>
    <s v="Bodysuit | 3-6 | Light Blue"/>
  </r>
  <r>
    <s v="Bodysuit | 0-3 | Cream"/>
  </r>
  <r>
    <s v="Bodysuit | 0-3 | Cream"/>
  </r>
  <r>
    <s v="Bodysuit | 3-6 | Light Blue"/>
  </r>
  <r>
    <s v="Bodysuit | 3-6 | Light Pink"/>
  </r>
  <r>
    <s v="Bodysuit | 3-6 | Light Blue"/>
  </r>
  <r>
    <s v="Bodysuit | 0-3 | Cream"/>
  </r>
  <r>
    <s v="Bodysuit | 0-3 | Cream"/>
  </r>
  <r>
    <s v="Bodysuit | 0-3 | Light Pink"/>
  </r>
  <r>
    <s v="Bodysuit | 3-6 | Cream"/>
  </r>
  <r>
    <s v="Bodysuit | 0-3 | Light Pink"/>
  </r>
  <r>
    <s v="Bodysuit | 0-3 | Light Pink"/>
  </r>
  <r>
    <s v="Bodysuit | 0-3 | Light Blue"/>
  </r>
  <r>
    <s v="Bodysuit | 0-3 | Light Pink"/>
  </r>
  <r>
    <s v="Bodysuit | 3-6 | Light Pink"/>
  </r>
  <r>
    <s v="Bodysuit | 0-3 | Cream"/>
  </r>
  <r>
    <s v="Bodysuit | 0-3 | Cream"/>
  </r>
  <r>
    <s v="Bodysuit | 0-3 | Cream"/>
  </r>
  <r>
    <s v="Bodysuit | 3-6 | Cream"/>
  </r>
  <r>
    <s v="Bodysuit | 3-6 | Light Blue"/>
  </r>
  <r>
    <s v="Bodysuit | 3-6 | Light Blue"/>
  </r>
  <r>
    <s v="Bodysuit | 0-3 | Light Blue"/>
  </r>
  <r>
    <s v="Bodysuit | 0-3 | Light Pink"/>
  </r>
  <r>
    <s v="Bodysuit | 3-6 | Cream"/>
  </r>
  <r>
    <s v="Bodysuit | 3-6 | Light Blue"/>
  </r>
  <r>
    <s v="Bodysuit | 3-6 | Cream"/>
  </r>
  <r>
    <s v="Bodysuit | 0-3 | Light Pink"/>
  </r>
  <r>
    <s v="Bodysuit | 3-6 | Light Pink"/>
  </r>
  <r>
    <s v="Bodysuit | 3-6 | Light Blue"/>
  </r>
  <r>
    <s v="Bodysuit | 3-6 | Cream"/>
  </r>
  <r>
    <s v="Bodysuit | 0-3 | Cream"/>
  </r>
  <r>
    <s v="Bodysuit | 3-6 | Light Blue"/>
  </r>
  <r>
    <s v="Bodysuit | 3-6 | Cream"/>
  </r>
  <r>
    <s v="Bodysuit | 0-3 | Cream"/>
  </r>
  <r>
    <s v="Bodysuit | 0-3 | Light Pink"/>
  </r>
  <r>
    <s v="Bodysuit | 3-6 | Light Pink"/>
  </r>
  <r>
    <s v="Bodysuit | 3-6 | Cream"/>
  </r>
  <r>
    <s v="Bodysuit | 0-3 | Light Pink"/>
  </r>
  <r>
    <s v="Bodysuit | 0-3 | Light Blue"/>
  </r>
  <r>
    <s v="Bodysuit | 3-6 | Light Pink"/>
  </r>
  <r>
    <s v="Bodysuit | 3-6 | Light Pink"/>
  </r>
  <r>
    <s v="Bodysuit | 0-3 | Cream"/>
  </r>
  <r>
    <s v="Bodysuit | 3-6 | Light Blue"/>
  </r>
  <r>
    <s v="Bodysuit | 0-3 | Light Pink"/>
  </r>
  <r>
    <s v="Bodysuit | 3-6 | Cream"/>
  </r>
  <r>
    <s v="Bodysuit | 3-6 | Cream"/>
  </r>
  <r>
    <s v="Bodysuit | 0-3 | Cream"/>
  </r>
  <r>
    <s v="Bodysuit | 3-6 | Cream"/>
  </r>
  <r>
    <s v="Bodysuit | 0-3 | Cream"/>
  </r>
  <r>
    <s v="Bodysuit | 3-6 | Light Pink"/>
  </r>
  <r>
    <s v="Bodysuit | 3-6 | Cream"/>
  </r>
  <r>
    <s v="Romper Short | 3-6 | Caldet Blue"/>
  </r>
  <r>
    <s v="Romper Longer | 0-3 | Cream"/>
  </r>
  <r>
    <s v="Bodysuit | 3-6 | Light Blue"/>
  </r>
  <r>
    <s v="Romper Longer | 3-6 | Dusty Pink"/>
  </r>
  <r>
    <s v="Bodysuit | 3-6 | Light Blue"/>
  </r>
  <r>
    <s v="Bodysuit | 0-3 | Light Pink"/>
  </r>
  <r>
    <s v="Romper Longer | 12-18 | White"/>
  </r>
  <r>
    <s v="Bodysuit | 3-6 | Light Blue"/>
  </r>
  <r>
    <s v="Bodysuit | 3-6 | Light Pink"/>
  </r>
  <r>
    <s v="Romper Longer | 0-3 | Forest Green"/>
  </r>
  <r>
    <s v="Romper Longer | 0-3 | Forest Green"/>
  </r>
  <r>
    <s v="Romper Short | 6-12 | White"/>
  </r>
  <r>
    <s v="Romper Longer | 0-3 | Cream"/>
  </r>
  <r>
    <s v="Romper Short | 18-24 | Cream"/>
  </r>
  <r>
    <s v="Romper Short | 0-3 | Cream"/>
  </r>
  <r>
    <s v="Bodysuit | 0-3 | Cream"/>
  </r>
  <r>
    <s v="Bodysuit | 3-6 | Cream"/>
  </r>
  <r>
    <s v="Romper Short | 6-12 | Sage Green"/>
  </r>
  <r>
    <s v="Romper Short | 12-18 | Cream"/>
  </r>
  <r>
    <s v="Romper Longer | 0-3 | Sage Green"/>
  </r>
  <r>
    <s v="Bodysuit | 0-3 | Light Pink"/>
  </r>
  <r>
    <s v="Bodysuit | 0-3 | Light Blue"/>
  </r>
  <r>
    <s v="Bodysuit | 0-3 | Light Blue"/>
  </r>
  <r>
    <s v="Bodysuit | 0-3 | Light Blue"/>
  </r>
  <r>
    <s v="Bodysuit | 0-3 | Cream"/>
  </r>
  <r>
    <s v="Bodysuit | 0-3 | Light Blue"/>
  </r>
  <r>
    <s v="Romper Longer | 0-3 | Sage Green"/>
  </r>
  <r>
    <s v="Romper Short | 18-24 | Forest Green"/>
  </r>
  <r>
    <s v="Romper Short | 3-6 | White"/>
  </r>
  <r>
    <s v="Bodysuit | 3-6 | Cream"/>
  </r>
  <r>
    <s v="Bodysuit | 3-6 | Light Blue"/>
  </r>
  <r>
    <s v="Romper Longer | 0-3 | Cream"/>
  </r>
  <r>
    <s v="Bodysuit | 3-6 | Cream"/>
  </r>
  <r>
    <s v="Bodysuit | 3-6 | Light Blue"/>
  </r>
  <r>
    <s v="Romper Longer | 3-6 | Caldet Blue"/>
  </r>
  <r>
    <s v="Romper Longer | 0-3 | Cream"/>
  </r>
  <r>
    <s v="Bodysuit | 0-3 | Light Pink"/>
  </r>
  <r>
    <s v="Bodysuit | 0-3 | Cream"/>
  </r>
  <r>
    <s v="Romper Longer | 6-12 | Cream"/>
  </r>
  <r>
    <s v="Romper Short | 12-18 | Cream"/>
  </r>
  <r>
    <s v="Bodysuit | 0-3 | Light Blue"/>
  </r>
  <r>
    <s v="Romper Longer | 0-3 | Salmon"/>
  </r>
  <r>
    <s v="Romper Longer | 0-3 | Sage Green"/>
  </r>
  <r>
    <s v="Bodysuit | 0-3 | Cream"/>
  </r>
  <r>
    <s v="Bodysuit | 3-6 | Light Blue"/>
  </r>
  <r>
    <s v="Romper Short | 0-3 | Caldet Blue"/>
  </r>
  <r>
    <s v="Bodysuit | 0-3 | Light Blue"/>
  </r>
  <r>
    <s v="Romper Longer | 3-6 | Caldet Blue"/>
  </r>
  <r>
    <s v="Romper Longer | 3-6 | Caldet Blue"/>
  </r>
  <r>
    <s v="Bodysuit | 0-3 | Light Blue"/>
  </r>
  <r>
    <s v="Romper Longer | 3-6 | Cream"/>
  </r>
  <r>
    <s v="Romper Longer | 3-6 | Cream"/>
  </r>
  <r>
    <s v="Romper Short | 0-3 | Sage Green"/>
  </r>
  <r>
    <s v="Romper Short | 0-3 | Caldet Blue"/>
  </r>
  <r>
    <s v="Bodysuit | 0-3 | Light Blue"/>
  </r>
  <r>
    <s v="Bodysuit | 3-6 | Light Pink"/>
  </r>
  <r>
    <s v="Bodysuit | 0-3 | Cream"/>
  </r>
  <r>
    <s v="Romper Longer | 3-6 | Cream"/>
  </r>
  <r>
    <s v="Bodysuit | 3-6 | Light Blue"/>
  </r>
  <r>
    <s v="Romper Longer | 3-6 | White"/>
  </r>
  <r>
    <s v="Romper Short | 3-6 | Caldet Blue"/>
  </r>
  <r>
    <s v="Romper Short | 6-12 | Cream"/>
  </r>
  <r>
    <s v="Romper Longer | 3-6 | Forest Green"/>
  </r>
  <r>
    <s v="Bodysuit | 3-6 | Cream"/>
  </r>
  <r>
    <s v="Romper Short | 6-12 | White"/>
  </r>
  <r>
    <s v="Romper Longer | 0-3 | Cream"/>
  </r>
  <r>
    <s v="Bodysuit | 3-6 | Light Pink"/>
  </r>
  <r>
    <s v="Bodysuit | 0-3 | Cream"/>
  </r>
  <r>
    <s v="Bodysuit | 0-3 | Light Pink"/>
  </r>
  <r>
    <s v="Romper Short | 3-6 | White"/>
  </r>
  <r>
    <s v="Bodysuit | 0-3 | Light Blue"/>
  </r>
  <r>
    <s v="Bodysuit | 3-6 | Light Pink"/>
  </r>
  <r>
    <s v="Bodysuit | 0-3 | Light Blue"/>
  </r>
  <r>
    <s v="Bodysuit | 0-3 | Light Blue"/>
  </r>
  <r>
    <s v="Bodysuit | 0-3 | Cream"/>
  </r>
  <r>
    <s v="Bodysuit | 3-6 | Light Blue"/>
  </r>
  <r>
    <s v="Romper Short | 3-6 | Sage Green"/>
  </r>
  <r>
    <s v="Bodysuit | 3-6 | Cream"/>
  </r>
  <r>
    <s v="Romper Short | 6-12 | Caldet Blue"/>
  </r>
  <r>
    <s v="Bodysuit | 0-3 | Light Pink"/>
  </r>
  <r>
    <s v="Romper Short | 0-3 | Coffee"/>
  </r>
  <r>
    <s v="Romper Short | 6-12 | Cream"/>
  </r>
  <r>
    <s v="Romper Longer | 0-3 | Texas Orange"/>
  </r>
  <r>
    <s v="Bodysuit | 0-3 | Light Blue"/>
  </r>
  <r>
    <s v="Romper Longer | 0-3 | Dusty Pink"/>
  </r>
  <r>
    <s v="Romper Longer | 3-6 | White"/>
  </r>
  <r>
    <s v="Romper Short | 6-12 | White"/>
  </r>
  <r>
    <s v="Bodysuit | 3-6 | Cream"/>
  </r>
  <r>
    <s v="Romper Short | 3-6 | Cream"/>
  </r>
  <r>
    <s v="Romper Longer | 18-24 | Watermelon"/>
  </r>
  <r>
    <s v="Romper Longer | 3-6 | Cream"/>
  </r>
  <r>
    <s v="Bodysuit | 0-3 | Cream"/>
  </r>
  <r>
    <s v="Bodysuit | 0-3 | Light Blue"/>
  </r>
  <r>
    <s v="Bodysuit | 3-6 | Light Blue"/>
  </r>
  <r>
    <s v="Romper Longer | 0-3 | Caldet Blue"/>
  </r>
  <r>
    <s v="Romper Longer | 0-3 | White"/>
  </r>
  <r>
    <s v="Bodysuit | 3-6 | Light Blue"/>
  </r>
  <r>
    <s v="Romper Longer | 6-12 | Cream"/>
  </r>
  <r>
    <s v="Romper Short | 0-3 | Caldet Blue"/>
  </r>
  <r>
    <s v="Romper Short | 0-3 | Cream"/>
  </r>
  <r>
    <s v="Bodysuit | 3-6 | Light Pink"/>
  </r>
  <r>
    <s v="Bodysuit | 0-3 | Cream"/>
  </r>
  <r>
    <s v="Bodysuit | 3-6 | Light Pink"/>
  </r>
  <r>
    <s v="Romper Short | 0-3 | Sage Green"/>
  </r>
  <r>
    <s v="Bodysuit | 0-3 | Light Blue"/>
  </r>
  <r>
    <s v="Romper Longer | 3-6 | Cream"/>
  </r>
  <r>
    <s v="Romper Short | 0-3 | Dusty Pink"/>
  </r>
  <r>
    <s v="Romper Short | 18-24 | White"/>
  </r>
  <r>
    <s v="Romper Short | 0-3 | Cream"/>
  </r>
  <r>
    <s v="Bodysuit | 3-6 | Light Pink"/>
  </r>
  <r>
    <s v="Bodysuit | 3-6 | Light Pink"/>
  </r>
  <r>
    <s v="Romper Longer | 3-6 | Watermelon"/>
  </r>
  <r>
    <s v="Bodysuit | 0-3 | Light Blue"/>
  </r>
  <r>
    <s v="Romper Longer | 3-6 | Caldet Blue"/>
  </r>
  <r>
    <s v="Bodysuit | 0-3 | Cream"/>
  </r>
  <r>
    <s v="Romper Longer | 3-6 | White"/>
  </r>
  <r>
    <s v="Bodysuit | 3-6 | Light Blue"/>
  </r>
  <r>
    <s v="Bodysuit | 3-6 | Cream"/>
  </r>
  <r>
    <s v="Bodysuit | 3-6 | Cream"/>
  </r>
  <r>
    <s v="Bodysuit | 3-6 | Cream"/>
  </r>
  <r>
    <s v="Romper Short | 0-3 | Dusty Pink"/>
  </r>
  <r>
    <s v="Bodysuit | 3-6 | Cream"/>
  </r>
  <r>
    <s v="Romper Short | 3-6 | Cream"/>
  </r>
  <r>
    <s v="Romper Longer | 3-6 | Cream"/>
  </r>
  <r>
    <s v="Romper Short | 3-6 | Sage Green"/>
  </r>
  <r>
    <s v="Romper Longer | 0-3 | Watermelon"/>
  </r>
  <r>
    <s v="Romper Longer | 0-3 | White"/>
  </r>
  <r>
    <s v="Romper Short | 12-18 | Cream"/>
  </r>
  <r>
    <s v="Romper Short | 3-6 | Dusty Pink"/>
  </r>
  <r>
    <s v="Romper Longer | 6-12 | Cream"/>
  </r>
  <r>
    <s v="Bodysuit | 3-6 | Cream"/>
  </r>
  <r>
    <s v="Romper Longer | 3-6 | Cream"/>
  </r>
  <r>
    <s v="Bodysuit | 3-6 | Light Pink"/>
  </r>
  <r>
    <s v="Romper Longer | 6-12 | Forest Green"/>
  </r>
  <r>
    <s v="Romper Short | 6-12 | White"/>
  </r>
  <r>
    <s v="Bodysuit | 3-6 | Cream"/>
  </r>
  <r>
    <s v="Romper Longer | 3-6 | Forest Green"/>
  </r>
  <r>
    <s v="Romper Longer | 0-3 | Dusty Pink"/>
  </r>
  <r>
    <s v="Bodysuit | 3-6 | Light Pink"/>
  </r>
  <r>
    <s v="Romper Short | 6-12 | Caldet Blue"/>
  </r>
  <r>
    <s v="Romper Short | 3-6 | Cream"/>
  </r>
  <r>
    <s v="Romper Short | 12-18 | Sage Green"/>
  </r>
  <r>
    <s v="Romper Longer | 0-3 | Cream"/>
  </r>
  <r>
    <s v="Romper Short | 12-18 | Cream"/>
  </r>
  <r>
    <s v="Bodysuit | 0-3 | Cream"/>
  </r>
  <r>
    <s v="Romper Short | 6-12 | Cream"/>
  </r>
  <r>
    <s v="Romper Longer | 3-6 | Cream"/>
  </r>
  <r>
    <s v="Romper Short | 3-6 | Sage Green"/>
  </r>
  <r>
    <s v="Romper Longer | 6-12 | Cream"/>
  </r>
  <r>
    <s v="Bodysuit | 0-3 | Light Pink"/>
  </r>
  <r>
    <s v="Bodysuit | 0-3 | Light Pink"/>
  </r>
  <r>
    <s v="Bodysuit | 3-6 | Light Blue"/>
  </r>
  <r>
    <s v="Bodysuit | 3-6 | Cream"/>
  </r>
  <r>
    <s v="Bodysuit | 3-6 | Cream"/>
  </r>
  <r>
    <s v="Romper Longer | 6-12 | Cream"/>
  </r>
  <r>
    <s v="Romper Short | 3-6 | Dusty Pink"/>
  </r>
  <r>
    <s v="Romper Longer | 6-12 | Dusty Pink"/>
  </r>
  <r>
    <s v="Romper Longer | 0-3 | Dusty Pink"/>
  </r>
  <r>
    <s v="Romper Longer | 0-3 | Cream"/>
  </r>
  <r>
    <s v="Romper Short | 6-12 | Cream"/>
  </r>
  <r>
    <s v="Bodysuit | 0-3 | Light Pink"/>
  </r>
  <r>
    <s v="Romper Short | 3-6 | Cream"/>
  </r>
  <r>
    <s v="Bodysuit | 3-6 | Light Pink"/>
  </r>
  <r>
    <s v="Bodysuit | 0-3 | Light Blue"/>
  </r>
  <r>
    <s v="Romper Short | 3-6 | Dusty Pink"/>
  </r>
  <r>
    <s v="Romper Short | 0-3 | Dusty Pink"/>
  </r>
  <r>
    <s v="Romper Longer | 3-6 | Caldet Blue"/>
  </r>
  <r>
    <s v="Bodysuit | 3-6 | Light Pink"/>
  </r>
  <r>
    <s v="Bodysuit | 3-6 | Light Pink"/>
  </r>
  <r>
    <s v="Bodysuit | 3-6 | Light Pink"/>
  </r>
  <r>
    <s v="Bodysuit | 3-6 | Light Blue"/>
  </r>
  <r>
    <s v="Bodysuit | 0-3 | Cream"/>
  </r>
  <r>
    <s v="Bodysuit | 0-3 | Cream"/>
  </r>
  <r>
    <s v="Romper Longer | 6-12 | Dusty Pink"/>
  </r>
  <r>
    <s v="Romper Longer | 3-6 | Cream"/>
  </r>
  <r>
    <s v="Romper Longer | 3-6 | White"/>
  </r>
  <r>
    <s v="Romper Short | 6-12 | Sage Green"/>
  </r>
  <r>
    <s v="Romper Short | 6-12 | Caldet Blue"/>
  </r>
  <r>
    <s v="Romper Longer | 12-18 | Caldet Blue"/>
  </r>
  <r>
    <s v="Bodysuit | 3-6 | Light Blue"/>
  </r>
  <r>
    <s v="Bodysuit | 3-6 | Light Blue"/>
  </r>
  <r>
    <s v="Romper Longer | 6-12 | Dusty Pink"/>
  </r>
  <r>
    <s v="Romper Longer | 6-12 | Dusty Pink"/>
  </r>
  <r>
    <s v="Romper Longer | 3-6 | Cream"/>
  </r>
  <r>
    <s v="Romper Short | 0-3 | Sage Green"/>
  </r>
  <r>
    <s v="Romper Short | 0-3 | Cream"/>
  </r>
  <r>
    <s v="Romper Short | 0-3 | Cream"/>
  </r>
  <r>
    <s v="Romper Short | 6-12 | Dusty Pink"/>
  </r>
  <r>
    <s v="Romper Short | 3-6 | White"/>
  </r>
  <r>
    <s v="Romper Longer | 3-6 | Cream"/>
  </r>
  <r>
    <s v="Romper Longer | 6-12 | White"/>
  </r>
  <r>
    <s v="Romper Short | 3-6 | Sage Green"/>
  </r>
  <r>
    <s v="Romper Longer | 0-3 | Salmon"/>
  </r>
  <r>
    <s v="Romper Short | 0-3 | Coffee"/>
  </r>
  <r>
    <s v="Romper Short | 3-6 | White"/>
  </r>
  <r>
    <s v="Romper Short | 6-12 | Sage Green"/>
  </r>
  <r>
    <s v="Romper Short | 12-18 | Forest Green"/>
  </r>
  <r>
    <s v="Romper Longer | 0-3 | Cream"/>
  </r>
  <r>
    <s v="Romper Short | 12-18 | Cream"/>
  </r>
  <r>
    <s v="Romper Short | 3-6 | White"/>
  </r>
  <r>
    <s v="Romper Longer | 6-12 | Caldet Blue"/>
  </r>
  <r>
    <s v="Romper Longer | 3-6 | White"/>
  </r>
  <r>
    <s v="Romper Short | 18-24 | Cream"/>
  </r>
  <r>
    <s v="Romper Short | 0-3 | Caldet Blue"/>
  </r>
  <r>
    <s v="Romper Longer | 12-18 | Sage Green"/>
  </r>
  <r>
    <s v="Romper Short | 0-3 | Cream"/>
  </r>
  <r>
    <s v="Romper Longer | 3-6 | Sage Green"/>
  </r>
  <r>
    <s v="Romper Longer | 0-3 | Cream"/>
  </r>
  <r>
    <s v="Romper Longer | 3-6 | Coffee"/>
  </r>
  <r>
    <s v="Romper Short | 6-12 | Cream"/>
  </r>
  <r>
    <s v="Romper Short | 6-12 | Cream"/>
  </r>
  <r>
    <s v="Romper Longer | 3-6 | Cream"/>
  </r>
  <r>
    <s v="Romper Longer | 3-6 | Forest Green"/>
  </r>
  <r>
    <s v="Romper Longer | 3-6 | Cream"/>
  </r>
  <r>
    <s v="Romper Short | 12-18 | Dusty Pink"/>
  </r>
  <r>
    <s v="Romper Short | 0-3 | Cream"/>
  </r>
  <r>
    <s v="Romper Longer | 3-6 | Cream"/>
  </r>
  <r>
    <s v="Romper Short | 3-6 | Cream"/>
  </r>
  <r>
    <s v="Romper Short | 0-3 | Cream"/>
  </r>
  <r>
    <s v="Romper Longer | 3-6 | Sage Green"/>
  </r>
  <r>
    <s v="Romper Longer | 6-12 | Caldet Blue"/>
  </r>
  <r>
    <s v="Romper Short | 3-6 | Watermelon"/>
  </r>
  <r>
    <s v="Romper Longer | 6-12 | Cream"/>
  </r>
  <r>
    <s v="Romper Longer | 0-3 | Cream"/>
  </r>
  <r>
    <s v="Romper Short | 3-6 | Caldet Blue"/>
  </r>
  <r>
    <s v="Romper Longer | 0-3 | White"/>
  </r>
  <r>
    <s v="Romper Longer | 6-12 | Sage Green"/>
  </r>
  <r>
    <s v="Romper Short | 3-6 | Cream"/>
  </r>
  <r>
    <s v="Romper Short | 0-3 | Sage Green"/>
  </r>
  <r>
    <s v="Romper Longer | 0-3 | Cream"/>
  </r>
  <r>
    <s v="Romper Short | 0-3 | Cream"/>
  </r>
  <r>
    <s v="Romper Short | 3-6 | Cream"/>
  </r>
  <r>
    <s v="Romper Short | 6-12 | White"/>
  </r>
  <r>
    <s v="Romper Short | 3-6 | Cream"/>
  </r>
  <r>
    <s v="Romper Short | 3-6 | Cream"/>
  </r>
  <r>
    <s v="Romper Short | 3-6 | Cream"/>
  </r>
  <r>
    <s v="Romper Short | 0-3 | Cream"/>
  </r>
  <r>
    <s v="Romper Longer | 3-6 | Cream"/>
  </r>
  <r>
    <s v="Romper Longer | 6-12 | Dusty Pink"/>
  </r>
  <r>
    <s v="Romper Longer | 0-3 | Mauve Taupe"/>
  </r>
  <r>
    <s v="Romper Short | 0-3 | Salmon"/>
  </r>
  <r>
    <s v="Romper Short | 3-6 | Sage Green"/>
  </r>
  <r>
    <s v="Romper Short | 3-6 | Sage Green"/>
  </r>
  <r>
    <s v="Romper Short | 3-6 | Mauve Taupe"/>
  </r>
  <r>
    <s v="Romper Longer | 0-3 | Cream"/>
  </r>
  <r>
    <s v="Romper Short | 12-18 | Caldet Blue"/>
  </r>
  <r>
    <s v="Romper Longer | 3-6 | Cream"/>
  </r>
  <r>
    <s v="Romper Longer | 3-6 | Cream"/>
  </r>
  <r>
    <s v="Romper Short | 3-6 | Cream"/>
  </r>
  <r>
    <s v="Romper Longer | 3-6 | White"/>
  </r>
  <r>
    <s v="Romper Short | 0-3 | Cream"/>
  </r>
  <r>
    <s v="Romper Longer | 0-3 | White"/>
  </r>
  <r>
    <s v="Romper Longer | 3-6 | Sage Green"/>
  </r>
  <r>
    <s v="Romper Longer | 3-6 | White"/>
  </r>
  <r>
    <s v="Romper Short | 3-6 | Cream"/>
  </r>
  <r>
    <s v="Romper Longer | 6-12 | Cream"/>
  </r>
  <r>
    <s v="Romper Short | 3-6 | Forest Green"/>
  </r>
  <r>
    <s v="Romper Longer | 6-12 | Caldet Blue"/>
  </r>
  <r>
    <s v="Romper Longer | 6-12 | Cream"/>
  </r>
  <r>
    <s v="Romper Longer | 6-12 | Cream"/>
  </r>
  <r>
    <s v="Romper Short | 3-6 | Cream"/>
  </r>
  <r>
    <s v="Romper Short | 3-6 | Watermelon"/>
  </r>
  <r>
    <s v="Romper Short | 6-12 | White"/>
  </r>
  <r>
    <s v="Romper Short | 3-6 | Cream"/>
  </r>
  <r>
    <s v="Romper Short | 6-12 | Cream"/>
  </r>
  <r>
    <s v="Romper Longer | 0-3 | Cream"/>
  </r>
  <r>
    <s v="Romper Short | 3-6 | Caldet Blue"/>
  </r>
  <r>
    <s v="Romper Longer | 0-3 | White"/>
  </r>
  <r>
    <s v="Romper Short | 3-6 | Coffee"/>
  </r>
  <r>
    <s v="Romper Short | 3-6 | Caldet Blue"/>
  </r>
  <r>
    <s v="Romper Short | 3-6 | Cream"/>
  </r>
  <r>
    <s v="Romper Short | 12-18 | Sage Green"/>
  </r>
  <r>
    <s v="Romper Short | 3-6 | Sage Green"/>
  </r>
  <r>
    <s v="Romper Short | 3-6 | Cream"/>
  </r>
  <r>
    <s v="Romper Short | 0-3 | Cream"/>
  </r>
  <r>
    <s v="Romper Longer | 0-3 | White"/>
  </r>
  <r>
    <s v="Romper Longer | 6-12 | Dusty Pink"/>
  </r>
  <r>
    <s v="Romper Longer | 3-6 | Cream"/>
  </r>
  <r>
    <s v="Romper Short | 18-24 | Cream"/>
  </r>
  <r>
    <s v="Romper Short | 6-12 | Cream"/>
  </r>
  <r>
    <s v="Romper Short | 6-12 | Coffee"/>
  </r>
  <r>
    <s v="Romper Short | 6-12 | Sage Green"/>
  </r>
  <r>
    <s v="Romper Short | 12-18 | Sage Green"/>
  </r>
  <r>
    <s v="Romper Longer | 3-6 | Salmon"/>
  </r>
  <r>
    <s v="Romper Longer | 3-6 | Dusty Pink"/>
  </r>
  <r>
    <s v="Romper Short | 0-3 | White"/>
  </r>
  <r>
    <s v="Romper Longer | 3-6 | Caldet Blue"/>
  </r>
  <r>
    <s v="Romper Longer | 0-3 | White"/>
  </r>
  <r>
    <s v="Romper Short | 18-24 | Cream"/>
  </r>
  <r>
    <s v="Romper Short | 18-24 | Caldet Blue"/>
  </r>
  <r>
    <s v="Romper Longer | 6-12 | Sage Green"/>
  </r>
  <r>
    <s v="Romper Longer | 3-6 | White"/>
  </r>
  <r>
    <s v="Romper Longer | 0-3 | Dusty Pink"/>
  </r>
  <r>
    <s v="Romper Longer | 0-3 | White"/>
  </r>
  <r>
    <s v="Romper Short | 12-18 | Cream"/>
  </r>
  <r>
    <s v="Romper Short | 3-6 | Cream"/>
  </r>
  <r>
    <s v="Romper Short | 12-18 | Caldet Blue"/>
  </r>
  <r>
    <s v="Romper Short | 3-6 | Cream"/>
  </r>
  <r>
    <s v="Romper Longer | 6-12 | Sage Green"/>
  </r>
  <r>
    <s v="Romper Longer | 0-3 | Salmon"/>
  </r>
  <r>
    <s v="Romper Short | 6-12 | Salmon"/>
  </r>
  <r>
    <s v="Romper Longer | 0-3 | Dusty Pink"/>
  </r>
  <r>
    <s v="Romper Longer | 3-6 | Cream"/>
  </r>
  <r>
    <s v="Romper Short | 3-6 | Salmon"/>
  </r>
  <r>
    <s v="Romper Short | 0-3 | White"/>
  </r>
  <r>
    <s v="Romper Short | 3-6 | Cream"/>
  </r>
  <r>
    <s v="Romper Short | 6-12 | Sage Green"/>
  </r>
  <r>
    <s v="Romper Longer | 6-12 | Cream"/>
  </r>
  <r>
    <s v="Romper Short | 3-6 | Dusty Pink"/>
  </r>
  <r>
    <s v="Romper Longer | 0-3 | Cream"/>
  </r>
  <r>
    <s v="Romper Short | 12-18 | Caldet Blue"/>
  </r>
  <r>
    <s v="Romper Longer | 0-3 | Forest Green"/>
  </r>
  <r>
    <s v="Romper Short | 6-12 | Cream"/>
  </r>
  <r>
    <s v="Romper Short | 12-18 | White"/>
  </r>
  <r>
    <s v="Romper Short | 3-6 | Coffee"/>
  </r>
  <r>
    <s v="Romper Short | 0-3 | Caldet Blue"/>
  </r>
  <r>
    <s v="Romper Short | 6-12 | Sage Green"/>
  </r>
  <r>
    <s v="Romper Short | 3-6 | Cream"/>
  </r>
  <r>
    <s v="Romper Short | 0-3 | White"/>
  </r>
  <r>
    <s v="Romper Short | 3-6 | Cream"/>
  </r>
  <r>
    <s v="Romper Longer | 0-3 | Salmon"/>
  </r>
  <r>
    <s v="Romper Short | 3-6 | Sage Green"/>
  </r>
  <r>
    <s v="Romper Short | 3-6 | Dusty Pink"/>
  </r>
  <r>
    <s v="Romper Short | 3-6 | Salmon"/>
  </r>
  <r>
    <s v="Romper Longer | 12-18 | Watermelon"/>
  </r>
  <r>
    <s v="Romper Longer | 3-6 | Coffee"/>
  </r>
  <r>
    <s v="Romper Short | 12-18 | Dusty Pink"/>
  </r>
  <r>
    <s v="Romper Longer | 0-3 | Cream"/>
  </r>
  <r>
    <s v="Romper Short | 0-3 | Cream"/>
  </r>
  <r>
    <s v="Romper Short | 3-6 | Cream"/>
  </r>
  <r>
    <s v="Romper Longer | 3-6 | Cream"/>
  </r>
  <r>
    <s v="Romper Short | 6-12 | Cream"/>
  </r>
  <r>
    <s v="Romper Short | 12-18 | Dusty Pink"/>
  </r>
  <r>
    <s v="Romper Longer | 6-12 | Dusty Pink"/>
  </r>
  <r>
    <s v="Bodysuit | 3-6 | Light Blue"/>
  </r>
  <r>
    <s v="Bodysuit | 0-3 | Light Pink"/>
  </r>
  <r>
    <s v="Bodysuit | 0-3 | Light Pink"/>
  </r>
  <r>
    <s v="Bodysuit | 3-6 | Light Blue"/>
  </r>
  <r>
    <s v="Bodysuit | 0-3 | Cream"/>
  </r>
  <r>
    <s v="Bodysuit | 0-3 | Light Blue"/>
  </r>
  <r>
    <s v="Bodysuit | 3-6 | Light Pink"/>
  </r>
  <r>
    <s v="Bodysuit | 3-6 | Light Blue"/>
  </r>
  <r>
    <s v="Bodysuit | 3-6 | Cream"/>
  </r>
  <r>
    <s v="Bodysuit | 3-6 | Cream"/>
  </r>
  <r>
    <s v="Bodysuit | 3-6 | Cream"/>
  </r>
  <r>
    <s v="Bodysuit | 3-6 | Light Blue"/>
  </r>
  <r>
    <s v="Bodysuit | 3-6 | Light Blue"/>
  </r>
  <r>
    <s v="Bodysuit | 3-6 | Light Pink"/>
  </r>
  <r>
    <s v="Bodysuit | 0-3 | Light Blue"/>
  </r>
  <r>
    <s v="Bodysuit | 0-3 | Light Blue"/>
  </r>
  <r>
    <s v="Bodysuit | 3-6 | Light Blue"/>
  </r>
  <r>
    <s v="Bodysuit | 0-3 | Light Pink"/>
  </r>
  <r>
    <s v="Bodysuit | 0-3 | Light Pink"/>
  </r>
  <r>
    <s v="Bodysuit | 0-3 | Light Pink"/>
  </r>
  <r>
    <s v="Bodysuit | 0-3 | Light Pink"/>
  </r>
  <r>
    <s v="Bodysuit | 3-6 | Light Blue"/>
  </r>
  <r>
    <s v="Bodysuit | 3-6 | Light Blue"/>
  </r>
  <r>
    <s v="Bodysuit | 3-6 | Cream"/>
  </r>
  <r>
    <s v="Bodysuit | 3-6 | Light Pink"/>
  </r>
  <r>
    <s v="Bodysuit | 0-3 | Light Blue"/>
  </r>
  <r>
    <s v="Bodysuit | 0-3 | Light Pink"/>
  </r>
  <r>
    <s v="Bodysuit | 0-3 | Light Blue"/>
  </r>
  <r>
    <s v="Bodysuit | 3-6 | Light Pink"/>
  </r>
  <r>
    <s v="Bodysuit | 3-6 | Cream"/>
  </r>
  <r>
    <s v="Bodysuit | 3-6 | Light Blue"/>
  </r>
  <r>
    <s v="Bodysuit | 0-3 | Cream"/>
  </r>
  <r>
    <s v="Bodysuit | 3-6 | Cream"/>
  </r>
  <r>
    <s v="Bodysuit | 3-6 | Cream"/>
  </r>
  <r>
    <s v="Bodysuit | 3-6 | Light Blue"/>
  </r>
  <r>
    <s v="Bodysuit | 3-6 | Cream"/>
  </r>
  <r>
    <s v="Bodysuit | 3-6 | Cream"/>
  </r>
  <r>
    <s v="Bodysuit | 3-6 | Cream"/>
  </r>
  <r>
    <s v="Bodysuit | 3-6 | Light Blue"/>
  </r>
  <r>
    <s v="Bodysuit | 0-3 | Cream"/>
  </r>
  <r>
    <s v="Bodysuit | 3-6 | Cream"/>
  </r>
  <r>
    <s v="Bodysuit | 0-3 | Light Blue"/>
  </r>
  <r>
    <s v="Bodysuit | 0-3 | Light Blue"/>
  </r>
  <r>
    <s v="Bodysuit | 3-6 | Light Blue"/>
  </r>
  <r>
    <s v="Bodysuit | 3-6 | Light Pink"/>
  </r>
  <r>
    <s v="Bodysuit | 3-6 | Light Blue"/>
  </r>
  <r>
    <s v="Bodysuit | 3-6 | Light Blue"/>
  </r>
  <r>
    <s v="Bodysuit | 3-6 | Cream"/>
  </r>
  <r>
    <s v="Bodysuit | 0-3 | Cream"/>
  </r>
  <r>
    <s v="Bodysuit | 0-3 | Cream"/>
  </r>
  <r>
    <s v="Bodysuit | 0-3 | Cream"/>
  </r>
  <r>
    <s v="Bodysuit | 3-6 | Light Pink"/>
  </r>
  <r>
    <s v="Bodysuit | 0-3 | Cream"/>
  </r>
  <r>
    <s v="Bodysuit | 0-3 | Cream"/>
  </r>
  <r>
    <s v="Bodysuit | 3-6 | Light Blue"/>
  </r>
  <r>
    <s v="Bodysuit | 3-6 | Light Pink"/>
  </r>
  <r>
    <s v="Bodysuit | 3-6 | Cream"/>
  </r>
  <r>
    <s v="Bodysuit | 3-6 | Light Pink"/>
  </r>
  <r>
    <s v="Bodysuit | 0-3 | Light Blue"/>
  </r>
  <r>
    <s v="Bodysuit | 3-6 | Cream"/>
  </r>
  <r>
    <s v="Bodysuit | 3-6 | Light Blue"/>
  </r>
  <r>
    <s v="Bodysuit | 3-6 | Cream"/>
  </r>
  <r>
    <s v="Bodysuit | 0-3 | Light Blue"/>
  </r>
  <r>
    <s v="Bodysuit | 3-6 | Cream"/>
  </r>
  <r>
    <s v="Bodysuit | 3-6 | Cream"/>
  </r>
  <r>
    <s v="Bodysuit | 0-3 | Cream"/>
  </r>
  <r>
    <s v="Bodysuit | 0-3 | Light Blue"/>
  </r>
  <r>
    <s v="Bodysuit | 3-6 | Light Pink"/>
  </r>
  <r>
    <s v="Bodysuit | 0-3 | Light Blue"/>
  </r>
  <r>
    <s v="Bodysuit | 3-6 | Light Blue"/>
  </r>
  <r>
    <s v="Bodysuit | 0-3 | Light Blue"/>
  </r>
  <r>
    <s v="Bodysuit | 0-3 | Light Blue"/>
  </r>
  <r>
    <s v="Bodysuit | 0-3 | Cream"/>
  </r>
  <r>
    <s v="Bodysuit | 3-6 | Light Pink"/>
  </r>
  <r>
    <s v="Bodysuit | 3-6 | Light Pink"/>
  </r>
  <r>
    <s v="Bodysuit | 3-6 | Light Blue"/>
  </r>
  <r>
    <s v="Bodysuit | 3-6 | Light Pink"/>
  </r>
  <r>
    <s v="Bodysuit | 3-6 | Light Pink"/>
  </r>
  <r>
    <s v="Bodysuit | 0-3 | Light Blue"/>
  </r>
  <r>
    <s v="Bodysuit | 0-3 | Cream"/>
  </r>
  <r>
    <s v="Bodysuit | 3-6 | Light Pink"/>
  </r>
  <r>
    <s v="Bodysuit | 3-6 | Light Pink"/>
  </r>
  <r>
    <s v="Bodysuit | 0-3 | Light Blue"/>
  </r>
  <r>
    <s v="Bodysuit | 0-3 | Cream"/>
  </r>
  <r>
    <s v="Bodysuit | 3-6 | Light Pink"/>
  </r>
  <r>
    <s v="Bodysuit | 0-3 | Light Blue"/>
  </r>
  <r>
    <s v="Bodysuit | 0-3 | Light Pink"/>
  </r>
  <r>
    <s v="Bodysuit | 0-3 | Light Pink"/>
  </r>
  <r>
    <s v="Bodysuit | 0-3 | Cream"/>
  </r>
  <r>
    <s v="Bodysuit | 3-6 | Light Blue"/>
  </r>
  <r>
    <s v="Bodysuit | 3-6 | Cream"/>
  </r>
  <r>
    <s v="Bodysuit | 0-3 | Light Blue"/>
  </r>
  <r>
    <s v="Bodysuit | 0-3 | Light Blue"/>
  </r>
  <r>
    <s v="Bodysuit | 3-6 | Light Blue"/>
  </r>
  <r>
    <s v="Bodysuit | 3-6 | Light Pink"/>
  </r>
  <r>
    <s v="Bodysuit | 0-3 | Cream"/>
  </r>
  <r>
    <s v="Bodysuit | 0-3 | Cream"/>
  </r>
  <r>
    <s v="Bodysuit | 0-3 | Light Blue"/>
  </r>
  <r>
    <s v="Bodysuit | 3-6 | Light Pink"/>
  </r>
  <r>
    <s v="Romper Short | 6-12 | Cream"/>
  </r>
  <r>
    <s v="Romper Short | 6-12 | Cream"/>
  </r>
  <r>
    <s v="Romper Longer | 3-6 | Cream"/>
  </r>
  <r>
    <s v="Romper Longer | 3-6 | Watermelon"/>
  </r>
  <r>
    <s v="Romper Longer | 0-3 | Sage Green"/>
  </r>
  <r>
    <s v="Romper Longer | 0-3 | Dusty Pink"/>
  </r>
  <r>
    <s v="Romper Short | 0-3 | Forest Green"/>
  </r>
  <r>
    <s v="Romper Longer | 0-3 | Cream"/>
  </r>
  <r>
    <s v="Romper Longer | 0-3 | Mauve Taupe"/>
  </r>
  <r>
    <s v="Romper Short | 12-18 | Cream"/>
  </r>
  <r>
    <s v="Romper Short | 0-3 | Sage Green"/>
  </r>
  <r>
    <s v="Romper Longer | 6-12 | Forest Green"/>
  </r>
  <r>
    <s v="Romper Longer | 3-6 | Cream"/>
  </r>
  <r>
    <s v="Romper Longer | 3-6 | Cream"/>
  </r>
  <r>
    <s v="Romper Longer | 6-12 | Watermelon"/>
  </r>
  <r>
    <s v="Romper Short | 0-3 | Salmon"/>
  </r>
  <r>
    <s v="Romper Longer | 12-18 | Dusty Pink"/>
  </r>
  <r>
    <s v="Romper Short | 12-18 | Cream"/>
  </r>
  <r>
    <s v="Romper Short | 3-6 | Dusty Pink"/>
  </r>
  <r>
    <s v="Romper Short | 3-6 | Dusty Pink"/>
  </r>
  <r>
    <s v="Romper Longer | 6-12 | Coffee"/>
  </r>
  <r>
    <s v="Romper Short | 3-6 | Cream"/>
  </r>
  <r>
    <s v="Romper Longer | 3-6 | Coffee"/>
  </r>
  <r>
    <s v="Romper Longer | 12-18 | Forest Green"/>
  </r>
  <r>
    <s v="Romper Longer | 3-6 | Cream"/>
  </r>
  <r>
    <s v="Romper Longer | 3-6 | White"/>
  </r>
  <r>
    <s v="Romper Short | 0-3 | Cream"/>
  </r>
  <r>
    <s v="Romper Short | 6-12 | Dusty Pink"/>
  </r>
  <r>
    <s v="Romper Longer | 3-6 | Cream"/>
  </r>
  <r>
    <s v="Romper Short | 6-12 | Caldet Blue"/>
  </r>
  <r>
    <s v="Romper Longer | 3-6 | Cream"/>
  </r>
  <r>
    <s v="Romper Short | 18-24 | Caldet Blue"/>
  </r>
  <r>
    <s v="Romper Short | 0-3 | Sage Green"/>
  </r>
  <r>
    <s v="Romper Longer | 0-3 | Cream"/>
  </r>
  <r>
    <s v="Romper Short | 0-3 | Cream"/>
  </r>
  <r>
    <s v="Romper Longer | 6-12 | White"/>
  </r>
  <r>
    <s v="Romper Longer | 3-6 | White"/>
  </r>
  <r>
    <s v="Romper Short | 3-6 | Cream"/>
  </r>
  <r>
    <s v="Romper Longer | 0-3 | Cream"/>
  </r>
  <r>
    <s v="Romper Longer | 0-3 | Salmon"/>
  </r>
  <r>
    <s v="Romper Short | 3-6 | Cream"/>
  </r>
  <r>
    <s v="Romper Short | 3-6 | Cream"/>
  </r>
  <r>
    <s v="Romper Longer | 6-12 | Cream"/>
  </r>
  <r>
    <s v="Romper Longer | 3-6 | Caldet Blue"/>
  </r>
  <r>
    <s v="Romper Short | 0-3 | Cream"/>
  </r>
  <r>
    <s v="Romper Short | 0-3 | Cream"/>
  </r>
  <r>
    <s v="Romper Longer | 0-3 | Cream"/>
  </r>
  <r>
    <s v="Romper Short | 0-3 | Cream"/>
  </r>
  <r>
    <s v="Romper Short | 0-3 | Cream"/>
  </r>
  <r>
    <s v="Romper Short | 0-3 | Sage Green"/>
  </r>
  <r>
    <s v="Romper Short | 6-12 | White"/>
  </r>
  <r>
    <s v="Romper Longer | 12-18 | Cream"/>
  </r>
  <r>
    <s v="Romper Short | 0-3 | Cream"/>
  </r>
  <r>
    <s v="Romper Longer | 3-6 | Cream"/>
  </r>
  <r>
    <s v="Romper Longer | 0-3 | Cream"/>
  </r>
  <r>
    <s v="Romper Short | 0-3 | Dusty Pink"/>
  </r>
  <r>
    <s v="Romper Longer | 3-6 | Cream"/>
  </r>
  <r>
    <s v="Romper Longer | 0-3 | Cream"/>
  </r>
  <r>
    <s v="Romper Short | 0-3 | Dusty Pink"/>
  </r>
  <r>
    <s v="Romper Short | 3-6 | Cream"/>
  </r>
  <r>
    <s v="Romper Short | 3-6 | Caldet Blue"/>
  </r>
  <r>
    <s v="Romper Short | 0-3 | Cream"/>
  </r>
  <r>
    <s v="Romper Longer | 3-6 | White"/>
  </r>
  <r>
    <s v="Romper Longer | 0-3 | Caldet Blue"/>
  </r>
  <r>
    <s v="Romper Short | 0-3 | Sage Green"/>
  </r>
  <r>
    <s v="Romper Longer | 0-3 | Cream"/>
  </r>
  <r>
    <s v="Romper Longer | 0-3 | Cream"/>
  </r>
  <r>
    <s v="Romper Longer | 3-6 | Sage Green"/>
  </r>
  <r>
    <s v="Romper Short | 0-3 | Cream"/>
  </r>
  <r>
    <s v="Romper Short | 0-3 | Sage Green"/>
  </r>
  <r>
    <s v="Romper Longer | 0-3 | Cream"/>
  </r>
  <r>
    <s v="Romper Longer | 3-6 | Cream"/>
  </r>
  <r>
    <s v="Romper Longer | 0-3 | Cream"/>
  </r>
  <r>
    <s v="Romper Longer | 3-6 | Cream"/>
  </r>
  <r>
    <s v="Romper Longer | 0-3 | Forest Green"/>
  </r>
  <r>
    <s v="Romper Longer | 3-6 | Cream"/>
  </r>
  <r>
    <s v="Romper Longer | 6-12 | Cream"/>
  </r>
  <r>
    <s v="Romper Longer | 12-18 | Salmon"/>
  </r>
  <r>
    <s v="Romper Longer | 0-3 | Cream"/>
  </r>
  <r>
    <s v="Romper Longer | 0-3 | Cream"/>
  </r>
  <r>
    <s v="Romper Longer | 6-12 | Cream"/>
  </r>
  <r>
    <s v="Romper Short | 0-3 | Cream"/>
  </r>
  <r>
    <s v="Romper Longer | 12-18 | Watermelon"/>
  </r>
  <r>
    <s v="Romper Longer | 0-3 | Cream"/>
  </r>
  <r>
    <s v="Romper Longer | 0-3 | Dusty Pink"/>
  </r>
  <r>
    <s v="Romper Longer | 0-3 | Cream"/>
  </r>
  <r>
    <s v="Romper Longer | 6-12 | White"/>
  </r>
  <r>
    <s v="Romper Longer | 0-3 | Cream"/>
  </r>
  <r>
    <s v="Romper Short | 3-6 | Dusty Pink"/>
  </r>
  <r>
    <s v="Romper Short | 3-6 | Coffee"/>
  </r>
  <r>
    <s v="Romper Short | 0-3 | Cream"/>
  </r>
  <r>
    <s v="Romper Short | 0-3 | Cream"/>
  </r>
  <r>
    <s v="Romper Longer | 0-3 | Cream"/>
  </r>
  <r>
    <s v="Romper Longer | 6-12 | Cream"/>
  </r>
  <r>
    <s v="Romper Longer | 3-6 | Cream"/>
  </r>
  <r>
    <s v="Romper Short | 3-6 | Cream"/>
  </r>
  <r>
    <s v="Romper Short | 0-3 | Cream"/>
  </r>
  <r>
    <s v="Romper Longer | 12-18 | Salmon"/>
  </r>
  <r>
    <s v="Romper Longer | 3-6 | Cream"/>
  </r>
  <r>
    <s v="Romper Short | 0-3 | Cream"/>
  </r>
  <r>
    <s v="Romper Longer | 0-3 | Cream"/>
  </r>
  <r>
    <s v="Romper Short | 3-6 | Cream"/>
  </r>
  <r>
    <s v="Romper Longer | 3-6 | Sage Green"/>
  </r>
  <r>
    <s v="Romper Short | 0-3 | Cream"/>
  </r>
  <r>
    <s v="Romper Short | 3-6 | Dusty Pink"/>
  </r>
  <r>
    <s v="Romper Longer | 0-3 | Cream"/>
  </r>
  <r>
    <s v="Romper Short | 3-6 | Cream"/>
  </r>
  <r>
    <s v="Romper Longer | 3-6 | Cream"/>
  </r>
  <r>
    <s v="Romper Longer | 3-6 | Texas Orange"/>
  </r>
  <r>
    <s v="Romper Longer | 6-12 | Texas Orange"/>
  </r>
  <r>
    <s v="Romper Short | 0-3 | Cream"/>
  </r>
  <r>
    <s v="Romper Longer | 3-6 | Salmon"/>
  </r>
  <r>
    <s v="Romper Longer | 0-3 | Watermelon"/>
  </r>
  <r>
    <s v="Romper Short | 3-6 | Cream"/>
  </r>
  <r>
    <s v="Romper Short | 3-6 | Watermelon"/>
  </r>
  <r>
    <s v="Romper Short | 0-3 | Caldet Blue"/>
  </r>
  <r>
    <s v="Romper Longer | 6-12 | Cream"/>
  </r>
  <r>
    <s v="Romper Longer | 0-3 | Cream"/>
  </r>
  <r>
    <s v="Romper Short | 3-6 | Dusty Pink"/>
  </r>
  <r>
    <s v="Romper Longer | 18-24 | Cream"/>
  </r>
  <r>
    <s v="Romper Short | 0-3 | Cream"/>
  </r>
  <r>
    <s v="Romper Short | 0-3 | White"/>
  </r>
  <r>
    <s v="Romper Short | 0-3 | White"/>
  </r>
  <r>
    <s v="Romper Short | 3-6 | Cream"/>
  </r>
  <r>
    <s v="Romper Longer | 0-3 | Sage Green"/>
  </r>
  <r>
    <s v="Romper Longer | 6-12 | Coffee"/>
  </r>
  <r>
    <s v="Romper Longer | 0-3 | Dusty Pink"/>
  </r>
  <r>
    <s v="Romper Longer | 0-3 | Watermelon"/>
  </r>
  <r>
    <s v="Romper Longer | 3-6 | Cream"/>
  </r>
  <r>
    <s v="Romper Longer | 0-3 | Salmon"/>
  </r>
  <r>
    <s v="Romper Short | 0-3 | Cream"/>
  </r>
  <r>
    <s v="Romper Longer | 3-6 | Caldet Blue"/>
  </r>
  <r>
    <s v="Romper Longer | 3-6 | Cream"/>
  </r>
  <r>
    <s v="Romper Longer | 3-6 | Sage Green"/>
  </r>
  <r>
    <s v="Romper Longer | 0-3 | Cream"/>
  </r>
  <r>
    <s v="Romper Longer | 3-6 | Cream"/>
  </r>
  <r>
    <s v="Romper Longer | 3-6 | Cream"/>
  </r>
  <r>
    <s v="Romper Longer | 0-3 | Cream"/>
  </r>
  <r>
    <s v="Romper Longer | 0-3 | Cream"/>
  </r>
  <r>
    <s v="Romper Longer | 3-6 | Cream"/>
  </r>
  <r>
    <s v="Romper Longer | 0-3 | Cream"/>
  </r>
  <r>
    <s v="Romper Longer | 0-3 | Dusty Pink"/>
  </r>
  <r>
    <s v="Romper Short | 0-3 | Cream"/>
  </r>
  <r>
    <s v="Romper Short | 3-6 | Cream"/>
  </r>
  <r>
    <s v="Romper Longer | 3-6 | Forest Green"/>
  </r>
  <r>
    <s v="Romper Longer | 0-3 | Caldet Blue"/>
  </r>
  <r>
    <s v="Romper Longer | 0-3 | Watermelon"/>
  </r>
  <r>
    <s v="Romper Longer | 6-12 | Cream"/>
  </r>
  <r>
    <s v="Romper Short | 6-12 | Cream"/>
  </r>
  <r>
    <s v="Romper Longer | 3-6 | Sage Green"/>
  </r>
  <r>
    <s v="Romper Longer | 3-6 | Forest Green"/>
  </r>
  <r>
    <s v="Romper Short | 0-3 | Coffee"/>
  </r>
  <r>
    <s v="Romper Short | 0-3 | White"/>
  </r>
  <r>
    <s v="Romper Short | 0-3 | Cream"/>
  </r>
  <r>
    <s v="Romper Short | 0-3 | Cream"/>
  </r>
  <r>
    <s v="Romper Short | 0-3 | Cream"/>
  </r>
  <r>
    <s v="Romper Short | 0-3 | Cream"/>
  </r>
  <r>
    <s v="Romper Short | 0-3 | Cream"/>
  </r>
  <r>
    <s v="Romper Short | 0-3 | Cream"/>
  </r>
  <r>
    <s v="Romper Short | 0-3 | Dusty Pink"/>
  </r>
  <r>
    <s v="Romper Short | 0-3 | Caldet Blue"/>
  </r>
  <r>
    <s v="Romper Short | 0-3 | Sage Green"/>
  </r>
  <r>
    <s v="Romper Short | 0-3 | Cream"/>
  </r>
  <r>
    <s v="Romper Short | 0-3 | Cream"/>
  </r>
  <r>
    <s v="Romper Short | 0-3 | Cream"/>
  </r>
  <r>
    <s v="Romper Short | 0-3 | Cream"/>
  </r>
  <r>
    <s v="Romper Short | 0-3 | Texas Orange"/>
  </r>
  <r>
    <s v="Romper Short | 0-3 | Cream"/>
  </r>
  <r>
    <s v="Romper Short | 0-3 | Watermelon"/>
  </r>
  <r>
    <s v="Romper Short | 0-3 | Cream"/>
  </r>
  <r>
    <s v="Romper Short | 0-3 | Cream"/>
  </r>
  <r>
    <s v="Romper Short | 0-3 | Caldet Blue"/>
  </r>
  <r>
    <s v="Romper Longer | 6-12 | Cream"/>
  </r>
  <r>
    <s v="Romper Longer | 0-3 | Mauve Taupe"/>
  </r>
  <r>
    <s v="Romper Short | 3-6 | White"/>
  </r>
  <r>
    <s v="Romper Longer | 6-12 | Cream"/>
  </r>
  <r>
    <s v="Romper Longer | 0-3 | Coffee"/>
  </r>
  <r>
    <s v="Romper Longer | 6-12 | Caldet Blue"/>
  </r>
  <r>
    <s v="Romper Longer | 3-6 | Cream"/>
  </r>
  <r>
    <s v="Romper Longer | 3-6 | Cream"/>
  </r>
  <r>
    <s v="Romper Longer | 3-6 | Cream"/>
  </r>
  <r>
    <s v="Romper Longer | 6-12 | Sage Green"/>
  </r>
  <r>
    <s v="Romper Longer | 0-3 | Cream"/>
  </r>
  <r>
    <s v="Romper Short | 3-6 | Cream"/>
  </r>
  <r>
    <s v="Romper Longer | 0-3 | White"/>
  </r>
  <r>
    <s v="Romper Longer | 0-3 | Cream"/>
  </r>
  <r>
    <s v="Romper Longer | 6-12 | Cream"/>
  </r>
  <r>
    <s v="Romper Short | 0-3 | Cream"/>
  </r>
  <r>
    <s v="Romper Longer | 0-3 | Cream"/>
  </r>
  <r>
    <s v="Romper Longer | 0-3 | Cream"/>
  </r>
  <r>
    <s v="Romper Longer | 0-3 | Cream"/>
  </r>
  <r>
    <s v="Romper Longer | 3-6 | Caldet Blue"/>
  </r>
  <r>
    <s v="Romper Longer | 0-3 | Cream"/>
  </r>
  <r>
    <s v="Romper Longer | 3-6 | Sage Green"/>
  </r>
  <r>
    <s v="Romper Longer | 0-3 | Cream"/>
  </r>
  <r>
    <s v="Romper Longer | 0-3 | Cream"/>
  </r>
  <r>
    <s v="Romper Longer | 0-3 | Cream"/>
  </r>
  <r>
    <s v="Romper Longer | 3-6 | Cream"/>
  </r>
  <r>
    <s v="Romper Longer | 3-6 | Cream"/>
  </r>
  <r>
    <s v="Romper Longer | 3-6 | Cream"/>
  </r>
  <r>
    <s v="Romper Longer | 3-6 | Sage Green"/>
  </r>
  <r>
    <s v="Romper Longer | 0-3 | Salmon"/>
  </r>
  <r>
    <s v="Romper Longer | 6-12 | Cream"/>
  </r>
  <r>
    <s v="Romper Longer | 12-18 | Salmon"/>
  </r>
  <r>
    <s v="Romper Longer | 3-6 | Cream"/>
  </r>
  <r>
    <s v="Romper Longer | 3-6 | Forest Green"/>
  </r>
  <r>
    <s v="Romper Longer | 0-3 | Cream"/>
  </r>
  <r>
    <s v="Romper Short | 0-3 | Cream"/>
  </r>
  <r>
    <s v="Romper Longer | 3-6 | Dusty Pink"/>
  </r>
  <r>
    <s v="Romper Short | 3-6 | Watermelon"/>
  </r>
  <r>
    <s v="Romper Longer | 0-3 | Cream"/>
  </r>
  <r>
    <s v="Romper Longer | 0-3 | Sage Green"/>
  </r>
  <r>
    <s v="Romper Longer | 3-6 | Cream"/>
  </r>
  <r>
    <s v="Romper Longer | 3-6 | Sage Green"/>
  </r>
  <r>
    <s v="Romper Short | 3-6 | Watermelon"/>
  </r>
  <r>
    <s v="Romper Short | 0-3 | Dusty Pink"/>
  </r>
  <r>
    <s v="Romper Longer | 3-6 | White"/>
  </r>
  <r>
    <s v="Romper Longer | 0-3 | Cream"/>
  </r>
  <r>
    <s v="Romper Longer | 0-3 | Cream"/>
  </r>
  <r>
    <s v="Romper Short | 3-6 | Caldet Blue"/>
  </r>
  <r>
    <s v="Romper Longer | 0-3 | Cream"/>
  </r>
  <r>
    <s v="Romper Longer | 0-3 | Cream"/>
  </r>
  <r>
    <s v="Romper Short | 0-3 | White"/>
  </r>
  <r>
    <s v="Romper Longer | 0-3 | Cream"/>
  </r>
  <r>
    <s v="Romper Longer | 0-3 | Cream"/>
  </r>
  <r>
    <s v="Romper Short | 3-6 | Caldet Blue"/>
  </r>
  <r>
    <s v="Romper Longer | 3-6 | Cream"/>
  </r>
  <r>
    <s v="Romper Longer | 12-18 | Cream"/>
  </r>
  <r>
    <s v="Romper Longer | 12-18 | Mauve Taupe"/>
  </r>
  <r>
    <s v="Romper Longer | 12-18 | Caldet Blue"/>
  </r>
  <r>
    <s v="Romper Longer | 12-18 | Sage Green"/>
  </r>
  <r>
    <s v="Romper Longer | 0-3 | Cream"/>
  </r>
  <r>
    <s v="Romper Short | 6-12 | Cream"/>
  </r>
  <r>
    <s v="Romper Longer | 0-3 | Caldet Blue"/>
  </r>
  <r>
    <s v="Romper Longer | 3-6 | Cream"/>
  </r>
  <r>
    <s v="Romper Short | 3-6 | Cream"/>
  </r>
  <r>
    <s v="Romper Short | 6-12 | Salmon"/>
  </r>
  <r>
    <s v="Romper Longer | 0-3 | Salmon"/>
  </r>
  <r>
    <s v="Romper Longer | 3-6 | Cream"/>
  </r>
  <r>
    <s v="Romper Short | 3-6 | Cream"/>
  </r>
  <r>
    <s v="Romper Longer | 3-6 | Dusty Pink"/>
  </r>
  <r>
    <s v="Romper Longer | 3-6 | Coffee"/>
  </r>
  <r>
    <s v="Romper Longer | 6-12 | Cream"/>
  </r>
  <r>
    <s v="Romper Longer | 6-12 | Cream"/>
  </r>
  <r>
    <s v="Romper Short | 6-12 | Cream"/>
  </r>
  <r>
    <s v="Romper Longer | 0-3 | Caldet Blue"/>
  </r>
  <r>
    <s v="Romper Longer | 0-3 | Cream"/>
  </r>
  <r>
    <s v="Romper Short | 3-6 | Cream"/>
  </r>
  <r>
    <s v="Romper Short | 3-6 | Cream"/>
  </r>
  <r>
    <s v="Romper Longer | 0-3 | Cream"/>
  </r>
  <r>
    <s v="Romper Longer | 0-3 | Cream"/>
  </r>
  <r>
    <s v="Romper Longer | 6-12 | Forest Green"/>
  </r>
  <r>
    <s v="Romper Longer | 3-6 | Cream"/>
  </r>
  <r>
    <s v="Romper Short | 0-3 | Cream"/>
  </r>
  <r>
    <s v="Romper Longer | 3-6 | Cream"/>
  </r>
  <r>
    <s v="Romper Longer | 3-6 | Cream"/>
  </r>
  <r>
    <s v="Romper Longer | 3-6 | Cream"/>
  </r>
  <r>
    <s v="Romper Longer | 0-3 | Dusty Pink"/>
  </r>
  <r>
    <s v="Romper Longer | 3-6 | Forest Green"/>
  </r>
  <r>
    <s v="Romper Short | 0-3 | Cream"/>
  </r>
  <r>
    <s v="Romper Longer | 0-3 | Cream"/>
  </r>
  <r>
    <s v="Romper Longer | 6-12 | Caldet Blue"/>
  </r>
  <r>
    <s v="Romper Longer | 6-12 | Mauve Taupe"/>
  </r>
  <r>
    <s v="Romper Longer | 6-12 | Dusty Pink"/>
  </r>
  <r>
    <s v="Romper Longer | 0-3 | Cream"/>
  </r>
  <r>
    <s v="Romper Longer | 6-12 | Cream"/>
  </r>
  <r>
    <s v="Romper Longer | 6-12 | Cream"/>
  </r>
  <r>
    <s v="Romper Longer | 0-3 | Forest Green"/>
  </r>
  <r>
    <s v="Romper Longer | 0-3 | Cream"/>
  </r>
  <r>
    <s v="Romper Longer | 3-6 | Watermelon"/>
  </r>
  <r>
    <s v="Romper Longer | 0-3 | Cream"/>
  </r>
  <r>
    <s v="Romper Longer | 12-18 | Forest Green"/>
  </r>
  <r>
    <s v="Romper Short | 3-6 | Cream"/>
  </r>
  <r>
    <s v="Romper Longer | 6-12 | Cream"/>
  </r>
  <r>
    <s v="Romper Longer | 3-6 | Cream"/>
  </r>
  <r>
    <s v="Romper Short | 6-12 | Sage Green"/>
  </r>
  <r>
    <s v="Romper Short | 12-18 | Coffee"/>
  </r>
  <r>
    <s v="Romper Longer | 6-12 | White"/>
  </r>
  <r>
    <s v="Romper Longer | 0-3 | Forest Green"/>
  </r>
  <r>
    <s v="Romper Longer | 0-3 | Cream"/>
  </r>
  <r>
    <s v="Romper Short | 6-12 | Cream"/>
  </r>
  <r>
    <s v="Romper Short | 0-3 | Cream"/>
  </r>
  <r>
    <s v="Romper Longer | 6-12 | Coffee"/>
  </r>
  <r>
    <s v="Romper Longer | 3-6 | Cream"/>
  </r>
  <r>
    <s v="Romper Short | 3-6 | Coffee"/>
  </r>
  <r>
    <s v="Romper Longer | 3-6 | Caldet Blue"/>
  </r>
  <r>
    <s v="Romper Longer | 0-3 | Caldet Blue"/>
  </r>
  <r>
    <s v="Romper Short | 0-3 | Cream"/>
  </r>
  <r>
    <s v="Romper Longer | 0-3 | Cream"/>
  </r>
  <r>
    <s v="Romper Longer | 0-3 | Watermelon"/>
  </r>
  <r>
    <s v="Romper Longer | 6-12 | Sage Green"/>
  </r>
  <r>
    <s v="Romper Longer | 6-12 | Cream"/>
  </r>
  <r>
    <s v="Romper Short | 0-3 | Texas Orange"/>
  </r>
  <r>
    <s v="Romper Longer | 3-6 | Forest Green"/>
  </r>
  <r>
    <s v="Romper Short | 6-12 | Caldet Blue"/>
  </r>
  <r>
    <s v="Romper Longer | 3-6 | Cream"/>
  </r>
  <r>
    <s v="Romper Longer | 6-12 | Cream"/>
  </r>
  <r>
    <s v="Romper Longer | 3-6 | Cream"/>
  </r>
  <r>
    <s v="Romper Longer | 3-6 | Sage Green"/>
  </r>
  <r>
    <s v="Romper Longer | 3-6 | Texas Orange"/>
  </r>
  <r>
    <s v="Romper Longer | 3-6 | Sage Green"/>
  </r>
  <r>
    <s v="Romper Short | 0-3 | Dusty Pink"/>
  </r>
  <r>
    <s v="Romper Longer | 0-3 | Cream"/>
  </r>
  <r>
    <s v="Romper Longer | 12-18 | Salmon"/>
  </r>
  <r>
    <s v="Romper Longer | 12-18 | Dusty Pink"/>
  </r>
  <r>
    <s v="Romper Longer | 0-3 | Cream"/>
  </r>
  <r>
    <s v="Romper Longer | 3-6 | White"/>
  </r>
  <r>
    <s v="Romper Short | 0-3 | Cream"/>
  </r>
  <r>
    <s v="Romper Short | 0-3 | Cream"/>
  </r>
  <r>
    <s v="Romper Longer | 0-3 | Dusty Pink"/>
  </r>
  <r>
    <s v="Romper Longer | 3-6 | Coffee"/>
  </r>
  <r>
    <s v="Romper Longer | 0-3 | Caldet Blue"/>
  </r>
  <r>
    <s v="Romper Short | 0-3 | Cream"/>
  </r>
  <r>
    <s v="Romper Short | 0-3 | Cream"/>
  </r>
  <r>
    <s v="Romper Short | 0-3 | Cream"/>
  </r>
  <r>
    <s v="Romper Longer | 0-3 | Forest Green"/>
  </r>
  <r>
    <s v="Romper Short | 6-12 | Mauve Taupe"/>
  </r>
  <r>
    <s v="Romper Longer | 0-3 | Forest Green"/>
  </r>
  <r>
    <s v="Romper Longer | 18-24 | Coffee"/>
  </r>
  <r>
    <s v="Romper Short | 3-6 | Cream"/>
  </r>
  <r>
    <s v="Romper Short | 3-6 | Cream"/>
  </r>
  <r>
    <s v="Romper Short | 3-6 | Cream"/>
  </r>
  <r>
    <s v="Romper Longer | 6-12 | Cream"/>
  </r>
  <r>
    <s v="Romper Short | 6-12 | Cream"/>
  </r>
  <r>
    <s v="Romper Longer | 0-3 | Dusty Pink"/>
  </r>
  <r>
    <s v="Romper Longer | 3-6 | Sage Green"/>
  </r>
  <r>
    <s v="Romper Longer | 0-3 | Cream"/>
  </r>
  <r>
    <s v="Romper Longer | 3-6 | Cream"/>
  </r>
  <r>
    <s v="Romper Longer | 0-3 | Sage Green"/>
  </r>
  <r>
    <s v="Romper Longer | 0-3 | Coffee"/>
  </r>
  <r>
    <s v="Romper Longer | 3-6 | Watermelon"/>
  </r>
  <r>
    <s v="Romper Short | 3-6 | Cream"/>
  </r>
  <r>
    <s v="Romper Longer | 6-12 | Coffee"/>
  </r>
  <r>
    <s v="Romper Longer | 0-3 | Cream"/>
  </r>
  <r>
    <s v="Romper Longer | 3-6 | Cream"/>
  </r>
  <r>
    <s v="Romper Longer | 3-6 | White"/>
  </r>
  <r>
    <s v="Romper Longer | 0-3 | Cream"/>
  </r>
  <r>
    <s v="Romper Short | 3-6 | Mauve Taupe"/>
  </r>
  <r>
    <s v="Romper Short | 3-6 | Cream"/>
  </r>
  <r>
    <s v="Romper Longer | 0-3 | Dusty Pink"/>
  </r>
  <r>
    <s v="Romper Longer | 6-12 | Cream"/>
  </r>
  <r>
    <s v="Romper Longer | 0-3 | Cream"/>
  </r>
  <r>
    <s v="Romper Short | 3-6 | Cream"/>
  </r>
  <r>
    <s v="Romper Short | 3-6 | Dusty Pink"/>
  </r>
  <r>
    <s v="Romper Short | 0-3 | White"/>
  </r>
  <r>
    <s v="Romper Longer | 0-3 | Watermelon"/>
  </r>
  <r>
    <s v="Romper Longer | 0-3 | White"/>
  </r>
  <r>
    <s v="Romper Longer | 0-3 | Cream"/>
  </r>
  <r>
    <s v="Romper Longer | 0-3 | Cream"/>
  </r>
  <r>
    <s v="Romper Longer | 6-12 | Watermelon"/>
  </r>
  <r>
    <s v="Romper Longer | 6-12 | Caldet Blue"/>
  </r>
  <r>
    <s v="Romper Longer | 0-3 | Sage Green"/>
  </r>
  <r>
    <s v="Romper Longer | 3-6 | Cream"/>
  </r>
  <r>
    <s v="Romper Longer | 6-12 | Cream"/>
  </r>
  <r>
    <s v="Romper Longer | 0-3 | Cream"/>
  </r>
  <r>
    <s v="Romper Longer | 3-6 | Caldet Blue"/>
  </r>
  <r>
    <s v="Romper Short | 3-6 | Cream"/>
  </r>
  <r>
    <s v="Romper Longer | 6-12 | Salmon"/>
  </r>
  <r>
    <s v="Romper Longer | 3-6 | Cream"/>
  </r>
  <r>
    <s v="Romper Longer | 0-3 | Coffee"/>
  </r>
  <r>
    <s v="Romper Longer | 12-18 | Sage Green"/>
  </r>
  <r>
    <s v="Romper Longer | 0-3 | Cream"/>
  </r>
  <r>
    <s v="Romper Short | 0-3 | White"/>
  </r>
  <r>
    <s v="Romper Short | 0-3 | Cream"/>
  </r>
  <r>
    <s v="Romper Short | 12-18 | Cream"/>
  </r>
  <r>
    <s v="Romper Short | 0-3 | Cream"/>
  </r>
  <r>
    <s v="Romper Longer | 12-18 | Texas Orange"/>
  </r>
  <r>
    <s v="Romper Short | 3-6 | Cream"/>
  </r>
  <r>
    <s v="Romper Longer | 3-6 | Salmon"/>
  </r>
  <r>
    <s v="Romper Longer | 6-12 | Cream"/>
  </r>
  <r>
    <s v="Romper Short | 0-3 | White"/>
  </r>
  <r>
    <s v="Romper Longer | 0-3 | Watermelon"/>
  </r>
  <r>
    <s v="Romper Longer | 0-3 | Sage Green"/>
  </r>
  <r>
    <s v="Romper Short | 0-3 | Caldet Blue"/>
  </r>
  <r>
    <s v="Romper Longer | 3-6 | Cream"/>
  </r>
  <r>
    <s v="Romper Longer | 3-6 | Watermelon"/>
  </r>
  <r>
    <s v="Romper Longer | 0-3 | Cream"/>
  </r>
  <r>
    <s v="Romper Longer | 0-3 | Cream"/>
  </r>
  <r>
    <s v="Romper Short | 3-6 | Cream"/>
  </r>
  <r>
    <s v="Romper Longer | 3-6 | Cream"/>
  </r>
  <r>
    <s v="Romper Longer | 0-3 | Dusty Pink"/>
  </r>
  <r>
    <s v="Romper Longer | 3-6 | Cream"/>
  </r>
  <r>
    <s v="Romper Longer | 0-3 | Cream"/>
  </r>
  <r>
    <s v="Romper Longer | 0-3 | Cream"/>
  </r>
  <r>
    <s v="Romper Short | 6-12 | Coffee"/>
  </r>
  <r>
    <s v="Romper Longer | 3-6 | Cream"/>
  </r>
  <r>
    <s v="Romper Longer | 3-6 | Texas Orange"/>
  </r>
  <r>
    <s v="Romper Short | 3-6 | Caldet Blue"/>
  </r>
  <r>
    <s v="Romper Longer | 12-18 | Sage Green"/>
  </r>
  <r>
    <s v="Romper Longer | 3-6 | Mauve Taupe"/>
  </r>
  <r>
    <s v="Romper Longer | 0-3 | Forest Green"/>
  </r>
  <r>
    <s v="Romper Short | 6-12 | Cream"/>
  </r>
  <r>
    <s v="Romper Short | 12-18 | Cream"/>
  </r>
  <r>
    <s v="Romper Longer | 12-18 | Watermelon"/>
  </r>
  <r>
    <s v="Romper Short | 0-3 | Cream"/>
  </r>
  <r>
    <s v="Romper Longer | 6-12 | Dusty Pink"/>
  </r>
  <r>
    <s v="Romper Longer | 0-3 | Cream"/>
  </r>
  <r>
    <s v="Romper Longer | 0-3 | Caldet Blue"/>
  </r>
  <r>
    <s v="Romper Longer | 3-6 | Cream"/>
  </r>
  <r>
    <s v="Romper Longer | 6-12 | Watermelon"/>
  </r>
  <r>
    <s v="Romper Short | 3-6 | Cream"/>
  </r>
  <r>
    <s v="Romper Longer | 0-3 | Cream"/>
  </r>
  <r>
    <s v="Romper Longer | 0-3 | Cream"/>
  </r>
  <r>
    <s v="Romper Short | 6-12 | Caldet Blue"/>
  </r>
  <r>
    <s v="Romper Longer | 0-3 | Dusty Pink"/>
  </r>
  <r>
    <s v="Romper Short | 3-6 | White"/>
  </r>
  <r>
    <s v="Romper Longer | 3-6 | Dusty Pink"/>
  </r>
  <r>
    <s v="Romper Longer | 6-12 | Caldet Blue"/>
  </r>
  <r>
    <s v="Romper Longer | 0-3 | Texas Orange"/>
  </r>
  <r>
    <s v="Romper Short | 0-3 | White"/>
  </r>
  <r>
    <s v="Romper Short | 0-3 | Cream"/>
  </r>
  <r>
    <s v="Romper Longer | 3-6 | Coffee"/>
  </r>
  <r>
    <s v="Romper Longer | 3-6 | Cream"/>
  </r>
  <r>
    <s v="Romper Longer | 6-12 | Cream"/>
  </r>
  <r>
    <s v="Romper Longer | 12-18 | Mauve Taupe"/>
  </r>
  <r>
    <s v="Romper Longer | 3-6 | Salmon"/>
  </r>
  <r>
    <s v="Romper Longer | 0-3 | Cream"/>
  </r>
  <r>
    <s v="Romper Longer | 3-6 | White"/>
  </r>
  <r>
    <s v="Romper Short | 3-6 | White"/>
  </r>
  <r>
    <s v="Romper Longer | 3-6 | Cream"/>
  </r>
  <r>
    <s v="Romper Longer | 3-6 | Caldet Blue"/>
  </r>
  <r>
    <s v="Romper Longer | 0-3 | Cream"/>
  </r>
  <r>
    <s v="Romper Longer | 6-12 | Cream"/>
  </r>
  <r>
    <s v="Romper Longer | 3-6 | Coffee"/>
  </r>
  <r>
    <s v="Romper Longer | 6-12 | Cream"/>
  </r>
  <r>
    <s v="Romper Short | 0-3 | Cream"/>
  </r>
  <r>
    <s v="Romper Short | 12-18 | Watermelon"/>
  </r>
  <r>
    <s v="Romper Short | 3-6 | White"/>
  </r>
  <r>
    <s v="Romper Longer | 0-3 | Cream"/>
  </r>
  <r>
    <s v="Romper Short | 3-6 | Cream"/>
  </r>
  <r>
    <s v="Romper Short | 3-6 | Cream"/>
  </r>
  <r>
    <s v="Romper Longer | 3-6 | Cream"/>
  </r>
  <r>
    <s v="Romper Longer | 0-3 | Cream"/>
  </r>
  <r>
    <s v="Romper Short | 0-3 | Cream"/>
  </r>
  <r>
    <s v="Romper Longer | 0-3 | Cream"/>
  </r>
  <r>
    <s v="Romper Longer | 3-6 | Watermelon"/>
  </r>
  <r>
    <s v="Romper Longer | 6-12 | Mauve Taupe"/>
  </r>
  <r>
    <s v="Romper Short | 6-12 | Forest Green"/>
  </r>
  <r>
    <s v="Romper Short | 18-24 | Cream"/>
  </r>
  <r>
    <s v="Romper Longer | 0-3 | Cream"/>
  </r>
  <r>
    <s v="Romper Short | 0-3 | Cream"/>
  </r>
  <r>
    <s v="Romper Longer | 6-12 | Dusty Pink"/>
  </r>
  <r>
    <s v="Romper Short | 3-6 | Cream"/>
  </r>
  <r>
    <s v="Romper Short | 0-3 | Cream"/>
  </r>
  <r>
    <s v="Romper Longer | 3-6 | Cream"/>
  </r>
  <r>
    <s v="Romper Longer | 0-3 | Coffee"/>
  </r>
  <r>
    <s v="Romper Longer | 0-3 | Caldet Blue"/>
  </r>
  <r>
    <s v="Romper Longer | 3-6 | Cream"/>
  </r>
  <r>
    <s v="Romper Longer | 6-12 | Dusty Pink"/>
  </r>
  <r>
    <s v="Romper Short | 6-12 | Salmon"/>
  </r>
  <r>
    <s v="Romper Longer | 0-3 | Cream"/>
  </r>
  <r>
    <s v="Romper Short | 6-12 | Cream"/>
  </r>
  <r>
    <s v="Romper Longer | 0-3 | Sage Green"/>
  </r>
  <r>
    <s v="Romper Longer | 12-18 | White"/>
  </r>
  <r>
    <s v="Romper Short | 0-3 | Cream"/>
  </r>
  <r>
    <s v="Romper Longer | 0-3 | White"/>
  </r>
  <r>
    <s v="Romper Short | 6-12 | Caldet Blue"/>
  </r>
  <r>
    <s v="Romper Longer | 12-18 | Cream"/>
  </r>
  <r>
    <s v="Romper Longer | 3-6 | Cream"/>
  </r>
  <r>
    <s v="Romper Short | 3-6 | Cream"/>
  </r>
  <r>
    <s v="Romper Longer | 3-6 | Sage Green"/>
  </r>
  <r>
    <s v="Romper Short | 6-12 | Cream"/>
  </r>
  <r>
    <s v="Romper Short | 0-3 | Cream"/>
  </r>
  <r>
    <s v="Romper Longer | 3-6 | Cream"/>
  </r>
  <r>
    <s v="Romper Short | 3-6 | Watermelon"/>
  </r>
  <r>
    <s v="Romper Longer | 3-6 | Dusty Pink"/>
  </r>
  <r>
    <s v="Romper Longer | 3-6 | Mauve Taupe"/>
  </r>
  <r>
    <s v="Romper Longer | 0-3 | Sage Green"/>
  </r>
  <r>
    <s v="Romper Longer | 0-3 | Cream"/>
  </r>
  <r>
    <s v="Romper Short | 3-6 | White"/>
  </r>
  <r>
    <s v="Romper Longer | 3-6 | Coffee"/>
  </r>
  <r>
    <s v="Romper Short | 3-6 | Cream"/>
  </r>
  <r>
    <s v="Romper Longer | 12-18 | Watermelon"/>
  </r>
  <r>
    <s v="Romper Longer | 6-12 | White"/>
  </r>
  <r>
    <s v="Romper Longer | 6-12 | Sage Green"/>
  </r>
  <r>
    <s v="Romper Longer | 0-3 | Cream"/>
  </r>
  <r>
    <s v="Romper Longer | 18-24 | Cream"/>
  </r>
  <r>
    <s v="Romper Longer | 6-12 | Cream"/>
  </r>
  <r>
    <s v="Romper Longer | 0-3 | Cream"/>
  </r>
  <r>
    <s v="Romper Longer | 0-3 | Cream"/>
  </r>
  <r>
    <s v="Romper Short | 18-24 | White"/>
  </r>
  <r>
    <s v="Romper Longer | 0-3 | Forest Green"/>
  </r>
  <r>
    <s v="Romper Longer | 0-3 | Cream"/>
  </r>
  <r>
    <s v="Romper Short | 3-6 | Cream"/>
  </r>
  <r>
    <s v="Romper Longer | 0-3 | Dusty Pink"/>
  </r>
  <r>
    <s v="Romper Longer | 0-3 | Cream"/>
  </r>
  <r>
    <s v="Romper Longer | 0-3 | Caldet Blue"/>
  </r>
  <r>
    <s v="Romper Longer | 18-24 | Cream"/>
  </r>
  <r>
    <s v="Romper Short | 6-12 | Caldet Blue"/>
  </r>
  <r>
    <s v="Romper Longer | 3-6 | Coffee"/>
  </r>
  <r>
    <s v="Romper Longer | 0-3 | Forest Green"/>
  </r>
  <r>
    <s v="Romper Longer | 12-18 | Texas Orange"/>
  </r>
  <r>
    <s v="Romper Longer | 0-3 | Cream"/>
  </r>
  <r>
    <s v="Romper Longer | 6-12 | Cream"/>
  </r>
  <r>
    <s v="Romper Short | 3-6 | Cream"/>
  </r>
  <r>
    <s v="Romper Short | 0-3 | White"/>
  </r>
  <r>
    <s v="Romper Longer | 3-6 | Cream"/>
  </r>
  <r>
    <s v="Romper Longer | 3-6 | Caldet Blue"/>
  </r>
  <r>
    <s v="Romper Longer | 0-3 | Sage Green"/>
  </r>
  <r>
    <s v="Romper Longer | 0-3 | Cream"/>
  </r>
  <r>
    <s v="Romper Longer | 6-12 | Caldet Blue"/>
  </r>
  <r>
    <s v="Romper Longer | 3-6 | Cream"/>
  </r>
  <r>
    <s v="Romper Short | 3-6 | Cream"/>
  </r>
  <r>
    <s v="Romper Longer | 6-12 | Caldet Blue"/>
  </r>
  <r>
    <s v="Romper Longer | 3-6 | Cream"/>
  </r>
  <r>
    <s v="Romper Longer | 18-24 | Cream"/>
  </r>
  <r>
    <s v="Romper Short | 3-6 | Cream"/>
  </r>
  <r>
    <s v="Romper Longer | 12-18 | Cream"/>
  </r>
  <r>
    <s v="Romper Short | 12-18 | Sage Green"/>
  </r>
  <r>
    <s v="Romper Longer | 3-6 | Cream"/>
  </r>
  <r>
    <s v="Romper Short | 0-3 | Cream"/>
  </r>
  <r>
    <s v="Romper Longer | 0-3 | Cream"/>
  </r>
  <r>
    <s v="Romper Longer | 3-6 | Cream"/>
  </r>
  <r>
    <s v="Romper Short | 6-12 | Sage Green"/>
  </r>
  <r>
    <s v="Romper Short | 0-3 | Cream"/>
  </r>
  <r>
    <s v="Romper Longer | 0-3 | Caldet Blue"/>
  </r>
  <r>
    <s v="Romper Short | 3-6 | Cream"/>
  </r>
  <r>
    <s v="Romper Longer | 0-3 | Cream"/>
  </r>
  <r>
    <s v="Romper Longer | 3-6 | White"/>
  </r>
  <r>
    <s v="Romper Longer | 0-3 | Cream"/>
  </r>
  <r>
    <s v="Romper Short | 0-3 | Sage Green"/>
  </r>
  <r>
    <s v="Romper Longer | 3-6 | White"/>
  </r>
  <r>
    <s v="Romper Short | 0-3 | Forest Green"/>
  </r>
  <r>
    <s v="Romper Short | 6-12 | Sage Green"/>
  </r>
  <r>
    <s v="Romper Longer | 3-6 | Cream"/>
  </r>
  <r>
    <s v="Romper Longer | 0-3 | Cream"/>
  </r>
  <r>
    <s v="Romper Longer | 0-3 | Cream"/>
  </r>
  <r>
    <s v="Romper Short | 6-12 | Cream"/>
  </r>
  <r>
    <s v="Romper Longer | 6-12 | White"/>
  </r>
  <r>
    <s v="Romper Longer | 3-6 | Caldet Blue"/>
  </r>
  <r>
    <s v="Romper Longer | 12-18 | Watermelon"/>
  </r>
  <r>
    <s v="Romper Longer | 3-6 | White"/>
  </r>
  <r>
    <s v="Romper Longer | 3-6 | White"/>
  </r>
  <r>
    <s v="Romper Longer | 12-18 | Caldet Blue"/>
  </r>
  <r>
    <s v="Romper Short | 3-6 | Cream"/>
  </r>
  <r>
    <s v="Romper Longer | 3-6 | Cream"/>
  </r>
  <r>
    <s v="Romper Longer | 3-6 | Caldet Blue"/>
  </r>
  <r>
    <s v="Romper Short | 3-6 | Sage Green"/>
  </r>
  <r>
    <s v="Romper Longer | 6-12 | Sage Green"/>
  </r>
  <r>
    <s v="Romper Short | 0-3 | Cream"/>
  </r>
  <r>
    <s v="Romper Short | 3-6 | Coffee"/>
  </r>
  <r>
    <s v="Romper Short | 3-6 | Cream"/>
  </r>
  <r>
    <s v="Romper Longer | 6-12 | Cream"/>
  </r>
  <r>
    <s v="Romper Longer | 6-12 | Watermelon"/>
  </r>
  <r>
    <s v="Romper Longer | 0-3 | Cream"/>
  </r>
  <r>
    <s v="Romper Longer | 3-6 | Cream"/>
  </r>
  <r>
    <s v="Romper Longer | 0-3 | Cream"/>
  </r>
  <r>
    <s v="Romper Longer | 3-6 | Texas Orange"/>
  </r>
  <r>
    <s v="Romper Longer | 12-18 | Cream"/>
  </r>
  <r>
    <s v="Romper Longer | 0-3 | White"/>
  </r>
  <r>
    <s v="Romper Longer | 0-3 | Cream"/>
  </r>
  <r>
    <s v="Romper Longer | 3-6 | Cream"/>
  </r>
  <r>
    <s v="Romper Longer | 3-6 | Texas Orange"/>
  </r>
  <r>
    <s v="Romper Longer | 3-6 | Sage Green"/>
  </r>
  <r>
    <s v="Romper Longer | 0-3 | Cream"/>
  </r>
  <r>
    <s v="Romper Longer | 0-3 | Forest Green"/>
  </r>
  <r>
    <s v="Romper Longer | 0-3 | Sage Green"/>
  </r>
  <r>
    <s v="Romper Short | 0-3 | Cream"/>
  </r>
  <r>
    <s v="Romper Short | 0-3 | Cream"/>
  </r>
  <r>
    <s v="Romper Short | 3-6 | Dusty Pink"/>
  </r>
  <r>
    <s v="Romper Longer | 0-3 | Mauve Taupe"/>
  </r>
  <r>
    <s v="Romper Longer | 3-6 | Dusty Pink"/>
  </r>
  <r>
    <s v="Romper Longer | 0-3 | Cream"/>
  </r>
  <r>
    <s v="Romper Short | 3-6 | Caldet Blue"/>
  </r>
  <r>
    <s v="Romper Short | 12-18 | Cream"/>
  </r>
  <r>
    <s v="Romper Longer | 3-6 | Coffee"/>
  </r>
  <r>
    <s v="Romper Longer | 3-6 | Sage Green"/>
  </r>
  <r>
    <s v="Romper Longer | 3-6 | Cream"/>
  </r>
  <r>
    <s v="Romper Longer | 12-18 | Cream"/>
  </r>
  <r>
    <s v="Romper Longer | 0-3 | Caldet Blue"/>
  </r>
  <r>
    <s v="Romper Longer | 3-6 | Coffee"/>
  </r>
  <r>
    <s v="Romper Longer | 0-3 | Sage Green"/>
  </r>
  <r>
    <s v="Romper Longer | 3-6 | Cream"/>
  </r>
  <r>
    <s v="Romper Short | 3-6 | White"/>
  </r>
  <r>
    <s v="Romper Longer | 6-12 | Cream"/>
  </r>
  <r>
    <s v="Romper Longer | 6-12 | Cream"/>
  </r>
  <r>
    <s v="Romper Longer | 3-6 | Cream"/>
  </r>
  <r>
    <s v="Romper Longer | 0-3 | Dusty Pink"/>
  </r>
  <r>
    <s v="Romper Longer | 12-18 | Forest Green"/>
  </r>
  <r>
    <s v="Romper Longer | 6-12 | Caldet Blue"/>
  </r>
  <r>
    <s v="Romper Short | 12-18 | Dusty Pink"/>
  </r>
  <r>
    <s v="Romper Short | 18-24 | Forest Green"/>
  </r>
  <r>
    <s v="Romper Longer | 3-6 | Sage Green"/>
  </r>
  <r>
    <s v="Romper Longer | 0-3 | Mauve Taupe"/>
  </r>
  <r>
    <s v="Romper Longer | 12-18 | Dusty Pink"/>
  </r>
  <r>
    <s v="Romper Longer | 0-3 | Cream"/>
  </r>
  <r>
    <s v="Romper Longer | 0-3 | Cream"/>
  </r>
  <r>
    <s v="Romper Longer | 3-6 | Cream"/>
  </r>
  <r>
    <s v="Romper Longer | 3-6 | Cream"/>
  </r>
  <r>
    <s v="Romper Longer | 3-6 | White"/>
  </r>
  <r>
    <s v="Romper Longer | 0-3 | Cream"/>
  </r>
  <r>
    <s v="Romper Short | 3-6 | Cream"/>
  </r>
  <r>
    <s v="Romper Short | 0-3 | Texas Orange"/>
  </r>
  <r>
    <s v="Romper Longer | 0-3 | White"/>
  </r>
  <r>
    <s v="Romper Longer | 3-6 | Texas Orange"/>
  </r>
  <r>
    <s v="Romper Longer | 0-3 | Cream"/>
  </r>
  <r>
    <s v="Romper Longer | 12-18 | Cream"/>
  </r>
  <r>
    <s v="Romper Longer | 6-12 | Cream"/>
  </r>
  <r>
    <s v="Romper Longer | 3-6 | Cream"/>
  </r>
  <r>
    <s v="Romper Longer | 6-12 | Cream"/>
  </r>
  <r>
    <s v="Romper Short | 3-6 | Cream"/>
  </r>
  <r>
    <s v="Romper Short | 0-3 | Cream"/>
  </r>
  <r>
    <s v="Romper Longer | 0-3 | Cream"/>
  </r>
  <r>
    <s v="Romper Short | 3-6 | Sage Green"/>
  </r>
  <r>
    <s v="Romper Short | 6-12 | Cream"/>
  </r>
  <r>
    <s v="Romper Longer | 6-12 | Cream"/>
  </r>
  <r>
    <s v="Romper Longer | 0-3 | Cream"/>
  </r>
  <r>
    <s v="Romper Longer | 3-6 | Cream"/>
  </r>
  <r>
    <s v="Romper Longer | 3-6 | Cream"/>
  </r>
  <r>
    <s v="Romper Short | 0-3 | Cream"/>
  </r>
  <r>
    <s v="Romper Longer | 0-3 | Caldet Blue"/>
  </r>
  <r>
    <s v="Romper Short | 6-12 | Sage Green"/>
  </r>
  <r>
    <s v="Romper Longer | 12-18 | Watermelon"/>
  </r>
  <r>
    <s v="Romper Longer | 0-3 | Cream"/>
  </r>
  <r>
    <s v="Romper Short | 6-12 | Sage Green"/>
  </r>
  <r>
    <s v="Romper Longer | 0-3 | Cream"/>
  </r>
  <r>
    <s v="Romper Short | 6-12 | Caldet Blue"/>
  </r>
  <r>
    <s v="Romper Longer | 3-6 | White"/>
  </r>
  <r>
    <s v="Romper Longer | 0-3 | Dusty Pink"/>
  </r>
  <r>
    <s v="Romper Longer | 3-6 | Caldet Blue"/>
  </r>
  <r>
    <s v="Romper Longer | 3-6 | Cream"/>
  </r>
  <r>
    <s v="Romper Longer | 3-6 | Sage Green"/>
  </r>
  <r>
    <s v="Romper Longer | 12-18 | Cream"/>
  </r>
  <r>
    <s v="Romper Longer | 0-3 | Cream"/>
  </r>
  <r>
    <s v="Romper Longer | 0-3 | Sage Green"/>
  </r>
  <r>
    <s v="Romper Longer | 6-12 | Cream"/>
  </r>
  <r>
    <s v="Romper Short | 6-12 | Dusty Pink"/>
  </r>
  <r>
    <s v="Romper Short | 6-12 | Caldet Blue"/>
  </r>
  <r>
    <s v="Romper Longer | 0-3 | Cream"/>
  </r>
  <r>
    <s v="Romper Short | 3-6 | Mauve Taupe"/>
  </r>
  <r>
    <s v="Romper Longer | 0-3 | Cream"/>
  </r>
  <r>
    <s v="Romper Longer | 12-18 | Caldet Blue"/>
  </r>
  <r>
    <s v="Romper Short | 0-3 | Caldet Blue"/>
  </r>
  <r>
    <s v="Romper Longer | 6-12 | Cream"/>
  </r>
  <r>
    <s v="Romper Longer | 12-18 | Dusty Pink"/>
  </r>
  <r>
    <s v="Romper Longer | 3-6 | Watermelon"/>
  </r>
  <r>
    <s v="Romper Longer | 6-12 | Cream"/>
  </r>
  <r>
    <s v="Romper Longer | 0-3 | Cream"/>
  </r>
  <r>
    <s v="Romper Short | 3-6 | Cream"/>
  </r>
  <r>
    <s v="Romper Short | 12-18 | White"/>
  </r>
  <r>
    <s v="Romper Longer | 6-12 | Watermelon"/>
  </r>
  <r>
    <s v="Romper Longer | 6-12 | Caldet Blue"/>
  </r>
  <r>
    <s v="Romper Longer | 6-12 | Cream"/>
  </r>
  <r>
    <s v="Romper Short | 3-6 | Watermelon"/>
  </r>
  <r>
    <s v="Romper Short | 3-6 | Forest Green"/>
  </r>
  <r>
    <s v="Romper Longer | 6-12 | Coffee"/>
  </r>
  <r>
    <s v="Romper Short | 12-18 | Sage Green"/>
  </r>
  <r>
    <s v="Romper Short | 3-6 | Cream"/>
  </r>
  <r>
    <s v="Romper Longer | 0-3 | Sage Green"/>
  </r>
  <r>
    <s v="Romper Short | 3-6 | Cream"/>
  </r>
  <r>
    <s v="Romper Longer | 12-18 | Caldet Blue"/>
  </r>
  <r>
    <s v="Romper Short | 0-3 | Cream"/>
  </r>
  <r>
    <s v="Romper Longer | 18-24 | Caldet Blue"/>
  </r>
  <r>
    <s v="Romper Longer | 3-6 | White"/>
  </r>
  <r>
    <s v="Romper Longer | 3-6 | White"/>
  </r>
  <r>
    <s v="Romper Longer | 18-24 | Coffee"/>
  </r>
  <r>
    <s v="Romper Longer | 12-18 | Coffee"/>
  </r>
  <r>
    <s v="Romper Longer | 6-12 | Forest Green"/>
  </r>
  <r>
    <s v="Romper Longer | 6-12 | Cream"/>
  </r>
  <r>
    <s v="Romper Longer | 3-6 | Cream"/>
  </r>
  <r>
    <s v="Romper Longer | 3-6 | Cream"/>
  </r>
  <r>
    <s v="Romper Short | 3-6 | Cream"/>
  </r>
  <r>
    <s v="Romper Longer | 3-6 | Cream"/>
  </r>
  <r>
    <s v="Romper Longer | 3-6 | Cream"/>
  </r>
  <r>
    <s v="Romper Longer | 6-12 | Dusty Pink"/>
  </r>
  <r>
    <s v="Romper Longer | 6-12 | Caldet Blue"/>
  </r>
  <r>
    <s v="Romper Longer | 3-6 | Watermelon"/>
  </r>
  <r>
    <s v="Romper Longer | 3-6 | Cream"/>
  </r>
  <r>
    <s v="Romper Longer | 3-6 | Sage Green"/>
  </r>
  <r>
    <s v="Romper Short | 3-6 | Cream"/>
  </r>
  <r>
    <s v="Romper Short | 12-18 | Dusty Pink"/>
  </r>
  <r>
    <s v="Romper Short | 0-3 | Cream"/>
  </r>
  <r>
    <s v="Romper Longer | 18-24 | Cream"/>
  </r>
  <r>
    <s v="Romper Longer | 0-3 | Sage Green"/>
  </r>
  <r>
    <s v="Romper Longer | 3-6 | Cream"/>
  </r>
  <r>
    <s v="Romper Longer | 3-6 | Cream"/>
  </r>
  <r>
    <s v="Romper Longer | 3-6 | Dusty Pink"/>
  </r>
  <r>
    <s v="Romper Longer | 6-12 | Cream"/>
  </r>
  <r>
    <s v="Romper Longer | 6-12 | Cream"/>
  </r>
  <r>
    <s v="Romper Longer | 6-12 | Dusty Pink"/>
  </r>
  <r>
    <s v="Romper Short | 12-18 | White"/>
  </r>
  <r>
    <s v="Romper Longer | 12-18 | White"/>
  </r>
  <r>
    <s v="Romper Longer | 3-6 | Cream"/>
  </r>
  <r>
    <s v="Romper Longer | 3-6 | Cream"/>
  </r>
  <r>
    <s v="Romper Longer | 0-3 | Sage Green"/>
  </r>
  <r>
    <s v="Romper Short | 3-6 | Cream"/>
  </r>
  <r>
    <s v="Romper Longer | 12-18 | Caldet Blue"/>
  </r>
  <r>
    <s v="Romper Longer | 0-3 | Caldet Blue"/>
  </r>
  <r>
    <s v="Romper Longer | 0-3 | Cream"/>
  </r>
  <r>
    <s v="Romper Longer | 0-3 | Cream"/>
  </r>
  <r>
    <s v="Romper Short | 3-6 | Caldet Blue"/>
  </r>
  <r>
    <s v="Romper Longer | 3-6 | White"/>
  </r>
  <r>
    <s v="Romper Longer | 3-6 | Dusty Pink"/>
  </r>
  <r>
    <s v="Romper Longer | 6-12 | Cream"/>
  </r>
  <r>
    <s v="Romper Longer | 6-12 | Dusty Pink"/>
  </r>
  <r>
    <s v="Romper Longer | 6-12 | Cream"/>
  </r>
  <r>
    <s v="Romper Longer | 12-18 | White"/>
  </r>
  <r>
    <s v="Romper Longer | 0-3 | Cream"/>
  </r>
  <r>
    <s v="Romper Short | 0-3 | Cream"/>
  </r>
  <r>
    <s v="Romper Longer | 6-12 | Watermelon"/>
  </r>
  <r>
    <s v="Romper Longer | 3-6 | Cream"/>
  </r>
  <r>
    <s v="Romper Longer | 12-18 | Cream"/>
  </r>
  <r>
    <s v="Romper Longer | 12-18 | Caldet Blue"/>
  </r>
  <r>
    <s v="Romper Short | 3-6 | Sage Green"/>
  </r>
  <r>
    <s v="Romper Short | 3-6 | Dusty Pink"/>
  </r>
  <r>
    <s v="Romper Short | 6-12 | Cream"/>
  </r>
  <r>
    <s v="Romper Short | 0-3 | Cream"/>
  </r>
  <r>
    <s v="Romper Longer | 6-12 | Watermelon"/>
  </r>
  <r>
    <s v="Romper Longer | 0-3 | Cream"/>
  </r>
  <r>
    <s v="Romper Longer | 0-3 | Cream"/>
  </r>
  <r>
    <s v="Romper Longer | 3-6 | Watermelon"/>
  </r>
  <r>
    <s v="Romper Short | 6-12 | Cream"/>
  </r>
  <r>
    <s v="Romper Longer | 0-3 | Cream"/>
  </r>
  <r>
    <s v="Romper Short | 0-3 | Dusty Pink"/>
  </r>
  <r>
    <s v="Romper Short | 6-12 | White"/>
  </r>
  <r>
    <s v="Romper Longer | 6-12 | Sage Green"/>
  </r>
  <r>
    <s v="Romper Longer | 6-12 | Mauve Taupe"/>
  </r>
  <r>
    <s v="Romper Longer | 0-3 | Cream"/>
  </r>
  <r>
    <s v="Romper Longer | 12-18 | Cream"/>
  </r>
  <r>
    <s v="Romper Short | 3-6 | Cream"/>
  </r>
  <r>
    <s v="Romper Longer | 6-12 | Watermelon"/>
  </r>
  <r>
    <s v="Romper Longer | 12-18 | Dusty Pink"/>
  </r>
  <r>
    <s v="Romper Longer | 3-6 | Cream"/>
  </r>
  <r>
    <s v="Romper Longer | 0-3 | Dusty Pink"/>
  </r>
  <r>
    <s v="Romper Short | 6-12 | Watermelon"/>
  </r>
  <r>
    <s v="Romper Longer | 6-12 | Cream"/>
  </r>
  <r>
    <s v="Romper Longer | 6-12 | Cream"/>
  </r>
  <r>
    <s v="Romper Longer | 3-6 | Cream"/>
  </r>
  <r>
    <s v="Romper Short | 0-3 | Sage Green"/>
  </r>
  <r>
    <s v="Romper Short | 3-6 | Cream"/>
  </r>
  <r>
    <s v="Romper Longer | 3-6 | Dusty Pink"/>
  </r>
  <r>
    <s v="Romper Longer | 0-3 | Sage Green"/>
  </r>
  <r>
    <s v="Romper Longer | 0-3 | Cream"/>
  </r>
  <r>
    <s v="Romper Longer | 3-6 | Sage Green"/>
  </r>
  <r>
    <s v="Romper Longer | 3-6 | Caldet Blue"/>
  </r>
  <r>
    <s v="Romper Short | 3-6 | Cream"/>
  </r>
  <r>
    <s v="Romper Longer | 0-3 | Cream"/>
  </r>
  <r>
    <s v="Romper Short | 12-18 | Cream"/>
  </r>
  <r>
    <s v="Romper Longer | 6-12 | Caldet Blue"/>
  </r>
  <r>
    <s v="Romper Longer | 0-3 | Dusty Pink"/>
  </r>
  <r>
    <s v="Romper Short | 3-6 | Caldet Blue"/>
  </r>
  <r>
    <s v="Romper Short | 3-6 | Forest Green"/>
  </r>
  <r>
    <s v="Romper Longer | 3-6 | Watermelon"/>
  </r>
  <r>
    <s v="Romper Longer | 0-3 | Mauve Taupe"/>
  </r>
  <r>
    <s v="Romper Longer | 3-6 | White"/>
  </r>
  <r>
    <s v="Romper Longer | 3-6 | Cream"/>
  </r>
  <r>
    <s v="Romper Longer | 0-3 | Caldet Blue"/>
  </r>
  <r>
    <s v="Romper Longer | 6-12 | Dusty Pink"/>
  </r>
  <r>
    <s v="Romper Short | 0-3 | Cream"/>
  </r>
  <r>
    <s v="Romper Short | 0-3 | Dusty Pink"/>
  </r>
  <r>
    <s v="Romper Longer | 6-12 | Mauve Taupe"/>
  </r>
  <r>
    <s v="Romper Longer | 6-12 | Cream"/>
  </r>
  <r>
    <s v="Romper Longer | 6-12 | White"/>
  </r>
  <r>
    <s v="Romper Longer | 6-12 | Caldet Blue"/>
  </r>
  <r>
    <s v="Romper Longer | 0-3 | Sage Green"/>
  </r>
  <r>
    <s v="Romper Short | 0-3 | Caldet Blue"/>
  </r>
  <r>
    <s v="Romper Short | 0-3 | Caldet Blue"/>
  </r>
  <r>
    <s v="Romper Longer | 6-12 | White"/>
  </r>
  <r>
    <s v="Romper Longer | 6-12 | Cream"/>
  </r>
  <r>
    <s v="Romper Short | 0-3 | Cream"/>
  </r>
  <r>
    <s v="Romper Short | 0-3 | White"/>
  </r>
  <r>
    <s v="Romper Short | 3-6 | Forest Green"/>
  </r>
  <r>
    <s v="Romper Longer | 0-3 | Caldet Blue"/>
  </r>
  <r>
    <s v="Romper Short | 18-24 | Dusty Pink"/>
  </r>
  <r>
    <s v="Romper Longer | 3-6 | Caldet Blue"/>
  </r>
  <r>
    <s v="Romper Short | 3-6 | Sage Green"/>
  </r>
  <r>
    <s v="Romper Short | 3-6 | White"/>
  </r>
  <r>
    <s v="Romper Longer | 3-6 | Cream"/>
  </r>
  <r>
    <s v="Romper Longer | 3-6 | Cream"/>
  </r>
  <r>
    <s v="Romper Longer | 3-6 | Cream"/>
  </r>
  <r>
    <s v="Romper Longer | 0-3 | Cream"/>
  </r>
  <r>
    <s v="Romper Longer | 3-6 | Salmon"/>
  </r>
  <r>
    <s v="Romper Longer | 3-6 | Caldet Blue"/>
  </r>
  <r>
    <s v="Romper Longer | 0-3 | Caldet Blue"/>
  </r>
  <r>
    <s v="Romper Longer | 12-18 | Cream"/>
  </r>
  <r>
    <s v="Romper Longer | 3-6 | Cream"/>
  </r>
  <r>
    <s v="Romper Longer | 3-6 | Cream"/>
  </r>
  <r>
    <s v="Romper Longer | 6-12 | Sage Green"/>
  </r>
  <r>
    <s v="Romper Longer | 6-12 | Cream"/>
  </r>
  <r>
    <s v="Romper Longer | 0-3 | Cream"/>
  </r>
  <r>
    <s v="Romper Short | 3-6 | Salmon"/>
  </r>
  <r>
    <s v="Romper Longer | 6-12 | Dusty Pink"/>
  </r>
  <r>
    <s v="Romper Longer | 12-18 | Cream"/>
  </r>
  <r>
    <s v="Romper Longer | 3-6 | Cream"/>
  </r>
  <r>
    <s v="Romper Longer | 0-3 | Cream"/>
  </r>
  <r>
    <s v="Romper Longer | 12-18 | Watermelon"/>
  </r>
  <r>
    <s v="Romper Longer | 12-18 | Coffee"/>
  </r>
  <r>
    <s v="Romper Longer | 3-6 | White"/>
  </r>
  <r>
    <s v="Romper Longer | 6-12 | Cream"/>
  </r>
  <r>
    <s v="Romper Longer | 6-12 | Sage Green"/>
  </r>
  <r>
    <s v="Romper Longer | 0-3 | Sage Green"/>
  </r>
  <r>
    <s v="Romper Longer | 3-6 | Cream"/>
  </r>
  <r>
    <s v="Romper Short | 6-12 | Dusty Pink"/>
  </r>
  <r>
    <s v="Romper Longer | 12-18 | Watermelon"/>
  </r>
  <r>
    <s v="Romper Longer | 6-12 | Sage Green"/>
  </r>
  <r>
    <s v="Romper Longer | 3-6 | Cream"/>
  </r>
  <r>
    <s v="Romper Longer | 6-12 | Forest Green"/>
  </r>
  <r>
    <s v="Romper Longer | 6-12 | Cream"/>
  </r>
  <r>
    <s v="Romper Longer | 3-6 | Caldet Blue"/>
  </r>
  <r>
    <s v="Romper Longer | 0-3 | Caldet Blue"/>
  </r>
  <r>
    <s v="Romper Longer | 0-3 | Cream"/>
  </r>
  <r>
    <s v="Romper Longer | 0-3 | Coffee"/>
  </r>
  <r>
    <s v="Romper Longer | 0-3 | Caldet Blue"/>
  </r>
  <r>
    <s v="Romper Longer | 12-18 | Coffee"/>
  </r>
  <r>
    <s v="Romper Short | 6-12 | Caldet Blue"/>
  </r>
  <r>
    <s v="Romper Longer | 6-12 | Caldet Blue"/>
  </r>
  <r>
    <s v="Romper Short | 3-6 | Cream"/>
  </r>
  <r>
    <s v="Romper Short | 0-3 | Caldet Blue"/>
  </r>
  <r>
    <s v="Romper Longer | 3-6 | Coffee"/>
  </r>
  <r>
    <s v="Romper Longer | 3-6 | Sage Green"/>
  </r>
  <r>
    <s v="Romper Short | 3-6 | Cream"/>
  </r>
  <r>
    <s v="Romper Longer | 0-3 | Cream"/>
  </r>
  <r>
    <s v="Romper Short | 3-6 | Cream"/>
  </r>
  <r>
    <s v="Romper Longer | 3-6 | Cream"/>
  </r>
  <r>
    <s v="Romper Longer | 6-12 | Cream"/>
  </r>
  <r>
    <s v="Romper Longer | 3-6 | Cream"/>
  </r>
  <r>
    <s v="Romper Longer | 6-12 | Salmon"/>
  </r>
  <r>
    <s v="Romper Longer | 0-3 | Coffee"/>
  </r>
  <r>
    <s v="Romper Longer | 0-3 | White"/>
  </r>
  <r>
    <s v="Romper Longer | 18-24 | Cream"/>
  </r>
  <r>
    <s v="Romper Short | 0-3 | White"/>
  </r>
  <r>
    <s v="Romper Longer | 3-6 | Forest Green"/>
  </r>
  <r>
    <s v="Romper Longer | 3-6 | Dusty Pink"/>
  </r>
  <r>
    <s v="Romper Longer | 3-6 | Cream"/>
  </r>
  <r>
    <s v="Romper Longer | 3-6 | Caldet Blue"/>
  </r>
  <r>
    <s v="Romper Short | 0-3 | Cream"/>
  </r>
  <r>
    <s v="Romper Short | 6-12 | Dusty Pink"/>
  </r>
  <r>
    <s v="Romper Short | 6-12 | Cream"/>
  </r>
  <r>
    <s v="Romper Longer | 6-12 | Caldet Blue"/>
  </r>
  <r>
    <s v="Romper Longer | 0-3 | Cream"/>
  </r>
  <r>
    <s v="Romper Longer | 3-6 | Mauve Taupe"/>
  </r>
  <r>
    <s v="Romper Longer | 6-12 | Cream"/>
  </r>
  <r>
    <s v="Romper Short | 0-3 | Cream"/>
  </r>
  <r>
    <s v="Romper Longer | 6-12 | Cream"/>
  </r>
  <r>
    <s v="Romper Short | 3-6 | Sage Green"/>
  </r>
  <r>
    <s v="Romper Longer | 3-6 | Cream"/>
  </r>
  <r>
    <s v="Romper Longer | 0-3 | White"/>
  </r>
  <r>
    <s v="Romper Longer | 12-18 | Forest Green"/>
  </r>
  <r>
    <s v="Romper Short | 0-3 | Sage Green"/>
  </r>
  <r>
    <s v="Romper Longer | 0-3 | Coffee"/>
  </r>
  <r>
    <s v="Romper Longer | 3-6 | Sage Green"/>
  </r>
  <r>
    <s v="Romper Longer | 6-12 | Cream"/>
  </r>
  <r>
    <s v="Romper Short | 0-3 | Forest Green"/>
  </r>
  <r>
    <s v="Romper Short | 3-6 | Caldet Blue"/>
  </r>
  <r>
    <s v="Romper Longer | 18-24 | Watermelon"/>
  </r>
  <r>
    <s v="Romper Longer | 6-12 | Sage Green"/>
  </r>
  <r>
    <s v="Romper Short | 0-3 | Coffee"/>
  </r>
  <r>
    <s v="Romper Longer | 6-12 | Watermelon"/>
  </r>
  <r>
    <s v="Romper Longer | 6-12 | Cream"/>
  </r>
  <r>
    <s v="Romper Short | 3-6 | Dusty Pink"/>
  </r>
  <r>
    <s v="Romper Longer | 6-12 | Texas Orange"/>
  </r>
  <r>
    <s v="Romper Longer | 3-6 | Sage Green"/>
  </r>
  <r>
    <s v="Romper Longer | 6-12 | Cream"/>
  </r>
  <r>
    <s v="Romper Longer | 0-3 | Dusty Pink"/>
  </r>
  <r>
    <s v="Romper Longer | 0-3 | Sage Green"/>
  </r>
  <r>
    <s v="Romper Longer | 6-12 | Forest Green"/>
  </r>
  <r>
    <s v="Romper Longer | 0-3 | Caldet Blue"/>
  </r>
  <r>
    <s v="Romper Longer | 6-12 | Cream"/>
  </r>
  <r>
    <s v="Romper Longer | 0-3 | Dusty Pink"/>
  </r>
  <r>
    <s v="Romper Short | 3-6 | Caldet Blue"/>
  </r>
  <r>
    <s v="Romper Longer | 3-6 | Watermelon"/>
  </r>
  <r>
    <s v="Romper Longer | 6-12 | Cream"/>
  </r>
  <r>
    <s v="Romper Longer | 12-18 | Sage Green"/>
  </r>
  <r>
    <s v="Romper Short | 3-6 | Forest Green"/>
  </r>
  <r>
    <s v="Romper Longer | 6-12 | Cream"/>
  </r>
  <r>
    <s v="Romper Longer | 3-6 | Mauve Taupe"/>
  </r>
  <r>
    <s v="Romper Longer | 3-6 | Forest Green"/>
  </r>
  <r>
    <s v="Romper Longer | 0-3 | Cream"/>
  </r>
  <r>
    <s v="Romper Longer | 12-18 | Watermelon"/>
  </r>
  <r>
    <s v="Romper Longer | 3-6 | Sage Green"/>
  </r>
  <r>
    <s v="Romper Short | 3-6 | Sage Green"/>
  </r>
  <r>
    <s v="Romper Longer | 3-6 | White"/>
  </r>
  <r>
    <s v="Romper Longer | 6-12 | Caldet Blue"/>
  </r>
  <r>
    <s v="Romper Short | 0-3 | Caldet Blue"/>
  </r>
  <r>
    <s v="Romper Longer | 3-6 | Cream"/>
  </r>
  <r>
    <s v="Romper Longer | 6-12 | Cream"/>
  </r>
  <r>
    <s v="Romper Short | 0-3 | Forest Green"/>
  </r>
  <r>
    <s v="Romper Longer | 6-12 | Coffee"/>
  </r>
  <r>
    <s v="Romper Longer | 6-12 | Sage Green"/>
  </r>
  <r>
    <s v="Romper Longer | 0-3 | Dusty Pink"/>
  </r>
  <r>
    <s v="Romper Longer | 3-6 | Sage Green"/>
  </r>
  <r>
    <s v="Romper Short | 3-6 | Cream"/>
  </r>
  <r>
    <s v="Romper Longer | 3-6 | Cream"/>
  </r>
  <r>
    <s v="Romper Short | 0-3 | Watermelon"/>
  </r>
  <r>
    <s v="Romper Short | 6-12 | Sage Green"/>
  </r>
  <r>
    <s v="Romper Longer | 0-3 | Sage Green"/>
  </r>
  <r>
    <s v="Romper Short | 3-6 | Cream"/>
  </r>
  <r>
    <s v="Romper Longer | 6-12 | Dusty Pink"/>
  </r>
  <r>
    <s v="Romper Longer | 3-6 | Caldet Blue"/>
  </r>
  <r>
    <s v="Romper Short | 6-12 | Sage Green"/>
  </r>
  <r>
    <s v="Romper Short | 0-3 | Caldet Blue"/>
  </r>
  <r>
    <s v="Romper Short | 12-18 | Cream"/>
  </r>
  <r>
    <s v="Romper Longer | 0-3 | Cream"/>
  </r>
  <r>
    <s v="Romper Longer | 3-6 | Coffee"/>
  </r>
  <r>
    <s v="Romper Longer | 0-3 | Caldet Blue"/>
  </r>
  <r>
    <s v="Romper Short | 0-3 | Sage Green"/>
  </r>
  <r>
    <s v="Romper Longer | 3-6 | Cream"/>
  </r>
  <r>
    <s v="Romper Longer | 12-18 | Caldet Blue"/>
  </r>
  <r>
    <s v="Romper Longer | 3-6 | Cream"/>
  </r>
  <r>
    <s v="Romper Longer | 6-12 | Caldet Blue"/>
  </r>
  <r>
    <s v="Romper Longer | 3-6 | Cream"/>
  </r>
  <r>
    <s v="Romper Short | 18-24 | Caldet Blue"/>
  </r>
  <r>
    <s v="Romper Short | 3-6 | Cream"/>
  </r>
  <r>
    <s v="Romper Longer | 3-6 | Dusty Pink"/>
  </r>
  <r>
    <s v="Romper Longer | 3-6 | Cream"/>
  </r>
  <r>
    <s v="Romper Longer | 3-6 | Dusty Pink"/>
  </r>
  <r>
    <s v="Romper Longer | 3-6 | Cream"/>
  </r>
  <r>
    <s v="Romper Longer | 6-12 | Caldet Blue"/>
  </r>
  <r>
    <s v="Romper Longer | 0-3 | Cream"/>
  </r>
  <r>
    <s v="Romper Longer | 0-3 | Cream"/>
  </r>
  <r>
    <s v="Romper Longer | 3-6 | Sage Green"/>
  </r>
  <r>
    <s v="Romper Short | 3-6 | Caldet Blue"/>
  </r>
  <r>
    <s v="Romper Longer | 0-3 | Caldet Blue"/>
  </r>
  <r>
    <s v="Romper Longer | 3-6 | Cream"/>
  </r>
  <r>
    <s v="Romper Longer | 3-6 | Cream"/>
  </r>
  <r>
    <s v="Romper Longer | 3-6 | Dusty Pink"/>
  </r>
  <r>
    <s v="Romper Short | 3-6 | Sage Green"/>
  </r>
  <r>
    <s v="Romper Short | 18-24 | White"/>
  </r>
  <r>
    <s v="Romper Longer | 3-6 | Sage Green"/>
  </r>
  <r>
    <s v="Romper Short | 0-3 | Sage Green"/>
  </r>
  <r>
    <s v="Romper Longer | 6-12 | Cream"/>
  </r>
  <r>
    <s v="Romper Short | 0-3 | Cream"/>
  </r>
  <r>
    <s v="Romper Short | 0-3 | Cream"/>
  </r>
  <r>
    <s v="Romper Short | 6-12 | Sage Green"/>
  </r>
  <r>
    <s v="Romper Short | 0-3 | Dusty Pink"/>
  </r>
  <r>
    <s v="Romper Short | 6-12 | Dusty Pink"/>
  </r>
  <r>
    <s v="Romper Longer | 0-3 | Cream"/>
  </r>
  <r>
    <s v="Romper Short | 3-6 | Cream"/>
  </r>
  <r>
    <s v="Romper Longer | 3-6 | Coffee"/>
  </r>
  <r>
    <s v="Romper Longer | 3-6 | Cream"/>
  </r>
  <r>
    <s v="Romper Longer | 3-6 | Salmon"/>
  </r>
  <r>
    <s v="Romper Longer | 3-6 | Sage Green"/>
  </r>
  <r>
    <s v="Romper Longer | 3-6 | Cream"/>
  </r>
  <r>
    <s v="Romper Short | 6-12 | Sage Green"/>
  </r>
  <r>
    <s v="Romper Short | 3-6 | White"/>
  </r>
  <r>
    <s v="Romper Short | 3-6 | Dusty Pink"/>
  </r>
  <r>
    <s v="Romper Longer | 0-3 | Cream"/>
  </r>
  <r>
    <s v="Romper Short | 0-3 | Cream"/>
  </r>
  <r>
    <s v="Romper Longer | 12-18 | Cream"/>
  </r>
  <r>
    <s v="Romper Longer | 0-3 | Caldet Blue"/>
  </r>
  <r>
    <s v="Romper Longer | 6-12 | Mauve Taupe"/>
  </r>
  <r>
    <s v="Romper Longer | 6-12 | Dusty Pink"/>
  </r>
  <r>
    <s v="Romper Longer | 0-3 | Mauve Taupe"/>
  </r>
  <r>
    <s v="Romper Short | 3-6 | Forest Green"/>
  </r>
  <r>
    <s v="Romper Longer | 6-12 | Cream"/>
  </r>
  <r>
    <s v="Romper Longer | 12-18 | Cream"/>
  </r>
  <r>
    <s v="Romper Short | 6-12 | Coffee"/>
  </r>
  <r>
    <s v="Romper Longer | 18-24 | Cream"/>
  </r>
  <r>
    <s v="Romper Longer | 6-12 | Sage Green"/>
  </r>
  <r>
    <s v="Romper Longer | 0-3 | Cream"/>
  </r>
  <r>
    <s v="Romper Longer | 6-12 | Cream"/>
  </r>
  <r>
    <s v="Romper Longer | 0-3 | Sage Green"/>
  </r>
  <r>
    <s v="Romper Short | 0-3 | Cream"/>
  </r>
  <r>
    <s v="Romper Short | 0-3 | Cream"/>
  </r>
  <r>
    <s v="Romper Longer | 0-3 | Sage Green"/>
  </r>
  <r>
    <s v="Romper Short | 3-6 | Cream"/>
  </r>
  <r>
    <s v="Romper Longer | 0-3 | Cream"/>
  </r>
  <r>
    <s v="Romper Longer | 12-18 | Sage Green"/>
  </r>
  <r>
    <s v="Romper Short | 0-3 | Cream"/>
  </r>
  <r>
    <s v="Romper Longer | 3-6 | Mauve Taupe"/>
  </r>
  <r>
    <s v="Romper Longer | 0-3 | Dusty Pink"/>
  </r>
  <r>
    <s v="Romper Longer | 3-6 | Cream"/>
  </r>
  <r>
    <s v="Romper Longer | 0-3 | Cream"/>
  </r>
  <r>
    <s v="Romper Longer | 0-3 | Sage Green"/>
  </r>
  <r>
    <s v="Romper Longer | 3-6 | Dusty Pink"/>
  </r>
  <r>
    <s v="Romper Short | 12-18 | Cream"/>
  </r>
  <r>
    <s v="Romper Longer | 6-12 | Cream"/>
  </r>
  <r>
    <s v="Romper Longer | 0-3 | Watermelon"/>
  </r>
  <r>
    <s v="Romper Longer | 0-3 | Sage Green"/>
  </r>
  <r>
    <s v="Romper Short | 0-3 | Watermelon"/>
  </r>
  <r>
    <s v="Romper Short | 3-6 | Cream"/>
  </r>
  <r>
    <s v="Romper Short | 3-6 | Dusty Pink"/>
  </r>
  <r>
    <s v="Romper Longer | 0-3 | Cream"/>
  </r>
  <r>
    <s v="Romper Longer | 3-6 | Cream"/>
  </r>
  <r>
    <s v="Romper Longer | 0-3 | Cream"/>
  </r>
  <r>
    <s v="Romper Short | 0-3 | Cream"/>
  </r>
  <r>
    <s v="Romper Longer | 3-6 | Dusty Pink"/>
  </r>
  <r>
    <s v="Romper Longer | 0-3 | Sage Green"/>
  </r>
  <r>
    <s v="Romper Short | 0-3 | Cream"/>
  </r>
  <r>
    <s v="Romper Short | 0-3 | Cream"/>
  </r>
  <r>
    <s v="Romper Longer | 18-24 | Caldet Blue"/>
  </r>
  <r>
    <s v="Romper Short | 6-12 | Cream"/>
  </r>
  <r>
    <s v="Romper Longer | 0-3 | Coffee"/>
  </r>
  <r>
    <s v="Romper Short | 6-12 | Caldet Blue"/>
  </r>
  <r>
    <s v="Romper Longer | 0-3 | Sage Green"/>
  </r>
  <r>
    <s v="Romper Longer | 12-18 | Sage Green"/>
  </r>
  <r>
    <s v="Romper Longer | 6-12 | Forest Green"/>
  </r>
  <r>
    <s v="Romper Longer | 3-6 | Watermelon"/>
  </r>
  <r>
    <s v="Romper Short | 0-3 | Cream"/>
  </r>
  <r>
    <s v="Romper Longer | 18-24 | Cream"/>
  </r>
  <r>
    <s v="Romper Short | 0-3 | Dusty Pink"/>
  </r>
  <r>
    <s v="Romper Longer | 0-3 | Cream"/>
  </r>
  <r>
    <s v="Romper Longer | 0-3 | Cream"/>
  </r>
  <r>
    <s v="Romper Short | 6-12 | Cream"/>
  </r>
  <r>
    <s v="Romper Short | 0-3 | Caldet Blue"/>
  </r>
  <r>
    <s v="Romper Longer | 0-3 | Sage Green"/>
  </r>
  <r>
    <s v="Romper Longer | 3-6 | Cream"/>
  </r>
  <r>
    <s v="Romper Short | 0-3 | Cream"/>
  </r>
  <r>
    <s v="Romper Longer | 0-3 | Cream"/>
  </r>
  <r>
    <s v="Romper Longer | 6-12 | Dusty Pink"/>
  </r>
  <r>
    <s v="Romper Short | 6-12 | Salmon"/>
  </r>
  <r>
    <s v="Romper Short | 3-6 | Sage Green"/>
  </r>
  <r>
    <s v="Romper Longer | 3-6 | Dusty Pink"/>
  </r>
  <r>
    <s v="Romper Short | 6-12 | Sage Green"/>
  </r>
  <r>
    <s v="Romper Longer | 6-12 | Cream"/>
  </r>
  <r>
    <s v="Romper Longer | 6-12 | Sage Green"/>
  </r>
  <r>
    <s v="Romper Short | 3-6 | Sage Green"/>
  </r>
  <r>
    <s v="Romper Short | 0-3 | Forest Green"/>
  </r>
  <r>
    <s v="Romper Longer | 12-18 | Caldet Blue"/>
  </r>
  <r>
    <s v="Romper Longer | 6-12 | Forest Green"/>
  </r>
  <r>
    <s v="Romper Longer | 0-3 | Cream"/>
  </r>
  <r>
    <s v="Romper Short | 3-6 | Cream"/>
  </r>
  <r>
    <s v="Romper Longer | 0-3 | Cream"/>
  </r>
  <r>
    <s v="Romper Longer | 6-12 | Cream"/>
  </r>
  <r>
    <s v="Romper Longer | 3-6 | Sage Green"/>
  </r>
  <r>
    <s v="Romper Short | 0-3 | Cream"/>
  </r>
  <r>
    <s v="Romper Longer | 12-18 | Cream"/>
  </r>
  <r>
    <s v="Romper Short | 0-3 | Sage Green"/>
  </r>
  <r>
    <s v="Romper Short | 0-3 | Cream"/>
  </r>
  <r>
    <s v="Romper Longer | 0-3 | Cream"/>
  </r>
  <r>
    <s v="Romper Short | 0-3 | White"/>
  </r>
  <r>
    <s v="Romper Longer | 6-12 | Dusty Pink"/>
  </r>
  <r>
    <s v="Romper Longer | 0-3 | Caldet Blue"/>
  </r>
  <r>
    <s v="Romper Longer | 0-3 | Cream"/>
  </r>
  <r>
    <s v="Romper Short | 3-6 | Cream"/>
  </r>
  <r>
    <s v="Romper Short | 6-12 | Cream"/>
  </r>
  <r>
    <s v="Romper Short | 3-6 | Cream"/>
  </r>
  <r>
    <s v="Romper Longer | 0-3 | Sage Green"/>
  </r>
  <r>
    <s v="Romper Short | 12-18 | Cream"/>
  </r>
  <r>
    <s v="Romper Longer | 6-12 | Sage Green"/>
  </r>
  <r>
    <s v="Romper Short | 6-12 | Dusty Pink"/>
  </r>
  <r>
    <s v="Romper Short | 3-6 | Cream"/>
  </r>
  <r>
    <s v="Romper Short | 3-6 | Cream"/>
  </r>
  <r>
    <s v="Romper Longer | 6-12 | Cream"/>
  </r>
  <r>
    <s v="Romper Longer | 6-12 | Caldet Blue"/>
  </r>
  <r>
    <s v="Romper Short | 3-6 | Cream"/>
  </r>
  <r>
    <s v="Romper Longer | 6-12 | Caldet Blue"/>
  </r>
  <r>
    <s v="Romper Short | 12-18 | Forest Green"/>
  </r>
  <r>
    <s v="Romper Longer | 12-18 | Forest Green"/>
  </r>
  <r>
    <s v="Romper Short | 0-3 | Cream"/>
  </r>
  <r>
    <s v="Romper Short | 0-3 | Caldet Blue"/>
  </r>
  <r>
    <s v="Romper Short | 0-3 | Sage Green"/>
  </r>
  <r>
    <s v="Romper Short | 3-6 | Caldet Blue"/>
  </r>
  <r>
    <s v="Romper Longer | 3-6 | Dusty Pink"/>
  </r>
  <r>
    <s v="Romper Longer | 0-3 | Sage Green"/>
  </r>
  <r>
    <s v="Romper Longer | 0-3 | Cream"/>
  </r>
  <r>
    <s v="Romper Short | 3-6 | Sage Green"/>
  </r>
  <r>
    <s v="Romper Short | 6-12 | Cream"/>
  </r>
  <r>
    <s v="Romper Short | 0-3 | Cream"/>
  </r>
  <r>
    <s v="Romper Short | 0-3 | Cream"/>
  </r>
  <r>
    <s v="Romper Short | 0-3 | Coffee"/>
  </r>
  <r>
    <s v="Romper Longer | 0-3 | Cream"/>
  </r>
  <r>
    <s v="Romper Longer | 0-3 | Sage Green"/>
  </r>
  <r>
    <s v="Romper Longer | 0-3 | Cream"/>
  </r>
  <r>
    <s v="Romper Short | 12-18 | Forest Green"/>
  </r>
  <r>
    <s v="Romper Longer | 3-6 | Sage Green"/>
  </r>
  <r>
    <s v="Romper Longer | 0-3 | Cream"/>
  </r>
  <r>
    <s v="Romper Short | 6-12 | Sage Green"/>
  </r>
  <r>
    <s v="Romper Longer | 0-3 | Sage Green"/>
  </r>
  <r>
    <s v="Romper Longer | 3-6 | Cream"/>
  </r>
  <r>
    <s v="Romper Short | 0-3 | Watermelon"/>
  </r>
  <r>
    <s v="Romper Short | 12-18 | Cream"/>
  </r>
  <r>
    <s v="Romper Longer | 0-3 | Caldet Blue"/>
  </r>
  <r>
    <s v="Romper Longer | 3-6 | Sage Green"/>
  </r>
  <r>
    <s v="Romper Longer | 3-6 | Cream"/>
  </r>
  <r>
    <s v="Romper Short | 3-6 | Salmon"/>
  </r>
  <r>
    <s v="Romper Short | 6-12 | Sage Green"/>
  </r>
  <r>
    <s v="Romper Longer | 0-3 | Cream"/>
  </r>
  <r>
    <s v="Romper Longer | 3-6 | Sage Green"/>
  </r>
  <r>
    <s v="Romper Short | 0-3 | Sage Green"/>
  </r>
  <r>
    <s v="Romper Short | 0-3 | Sage Green"/>
  </r>
  <r>
    <s v="Romper Longer | 3-6 | Forest Green"/>
  </r>
  <r>
    <s v="Romper Longer | 0-3 | White"/>
  </r>
  <r>
    <s v="Romper Longer | 0-3 | White"/>
  </r>
  <r>
    <s v="Romper Short | 0-3 | Cream"/>
  </r>
  <r>
    <s v="Romper Short | 3-6 | Caldet Blue"/>
  </r>
  <r>
    <s v="Romper Longer | 0-3 | Cream"/>
  </r>
  <r>
    <s v="Romper Longer | 3-6 | Cream"/>
  </r>
  <r>
    <s v="Romper Short | 6-12 | Sage Green"/>
  </r>
  <r>
    <s v="Romper Longer | 12-18 | Salmon"/>
  </r>
  <r>
    <s v="Romper Short | 0-3 | Sage Green"/>
  </r>
  <r>
    <s v="Romper Longer | 6-12 | Caldet Blue"/>
  </r>
  <r>
    <s v="Romper Longer | 12-18 | Cream"/>
  </r>
  <r>
    <s v="Romper Short | 12-18 | Forest Green"/>
  </r>
  <r>
    <s v="Romper Short | 6-12 | Forest Green"/>
  </r>
  <r>
    <s v="Romper Short | 0-3 | Watermelon"/>
  </r>
  <r>
    <s v="Romper Short | 0-3 | Sage Green"/>
  </r>
  <r>
    <s v="Romper Longer | 3-6 | Forest Green"/>
  </r>
  <r>
    <s v="Romper Longer | 0-3 | Salmon"/>
  </r>
  <r>
    <s v="Romper Longer | 0-3 | Cream"/>
  </r>
  <r>
    <s v="Romper Short | 0-3 | Sage Green"/>
  </r>
  <r>
    <s v="Romper Longer | 6-12 | Sage Green"/>
  </r>
  <r>
    <s v="Romper Longer | 0-3 | Sage Green"/>
  </r>
  <r>
    <s v="Romper Longer | 6-12 | Dusty Pink"/>
  </r>
  <r>
    <s v="Romper Longer | 3-6 | Dusty Pink"/>
  </r>
  <r>
    <s v="Romper Short | 3-6 | Sage Green"/>
  </r>
  <r>
    <s v="Romper Longer | 0-3 | Sage Green"/>
  </r>
  <r>
    <s v="Romper Longer | 0-3 | Dusty Pink"/>
  </r>
  <r>
    <s v="Romper Longer | 3-6 | Forest Green"/>
  </r>
  <r>
    <s v="Romper Longer | 0-3 | Coffee"/>
  </r>
  <r>
    <s v="Romper Longer | 0-3 | Cream"/>
  </r>
  <r>
    <s v="Romper Longer | 3-6 | Forest Green"/>
  </r>
  <r>
    <s v="Romper Longer | 0-3 | Cream"/>
  </r>
  <r>
    <s v="Romper Short | 3-6 | Sage Green"/>
  </r>
  <r>
    <s v="Romper Longer | 6-12 | Cream"/>
  </r>
  <r>
    <s v="Romper Short | 0-3 | Salmon"/>
  </r>
  <r>
    <s v="Romper Longer | 3-6 | White"/>
  </r>
  <r>
    <s v="Romper Short | 6-12 | Cream"/>
  </r>
  <r>
    <s v="Romper Short | 3-6 | Forest Green"/>
  </r>
  <r>
    <s v="Romper Longer | 6-12 | Sage Green"/>
  </r>
  <r>
    <s v="Romper Short | 12-18 | Caldet Blue"/>
  </r>
  <r>
    <s v="Romper Longer | 3-6 | Dusty Pink"/>
  </r>
  <r>
    <s v="Romper Longer | 6-12 | Cream"/>
  </r>
  <r>
    <s v="Romper Short | 6-12 | Mauve Taupe"/>
  </r>
  <r>
    <s v="Romper Longer | 0-3 | Dusty Pink"/>
  </r>
  <r>
    <s v="Romper Longer | 12-18 | Salmon"/>
  </r>
  <r>
    <s v="Romper Short | 3-6 | Dusty Pink"/>
  </r>
  <r>
    <s v="Romper Longer | 6-12 | Sage Green"/>
  </r>
  <r>
    <s v="Romper Longer | 0-3 | Cream"/>
  </r>
  <r>
    <s v="Romper Longer | 0-3 | White"/>
  </r>
  <r>
    <s v="Romper Short | 3-6 | Cream"/>
  </r>
  <r>
    <s v="Romper Short | 0-3 | White"/>
  </r>
  <r>
    <s v="Romper Short | 3-6 | Watermelon"/>
  </r>
  <r>
    <s v="Romper Longer | 6-12 | Dusty Pink"/>
  </r>
  <r>
    <s v="Romper Short | 0-3 | Cream"/>
  </r>
  <r>
    <s v="Romper Short | 3-6 | Coffee"/>
  </r>
  <r>
    <s v="Romper Longer | 12-18 | Cream"/>
  </r>
  <r>
    <s v="Romper Short | 12-18 | Dusty Pink"/>
  </r>
  <r>
    <s v="Romper Longer | 0-3 | Watermelon"/>
  </r>
  <r>
    <s v="Romper Longer | 0-3 | Cream"/>
  </r>
  <r>
    <s v="Romper Longer | 0-3 | Salmon"/>
  </r>
  <r>
    <s v="Romper Longer | 3-6 | Dusty Pink"/>
  </r>
  <r>
    <s v="Romper Longer | 3-6 | Forest Green"/>
  </r>
  <r>
    <s v="Romper Longer | 3-6 | Caldet Blue"/>
  </r>
  <r>
    <s v="Romper Longer | 3-6 | Dusty Pink"/>
  </r>
  <r>
    <s v="Romper Longer | 6-12 | Coffee"/>
  </r>
  <r>
    <s v="Romper Longer | 0-3 | Caldet Blue"/>
  </r>
  <r>
    <s v="Romper Short | 18-24 | Dusty Pink"/>
  </r>
  <r>
    <s v="Romper Longer | 3-6 | Sage Green"/>
  </r>
  <r>
    <s v="Romper Short | 0-3 | Cream"/>
  </r>
  <r>
    <s v="Romper Longer | 0-3 | Cream"/>
  </r>
  <r>
    <s v="Romper Longer | 12-18 | Watermelon"/>
  </r>
  <r>
    <s v="Romper Longer | 0-3 | Dusty Pink"/>
  </r>
  <r>
    <s v="Romper Longer | 0-3 | Texas Orange"/>
  </r>
  <r>
    <s v="Romper Short | 6-12 | Cream"/>
  </r>
  <r>
    <s v="Romper Longer | 6-12 | Sage Green"/>
  </r>
  <r>
    <s v="Romper Short | 3-6 | Cream"/>
  </r>
  <r>
    <s v="Romper Short | 3-6 | Sage Green"/>
  </r>
  <r>
    <s v="Romper Longer | 6-12 | Cream"/>
  </r>
  <r>
    <s v="Romper Short | 3-6 | Sage Green"/>
  </r>
  <r>
    <s v="Romper Longer | 3-6 | Cream"/>
  </r>
  <r>
    <s v="Romper Longer | 0-3 | White"/>
  </r>
  <r>
    <s v="Romper Longer | 0-3 | Cream"/>
  </r>
  <r>
    <s v="Romper Longer | 0-3 | Sage Green"/>
  </r>
  <r>
    <s v="Romper Longer | 12-18 | Cream"/>
  </r>
  <r>
    <s v="Romper Longer | 0-3 | Cream"/>
  </r>
  <r>
    <s v="Romper Short | 3-6 | Salmon"/>
  </r>
  <r>
    <s v="Romper Short | 3-6 | Sage Green"/>
  </r>
  <r>
    <s v="Romper Short | 3-6 | Forest Green"/>
  </r>
  <r>
    <s v="Romper Short | 6-12 | Caldet Blue"/>
  </r>
  <r>
    <s v="Romper Longer | 3-6 | Cream"/>
  </r>
  <r>
    <s v="Romper Short | 3-6 | Sage Green"/>
  </r>
  <r>
    <s v="Romper Short | 3-6 | Cream"/>
  </r>
  <r>
    <s v="Romper Longer | 6-12 | Cream"/>
  </r>
  <r>
    <s v="Romper Longer | 3-6 | Sage Green"/>
  </r>
  <r>
    <s v="Romper Longer | 6-12 | Cream"/>
  </r>
  <r>
    <s v="Romper Short | 3-6 | Dusty Pink"/>
  </r>
  <r>
    <s v="Romper Short | 0-3 | Cream"/>
  </r>
  <r>
    <s v="Romper Short | 6-12 | Dusty Pink"/>
  </r>
  <r>
    <s v="Romper Longer | 0-3 | Cream"/>
  </r>
  <r>
    <s v="Romper Short | 0-3 | Dusty Pink"/>
  </r>
  <r>
    <s v="Romper Longer | 3-6 | Cream"/>
  </r>
  <r>
    <s v="Romper Longer | 6-12 | Dusty Pink"/>
  </r>
  <r>
    <s v="Romper Longer | 3-6 | Caldet Blue"/>
  </r>
  <r>
    <s v="Romper Longer | 3-6 | Dusty Pink"/>
  </r>
  <r>
    <s v="Romper Longer | 6-12 | Caldet Blue"/>
  </r>
  <r>
    <s v="Romper Longer | 3-6 | Cream"/>
  </r>
  <r>
    <s v="Romper Longer | 0-3 | Cream"/>
  </r>
  <r>
    <s v="Romper Short | 0-3 | White"/>
  </r>
  <r>
    <s v="Romper Short | 0-3 | White"/>
  </r>
  <r>
    <s v="Romper Longer | 0-3 | Watermelon"/>
  </r>
  <r>
    <s v="Romper Short | 0-3 | Cream"/>
  </r>
  <r>
    <s v="Romper Short | 3-6 | Forest Green"/>
  </r>
  <r>
    <s v="Romper Short | 0-3 | Caldet Blue"/>
  </r>
  <r>
    <s v="Romper Short | 3-6 | Cream"/>
  </r>
  <r>
    <s v="Romper Short | 3-6 | Coffee"/>
  </r>
  <r>
    <s v="Romper Longer | 0-3 | Sage Green"/>
  </r>
  <r>
    <s v="Romper Short | 3-6 | Sage Green"/>
  </r>
  <r>
    <s v="Romper Longer | 6-12 | Sage Green"/>
  </r>
  <r>
    <s v="Romper Longer | 3-6 | Cream"/>
  </r>
  <r>
    <s v="Romper Longer | 6-12 | Cream"/>
  </r>
  <r>
    <s v="Romper Short | 3-6 | Caldet Blue"/>
  </r>
  <r>
    <s v="Romper Short | 3-6 | Caldet Blue"/>
  </r>
  <r>
    <s v="Romper Short | 6-12 | Sage Green"/>
  </r>
  <r>
    <s v="Romper Short | 3-6 | Cream"/>
  </r>
  <r>
    <s v="Romper Longer | 0-3 | Dusty Pink"/>
  </r>
  <r>
    <s v="Romper Short | 0-3 | Cream"/>
  </r>
  <r>
    <s v="Romper Longer | 3-6 | Cream"/>
  </r>
  <r>
    <s v="Romper Short | 3-6 | Cream"/>
  </r>
  <r>
    <s v="Romper Longer | 3-6 | Cream"/>
  </r>
  <r>
    <s v="Romper Short | 3-6 | Sage Green"/>
  </r>
  <r>
    <s v="Romper Short | 3-6 | Cream"/>
  </r>
  <r>
    <s v="Romper Longer | 6-12 | Forest Green"/>
  </r>
  <r>
    <s v="Romper Longer | 0-3 | Dusty Pink"/>
  </r>
  <r>
    <s v="Romper Longer | 0-3 | Dusty Pink"/>
  </r>
  <r>
    <s v="Romper Short | 0-3 | Cream"/>
  </r>
  <r>
    <s v="Romper Short | 3-6 | Dusty Pink"/>
  </r>
  <r>
    <s v="Romper Longer | 3-6 | Forest Green"/>
  </r>
  <r>
    <s v="Romper Longer | 3-6 | Cream"/>
  </r>
  <r>
    <s v="Romper Longer | 3-6 | Cream"/>
  </r>
  <r>
    <s v="Romper Longer | 3-6 | Cream"/>
  </r>
  <r>
    <s v="Romper Longer | 6-12 | Cream"/>
  </r>
  <r>
    <s v="Romper Longer | 18-24 | Caldet Blue"/>
  </r>
  <r>
    <s v="Romper Longer | 0-3 | Sage Green"/>
  </r>
  <r>
    <s v="Romper Longer | 6-12 | Cream"/>
  </r>
  <r>
    <s v="Romper Longer | 0-3 | Cream"/>
  </r>
  <r>
    <s v="Romper Short | 3-6 | Caldet Blue"/>
  </r>
  <r>
    <s v="Romper Longer | 12-18 | Sage Green"/>
  </r>
  <r>
    <s v="Romper Longer | 3-6 | Mauve Taupe"/>
  </r>
  <r>
    <s v="Romper Longer | 0-3 | Cream"/>
  </r>
  <r>
    <s v="Romper Longer | 6-12 | Forest Green"/>
  </r>
  <r>
    <s v="Romper Longer | 0-3 | Cream"/>
  </r>
  <r>
    <s v="Romper Longer | 6-12 | Cream"/>
  </r>
  <r>
    <s v="Romper Longer | 0-3 | Cream"/>
  </r>
  <r>
    <s v="Romper Longer | 6-12 | Sage Green"/>
  </r>
  <r>
    <s v="Romper Short | 0-3 | Forest Green"/>
  </r>
  <r>
    <s v="Romper Longer | 3-6 | Cream"/>
  </r>
  <r>
    <s v="Romper Longer | 0-3 | Caldet Blue"/>
  </r>
  <r>
    <s v="Romper Longer | 12-18 | Cream"/>
  </r>
  <r>
    <s v="Romper Longer | 0-3 | Forest Green"/>
  </r>
  <r>
    <s v="Romper Longer | 6-12 | Sage Green"/>
  </r>
  <r>
    <s v="Romper Longer | 6-12 | Cream"/>
  </r>
  <r>
    <s v="Romper Short | 0-3 | Cream"/>
  </r>
  <r>
    <s v="Romper Short | 0-3 | Sage Green"/>
  </r>
  <r>
    <s v="Romper Longer | 0-3 | Caldet Blue"/>
  </r>
  <r>
    <s v="Romper Longer | 6-12 | Sage Green"/>
  </r>
  <r>
    <s v="Romper Short | 3-6 | Cream"/>
  </r>
  <r>
    <s v="Romper Longer | 3-6 | Sage Green"/>
  </r>
  <r>
    <s v="Romper Longer | 6-12 | Cream"/>
  </r>
  <r>
    <s v="Romper Longer | 3-6 | Cream"/>
  </r>
  <r>
    <s v="Romper Longer | 0-3 | Coffee"/>
  </r>
  <r>
    <s v="Romper Longer | 3-6 | Cream"/>
  </r>
  <r>
    <s v="Romper Longer | 0-3 | Cream"/>
  </r>
  <r>
    <s v="Romper Longer | 3-6 | Dusty Pink"/>
  </r>
  <r>
    <s v="Romper Longer | 0-3 | Cream"/>
  </r>
  <r>
    <s v="Romper Longer | 12-18 | Sage Green"/>
  </r>
  <r>
    <s v="Romper Longer | 0-3 | Cream"/>
  </r>
  <r>
    <s v="Romper Longer | 6-12 | Forest Green"/>
  </r>
  <r>
    <s v="Romper Longer | 3-6 | Mauve Taupe"/>
  </r>
  <r>
    <s v="Romper Longer | 3-6 | Cream"/>
  </r>
  <r>
    <s v="Romper Longer | 6-12 | Sage Green"/>
  </r>
  <r>
    <s v="Romper Longer | 6-12 | Cream"/>
  </r>
  <r>
    <s v="Romper Short | 3-6 | Mauve Taupe"/>
  </r>
  <r>
    <s v="Romper Longer | 0-3 | Cream"/>
  </r>
  <r>
    <s v="Romper Longer | 18-24 | Sage Green"/>
  </r>
  <r>
    <s v="Romper Short | 3-6 | Caldet Blue"/>
  </r>
  <r>
    <s v="Romper Short | 0-3 | Cream"/>
  </r>
  <r>
    <s v="Romper Longer | 0-3 | Cream"/>
  </r>
  <r>
    <s v="Romper Longer | 0-3 | Cream"/>
  </r>
  <r>
    <s v="Romper Short | 3-6 | Dusty Pink"/>
  </r>
  <r>
    <s v="Romper Longer | 0-3 | Dusty Pink"/>
  </r>
  <r>
    <s v="Romper Longer | 0-3 | Cream"/>
  </r>
  <r>
    <s v="Romper Longer | 0-3 | Mauve Taupe"/>
  </r>
  <r>
    <s v="Romper Longer | 12-18 | Forest Green"/>
  </r>
  <r>
    <s v="Romper Short | 3-6 | Caldet Blue"/>
  </r>
  <r>
    <s v="Romper Short | 3-6 | Sage Green"/>
  </r>
  <r>
    <s v="Romper Longer | 0-3 | Caldet Blue"/>
  </r>
  <r>
    <s v="Romper Short | 12-18 | Sage Green"/>
  </r>
  <r>
    <s v="Romper Longer | 0-3 | Caldet Blue"/>
  </r>
  <r>
    <s v="Romper Short | 3-6 | Cream"/>
  </r>
  <r>
    <s v="Romper Longer | 12-18 | Forest Green"/>
  </r>
  <r>
    <s v="Romper Longer | 0-3 | Cream"/>
  </r>
  <r>
    <s v="Romper Longer | 3-6 | Cream"/>
  </r>
  <r>
    <s v="Romper Longer | 6-12 | Cream"/>
  </r>
  <r>
    <s v="Romper Short | 0-3 | Forest Green"/>
  </r>
  <r>
    <s v="Romper Longer | 0-3 | Cream"/>
  </r>
  <r>
    <s v="Romper Longer | 12-18 | Caldet Blue"/>
  </r>
  <r>
    <s v="Romper Longer | 6-12 | Forest Green"/>
  </r>
  <r>
    <s v="Romper Longer | 6-12 | Forest Green"/>
  </r>
  <r>
    <s v="Romper Short | 0-3 | Cream"/>
  </r>
  <r>
    <s v="Romper Short | 0-3 | Sage Green"/>
  </r>
  <r>
    <s v="Romper Short | 0-3 | Coffee"/>
  </r>
  <r>
    <s v="Romper Longer | 3-6 | White"/>
  </r>
  <r>
    <s v="Romper Short | 6-12 | Salmon"/>
  </r>
  <r>
    <s v="Romper Longer | 3-6 | Cream"/>
  </r>
  <r>
    <s v="Romper Longer | 3-6 | Cream"/>
  </r>
  <r>
    <s v="Romper Short | 3-6 | Dusty Pink"/>
  </r>
  <r>
    <s v="Romper Longer | 6-12 | Cream"/>
  </r>
  <r>
    <s v="Romper Longer | 0-3 | Forest Green"/>
  </r>
  <r>
    <s v="Romper Longer | 3-6 | Cream"/>
  </r>
  <r>
    <s v="Romper Short | 0-3 | Dusty Pink"/>
  </r>
  <r>
    <s v="Romper Longer | 3-6 | Salmon"/>
  </r>
  <r>
    <s v="Romper Short | 0-3 | Cream"/>
  </r>
  <r>
    <s v="Romper Short | 3-6 | Forest Green"/>
  </r>
  <r>
    <s v="Romper Longer | 0-3 | Cream"/>
  </r>
  <r>
    <s v="Romper Longer | 0-3 | Sage Green"/>
  </r>
  <r>
    <s v="Romper Short | 3-6 | Sage Green"/>
  </r>
  <r>
    <s v="Romper Longer | 12-18 | Cream"/>
  </r>
  <r>
    <s v="Romper Longer | 0-3 | Caldet Blue"/>
  </r>
  <r>
    <s v="Romper Longer | 0-3 | Cream"/>
  </r>
  <r>
    <s v="Romper Short | 0-3 | Cream"/>
  </r>
  <r>
    <s v="Romper Longer | 0-3 | Dusty Pink"/>
  </r>
  <r>
    <s v="Romper Short | 3-6 | Cream"/>
  </r>
  <r>
    <s v="Romper Short | 3-6 | Caldet Blue"/>
  </r>
  <r>
    <s v="Romper Short | 3-6 | White"/>
  </r>
  <r>
    <s v="Romper Longer | 3-6 | Cream"/>
  </r>
  <r>
    <s v="Romper Short | 6-12 | Cream"/>
  </r>
  <r>
    <s v="Romper Longer | 3-6 | Cream"/>
  </r>
  <r>
    <s v="Romper Short | 0-3 | White"/>
  </r>
  <r>
    <s v="Romper Longer | 0-3 | Cream"/>
  </r>
  <r>
    <s v="Romper Longer | 0-3 | Cream"/>
  </r>
  <r>
    <s v="Romper Longer | 0-3 | Sage Green"/>
  </r>
  <r>
    <s v="Romper Longer | 3-6 | Cream"/>
  </r>
  <r>
    <s v="Romper Longer | 3-6 | White"/>
  </r>
  <r>
    <s v="Romper Short | 6-12 | Salmon"/>
  </r>
  <r>
    <s v="Romper Longer | 3-6 | Cream"/>
  </r>
  <r>
    <s v="Romper Short | 3-6 | Sage Green"/>
  </r>
  <r>
    <s v="Romper Longer | 6-12 | Sage Green"/>
  </r>
  <r>
    <s v="Romper Longer | 6-12 | Sage Green"/>
  </r>
  <r>
    <s v="Romper Short | 6-12 | Dusty Pink"/>
  </r>
  <r>
    <s v="Romper Short | 0-3 | Cream"/>
  </r>
  <r>
    <s v="Romper Short | 3-6 | Cream"/>
  </r>
  <r>
    <s v="Romper Longer | 3-6 | Sage Green"/>
  </r>
  <r>
    <s v="Romper Short | 3-6 | Cream"/>
  </r>
  <r>
    <s v="Romper Longer | 3-6 | Cream"/>
  </r>
  <r>
    <s v="Romper Short | 3-6 | Dusty Pink"/>
  </r>
  <r>
    <s v="Romper Short | 6-12 | Caldet Blue"/>
  </r>
  <r>
    <s v="Romper Longer | 0-3 | Sage Green"/>
  </r>
  <r>
    <s v="Romper Longer | 3-6 | Forest Green"/>
  </r>
  <r>
    <s v="Romper Short | 0-3 | Mauve Taupe"/>
  </r>
  <r>
    <s v="Romper Longer | 3-6 | Watermelon"/>
  </r>
  <r>
    <s v="Romper Short | 6-12 | Cream"/>
  </r>
  <r>
    <s v="Romper Longer | 0-3 | Dusty Pink"/>
  </r>
  <r>
    <s v="Romper Short | 0-3 | Cream"/>
  </r>
  <r>
    <s v="Romper Longer | 3-6 | Cream"/>
  </r>
  <r>
    <s v="Romper Longer | 3-6 | Sage Green"/>
  </r>
  <r>
    <s v="Romper Short | 0-3 | Sage Green"/>
  </r>
  <r>
    <s v="Romper Longer | 6-12 | Cream"/>
  </r>
  <r>
    <s v="Romper Longer | 0-3 | Dusty Pink"/>
  </r>
  <r>
    <s v="Romper Longer | 3-6 | Cream"/>
  </r>
  <r>
    <s v="Romper Longer | 0-3 | Cream"/>
  </r>
  <r>
    <s v="Romper Short | 3-6 | Sage Green"/>
  </r>
  <r>
    <s v="Romper Short | 3-6 | Salmon"/>
  </r>
  <r>
    <s v="Romper Longer | 18-24 | Sage Green"/>
  </r>
  <r>
    <s v="Romper Longer | 0-3 | Sage Green"/>
  </r>
  <r>
    <s v="Romper Longer | 3-6 | "/>
  </r>
  <r>
    <s v="Romper Short | 3-6 | White"/>
  </r>
  <r>
    <s v="Romper Short | 0-3 | Sage Green"/>
  </r>
  <r>
    <s v="Romper Longer | 3-6 | Salmon"/>
  </r>
  <r>
    <s v="Romper Short | 3-6 | Cream"/>
  </r>
  <r>
    <s v="Romper Longer | 0-3 | Watermelon"/>
  </r>
  <r>
    <s v="Romper Longer | 0-3 | Cream"/>
  </r>
  <r>
    <s v="Romper Short | 6-12 | White"/>
  </r>
  <r>
    <s v="Romper Longer | 3-6 | Sage Green"/>
  </r>
  <r>
    <s v="Romper Longer | 3-6 | Watermelon"/>
  </r>
  <r>
    <s v="Romper Longer | 0-3 | Sage Green"/>
  </r>
  <r>
    <s v="Romper Longer | 6-12 | Caldet Blue"/>
  </r>
  <r>
    <s v="Romper Longer | 6-12 | Sage Green"/>
  </r>
  <r>
    <s v="Romper Longer | 3-6 | Cream"/>
  </r>
  <r>
    <s v="Romper Short | 3-6 | White"/>
  </r>
  <r>
    <s v="Romper Longer | 0-3 | Cream"/>
  </r>
  <r>
    <s v="Romper Short | 6-12 | Watermelon"/>
  </r>
  <r>
    <s v="Romper Longer | 6-12 | Cream"/>
  </r>
  <r>
    <s v="Romper Short | 3-6 | Sage Green"/>
  </r>
  <r>
    <s v="Romper Short | 0-3 | Sage Green"/>
  </r>
  <r>
    <s v="Romper Longer | 3-6 | Mauve Taupe"/>
  </r>
  <r>
    <s v="Romper Longer | 0-3 | Mauve Taupe"/>
  </r>
  <r>
    <s v="Romper Short | 3-6 | Dusty Pink"/>
  </r>
  <r>
    <s v="Romper Longer | 0-3 | Cream"/>
  </r>
  <r>
    <s v="Romper Short | 0-3 | White"/>
  </r>
  <r>
    <s v="Romper Short | 3-6 | Sage Green"/>
  </r>
  <r>
    <s v="Romper Short | 6-12 | Cream"/>
  </r>
  <r>
    <s v="Romper Short | 3-6 | Sage Green"/>
  </r>
  <r>
    <s v="Romper Short | 3-6 | Caldet Blue"/>
  </r>
  <r>
    <s v="Romper Short | 0-3 | Sage Green"/>
  </r>
  <r>
    <s v="Romper Short | 0-3 | Forest Green"/>
  </r>
  <r>
    <s v="Romper Longer | 18-24 | Sage Green"/>
  </r>
  <r>
    <s v="Romper Longer | 0-3 | Forest Green"/>
  </r>
  <r>
    <s v="Romper Short | 0-3 | Sage Green"/>
  </r>
  <r>
    <s v="Romper Longer | 0-3 | Sage Green"/>
  </r>
  <r>
    <s v="Romper Longer | 3-6 | Forest Green"/>
  </r>
  <r>
    <s v="Romper Longer | 12-18 | Cream"/>
  </r>
  <r>
    <s v="Romper Short | 0-3 | White"/>
  </r>
  <r>
    <s v="Romper Longer | 6-12 | Dusty Pink"/>
  </r>
  <r>
    <s v="Romper Longer | 0-3 | Cream"/>
  </r>
  <r>
    <s v="Romper Longer | 3-6 | Dusty Pink"/>
  </r>
  <r>
    <s v="Romper Longer | 6-12 | Sage Green"/>
  </r>
  <r>
    <s v="Romper Short | 3-6 | White"/>
  </r>
  <r>
    <s v="Romper Longer | 6-12 | Cream"/>
  </r>
  <r>
    <s v="Romper Short | 3-6 | Mauve Taupe"/>
  </r>
  <r>
    <s v="Romper Longer | 0-3 | Coffee"/>
  </r>
  <r>
    <s v="Romper Longer | 6-12 | Dusty Pink"/>
  </r>
  <r>
    <s v="Romper Longer | 0-3 | Cream"/>
  </r>
  <r>
    <s v="Romper Longer | 3-6 | Sage Green"/>
  </r>
  <r>
    <s v="Romper Longer | 3-6 | Caldet Blue"/>
  </r>
  <r>
    <s v="Romper Short | 6-12 | Sage Green"/>
  </r>
  <r>
    <s v="Romper Short | 6-12 | Dusty Pink"/>
  </r>
  <r>
    <s v="Romper Longer | 3-6 | Dusty Pink"/>
  </r>
  <r>
    <s v="Romper Longer | 0-3 | Cream"/>
  </r>
  <r>
    <s v="Romper Short | 0-3 | Dusty Pink"/>
  </r>
  <r>
    <s v="Romper Longer | 3-6 | Cream"/>
  </r>
  <r>
    <s v="Romper Short | 0-3 | Dusty Pink"/>
  </r>
  <r>
    <s v="Romper Short | 0-3 | White"/>
  </r>
  <r>
    <s v="Romper Longer | 0-3 | Forest Green"/>
  </r>
  <r>
    <s v="Romper Longer | 3-6 | White"/>
  </r>
  <r>
    <s v="Romper Longer | 3-6 | Watermelon"/>
  </r>
  <r>
    <s v="Romper Short | 3-6 | Caldet Blue"/>
  </r>
  <r>
    <s v="Romper Longer | 6-12 | Salmon"/>
  </r>
  <r>
    <s v="Romper Longer | 3-6 | Sage Green"/>
  </r>
  <r>
    <s v="Romper Short | 0-3 | Caldet Blue"/>
  </r>
  <r>
    <s v="Romper Longer | 3-6 | Coffee"/>
  </r>
  <r>
    <s v="Romper Longer | 0-3 | Cream"/>
  </r>
  <r>
    <s v="Romper Longer | 0-3 | Cream"/>
  </r>
  <r>
    <s v="Romper Longer | 3-6 | Caldet Blue"/>
  </r>
  <r>
    <s v="Romper Short | 3-6 | Sage Green"/>
  </r>
  <r>
    <s v="Romper Short | 0-3 | Cream"/>
  </r>
  <r>
    <s v="Romper Short | 0-3 | Dusty Pink"/>
  </r>
  <r>
    <s v="Romper Short | 0-3 | Cream"/>
  </r>
  <r>
    <s v="Romper Short | 3-6 | Dusty Pink"/>
  </r>
  <r>
    <s v="Romper Longer | 6-12 | Texas Orange"/>
  </r>
  <r>
    <s v="Romper Longer | 3-6 | Sage Green"/>
  </r>
  <r>
    <s v="Romper Longer | 6-12 | Sage Green"/>
  </r>
  <r>
    <s v="Romper Short | 3-6 | Sage Green"/>
  </r>
  <r>
    <s v="Romper Short | 3-6 | White"/>
  </r>
  <r>
    <s v="Romper Longer | 0-3 | White"/>
  </r>
  <r>
    <s v="Romper Longer | 3-6 | Cream"/>
  </r>
  <r>
    <s v="Romper Longer | 0-3 | Watermelon"/>
  </r>
  <r>
    <s v="Romper Longer | 3-6 | Cream"/>
  </r>
  <r>
    <s v="Romper Short | 3-6 | Cream"/>
  </r>
  <r>
    <s v="Romper Short | 3-6 | Sage Green"/>
  </r>
  <r>
    <s v="Romper Short | 3-6 | Cream"/>
  </r>
  <r>
    <s v="Romper Longer | 6-12 | Dusty Pink"/>
  </r>
  <r>
    <s v="Romper Longer | 3-6 | Cream"/>
  </r>
  <r>
    <s v="Romper Longer | 6-12 | Sage Green"/>
  </r>
  <r>
    <s v="Romper Longer | 0-3 | Cream"/>
  </r>
  <r>
    <s v="Romper Longer | 3-6 | Cream"/>
  </r>
  <r>
    <s v="Romper Short | 3-6 | Salmon"/>
  </r>
  <r>
    <s v="Romper Short | 3-6 | Cream"/>
  </r>
  <r>
    <s v="Romper Short | 3-6 | Sage Green"/>
  </r>
  <r>
    <s v="Romper Longer | 6-12 | Sage Green"/>
  </r>
  <r>
    <s v="Romper Longer | 0-3 | Cream"/>
  </r>
  <r>
    <s v="Romper Longer | 0-3 | Sage Green"/>
  </r>
  <r>
    <s v="Romper Longer | 3-6 | Salmon"/>
  </r>
  <r>
    <s v="Romper Longer | 0-3 | Cream"/>
  </r>
  <r>
    <s v="Romper Longer | 3-6 | White"/>
  </r>
  <r>
    <s v="Romper Short | 0-3 | Caldet Blue"/>
  </r>
  <r>
    <s v="Romper Short | 3-6 | Cream"/>
  </r>
  <r>
    <s v="Romper Short | 0-3 | Dusty Pink"/>
  </r>
  <r>
    <s v="Romper Longer | 3-6 | White"/>
  </r>
  <r>
    <s v="Romper Short | 3-6 | Dusty Pink"/>
  </r>
  <r>
    <s v="Romper Longer | 0-3 | Cream"/>
  </r>
  <r>
    <s v="Romper Longer | 3-6 | Sage Green"/>
  </r>
  <r>
    <s v="Romper Longer | 6-12 | Sage Green"/>
  </r>
  <r>
    <s v="Romper Longer | 0-3 | Sage Green"/>
  </r>
  <r>
    <s v="Romper Longer | 6-12 | Cream"/>
  </r>
  <r>
    <s v="Romper Longer | 3-6 | Watermelon"/>
  </r>
  <r>
    <s v="Romper Longer | 0-3 | Sage Green"/>
  </r>
  <r>
    <s v="Romper Longer | 3-6 | Sage Green"/>
  </r>
  <r>
    <s v="Romper Longer | 3-6 | Mauve Taupe"/>
  </r>
  <r>
    <s v="Romper Longer | 3-6 | Dusty Pink"/>
  </r>
  <r>
    <s v="Romper Longer | 6-12 | Sage Green"/>
  </r>
  <r>
    <s v="Romper Longer | 0-3 | Cream"/>
  </r>
  <r>
    <s v="Romper Short | 0-3 | Sage Green"/>
  </r>
  <r>
    <s v="Romper Longer | 3-6 | Dusty Pink"/>
  </r>
  <r>
    <s v="Romper Longer | 0-3 | Sage Green"/>
  </r>
  <r>
    <s v="Romper Short | 0-3 | White"/>
  </r>
  <r>
    <s v="Romper Short | 0-3 | Cream"/>
  </r>
  <r>
    <s v="Romper Longer | 3-6 | Cream"/>
  </r>
  <r>
    <s v="Romper Short | 0-3 | Mauve Taupe"/>
  </r>
  <r>
    <s v="Romper Short | 3-6 | Cream"/>
  </r>
  <r>
    <s v="Romper Longer | 6-12 | Forest Green"/>
  </r>
  <r>
    <s v="Romper Longer | 0-3 | Coffee"/>
  </r>
  <r>
    <s v="Romper Longer | 3-6 | Watermelon"/>
  </r>
  <r>
    <s v="Romper Short | 12-18 | Dusty Pink"/>
  </r>
  <r>
    <s v="Romper Longer | 6-12 | Cream"/>
  </r>
  <r>
    <s v="Romper Short | 3-6 | Sage Green"/>
  </r>
  <r>
    <s v="Romper Short | 0-3 | Mauve Taupe"/>
  </r>
  <r>
    <s v="Romper Short | 0-3 | Cream"/>
  </r>
  <r>
    <s v="Romper Longer | 0-3 | Cream"/>
  </r>
  <r>
    <s v="Romper Short | 0-3 | Mauve Taupe"/>
  </r>
  <r>
    <s v="Romper Short | 6-12 | Cream"/>
  </r>
  <r>
    <s v="Romper Short | 3-6 | Watermelon"/>
  </r>
  <r>
    <s v="Romper Short | 3-6 | Mauve Taupe"/>
  </r>
  <r>
    <s v="Romper Longer | 0-3 | Coffee"/>
  </r>
  <r>
    <s v="Romper Longer | 0-3 | Cream"/>
  </r>
  <r>
    <s v="Romper Longer | 6-12 | Sage Green"/>
  </r>
  <r>
    <s v="Romper Short | 0-3 | Cream"/>
  </r>
  <r>
    <s v="Romper Longer | 6-12 | Dusty Pink"/>
  </r>
  <r>
    <s v="Romper Longer | 3-6 | Salmon"/>
  </r>
  <r>
    <s v="Romper Short | 0-3 | Cream"/>
  </r>
  <r>
    <s v="Romper Longer | 6-12 | Cream"/>
  </r>
  <r>
    <s v="Romper Short | 0-3 | Sage Green"/>
  </r>
  <r>
    <s v="Romper Short | 3-6 | Cream"/>
  </r>
  <r>
    <s v="Romper Longer | 6-12 | Salmon"/>
  </r>
  <r>
    <s v="Romper Longer | 3-6 | Cream"/>
  </r>
  <r>
    <s v="Romper Longer | 3-6 | Dusty Pink"/>
  </r>
  <r>
    <s v="Romper Short | 3-6 | Cream"/>
  </r>
  <r>
    <s v="Romper Short | 0-3 | White"/>
  </r>
  <r>
    <s v="Romper Short | 0-3 | White"/>
  </r>
  <r>
    <s v="Romper Longer | 3-6 | Dusty Pink"/>
  </r>
  <r>
    <s v="Romper Longer | 0-3 | Dusty Pink"/>
  </r>
  <r>
    <s v="Romper Short | 0-3 | Cream"/>
  </r>
  <r>
    <s v="Romper Longer | 3-6 | Caldet Blue"/>
  </r>
  <r>
    <s v="Romper Longer | 3-6 | Cream"/>
  </r>
  <r>
    <s v="Romper Longer | 3-6 | Cream"/>
  </r>
  <r>
    <s v="Romper Short | 0-3 | Cream"/>
  </r>
  <r>
    <s v="Romper Short | 6-12 | Cream"/>
  </r>
  <r>
    <s v="Romper Longer | 3-6 | Cream"/>
  </r>
  <r>
    <s v="Romper Short | 3-6 | Sage Green"/>
  </r>
  <r>
    <s v="Romper Longer | 6-12 | Coffee"/>
  </r>
  <r>
    <s v="Romper Longer | 6-12 | Sage Green"/>
  </r>
  <r>
    <s v="Romper Longer | 3-6 | Cream"/>
  </r>
  <r>
    <s v="Romper Longer | 6-12 | Cream"/>
  </r>
  <r>
    <s v="Romper Longer | 0-3 | Dusty Pink"/>
  </r>
  <r>
    <s v="Romper Longer | 0-3 | Sage Green"/>
  </r>
  <r>
    <s v="Romper Short | 3-6 | Salmon"/>
  </r>
  <r>
    <s v="Romper Longer | 0-3 | Sage Green"/>
  </r>
  <r>
    <s v="Romper Longer | 6-12 | Cream"/>
  </r>
  <r>
    <s v="Romper Short | 6-12 | Sage Green"/>
  </r>
  <r>
    <s v="Romper Short | 3-6 | Sage Green"/>
  </r>
  <r>
    <s v="Romper Longer | 3-6 | White"/>
  </r>
  <r>
    <s v="Romper Short | 0-3 | Cream"/>
  </r>
  <r>
    <s v="Romper Longer | 0-3 | Forest Green"/>
  </r>
  <r>
    <s v="Romper Short | 0-3 | Cream"/>
  </r>
  <r>
    <s v="Romper Short | 3-6 | Cream"/>
  </r>
  <r>
    <s v="Romper Short | 3-6 | Cream"/>
  </r>
  <r>
    <s v="Romper Longer | 0-3 | Cream"/>
  </r>
  <r>
    <s v="Romper Longer | 3-6 | Watermelon"/>
  </r>
  <r>
    <s v="Romper Longer | 0-3 | Cream"/>
  </r>
  <r>
    <s v="Romper Longer | 0-3 | Cream"/>
  </r>
  <r>
    <s v="Romper Longer | 3-6 | Watermelon"/>
  </r>
  <r>
    <s v="Romper Short | 3-6 | Cream"/>
  </r>
  <r>
    <s v="Romper Longer | 3-6 | Cream"/>
  </r>
  <r>
    <s v="Romper Short | 3-6 | Texas Orange"/>
  </r>
  <r>
    <s v="Romper Longer | 0-3 | Cream"/>
  </r>
  <r>
    <s v="Romper Short | 0-3 | Cream"/>
  </r>
  <r>
    <s v="Romper Short | 0-3 | Caldet Blue"/>
  </r>
  <r>
    <s v="Romper Short | 6-12 | Cream"/>
  </r>
  <r>
    <s v="Romper Longer | 0-3 | Sage Green"/>
  </r>
  <r>
    <s v="Romper Longer | 6-12 | Sage Green"/>
  </r>
  <r>
    <s v="Romper Short | 3-6 | Sage Green"/>
  </r>
  <r>
    <s v="Romper Longer | 6-12 | Dusty Pink"/>
  </r>
  <r>
    <s v="Romper Short | 3-6 | Sage Green"/>
  </r>
  <r>
    <s v="Romper Longer | 3-6 | Cream"/>
  </r>
  <r>
    <s v="Romper Short | 0-3 | Dusty Pink"/>
  </r>
  <r>
    <s v="Romper Short | 0-3 | Watermelon"/>
  </r>
  <r>
    <s v="Romper Short | 0-3 | Cream"/>
  </r>
  <r>
    <s v="Romper Short | 0-3 | Mauve Taupe"/>
  </r>
  <r>
    <s v="Romper Longer | 12-18 | Caldet Blue"/>
  </r>
  <r>
    <s v="Romper Short | 3-6 | Watermelon"/>
  </r>
  <r>
    <s v="Romper Longer | 6-12 | Dusty Pink"/>
  </r>
  <r>
    <s v="Romper Short | 0-3 | Caldet Blue"/>
  </r>
  <r>
    <s v="Romper Longer | 3-6 | Sage Green"/>
  </r>
  <r>
    <s v="Romper Longer | 6-12 | Dusty Pink"/>
  </r>
  <r>
    <s v="Romper Longer | 0-3 | Sage Green"/>
  </r>
  <r>
    <s v="Romper Longer | 18-24 | Cream"/>
  </r>
  <r>
    <s v="Romper Short | 3-6 | Sage Green"/>
  </r>
  <r>
    <s v="Romper Longer | 0-3 | Sage Green"/>
  </r>
  <r>
    <s v="Romper Longer | 0-3 | Dusty Pink"/>
  </r>
  <r>
    <s v="Romper Short | 0-3 | Cream"/>
  </r>
  <r>
    <s v="Romper Longer | 0-3 | Sage Green"/>
  </r>
  <r>
    <s v="Romper Longer | 6-12 | Mauve Taupe"/>
  </r>
  <r>
    <s v="Romper Longer | 3-6 | Cream"/>
  </r>
  <r>
    <s v="Romper Longer | 3-6 | Cream"/>
  </r>
  <r>
    <s v="Romper Longer | 6-12 | Caldet Blue"/>
  </r>
  <r>
    <s v="Romper Longer | 6-12 | Sage Green"/>
  </r>
  <r>
    <s v="Romper Longer | 6-12 | Cream"/>
  </r>
  <r>
    <s v="Romper Longer | 0-3 | Cream"/>
  </r>
  <r>
    <s v="Romper Longer | 0-3 | Cream"/>
  </r>
  <r>
    <s v="Romper Short | 0-3 | White"/>
  </r>
  <r>
    <s v="Romper Longer | 3-6 | Sage Green"/>
  </r>
  <r>
    <s v="Romper Short | 0-3 | Dusty Pink"/>
  </r>
  <r>
    <s v="Romper Longer | 12-18 | Sage Green"/>
  </r>
  <r>
    <s v="Romper Short | 6-12 | Sage Green"/>
  </r>
  <r>
    <s v="Romper Short | 3-6 | Caldet Blue"/>
  </r>
  <r>
    <s v="Romper Longer | 0-3 | Cream"/>
  </r>
  <r>
    <s v="Romper Short | 6-12 | Cream"/>
  </r>
  <r>
    <s v="Romper Short | 6-12 | Salmon"/>
  </r>
  <r>
    <s v="Romper Longer | 3-6 | White"/>
  </r>
  <r>
    <s v="Romper Longer | 6-12 | Sage Green"/>
  </r>
  <r>
    <s v="Romper Short | 3-6 | Forest Green"/>
  </r>
  <r>
    <s v="Romper Longer | 6-12 | Forest Green"/>
  </r>
  <r>
    <s v="Romper Short | 6-12 | Cream"/>
  </r>
  <r>
    <s v="Romper Longer | 3-6 | Cream"/>
  </r>
  <r>
    <s v="Romper Longer | 3-6 | Cream"/>
  </r>
  <r>
    <s v="Romper Short | 3-6 | Cream"/>
  </r>
  <r>
    <s v="Romper Longer | 3-6 | Texas Orange"/>
  </r>
  <r>
    <s v="Romper Longer | 3-6 | Cream"/>
  </r>
  <r>
    <s v="Romper Longer | 3-6 | Forest Green"/>
  </r>
  <r>
    <s v="Romper Longer | 0-3 | Sage Green"/>
  </r>
  <r>
    <s v="Romper Short | 0-3 | Cream"/>
  </r>
  <r>
    <s v="Romper Short | 0-3 | Dusty Pink"/>
  </r>
  <r>
    <s v="Romper Longer | 3-6 | Sage Green"/>
  </r>
  <r>
    <s v="Romper Short | 0-3 | Cream"/>
  </r>
  <r>
    <s v="Romper Longer | 6-12 | Texas Orange"/>
  </r>
  <r>
    <s v="Romper Longer | 3-6 | Cream"/>
  </r>
  <r>
    <s v="Romper Short | 0-3 | Mauve Taupe"/>
  </r>
  <r>
    <s v="Romper Short | 3-6 | Texas Orange"/>
  </r>
  <r>
    <s v="Romper Longer | 0-3 | Cream"/>
  </r>
  <r>
    <s v="Romper Short | 6-12 | Dusty Pink"/>
  </r>
  <r>
    <s v="Romper Short | 12-18 | Mauve Taupe"/>
  </r>
  <r>
    <s v="Romper Short | 3-6 | Cream"/>
  </r>
  <r>
    <s v="Romper Short | 3-6 | Sage Green"/>
  </r>
  <r>
    <s v="Romper Longer | 6-12 | Cream"/>
  </r>
  <r>
    <s v="Romper Longer | 3-6 | Sage Green"/>
  </r>
  <r>
    <s v="Romper Longer | 6-12 | Cream"/>
  </r>
  <r>
    <s v="Romper Longer | 0-3 | Cream"/>
  </r>
  <r>
    <s v="Romper Longer | 3-6 | Dusty Pink"/>
  </r>
  <r>
    <s v="Romper Longer | 12-18 | Cream"/>
  </r>
  <r>
    <s v="Romper Longer | 0-3 | Forest Green"/>
  </r>
  <r>
    <s v="Romper Short | 0-3 | Sage Green"/>
  </r>
  <r>
    <s v="Romper Longer | 3-6 | Cream"/>
  </r>
  <r>
    <s v="Romper Longer | 6-12 | Watermelon"/>
  </r>
  <r>
    <s v="Romper Short | 6-12 | Sage Green"/>
  </r>
  <r>
    <s v="Romper Longer | 3-6 | Forest Green"/>
  </r>
  <r>
    <s v="Romper Short | 0-3 | Sage Green"/>
  </r>
  <r>
    <s v="Romper Longer | 6-12 | Forest Green"/>
  </r>
  <r>
    <s v="Romper Longer | 3-6 | Cream"/>
  </r>
  <r>
    <s v="Romper Longer | 3-6 | Sage Green"/>
  </r>
  <r>
    <s v="Romper Short | 3-6 | Sage Green"/>
  </r>
  <r>
    <s v="Romper Short | 3-6 | Dusty Pink"/>
  </r>
  <r>
    <s v="Romper Short | 3-6 | Cream"/>
  </r>
  <r>
    <s v="Romper Longer | 0-3 | Cream"/>
  </r>
  <r>
    <s v="Romper Short | 0-3 | Dusty Pink"/>
  </r>
  <r>
    <s v="Romper Longer | 0-3 | Cream"/>
  </r>
  <r>
    <s v="Romper Short | 0-3 | Forest Green"/>
  </r>
  <r>
    <s v="Romper Longer | 0-3 | Cream"/>
  </r>
  <r>
    <s v="Romper Longer | 6-12 | Cream"/>
  </r>
  <r>
    <s v="Romper Longer | 0-3 | Cream"/>
  </r>
  <r>
    <s v="Romper Longer | 6-12 | Watermelon"/>
  </r>
  <r>
    <s v="Romper Short | 3-6 | Sage Green"/>
  </r>
  <r>
    <s v="Romper Longer | 6-12 | Caldet Blue"/>
  </r>
  <r>
    <s v="Romper Longer | 6-12 | Cream"/>
  </r>
  <r>
    <s v="Romper Short | 0-3 | Sage Green"/>
  </r>
  <r>
    <s v="Romper Longer | 3-6 | Cream"/>
  </r>
  <r>
    <s v="Romper Short | 0-3 | Watermelon"/>
  </r>
  <r>
    <s v="Romper Longer | 3-6 | Cream"/>
  </r>
  <r>
    <s v="Romper Longer | 0-3 | Cream"/>
  </r>
  <r>
    <s v="Romper Short | 3-6 | Cream"/>
  </r>
  <r>
    <s v="Romper Longer | 3-6 | Cream"/>
  </r>
  <r>
    <s v="Romper Short | 3-6 | Cream"/>
  </r>
  <r>
    <s v="Romper Longer | 6-12 | Forest Green"/>
  </r>
  <r>
    <s v="Romper Short | 6-12 | Forest Green"/>
  </r>
  <r>
    <s v="Romper Longer | 3-6 | Cream"/>
  </r>
  <r>
    <s v="Romper Longer | 6-12 | Cream"/>
  </r>
  <r>
    <s v="Romper Short | 3-6 | Forest Green"/>
  </r>
  <r>
    <s v="Romper Longer | 12-18 | Mauve Taupe"/>
  </r>
  <r>
    <s v="Romper Short | 3-6 | Texas Orange"/>
  </r>
  <r>
    <s v="Romper Longer | 3-6 | Watermelon"/>
  </r>
  <r>
    <s v="Romper Longer | 3-6 | Cream"/>
  </r>
  <r>
    <s v="Romper Short | 6-12 | Cream"/>
  </r>
  <r>
    <s v="Romper Longer | 0-3 | Caldet Blue"/>
  </r>
  <r>
    <s v="Romper Short | 3-6 | White"/>
  </r>
  <r>
    <s v="Romper Longer | 0-3 | Sage Green"/>
  </r>
  <r>
    <s v="Romper Longer | 3-6 | Sage Green"/>
  </r>
  <r>
    <s v="Romper Longer | 0-3 | Cream"/>
  </r>
  <r>
    <s v="Romper Longer | 0-3 | Sage Green"/>
  </r>
  <r>
    <s v="Romper Short | 3-6 | Forest Green"/>
  </r>
  <r>
    <s v="Romper Longer | 3-6 | Sage Green"/>
  </r>
  <r>
    <s v="Romper Short | 3-6 | Dusty Pink"/>
  </r>
  <r>
    <s v="Romper Longer | 6-12 | Mauve Taupe"/>
  </r>
  <r>
    <s v="Romper Short | 0-3 | Dusty Pink"/>
  </r>
  <r>
    <s v="Romper Longer | 6-12 | Cream"/>
  </r>
  <r>
    <s v="Romper Longer | 0-3 | Cream"/>
  </r>
  <r>
    <s v="Romper Longer | 0-3 | Cream"/>
  </r>
  <r>
    <s v="Romper Short | 3-6 | Cream"/>
  </r>
  <r>
    <s v="Romper Longer | 0-3 | Cream"/>
  </r>
  <r>
    <s v="Romper Longer | 0-3 | Cream"/>
  </r>
  <r>
    <s v="Romper Longer | 6-12 | Cream"/>
  </r>
  <r>
    <s v="Romper Longer | 6-12 | Cream"/>
  </r>
  <r>
    <s v="Romper Short | 0-3 | Cream"/>
  </r>
  <r>
    <s v="Romper Short | 0-3 | Cream"/>
  </r>
  <r>
    <s v="Romper Longer | 3-6 | Sage Green"/>
  </r>
  <r>
    <s v="Romper Short | 6-12 | Cream"/>
  </r>
  <r>
    <s v="Romper Short | 6-12 | Forest Green"/>
  </r>
  <r>
    <s v="Romper Short | 3-6 | Cream"/>
  </r>
  <r>
    <s v="Romper Longer | 12-18 | Dusty Pink"/>
  </r>
  <r>
    <s v="Romper Longer | 3-6 | Sage Green"/>
  </r>
  <r>
    <s v="Romper Short | 0-3 | Cream"/>
  </r>
  <r>
    <s v="Romper Short | 6-12 | White"/>
  </r>
  <r>
    <s v="Romper Longer | 0-3 | Sage Green"/>
  </r>
  <r>
    <s v="Romper Short | 6-12 | Caldet Blue"/>
  </r>
  <r>
    <s v="Romper Short | 3-6 | Cream"/>
  </r>
  <r>
    <s v="Romper Longer | 0-3 | Cream"/>
  </r>
  <r>
    <s v="Romper Short | 0-3 | Watermelon"/>
  </r>
  <r>
    <s v="Romper Longer | 0-3 | Forest Green"/>
  </r>
  <r>
    <s v="Romper Longer | 0-3 | Caldet Blue"/>
  </r>
  <r>
    <s v="Romper Short | 6-12 | White"/>
  </r>
  <r>
    <s v="Romper Longer | 0-3 | White"/>
  </r>
  <r>
    <s v="Romper Longer | 3-6 | Dusty Pink"/>
  </r>
  <r>
    <s v="Romper Longer | 6-12 | Dusty Pink"/>
  </r>
  <r>
    <s v="Romper Short | 12-18 | Mauve Taupe"/>
  </r>
  <r>
    <s v="Romper Short | 0-3 | Cream"/>
  </r>
  <r>
    <s v="Romper Short | 6-12 | Watermelon"/>
  </r>
  <r>
    <s v="Romper Short | 6-12 | Sage Green"/>
  </r>
  <r>
    <s v="Romper Longer | 0-3 | Cream"/>
  </r>
  <r>
    <s v="Romper Longer | 0-3 | Caldet Blue"/>
  </r>
  <r>
    <s v="Romper Short | 3-6 | Cream"/>
  </r>
  <r>
    <s v="Romper Longer | 0-3 | Forest Green"/>
  </r>
  <r>
    <s v="Romper Short | 18-24 | Watermelon"/>
  </r>
  <r>
    <s v="Romper Short | 3-6 | Cream"/>
  </r>
  <r>
    <s v="Romper Short | 3-6 | Dusty Pink"/>
  </r>
  <r>
    <s v="Romper Longer | 3-6 | Cream"/>
  </r>
  <r>
    <s v="Romper Longer | 12-18 | Sage Green"/>
  </r>
  <r>
    <s v="Romper Short | 3-6 | Sage Green"/>
  </r>
  <r>
    <s v="Romper Longer | 6-12 | Mauve Taupe"/>
  </r>
  <r>
    <s v="Romper Longer | 3-6 | Sage Green"/>
  </r>
  <r>
    <s v="Romper Longer | 3-6 | Cream"/>
  </r>
  <r>
    <s v="Romper Longer | 3-6 | Texas Orange"/>
  </r>
  <r>
    <s v="Romper Short | 6-12 | Cream"/>
  </r>
  <r>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5">
  <r>
    <d v="2026-02-23T00:00:00"/>
    <s v="https://www.etsy.com/ca/listing/4392932100/born-to-ride-with-my-daddy-embroidered?transaction_id=4977670653"/>
    <s v="cream"/>
    <s v="Cream"/>
    <s v="3-6M(SHORT-SLEEVE)"/>
    <s v="France"/>
    <s v="Romper Short"/>
    <n v="2"/>
    <n v="9"/>
    <s v="Valentine"/>
    <s v="3-6"/>
    <x v="0"/>
    <m/>
  </r>
  <r>
    <d v="2026-02-24T00:00:00"/>
    <s v="https://www.etsy.com/ca/listing/4330463387/embroidered-baby-romper-relax-mommy-is-a?transaction_id=4978033783"/>
    <s v="cream"/>
    <s v="Cream"/>
    <s v="3-6M(LONG -SLEEVE)"/>
    <s v="United States"/>
    <s v="Romper Longer"/>
    <n v="2"/>
    <n v="9"/>
    <s v="Valentine"/>
    <s v="3-6"/>
    <x v="1"/>
    <m/>
  </r>
  <r>
    <d v="2026-02-25T00:00:00"/>
    <s v="https://www.etsy.com/ca/listing/4330488178/embroidered-golf-baby-romper-new-to-the?transaction_id=4978107083"/>
    <s v="cream"/>
    <s v="Cream"/>
    <s v="3-6M(SHORT-SLEEVE)"/>
    <s v="United States"/>
    <s v="Romper Short"/>
    <n v="2"/>
    <n v="9"/>
    <s v="Valentine"/>
    <s v="3-6"/>
    <x v="0"/>
    <m/>
  </r>
  <r>
    <d v="2026-02-26T00:00:00"/>
    <s v="https://www.etsy.com/ca/listing/4371125103/personalized-dog-baby-bodysuit-custom?transaction_id=4978228855"/>
    <s v="cream"/>
    <s v="Cream"/>
    <s v="0-3M(LONG-SLEEVE)"/>
    <s v="United States"/>
    <s v="Romper Longer"/>
    <n v="2"/>
    <n v="9"/>
    <s v="Valentine"/>
    <s v="0-3"/>
    <x v="2"/>
    <m/>
  </r>
  <r>
    <d v="2026-02-27T00:00:00"/>
    <s v="https://www.etsy.com/ca/listing/4376399899/the-littlest-book-club-member-baby?transaction_id=4978421087"/>
    <s v=" sage green"/>
    <s v=" Sage Green"/>
    <s v="6-12M(LONG-SLEEVE)"/>
    <s v="United States"/>
    <s v="Romper Longer"/>
    <n v="2"/>
    <n v="9"/>
    <s v="Valentine"/>
    <s v="6-12"/>
    <x v="3"/>
    <m/>
  </r>
  <r>
    <d v="2026-02-28T00:00:00"/>
    <s v="https://www.etsy.com/ca/listing/4376399899/the-littlest-book-club-member-baby?transaction_id=4978293719"/>
    <s v="cream"/>
    <s v="Cream"/>
    <s v="0-3M(LONG-SLEEVE)"/>
    <s v="United States"/>
    <s v="Romper Longer"/>
    <n v="2"/>
    <n v="9"/>
    <s v="Valentine"/>
    <s v="0-3"/>
    <x v="2"/>
    <m/>
  </r>
  <r>
    <d v="2026-03-01T00:00:00"/>
    <s v="https://www.etsy.com/ca/listing/4371125103/personalized-dog-baby-bodysuit-custom?transaction_id=4968475262"/>
    <s v="cream"/>
    <s v="Cream"/>
    <s v="0-3M(LONG-SLEEVE)"/>
    <s v="United States"/>
    <s v="Romper Longer"/>
    <n v="3"/>
    <n v="10"/>
    <s v="Easter"/>
    <s v="0-3"/>
    <x v="2"/>
    <m/>
  </r>
  <r>
    <d v="2026-02-24T00:00:00"/>
    <s v="https://www.etsy.com/ca/listing/4376399899/the-littlest-book-club-member-baby?transaction_id=4969428744"/>
    <s v="forest green"/>
    <s v="Forest Green"/>
    <s v="3-6M(LONG -SLEEVE)"/>
    <s v="Germany"/>
    <s v="Romper Longer"/>
    <n v="2"/>
    <n v="9"/>
    <s v="Valentine"/>
    <s v="3-6"/>
    <x v="4"/>
    <m/>
  </r>
  <r>
    <d v="2026-02-25T00:00:00"/>
    <s v="https://www.etsy.com/ca/listing/4376399899/the-littlest-book-club-member-baby?transaction_id=4969588704"/>
    <s v="sage green"/>
    <s v="Sage Green"/>
    <s v="0-3M(LONG-SLEEVE)"/>
    <s v="United States"/>
    <s v="Romper Longer"/>
    <n v="2"/>
    <n v="9"/>
    <s v="Valentine"/>
    <s v="0-3"/>
    <x v="5"/>
    <m/>
  </r>
  <r>
    <d v="2026-02-25T00:00:00"/>
    <s v="https://www.etsy.com/ca/listing/4376389783/player-2-baby-romper-gamer-baby-outfit?transaction_id=4980076803"/>
    <s v="cream"/>
    <s v="Cream"/>
    <s v="3-6M(LONG -SLEEVE)"/>
    <s v="United Kingdom"/>
    <s v="Romper Longer"/>
    <n v="2"/>
    <n v="9"/>
    <s v="Valentine"/>
    <s v="3-6"/>
    <x v="1"/>
    <m/>
  </r>
  <r>
    <d v="2026-02-26T00:00:00"/>
    <s v="https://www.etsy.com/ca/listing/4392935796/box-box-for-fresh-diapers-embroidered?transaction_id=4970153520"/>
    <s v="cream"/>
    <s v="Cream"/>
    <s v="3-6M(LONG -SLEEVE)"/>
    <s v="United Kingdom"/>
    <s v="Romper Longer"/>
    <n v="2"/>
    <n v="9"/>
    <s v="Valentine"/>
    <s v="3-6"/>
    <x v="1"/>
    <m/>
  </r>
  <r>
    <d v="2026-02-27T00:00:00"/>
    <s v="https://www.etsy.com/ca/listing/4392936921/apparently-i-like-golf-embroidered?transaction_id=4980959267"/>
    <s v="cream"/>
    <s v="Cream"/>
    <s v="3-6M(LONG -SLEEVE)"/>
    <s v="United States"/>
    <s v="Romper Longer"/>
    <n v="2"/>
    <n v="9"/>
    <s v="Valentine"/>
    <s v="3-6"/>
    <x v="1"/>
    <m/>
  </r>
  <r>
    <d v="2026-02-28T00:00:00"/>
    <s v="https://www.etsy.com/ca/listing/4372352286/silly-goose-baby-romper-funny-infant?transaction_id=4970717928"/>
    <s v="forest green"/>
    <s v="Forest Green"/>
    <s v="3-6M(SHORT-SLEEVE)"/>
    <s v="United States"/>
    <s v="Romper Short"/>
    <n v="2"/>
    <n v="9"/>
    <s v="Valentine"/>
    <s v="3-6"/>
    <x v="6"/>
    <m/>
  </r>
  <r>
    <d v="2026-03-01T00:00:00"/>
    <s v="https://www.etsy.com/ca/listing/4376399899/the-littlest-book-club-member-baby?transaction_id=4970851314"/>
    <s v="sage green"/>
    <s v="Sage Green"/>
    <s v="3-6M(LONG -SLEEVE)"/>
    <s v="United States"/>
    <s v="Romper Longer"/>
    <n v="3"/>
    <n v="10"/>
    <s v="Easter"/>
    <s v="3-6"/>
    <x v="7"/>
    <m/>
  </r>
  <r>
    <d v="2026-03-02T00:00:00"/>
    <s v="https://www.etsy.com/ca/listing/4346124431/small-and-spicy-baby-romper-embroidered?transaction_id=4981180031"/>
    <s v="dusty pink"/>
    <s v="Dusty Pink"/>
    <s v="3-6M(LONG -SLEEVE)"/>
    <s v="United States"/>
    <s v="Romper Longer"/>
    <n v="3"/>
    <n v="10"/>
    <s v="Easter"/>
    <s v="3-6"/>
    <x v="8"/>
    <m/>
  </r>
  <r>
    <d v="2026-03-03T00:00:00"/>
    <s v="https://www.etsy.com/ca/listing/4330504943/embroidered-tennis-baby-romper-daddys?transaction_id=4981284539"/>
    <s v="forest green"/>
    <s v="Forest Green"/>
    <s v="3-6M(SHORT-SLEEVE)"/>
    <s v="United States"/>
    <s v="Romper Short"/>
    <n v="3"/>
    <n v="10"/>
    <s v="Easter"/>
    <s v="3-6"/>
    <x v="6"/>
    <m/>
  </r>
  <r>
    <d v="2026-03-04T00:00:00"/>
    <s v="https://www.etsy.com/ca/listing/4376389783/player-2-baby-romper-gamer-baby-outfit?transaction_id=4971104618"/>
    <s v=" caldet blue"/>
    <s v=" Caldet Blue"/>
    <s v="0-3M(LONG-SLEEVE)"/>
    <s v="Germany"/>
    <s v="Romper Longer"/>
    <n v="3"/>
    <n v="10"/>
    <s v="Easter"/>
    <s v="0-3"/>
    <x v="9"/>
    <m/>
  </r>
  <r>
    <d v="2026-03-05T00:00:00"/>
    <s v="https://www.etsy.com/ca/listing/4376399899/the-littlest-book-club-member-baby?transaction_id=4981518797"/>
    <s v="mauve taupe"/>
    <s v="Mauve Taupe"/>
    <s v="3-6M(LONG -SLEEVE)"/>
    <s v="United States"/>
    <s v="Romper Longer"/>
    <n v="3"/>
    <n v="10"/>
    <s v="Easter"/>
    <s v="3-6"/>
    <x v="10"/>
    <m/>
  </r>
  <r>
    <d v="2026-03-06T00:00:00"/>
    <s v="https://www.etsy.com/ca/listing/4371125103/personalized-dog-baby-bodysuit-custom?transaction_id=4971252980"/>
    <s v="sage green"/>
    <s v="Sage Green"/>
    <s v="18-24M(LONGT SLEEVE)"/>
    <s v="United States"/>
    <s v="Romper Longer"/>
    <n v="3"/>
    <n v="10"/>
    <s v="Easter"/>
    <s v="18-24"/>
    <x v="11"/>
    <m/>
  </r>
  <r>
    <d v="2026-03-07T00:00:00"/>
    <s v="https://www.etsy.com/ca/listing/4376399899/the-littlest-book-club-member-baby?transaction_id=4971800104"/>
    <s v="coffee"/>
    <s v="Coffee"/>
    <s v="3-6M(LONG -SLEEVE)"/>
    <s v="United States"/>
    <s v="Romper Longer"/>
    <n v="3"/>
    <n v="10"/>
    <s v="Easter"/>
    <s v="3-6"/>
    <x v="12"/>
    <m/>
  </r>
  <r>
    <d v="2026-03-08T00:00:00"/>
    <s v="https://www.etsy.com/ca/listing/4462790215/personalized-cat-baby-bodysuit-custom?transaction_id=4971800102"/>
    <s v="sage green"/>
    <s v="Sage Green"/>
    <s v=" 0-3M(SHORT -SLEEVE)"/>
    <s v="United States"/>
    <s v="Romper Short"/>
    <n v="3"/>
    <n v="11"/>
    <s v="Easter"/>
    <s v="0-3"/>
    <x v="13"/>
    <m/>
  </r>
  <r>
    <d v="2026-02-27T00:00:00"/>
    <s v="https://www.etsy.com/ca/listing/4347885967/gigis-bestie-baby-bodysuit-baby-shower?transaction_id=4982612383"/>
    <s v="coffee"/>
    <s v="Coffee"/>
    <s v="0-3M(SHORT -SLEEVE)"/>
    <s v="United States"/>
    <s v="Romper Short"/>
    <n v="2"/>
    <n v="9"/>
    <s v="Valentine"/>
    <s v="0-3"/>
    <x v="14"/>
    <m/>
  </r>
  <r>
    <d v="2026-02-28T00:00:00"/>
    <s v="https://www.etsy.com/ca/listing/4392936921/apparently-i-like-golf-embroidered?transaction_id=4982664659"/>
    <s v="cream"/>
    <s v="Cream"/>
    <s v="0-3M(LONG-SLEEVE)"/>
    <s v="United States"/>
    <s v="Romper Longer"/>
    <n v="2"/>
    <n v="9"/>
    <s v="Valentine"/>
    <s v="0-3"/>
    <x v="2"/>
    <m/>
  </r>
  <r>
    <d v="2026-03-01T00:00:00"/>
    <s v="https://www.etsy.com/ca/listing/4336907597/custom-running-baby-romper-daddys-future?transaction_id=4972720528"/>
    <s v="cream"/>
    <s v="Cream"/>
    <s v=" 0-3M(SHORT -SLEEVE)"/>
    <s v="Canada"/>
    <s v="Romper Short"/>
    <n v="3"/>
    <n v="10"/>
    <s v="Easter"/>
    <s v="0-3"/>
    <x v="15"/>
    <m/>
  </r>
  <r>
    <d v="2026-03-02T00:00:00"/>
    <s v="https://www.etsy.com/ca/listing/4330485404/cat-face-embroidered-baby-romper-funny?transaction_id=4983152787"/>
    <s v="cream"/>
    <s v="Cream"/>
    <s v="18-24M(SHORT-SLEEVE)"/>
    <s v="United States"/>
    <s v="Romper Short"/>
    <n v="3"/>
    <n v="10"/>
    <s v="Easter"/>
    <s v="18-24"/>
    <x v="16"/>
    <m/>
  </r>
  <r>
    <d v="2026-03-03T00:00:00"/>
    <s v="https://www.etsy.com/ca/listing/4376399899/the-littlest-book-club-member-baby?transaction_id=4983159563"/>
    <s v="cream"/>
    <s v="Cream"/>
    <s v="6-12M(LONG-SLEEVE)"/>
    <s v="United States"/>
    <s v="Romper Longer"/>
    <n v="3"/>
    <n v="10"/>
    <s v="Easter"/>
    <s v="6-12"/>
    <x v="17"/>
    <m/>
  </r>
  <r>
    <d v="2026-03-04T00:00:00"/>
    <s v="https://www.etsy.com/ca/listing/4347260564/football-baby-romper-game-day-baby?transaction_id=4983364823"/>
    <s v=" caldet blue"/>
    <s v=" Caldet Blue"/>
    <s v="0-3M(LONG-SLEEVE)"/>
    <s v="United States"/>
    <s v="Romper Longer"/>
    <n v="3"/>
    <n v="10"/>
    <s v="Easter"/>
    <s v="0-3"/>
    <x v="9"/>
    <m/>
  </r>
  <r>
    <d v="2026-03-05T00:00:00"/>
    <s v="https://www.etsy.com/ca/listing/4344231895/embroidered-baby-romper-shhh-im-reading?transaction_id=4973001428"/>
    <s v="coffee"/>
    <s v="Coffee"/>
    <s v="3-6M(SHORT-SLEEVE)"/>
    <s v="United States"/>
    <s v="Romper Short"/>
    <n v="3"/>
    <n v="10"/>
    <s v="Easter"/>
    <s v="3-6"/>
    <x v="18"/>
    <m/>
  </r>
  <r>
    <d v="2026-03-06T00:00:00"/>
    <s v="https://www.etsy.com/ca/listing/4376399899/the-littlest-book-club-member-baby?transaction_id=4983442727"/>
    <s v="sage green"/>
    <s v="Sage Green"/>
    <s v="6-12M( SHORT-SLEEVE)"/>
    <s v="United States"/>
    <s v="Romper Short"/>
    <n v="3"/>
    <n v="10"/>
    <s v="Easter"/>
    <s v="6-12"/>
    <x v="19"/>
    <m/>
  </r>
  <r>
    <d v="2026-02-28T00:00:00"/>
    <s v="https://www.etsy.com/ca/listing/4376389783/player-2-baby-romper-gamer-baby-outfit?transaction_id=4983868413"/>
    <s v="cream"/>
    <s v="Cream"/>
    <s v="3-6M(LONG -SLEEVE)"/>
    <s v="United Kingdom"/>
    <s v="Romper Longer"/>
    <n v="2"/>
    <n v="9"/>
    <s v="Valentine"/>
    <s v="3-6"/>
    <x v="1"/>
    <m/>
  </r>
  <r>
    <d v="2026-03-01T00:00:00"/>
    <s v="https://www.etsy.com/ca/listing/4371125103/personalized-dog-baby-bodysuit-custom?transaction_id=4983907013"/>
    <s v="cream"/>
    <s v="Cream"/>
    <s v=" 0-3M(SHORT -SLEEVE)"/>
    <s v="United Kingdom"/>
    <s v="Romper Short"/>
    <n v="3"/>
    <n v="10"/>
    <s v="Easter"/>
    <s v="0-3"/>
    <x v="15"/>
    <m/>
  </r>
  <r>
    <d v="2026-03-02T00:00:00"/>
    <s v="https://www.etsy.com/ca/listing/4371125103/personalized-dog-baby-bodysuit-custom?transaction_id=4983944121"/>
    <s v="watermelon"/>
    <s v="Watermelon"/>
    <s v="3-6M(LONG -SLEEVE)"/>
    <s v="United States"/>
    <s v="Romper Longer"/>
    <n v="3"/>
    <n v="10"/>
    <s v="Easter"/>
    <s v="3-6"/>
    <x v="20"/>
    <m/>
  </r>
  <r>
    <d v="2026-03-03T00:00:00"/>
    <s v="https://www.etsy.com/ca/listing/4392935796/box-box-for-fresh-diapers-embroidered?transaction_id=4973618152"/>
    <s v="cream"/>
    <s v="Cream"/>
    <s v="3-6M(SHORT-SLEEVE)"/>
    <s v="United Kingdom"/>
    <s v="Romper Short"/>
    <n v="3"/>
    <n v="10"/>
    <s v="Easter"/>
    <s v="3-6"/>
    <x v="0"/>
    <m/>
  </r>
  <r>
    <d v="2026-03-04T00:00:00"/>
    <s v="https://www.etsy.com/ca/listing/4330488178/embroidered-golf-baby-romper-new-to-the?transaction_id=4984109125"/>
    <s v="white"/>
    <s v="White"/>
    <s v="0-3M(SHORT -SLEEVE)"/>
    <s v="United States"/>
    <s v="Romper Short"/>
    <n v="3"/>
    <n v="10"/>
    <s v="Easter"/>
    <s v="0-3"/>
    <x v="21"/>
    <m/>
  </r>
  <r>
    <d v="2026-03-05T00:00:00"/>
    <s v="https://www.etsy.com/ca/listing/4392929794/little-latke-embroidered-romper-hanukkah?transaction_id=4984156231"/>
    <s v="sage green"/>
    <s v="Sage Green"/>
    <s v="12-18M(LONG-SLEEVE)"/>
    <s v="United States"/>
    <s v="Romper Longer"/>
    <n v="3"/>
    <n v="10"/>
    <s v="Easter"/>
    <s v="12-18"/>
    <x v="22"/>
    <m/>
  </r>
  <r>
    <d v="2026-03-06T00:00:00"/>
    <s v="https://www.etsy.com/ca/listing/4351827687/handsome-just-like-daddy-baby-romper?transaction_id=4984438375"/>
    <s v="caldet blue"/>
    <s v="Caldet Blue"/>
    <s v="3-6M(LONG -SLEEVE)"/>
    <s v="United States"/>
    <s v="Romper Longer"/>
    <n v="3"/>
    <n v="10"/>
    <s v="Easter"/>
    <s v="3-6"/>
    <x v="23"/>
    <m/>
  </r>
  <r>
    <d v="2026-03-07T00:00:00"/>
    <s v="https://www.etsy.com/ca/listing/4392935796/box-box-for-fresh-diapers-embroidered?transaction_id=4974239244"/>
    <s v="cream"/>
    <s v="Cream"/>
    <s v="0-3M(LONG-SLEEVE)"/>
    <s v="Australia"/>
    <s v="Romper Longer"/>
    <n v="3"/>
    <n v="10"/>
    <s v="Easter"/>
    <s v="0-3"/>
    <x v="2"/>
    <m/>
  </r>
  <r>
    <d v="2026-03-08T00:00:00"/>
    <s v="https://www.etsy.com/ca/listing/4392936921/apparently-i-like-golf-embroidered?transaction_id=4984612909"/>
    <s v="sage green"/>
    <s v="Sage Green"/>
    <s v="3-6M(SHORT-SLEEVE)"/>
    <s v="United States"/>
    <s v="Romper Short"/>
    <n v="3"/>
    <n v="11"/>
    <s v="Easter"/>
    <s v="3-6"/>
    <x v="24"/>
    <m/>
  </r>
  <r>
    <d v="2026-03-09T00:00:00"/>
    <s v="https://www.etsy.com/ca/listing/4371125103/personalized-dog-baby-bodysuit-custom?transaction_id=4974513246"/>
    <s v="cream"/>
    <s v="Cream"/>
    <s v="0-3M(LONG-SLEEVE)"/>
    <s v="United States"/>
    <s v="Romper Longer"/>
    <n v="3"/>
    <n v="11"/>
    <s v="Easter"/>
    <s v="0-3"/>
    <x v="2"/>
    <m/>
  </r>
  <r>
    <d v="2026-03-01T00:00:00"/>
    <s v="https://www.etsy.com/ca/listing/4392936688/shhh-im-watching-motogp-with-daddy?transaction_id=4985057741"/>
    <s v="white"/>
    <s v="White"/>
    <s v="0-3M(SHORT -SLEEVE)"/>
    <s v="United Kingdom"/>
    <s v="Romper Short"/>
    <n v="3"/>
    <n v="10"/>
    <s v="Easter"/>
    <s v="0-3"/>
    <x v="21"/>
    <m/>
  </r>
  <r>
    <d v="2026-03-02T00:00:00"/>
    <s v="https://www.etsy.com/ca/listing/4372352286/silly-goose-baby-romper-funny-infant?transaction_id=4974806714"/>
    <s v="cream"/>
    <s v="Cream"/>
    <s v="3-6M(LONG -SLEEVE)"/>
    <s v="United States"/>
    <s v="Romper Longer"/>
    <n v="3"/>
    <n v="10"/>
    <s v="Easter"/>
    <s v="3-6"/>
    <x v="1"/>
    <m/>
  </r>
  <r>
    <d v="2026-03-03T00:00:00"/>
    <s v="https://www.etsy.com/ca/listing/4376389783/player-2-baby-romper-gamer-baby-outfit?transaction_id=4974885752"/>
    <s v="cream"/>
    <s v="Cream"/>
    <s v="3-6M(LONG -SLEEVE)"/>
    <s v="United States"/>
    <s v="Romper Longer"/>
    <n v="3"/>
    <n v="10"/>
    <s v="Easter"/>
    <s v="3-6"/>
    <x v="1"/>
    <m/>
  </r>
  <r>
    <d v="2026-03-04T00:00:00"/>
    <s v="https://www.etsy.com/ca/listing/4346129239/soccer-baby-romper-embroidered-daddy-and?transaction_id=4985239049"/>
    <s v="caldet blue"/>
    <s v="Caldet Blue"/>
    <s v="6-12M(LONG-SLEEVE)"/>
    <s v="United States"/>
    <s v="Romper Longer"/>
    <n v="3"/>
    <n v="10"/>
    <s v="Easter"/>
    <s v="6-12"/>
    <x v="25"/>
    <m/>
  </r>
  <r>
    <d v="2026-03-05T00:00:00"/>
    <s v="https://www.etsy.com/ca/listing/4376389783/player-2-baby-romper-gamer-baby-outfit?transaction_id=4975342404"/>
    <s v="caldet blue"/>
    <s v="Caldet Blue"/>
    <s v="3-6M(LONG -SLEEVE)"/>
    <s v="United Kingdom"/>
    <s v="Romper Longer"/>
    <n v="3"/>
    <n v="10"/>
    <s v="Easter"/>
    <s v="3-6"/>
    <x v="23"/>
    <m/>
  </r>
  <r>
    <d v="2026-03-06T00:00:00"/>
    <s v="https://www.etsy.com/ca/listing/4330485404/cat-face-embroidered-baby-romper-funny?transaction_id=4975575138"/>
    <s v="cream"/>
    <s v="Cream"/>
    <s v=" 0-3M(SHORT -SLEEVE)"/>
    <s v="United States"/>
    <s v="Romper Short"/>
    <n v="3"/>
    <n v="10"/>
    <s v="Easter"/>
    <s v="0-3"/>
    <x v="15"/>
    <m/>
  </r>
  <r>
    <d v="2026-03-07T00:00:00"/>
    <s v="https://www.etsy.com/ca/listing/4376392339/funny-baby-romper-my-brand-of-formula?transaction_id=4975776012"/>
    <s v="cream"/>
    <s v="Cream"/>
    <s v="12-18M(SHORT-SLEEVE)"/>
    <s v="United States"/>
    <s v="Romper Short"/>
    <n v="3"/>
    <n v="10"/>
    <s v="Easter"/>
    <s v="12-18"/>
    <x v="26"/>
    <m/>
  </r>
  <r>
    <d v="2026-03-02T00:00:00"/>
    <s v="https://www.etsy.com/ca/listing/4372352286/silly-goose-baby-romper-funny-infant?transaction_id=4987082919"/>
    <s v="watermelon"/>
    <s v="Watermelon"/>
    <s v="18-24M(SHORT-SLEEVE)"/>
    <s v="United States"/>
    <s v="Romper Short"/>
    <n v="3"/>
    <n v="10"/>
    <s v="Easter"/>
    <s v="18-24"/>
    <x v="27"/>
    <m/>
  </r>
  <r>
    <d v="2026-03-02T00:00:00"/>
    <s v="https://www.etsy.com/ca/listing/4371125103/personalized-dog-baby-bodysuit-custom?transaction_id=4976784210"/>
    <s v="sage green"/>
    <s v="Sage Green"/>
    <s v="3-6M(LONG -SLEEVE)"/>
    <s v="United States"/>
    <s v="Romper Longer"/>
    <n v="3"/>
    <n v="10"/>
    <s v="Easter"/>
    <s v="3-6"/>
    <x v="7"/>
    <m/>
  </r>
  <r>
    <d v="2026-03-03T00:00:00"/>
    <s v="https://www.etsy.com/ca/listing/4376392339/funny-baby-romper-my-brand-of-formula?transaction_id=4977261344"/>
    <s v="coffee"/>
    <s v="Coffee"/>
    <s v="0-3M(LONG-SLEEVE)"/>
    <s v="Canada"/>
    <s v="Romper Longer"/>
    <n v="3"/>
    <n v="10"/>
    <s v="Easter"/>
    <s v="0-3"/>
    <x v="28"/>
    <m/>
  </r>
  <r>
    <d v="2026-03-03T00:00:00"/>
    <s v="https://www.etsy.com/ca/listing/4376399899/the-littlest-book-club-member-baby?transaction_id=4977523954"/>
    <s v="coffee"/>
    <s v="Coffee"/>
    <s v="0-3M(LONG-SLEEVE)"/>
    <s v="United States"/>
    <s v="Romper Longer"/>
    <n v="3"/>
    <n v="10"/>
    <s v="Easter"/>
    <s v="0-3"/>
    <x v="28"/>
    <m/>
  </r>
  <r>
    <d v="2026-03-03T00:00:00"/>
    <s v="https://www.etsy.com/ca/listing/4376399899/the-littlest-book-club-member-baby?transaction_id=4988155347"/>
    <s v="caldet blue"/>
    <s v="Caldet Blue"/>
    <s v="3-6M(LONG -SLEEVE)"/>
    <s v="United States"/>
    <s v="Romper Longer"/>
    <n v="3"/>
    <n v="10"/>
    <s v="Easter"/>
    <s v="3-6"/>
    <x v="23"/>
    <m/>
  </r>
  <r>
    <d v="2026-03-03T00:00:00"/>
    <s v="https://www.etsy.com/ca/listing/4392935796/box-box-for-fresh-diapers-embroidered?transaction_id=4988163289"/>
    <s v="cream"/>
    <s v="Cream"/>
    <s v="0-3M(LONG-SLEEVE)"/>
    <s v="United States"/>
    <s v="Romper Longer"/>
    <n v="3"/>
    <n v="10"/>
    <s v="Easter"/>
    <s v="0-3"/>
    <x v="2"/>
    <m/>
  </r>
  <r>
    <d v="2026-03-03T00:00:00"/>
    <s v="https://www.etsy.com/ca/listing/4344235128/new-to-the-hive-baby-romper-embroidered?transaction_id=4977684036"/>
    <s v="cream"/>
    <s v="Cream"/>
    <s v="3-6M(SHORT-SLEEVE)"/>
    <s v="United States"/>
    <s v="Romper Short"/>
    <n v="3"/>
    <n v="10"/>
    <s v="Easter"/>
    <s v="3-6"/>
    <x v="0"/>
    <m/>
  </r>
  <r>
    <d v="2026-03-03T00:00:00"/>
    <s v="https://www.etsy.com/ca/listing/4336900922/personalized-baseball-baby-romper-daddys?transaction_id=4988307089"/>
    <s v="cream"/>
    <s v="Cream"/>
    <s v="0-3M(LONG-SLEEVE)"/>
    <s v="Canada"/>
    <s v="Romper Longer"/>
    <n v="3"/>
    <n v="10"/>
    <s v="Easter"/>
    <s v="0-3"/>
    <x v="2"/>
    <m/>
  </r>
  <r>
    <d v="2026-03-03T00:00:00"/>
    <s v="https://www.etsy.com/ca/listing/4330488178/embroidered-golf-baby-romper-new-to-the?transaction_id=4988673781"/>
    <s v="cream"/>
    <s v="Cream"/>
    <s v="0-3M(SHORT -SLEEVE)"/>
    <s v="United States"/>
    <s v="Romper Short"/>
    <n v="3"/>
    <n v="10"/>
    <s v="Easter"/>
    <s v="0-3"/>
    <x v="15"/>
    <m/>
  </r>
  <r>
    <d v="2026-03-03T00:00:00"/>
    <s v="https://www.etsy.com/ca/listing/4371125103/personalized-dog-baby-bodysuit-custom?transaction_id=4988743323"/>
    <s v="sage green"/>
    <s v="Sage Green"/>
    <s v="3-6M(LONG -SLEEVE)"/>
    <s v="United States"/>
    <s v="Romper Longer"/>
    <n v="3"/>
    <n v="10"/>
    <s v="Easter"/>
    <s v="3-6"/>
    <x v="7"/>
    <m/>
  </r>
  <r>
    <d v="2026-03-03T00:00:00"/>
    <s v="https://www.etsy.com/ca/listing/4376399899/the-littlest-book-club-member-baby?transaction_id=4988753195"/>
    <s v="caldet blue"/>
    <s v="Caldet Blue"/>
    <s v="0-3M(LONG-SLEEVE)"/>
    <s v="United States"/>
    <s v="Romper Longer"/>
    <n v="3"/>
    <n v="10"/>
    <s v="Easter"/>
    <s v="0-3"/>
    <x v="9"/>
    <m/>
  </r>
  <r>
    <d v="2026-03-03T00:00:00"/>
    <s v="https://www.etsy.com/ca/listing/4344231895/embroidered-baby-romper-shhh-im-reading?transaction_id=4978125320"/>
    <s v="caldet blue"/>
    <s v="Caldet Blue"/>
    <s v="3-6M(SHORT-SLEEVE)"/>
    <s v="United States"/>
    <s v="Romper Short"/>
    <n v="3"/>
    <n v="10"/>
    <s v="Easter"/>
    <s v="3-6"/>
    <x v="29"/>
    <m/>
  </r>
  <r>
    <d v="2026-03-04T00:00:00"/>
    <s v="https://www.etsy.com/ca/listing/4371125103/personalized-dog-baby-bodysuit-custom?transaction_id=4978141262"/>
    <s v="dusty pink"/>
    <s v="Dusty Pink"/>
    <s v="3-6M(LONG -SLEEVE)"/>
    <s v="United States"/>
    <s v="Romper Longer"/>
    <n v="3"/>
    <n v="10"/>
    <s v="Easter"/>
    <s v="3-6"/>
    <x v="8"/>
    <m/>
  </r>
  <r>
    <d v="2026-03-04T00:00:00"/>
    <s v="https://www.etsy.com/ca/listing/4393855716/lil-chef-embroidered-romper-cute-baby?transaction_id=4978176224"/>
    <s v="sage green"/>
    <s v="Sage Green"/>
    <s v="18-24M(LONGT SLEEVE)"/>
    <s v="United States"/>
    <s v="Romper Longer"/>
    <n v="3"/>
    <n v="10"/>
    <s v="Easter"/>
    <s v="18-24"/>
    <x v="11"/>
    <m/>
  </r>
  <r>
    <d v="2026-03-04T00:00:00"/>
    <s v="https://www.etsy.com/ca/listing/4376399899/the-littlest-book-club-member-baby?transaction_id=4988826947"/>
    <s v="forest green"/>
    <s v="Forest Green"/>
    <s v="6-12M(LONG-SLEEVE)"/>
    <s v="United States"/>
    <s v="Romper Longer"/>
    <n v="3"/>
    <n v="10"/>
    <s v="Easter"/>
    <s v="6-12"/>
    <x v="30"/>
    <m/>
  </r>
  <r>
    <d v="2026-03-04T00:00:00"/>
    <s v="https://www.etsy.com/ca/listing/4371125103/personalized-dog-baby-bodysuit-custom?transaction_id=4963481220"/>
    <s v="dusty pink"/>
    <s v="Dusty Pink"/>
    <s v="3-6M(SHORT-SLEEVE)"/>
    <s v="United States"/>
    <s v="Romper Short"/>
    <n v="3"/>
    <n v="10"/>
    <s v="Easter"/>
    <s v="3-6"/>
    <x v="31"/>
    <m/>
  </r>
  <r>
    <d v="2026-03-04T00:00:00"/>
    <s v="https://www.etsy.com/ca/listing/4343133680/embroidered-bowling-baby-bodysuit-crawl?transaction_id=4989263965"/>
    <s v="cream"/>
    <s v="Cream"/>
    <s v="3-6M(LONG -SLEEVE)"/>
    <s v="United States"/>
    <s v="Romper Longer"/>
    <n v="3"/>
    <n v="10"/>
    <s v="Easter"/>
    <s v="3-6"/>
    <x v="1"/>
    <m/>
  </r>
  <r>
    <d v="2026-03-04T00:00:00"/>
    <s v="https://www.etsy.com/ca/listing/4392935796/box-box-for-fresh-diapers-embroidered?transaction_id=4978660758"/>
    <s v="coffee"/>
    <s v="Coffee"/>
    <s v="3-6M(SHORT-SLEEVE)"/>
    <s v="United States"/>
    <s v="Romper Short"/>
    <n v="3"/>
    <n v="10"/>
    <s v="Easter"/>
    <s v="3-6"/>
    <x v="18"/>
    <m/>
  </r>
  <r>
    <d v="2026-03-04T00:00:00"/>
    <s v="https://www.etsy.com/ca/listing/4376399899/the-littlest-book-club-member-baby?transaction_id=4989379261"/>
    <s v=" salmon"/>
    <s v=" Salmon"/>
    <s v="0-3M(SHORT -SLEEVE)"/>
    <s v="United States"/>
    <s v="Romper Short"/>
    <n v="3"/>
    <n v="10"/>
    <s v="Easter"/>
    <s v="0-3"/>
    <x v="32"/>
    <m/>
  </r>
  <r>
    <d v="2026-03-04T00:00:00"/>
    <s v="https://www.etsy.com/ca/listing/4343133680/embroidered-bowling-baby-bodysuit-crawl?transaction_id=4989397253"/>
    <s v="cream"/>
    <s v="Cream"/>
    <s v="3-6M(LONG -SLEEVE)"/>
    <s v="United States"/>
    <s v="Romper Longer"/>
    <n v="3"/>
    <n v="10"/>
    <s v="Easter"/>
    <s v="3-6"/>
    <x v="1"/>
    <m/>
  </r>
  <r>
    <d v="2026-03-04T00:00:00"/>
    <s v="https://www.etsy.com/ca/listing/4376399899/the-littlest-book-club-member-baby?transaction_id=4989448267"/>
    <s v="sage green"/>
    <s v="Sage Green"/>
    <s v="3-6M(LONG -SLEEVE)"/>
    <s v="United States"/>
    <s v="Romper Longer"/>
    <n v="3"/>
    <n v="10"/>
    <s v="Easter"/>
    <s v="3-6"/>
    <x v="7"/>
    <m/>
  </r>
  <r>
    <d v="2026-03-04T00:00:00"/>
    <s v="https://www.etsy.com/ca/listing/4352935112/custom-baby-romper-personalized-newborn?transaction_id=4953221190"/>
    <s v="watermelon"/>
    <s v="Watermelon"/>
    <s v="6-12M(LONG-SLEEVE)"/>
    <s v="United States"/>
    <s v="Romper Longer"/>
    <n v="3"/>
    <n v="10"/>
    <s v="Easter"/>
    <s v="6-12"/>
    <x v="33"/>
    <m/>
  </r>
  <r>
    <d v="2026-03-04T00:00:00"/>
    <s v="https://www.etsy.com/ca/listing/4376399899/the-littlest-book-club-member-baby?transaction_id=4979421208"/>
    <s v="caldet blue"/>
    <s v="Caldet Blue"/>
    <s v="0-3M(LONG-SLEEVE)"/>
    <s v="United States"/>
    <s v="Romper Longer"/>
    <n v="3"/>
    <n v="10"/>
    <s v="Easter"/>
    <s v="0-3"/>
    <x v="9"/>
    <m/>
  </r>
  <r>
    <d v="2026-03-04T00:00:00"/>
    <s v="https://www.etsy.com/ca/listing/4376399899/the-littlest-book-club-member-baby?transaction_id=4979445572"/>
    <s v="dusty pink"/>
    <s v="Dusty Pink"/>
    <s v="0-3M(SHORT -SLEEVE)"/>
    <s v="United States"/>
    <s v="Romper Short"/>
    <n v="3"/>
    <n v="10"/>
    <s v="Easter"/>
    <s v="0-3"/>
    <x v="34"/>
    <m/>
  </r>
  <r>
    <d v="2026-03-04T00:00:00"/>
    <s v="https://www.etsy.com/ca/listing/4376399899/the-littlest-book-club-member-baby?transaction_id=4979468872"/>
    <s v="sage green"/>
    <s v="Sage Green"/>
    <s v="3-6M(LONG -SLEEVE)"/>
    <s v="United States"/>
    <s v="Romper Longer"/>
    <n v="3"/>
    <n v="10"/>
    <s v="Easter"/>
    <s v="3-6"/>
    <x v="7"/>
    <m/>
  </r>
  <r>
    <d v="2026-03-05T00:00:00"/>
    <s v="https://www.etsy.com/ca/listing/4347260564/football-baby-romper-game-day-baby?transaction_id=4979678386"/>
    <s v="cream"/>
    <s v="Cream"/>
    <s v="3-6M(LONG -SLEEVE)"/>
    <s v="Germany"/>
    <s v="Romper Longer"/>
    <n v="3"/>
    <n v="10"/>
    <s v="Easter"/>
    <s v="3-6"/>
    <x v="1"/>
    <m/>
  </r>
  <r>
    <d v="2026-03-05T00:00:00"/>
    <s v="https://www.etsy.com/ca/listing/4376399899/the-littlest-book-club-member-baby?transaction_id=4990277269"/>
    <s v="dusty pink"/>
    <s v="Dusty Pink"/>
    <s v="6-12M( SHORT-SLEEVE)"/>
    <s v="United States"/>
    <s v="Romper Short"/>
    <n v="3"/>
    <n v="10"/>
    <s v="Easter"/>
    <s v="6-12"/>
    <x v="35"/>
    <m/>
  </r>
  <r>
    <d v="2026-03-05T00:00:00"/>
    <s v="https://www.etsy.com/ca/listing/4392932100/born-to-ride-with-my-daddy-embroidered?transaction_id=4990690371"/>
    <s v="watermelon"/>
    <s v="Watermelon"/>
    <s v="0-3M(LONG-SLEEVE)"/>
    <s v="United States"/>
    <s v="Romper Longer"/>
    <n v="3"/>
    <n v="10"/>
    <s v="Easter"/>
    <s v="0-3"/>
    <x v="36"/>
    <m/>
  </r>
  <r>
    <d v="2026-03-05T00:00:00"/>
    <s v="https://www.etsy.com/ca/listing/4336907597/custom-running-baby-romper-daddys-future?transaction_id=4980373616"/>
    <s v="sage green"/>
    <s v="Sage Green"/>
    <s v="3-6M(SHORT-SLEEVE"/>
    <s v="United Kingdom"/>
    <s v="Romper Short"/>
    <n v="3"/>
    <n v="10"/>
    <s v="Easter"/>
    <s v="3-6"/>
    <x v="24"/>
    <m/>
  </r>
  <r>
    <d v="2026-03-05T00:00:00"/>
    <s v="https://www.etsy.com/ca/listing/4376399899/the-littlest-book-club-member-baby?transaction_id=4991016879"/>
    <s v="sage green"/>
    <s v="Sage Green"/>
    <s v="6-12M( SHORT-SLEEVE)"/>
    <s v="United States"/>
    <s v="Romper Short"/>
    <n v="3"/>
    <n v="10"/>
    <s v="Easter"/>
    <s v="6-12"/>
    <x v="19"/>
    <m/>
  </r>
  <r>
    <d v="2026-03-06T00:00:00"/>
    <s v="https://www.etsy.com/ca/listing/4371125103/personalized-dog-baby-bodysuit-custom?transaction_id=4991562697"/>
    <s v="cream"/>
    <s v="Cream"/>
    <s v="3-6M(SHORT-SLEEVE)"/>
    <s v="United States"/>
    <s v="Romper Short"/>
    <n v="3"/>
    <n v="10"/>
    <s v="Easter"/>
    <s v="3-6"/>
    <x v="0"/>
    <m/>
  </r>
  <r>
    <d v="2026-03-06T00:00:00"/>
    <s v="https://www.etsy.com/ca/listing/4371125103/personalized-dog-baby-bodysuit-custom?transaction_id=4991562697"/>
    <s v="sage green"/>
    <s v="Sage Green"/>
    <s v="6-12M(LONG-SLEEVE)"/>
    <s v="United States"/>
    <s v="Romper Longer"/>
    <n v="3"/>
    <n v="10"/>
    <s v="Easter"/>
    <s v="6-12"/>
    <x v="3"/>
    <m/>
  </r>
  <r>
    <d v="2026-03-06T00:00:00"/>
    <s v="https://www.etsy.com/ca/listing/4371125103/personalized-dog-baby-bodysuit-custom?transaction_id=4991562697"/>
    <s v="cream"/>
    <s v="Cream"/>
    <s v="6-12M(LONG-SLEEVE)"/>
    <s v="United States"/>
    <s v="Romper Longer"/>
    <n v="3"/>
    <n v="10"/>
    <s v="Easter"/>
    <s v="6-12"/>
    <x v="17"/>
    <m/>
  </r>
  <r>
    <d v="2026-03-06T00:00:00"/>
    <s v="https://www.etsy.com/ca/listing/4376399899/the-littlest-book-club-member-baby?transaction_id=4981613662"/>
    <s v=" sage green"/>
    <s v=" Sage Green"/>
    <s v="0-3M(SHORT -SLEEVE)"/>
    <s v="United Kingdom"/>
    <s v="Romper Short"/>
    <n v="3"/>
    <n v="10"/>
    <s v="Easter"/>
    <s v="0-3"/>
    <x v="13"/>
    <m/>
  </r>
  <r>
    <d v="2026-03-07T00:00:00"/>
    <s v="https://www.etsy.com/ca/listing/4467438815/my-brand-of-formula-baby-romper-formula?transaction_id=4992824823"/>
    <s v="cream"/>
    <s v="Cream"/>
    <s v="0-3M(SHORT -SLEEVE)"/>
    <s v="United States"/>
    <s v="Romper Short"/>
    <n v="3"/>
    <n v="10"/>
    <s v="Easter"/>
    <s v="0-3"/>
    <x v="15"/>
    <m/>
  </r>
  <r>
    <d v="2026-03-07T00:00:00"/>
    <s v="https://www.etsy.com/ca/listing/4347885967/gigis-bestie-baby-bodysuit-baby-shower?transaction_id=4993112761"/>
    <s v="sage green"/>
    <s v="Sage Green"/>
    <s v="3-6M(LONG -SLEEVE)"/>
    <s v="United States"/>
    <s v="Romper Longer"/>
    <n v="3"/>
    <n v="10"/>
    <s v="Easter"/>
    <s v="3-6"/>
    <x v="7"/>
    <m/>
  </r>
  <r>
    <d v="2026-03-08T00:00:00"/>
    <s v="https://www.etsy.com/ca/listing/4392935796/box-box-for-fresh-diapers-embroidered?transaction_id=4983619200"/>
    <s v="cream"/>
    <s v="Cream"/>
    <s v="3-6M(SHORT-SLEEVE)"/>
    <s v="France"/>
    <s v="Romper Short"/>
    <n v="3"/>
    <n v="11"/>
    <s v="Easter"/>
    <s v="3-6"/>
    <x v="0"/>
    <m/>
  </r>
  <r>
    <d v="2026-03-08T00:00:00"/>
    <s v="https://www.etsy.com/ca/listing/4392935796/box-box-for-fresh-diapers-embroidered?transaction_id=4983670400"/>
    <s v="cream"/>
    <s v="Cream"/>
    <s v="6-12M(LONG-SLEEVE)"/>
    <s v="United States"/>
    <s v="Romper Longer"/>
    <n v="3"/>
    <n v="11"/>
    <s v="Easter"/>
    <s v="6-12"/>
    <x v="17"/>
    <m/>
  </r>
  <r>
    <d v="2026-03-08T00:00:00"/>
    <s v="https://www.etsy.com/ca/listing/4330463387/embroidered-baby-romper-relax-mommy-is-a?transaction_id=4983706578"/>
    <s v="cream"/>
    <s v="Cream"/>
    <s v="3-6M(LONG -SLEEVE)"/>
    <s v="Canada"/>
    <s v="Romper Longer"/>
    <n v="3"/>
    <n v="11"/>
    <s v="Easter"/>
    <s v="3-6"/>
    <x v="1"/>
    <m/>
  </r>
  <r>
    <d v="2026-03-08T00:00:00"/>
    <s v="https://www.etsy.com/ca/listing/4376399899/the-littlest-book-club-member-baby?transaction_id=4983777806"/>
    <s v="forest green"/>
    <s v="Forest Green"/>
    <s v="12-18M(LONG-SLEEVE)"/>
    <s v="United States"/>
    <s v="Romper Longer"/>
    <n v="3"/>
    <n v="11"/>
    <s v="Easter"/>
    <s v="12-18"/>
    <x v="37"/>
    <m/>
  </r>
  <r>
    <d v="2026-03-08T00:00:00"/>
    <s v="https://www.etsy.com/ca/listing/4330485404/cat-face-embroidered-baby-romper-funny?transaction_id=4983788888"/>
    <s v="caldet blue"/>
    <s v="Caldet Blue"/>
    <s v="0-3M(SHORT -SLEEVE)"/>
    <s v="United States"/>
    <s v="Romper Short"/>
    <n v="3"/>
    <n v="11"/>
    <s v="Easter"/>
    <s v="0-3"/>
    <x v="38"/>
    <m/>
  </r>
  <r>
    <d v="2026-03-08T00:00:00"/>
    <s v="https://www.etsy.com/ca/listing/4376399899/the-littlest-book-club-member-baby?transaction_id=4984278838"/>
    <s v="dusty pink"/>
    <s v="Dusty Pink"/>
    <s v="3-6M(LONG -SLEEVE)"/>
    <s v="United States"/>
    <s v="Romper Longer"/>
    <n v="3"/>
    <n v="11"/>
    <s v="Easter"/>
    <s v="3-6"/>
    <x v="8"/>
    <m/>
  </r>
  <r>
    <d v="2026-03-08T00:00:00"/>
    <s v="https://www.etsy.com/ca/listing/4376399899/the-littlest-book-club-member-baby?transaction_id=4984327642"/>
    <s v="cream"/>
    <s v="Cream"/>
    <s v="0-3M(LONG-SLEEVE)"/>
    <s v="United States"/>
    <s v="Romper Longer"/>
    <n v="3"/>
    <n v="11"/>
    <s v="Easter"/>
    <s v="0-3"/>
    <x v="2"/>
    <m/>
  </r>
  <r>
    <d v="2026-03-08T00:00:00"/>
    <s v="https://www.etsy.com/ca/listing/4344232490/freshly-brewed-baby-bodysuit-cute-coffee?transaction_id=4984464432"/>
    <s v="watermelon"/>
    <s v="Watermelon"/>
    <s v="3-6M(SHORT-SLEEVE)"/>
    <s v="United States"/>
    <s v="Romper Short"/>
    <n v="3"/>
    <n v="11"/>
    <s v="Easter"/>
    <s v="3-6"/>
    <x v="39"/>
    <m/>
  </r>
  <r>
    <d v="2026-03-08T00:00:00"/>
    <s v="https://www.etsy.com/ca/listing/4376399899/the-littlest-book-club-member-baby?transaction_id=4994687303"/>
    <s v="mauve taupe"/>
    <s v="Mauve Taupe"/>
    <s v="0-3M(LONG-SLEEVE)"/>
    <s v="Australia"/>
    <s v="Romper Longer"/>
    <n v="3"/>
    <n v="11"/>
    <s v="Easter"/>
    <s v="0-3"/>
    <x v="40"/>
    <m/>
  </r>
  <r>
    <d v="2026-03-09T00:00:00"/>
    <s v="https://www.etsy.com/ca/listing/4392962015/cant-wait-to-jam-with-daddy-embroidered?transaction_id=4985120032"/>
    <s v="sage green"/>
    <s v="Sage Green"/>
    <s v="3-6M(LONG -SLEEVE)"/>
    <s v="United States"/>
    <s v="Romper Longer"/>
    <n v="3"/>
    <n v="11"/>
    <s v="Easter"/>
    <s v="3-6"/>
    <x v="7"/>
    <m/>
  </r>
  <r>
    <d v="2026-03-09T00:00:00"/>
    <s v="https://www.etsy.com/ca/listing/4376399899/the-littlest-book-club-member-baby?transaction_id=4995523779"/>
    <s v="sage green"/>
    <s v="Sage Green"/>
    <s v="6-12M(LONG-SLEEVE)"/>
    <s v="United States"/>
    <s v="Romper Longer"/>
    <n v="3"/>
    <n v="11"/>
    <s v="Easter"/>
    <s v="6-12"/>
    <x v="3"/>
    <m/>
  </r>
  <r>
    <d v="2026-03-09T00:00:00"/>
    <s v="https://www.etsy.com/ca/listing/4376399899/the-littlest-book-club-member-baby?transaction_id=4995523779"/>
    <s v="forest green"/>
    <s v="Forest Green"/>
    <s v="0-3M(LONG-SLEEVE)"/>
    <s v="United States"/>
    <s v="Romper Longer"/>
    <n v="3"/>
    <n v="11"/>
    <s v="Easter"/>
    <s v="0-3"/>
    <x v="41"/>
    <m/>
  </r>
  <r>
    <d v="2026-03-09T00:00:00"/>
    <s v="https://www.etsy.com/ca/listing/4467452578/the-littlest-pickleball-club-member-baby?transaction_id=4995830337"/>
    <s v="cream"/>
    <s v="Cream"/>
    <s v="6-12M(LONG-SLEEVE)"/>
    <s v="United States"/>
    <s v="Romper Longer"/>
    <n v="3"/>
    <n v="11"/>
    <s v="Easter"/>
    <s v="6-12"/>
    <x v="17"/>
    <m/>
  </r>
  <r>
    <d v="2026-03-09T00:00:00"/>
    <s v="https://www.etsy.com/ca/listing/4343131516/embroidered-pickleball-baby-bodysuit?transaction_id=4995830335"/>
    <s v="caldet blue"/>
    <s v="Caldet Blue"/>
    <s v="3-6M(SHORT-SLEEVE)"/>
    <s v="United States"/>
    <s v="Romper Short"/>
    <n v="3"/>
    <n v="11"/>
    <s v="Easter"/>
    <s v="3-6"/>
    <x v="29"/>
    <m/>
  </r>
  <r>
    <d v="2026-03-09T00:00:00"/>
    <s v="https://www.etsy.com/ca/listing/4376399899/the-littlest-book-club-member-baby?transaction_id=4955231794"/>
    <s v="cream"/>
    <s v="Cream"/>
    <s v=" 3-6M(LONG -SLEEVE)"/>
    <s v="United States"/>
    <s v="Romper Longer"/>
    <n v="3"/>
    <n v="11"/>
    <s v="Easter"/>
    <s v="3-6"/>
    <x v="1"/>
    <m/>
  </r>
  <r>
    <d v="2026-03-10T00:00:00"/>
    <s v="https://www.etsy.com/ca/listing/4371125103/personalized-dog-baby-bodysuit-custom?transaction_id=4996160545"/>
    <s v="coffee"/>
    <s v="Coffee"/>
    <s v="3-6M(LONG -SLEEVE)"/>
    <s v="United States"/>
    <s v="Romper Longer"/>
    <n v="3"/>
    <n v="11"/>
    <s v="Easter"/>
    <s v="3-6"/>
    <x v="12"/>
    <m/>
  </r>
  <r>
    <d v="2026-03-10T00:00:00"/>
    <s v="https://www.etsy.com/ca/listing/4344235128/new-to-the-hive-baby-romper-embroidered?transaction_id=4996162879"/>
    <s v="cream"/>
    <s v="Cream"/>
    <s v="0-3M(SHORT -SLEEVE)"/>
    <s v="Canada"/>
    <s v="Romper Short"/>
    <n v="3"/>
    <n v="11"/>
    <s v="Easter"/>
    <s v="0-3"/>
    <x v="15"/>
    <m/>
  </r>
  <r>
    <d v="2026-03-10T00:00:00"/>
    <s v="https://www.etsy.com/ca/listing/4336900156/personalized-soccer-baby-romper?transaction_id=4996456931"/>
    <s v="sage green"/>
    <s v="Sage Green"/>
    <s v="0-3M(LONG-SLEEVE)"/>
    <s v="United States"/>
    <s v="Romper Longer"/>
    <n v="3"/>
    <n v="11"/>
    <s v="Easter"/>
    <s v="0-3"/>
    <x v="5"/>
    <m/>
  </r>
  <r>
    <d v="2026-03-10T00:00:00"/>
    <s v="https://www.etsy.com/ca/listing/4344235128/new-to-the-hive-baby-romper-embroidered?transaction_id=4996574059"/>
    <s v="cream"/>
    <s v="Cream"/>
    <s v="3-6M(SHORT-SLEEVE)"/>
    <s v="United States"/>
    <s v="Romper Short"/>
    <n v="3"/>
    <n v="11"/>
    <s v="Easter"/>
    <s v="3-6"/>
    <x v="0"/>
    <m/>
  </r>
  <r>
    <d v="2026-03-10T00:00:00"/>
    <s v="https://www.etsy.com/ca/listing/4344235128/new-to-the-hive-baby-romper-embroidered?transaction_id=4996592981"/>
    <s v="cream"/>
    <s v="Cream"/>
    <s v="3-6M(SHORT-SLEEVE)"/>
    <s v="United States"/>
    <s v="Romper Short"/>
    <n v="3"/>
    <n v="11"/>
    <s v="Easter"/>
    <s v="3-6"/>
    <x v="0"/>
    <m/>
  </r>
  <r>
    <d v="2026-03-10T00:00:00"/>
    <s v="https://www.etsy.com/ca/listing/4376399899/the-littlest-book-club-member-baby?transaction_id=4986731424"/>
    <s v="coffee"/>
    <s v="Coffee"/>
    <s v="0-3M(SHORT -SLEEVE)"/>
    <s v="United States"/>
    <s v="Romper Short"/>
    <n v="3"/>
    <n v="11"/>
    <s v="Easter"/>
    <s v="0-3"/>
    <x v="14"/>
    <m/>
  </r>
  <r>
    <d v="2026-03-10T00:00:00"/>
    <s v="https://www.etsy.com/ca/listing/4376392339/funny-baby-romper-my-brand-of-formula?transaction_id=4986806678"/>
    <s v="white"/>
    <s v="White"/>
    <s v="0-3M(SHORT -SLEEVE)"/>
    <s v="United States"/>
    <s v="Romper Short"/>
    <n v="3"/>
    <n v="11"/>
    <s v="Easter"/>
    <s v="0-3"/>
    <x v="21"/>
    <m/>
  </r>
  <r>
    <d v="2026-03-10T00:00:00"/>
    <s v="https://www.etsy.com/ca/listing/4369781522/crawl-walk-putt-baby-romper-funny-golf?transaction_id=4996785389"/>
    <s v="sage green"/>
    <s v="Sage Green"/>
    <s v="0-3M(SHORT -SLEEVE)"/>
    <s v="United States"/>
    <s v="Romper Short"/>
    <n v="3"/>
    <n v="11"/>
    <s v="Easter"/>
    <s v="0-3"/>
    <x v="13"/>
    <m/>
  </r>
  <r>
    <d v="2026-03-10T00:00:00"/>
    <s v="https://www.etsy.com/ca/listing/4343131516/embroidered-pickleball-baby-bodysuit?transaction_id=4987078544"/>
    <s v="white"/>
    <s v="White"/>
    <s v="6-12M( SHORT-SLEEVE)"/>
    <s v="United States"/>
    <s v="Romper Short"/>
    <n v="3"/>
    <n v="11"/>
    <s v="Easter"/>
    <s v="6-12"/>
    <x v="42"/>
    <m/>
  </r>
  <r>
    <d v="2026-03-10T00:00:00"/>
    <s v="https://www.etsy.com/ca/listing/4467438815/my-brand-of-formula-baby-romper-formula?transaction_id=4997092691"/>
    <s v="white"/>
    <s v="White"/>
    <s v="18-24M(SHORT-SLEEVE)"/>
    <s v="United States"/>
    <s v="Romper Short"/>
    <n v="3"/>
    <n v="11"/>
    <s v="Easter"/>
    <s v="18-24"/>
    <x v="43"/>
    <m/>
  </r>
  <r>
    <d v="2026-03-10T00:00:00"/>
    <s v="https://www.etsy.com/ca/listing/4346126210/daddys-future-lifting-buddy-romper-baby?transaction_id=4997103531"/>
    <s v="cream"/>
    <s v="Cream"/>
    <s v="0-3M(LONG-SLEEVE)"/>
    <s v="United States"/>
    <s v="Romper Longer"/>
    <n v="3"/>
    <n v="11"/>
    <s v="Easter"/>
    <s v="0-3"/>
    <x v="2"/>
    <m/>
  </r>
  <r>
    <d v="2026-03-11T00:00:00"/>
    <s v="https://www.etsy.com/ca/listing/4392935796/box-box-for-fresh-diapers-embroidered?transaction_id=4997215379"/>
    <s v="dusty pink"/>
    <s v="Dusty Pink"/>
    <s v="12-18M(SHORT-SLEEVE)"/>
    <s v="United States"/>
    <s v="Romper Short"/>
    <n v="3"/>
    <n v="11"/>
    <s v="Easter"/>
    <s v="12-18"/>
    <x v="44"/>
    <m/>
  </r>
  <r>
    <d v="2026-03-11T00:00:00"/>
    <s v="https://www.etsy.com/ca/listing/4376399899/the-littlest-book-club-member-baby?transaction_id=4987298828"/>
    <s v="cream"/>
    <s v="Cream"/>
    <s v="0-3M(SHORT -SLEEVE)"/>
    <s v="Australia"/>
    <s v="Romper Short"/>
    <n v="3"/>
    <n v="11"/>
    <s v="Easter"/>
    <s v="0-3"/>
    <x v="15"/>
    <m/>
  </r>
  <r>
    <d v="2026-03-11T00:00:00"/>
    <s v="https://www.etsy.com/ca/listing/4376389783/player-2-baby-romper-gamer-baby-outfit?transaction_id=4997742993"/>
    <s v="caldet blue"/>
    <s v="Caldet Blue"/>
    <s v="0-3M(SHORT -SLEEVE)"/>
    <s v="Ireland"/>
    <s v="Romper Short"/>
    <n v="3"/>
    <n v="11"/>
    <s v="Easter"/>
    <s v="0-3"/>
    <x v="38"/>
    <m/>
  </r>
  <r>
    <d v="2026-03-11T00:00:00"/>
    <s v="https://www.etsy.com/ca/listing/4347263856/besties-baby-romper-matching-baby-outfit?transaction_id=4987842354"/>
    <s v="dusty pink"/>
    <s v="Dusty Pink"/>
    <s v="3-6M(LONG -SLEEVE)"/>
    <s v="Austria"/>
    <s v="Romper Longer"/>
    <n v="3"/>
    <n v="11"/>
    <s v="Easter"/>
    <s v="3-6"/>
    <x v="8"/>
    <m/>
  </r>
  <r>
    <d v="2026-03-11T00:00:00"/>
    <s v="https://www.etsy.com/ca/listing/4347263856/besties-baby-romper-matching-baby-outfit?transaction_id=4987842352"/>
    <s v="dusty pink"/>
    <s v="Dusty Pink"/>
    <s v="0-3M(LONG-SLEEVE"/>
    <s v="Austria"/>
    <s v="Romper Longer"/>
    <n v="3"/>
    <n v="11"/>
    <s v="Easter"/>
    <s v="0-3"/>
    <x v="45"/>
    <m/>
  </r>
  <r>
    <d v="2026-03-11T00:00:00"/>
    <s v="https://www.etsy.com/ca/listing/4376399899/the-littlest-book-club-member-baby?transaction_id=4988002782"/>
    <s v="sage green"/>
    <s v="Sage Green"/>
    <s v="3-6M(SHORT-SLEEVE)"/>
    <s v="United States"/>
    <s v="Romper Short"/>
    <n v="3"/>
    <n v="11"/>
    <s v="Easter"/>
    <s v="3-6"/>
    <x v="24"/>
    <m/>
  </r>
  <r>
    <d v="2026-03-11T00:00:00"/>
    <s v="https://www.etsy.com/ca/listing/4371125103/personalized-dog-baby-bodysuit-custom?transaction_id=4998222727"/>
    <s v="cream"/>
    <s v="Cream"/>
    <s v="0-3M(LONG-SLEEVE)"/>
    <s v="United States"/>
    <s v="Romper Longer"/>
    <n v="3"/>
    <n v="11"/>
    <s v="Easter"/>
    <s v="0-3"/>
    <x v="2"/>
    <m/>
  </r>
  <r>
    <d v="2026-03-12T00:00:00"/>
    <s v="https://www.etsy.com/ca/listing/4392932100/born-to-ride-with-my-daddy-embroidered?transaction_id=4998591413"/>
    <s v="cream"/>
    <s v="Cream"/>
    <s v="0-3M(SHORT -SLEEVE)"/>
    <s v="France"/>
    <s v="Romper Short"/>
    <n v="3"/>
    <n v="11"/>
    <s v="Easter"/>
    <s v="0-3"/>
    <x v="15"/>
    <m/>
  </r>
  <r>
    <d v="2026-03-12T00:00:00"/>
    <s v="https://www.etsy.com/ca/listing/4371125103/personalized-dog-baby-bodysuit-custom?transaction_id=4988716768"/>
    <s v="caldet blue"/>
    <s v="Caldet Blue"/>
    <s v="6-12M(LONG-SLEEVE)"/>
    <s v="United States"/>
    <s v="Romper Longer"/>
    <n v="3"/>
    <n v="11"/>
    <s v="Easter"/>
    <s v="6-12"/>
    <x v="25"/>
    <m/>
  </r>
  <r>
    <d v="2026-03-12T00:00:00"/>
    <s v="https://www.etsy.com/ca/listing/4467451258/the-littlest-tennis-club-member-baby?transaction_id=4989122294"/>
    <s v="cream"/>
    <s v="Cream"/>
    <s v="0-3M(LONG-SLEEVE)"/>
    <s v="Germany"/>
    <s v="Romper Longer"/>
    <n v="3"/>
    <n v="11"/>
    <s v="Easter"/>
    <s v="0-3"/>
    <x v="2"/>
    <m/>
  </r>
  <r>
    <d v="2026-03-12T00:00:00"/>
    <s v="https://www.etsy.com/ca/listing/4376392339/funny-baby-romper-my-brand-of-formula?transaction_id=4989145366"/>
    <s v="cream"/>
    <s v="Cream"/>
    <s v="3-6M(SHORT-SLEEVE)"/>
    <s v="United States"/>
    <s v="Romper Short"/>
    <n v="3"/>
    <n v="11"/>
    <s v="Easter"/>
    <s v="3-6"/>
    <x v="0"/>
    <m/>
  </r>
  <r>
    <d v="2026-03-12T00:00:00"/>
    <s v="https://www.etsy.com/ca/listing/4376392339/funny-baby-romper-my-brand-of-formula?transaction_id=4999295531"/>
    <s v="cream"/>
    <s v="Cream"/>
    <s v="0-3M(SHORT -SLEEVE)"/>
    <s v="United States"/>
    <s v="Romper Short"/>
    <n v="3"/>
    <n v="11"/>
    <s v="Easter"/>
    <s v="0-3"/>
    <x v="15"/>
    <m/>
  </r>
  <r>
    <d v="2026-03-12T00:00:00"/>
    <s v="https://www.etsy.com/ca/listing/4467440237/the-littlest-coffee-club-member-baby?transaction_id=4999477955"/>
    <s v="cream"/>
    <s v="Cream"/>
    <s v="3-6M(SHORT-SLEEVE)"/>
    <s v="United States"/>
    <s v="Romper Short"/>
    <n v="3"/>
    <n v="11"/>
    <s v="Easter"/>
    <s v="3-6"/>
    <x v="0"/>
    <m/>
  </r>
  <r>
    <d v="2026-03-13T00:00:00"/>
    <s v="https://www.etsy.com/ca/listing/4376399899/the-littlest-book-club-member-baby?transaction_id=4989756182"/>
    <s v="sage green"/>
    <s v="Sage Green"/>
    <s v="3-6M(SHORT-SLEEVE)"/>
    <s v="United States"/>
    <s v="Romper Short"/>
    <n v="3"/>
    <n v="11"/>
    <s v="Easter"/>
    <s v="3-6"/>
    <x v="24"/>
    <m/>
  </r>
  <r>
    <d v="2026-03-13T00:00:00"/>
    <s v="https://www.etsy.com/ca/listing/4336907597/custom-running-baby-romper-daddys-future?transaction_id=4990001810"/>
    <s v="watermelon"/>
    <s v="Watermelon"/>
    <s v="6-12M(LONG-SLEEVE)"/>
    <s v="United States"/>
    <s v="Romper Longer"/>
    <n v="3"/>
    <n v="11"/>
    <s v="Easter"/>
    <s v="6-12"/>
    <x v="33"/>
    <m/>
  </r>
  <r>
    <d v="2026-03-13T00:00:00"/>
    <s v="https://www.etsy.com/ca/listing/4376399899/the-littlest-book-club-member-baby?transaction_id=4990084222"/>
    <s v="sage green"/>
    <s v="Sage Green"/>
    <s v="6-12M(LONG-SLEEVE)"/>
    <s v="United States"/>
    <s v="Romper Longer"/>
    <n v="3"/>
    <n v="11"/>
    <s v="Easter"/>
    <s v="6-12"/>
    <x v="3"/>
    <m/>
  </r>
  <r>
    <d v="2026-03-13T00:00:00"/>
    <s v="https://www.etsy.com/ca/listing/4467451258/the-littlest-tennis-club-member-baby?transaction_id=4990291916"/>
    <s v="cream"/>
    <s v="Cream"/>
    <s v="3-6M(SHORT-SLEEVE)"/>
    <s v="United States"/>
    <s v="Romper Short"/>
    <n v="3"/>
    <n v="11"/>
    <s v="Easter"/>
    <s v="3-6"/>
    <x v="0"/>
    <m/>
  </r>
  <r>
    <d v="2026-03-13T00:00:00"/>
    <s v="https://www.etsy.com/ca/listing/4330499732/embroidered-baby-romper-little-sunshine?transaction_id=5000423973"/>
    <s v="cream"/>
    <s v="Cream"/>
    <s v="3-6M(LONG -SLEEVE)"/>
    <s v="United States"/>
    <s v="Romper Longer"/>
    <n v="3"/>
    <n v="11"/>
    <s v="Easter"/>
    <s v="3-6"/>
    <x v="1"/>
    <m/>
  </r>
  <r>
    <d v="2026-03-13T00:00:00"/>
    <s v="https://www.etsy.com/ca/listing/4376399899/the-littlest-book-club-member-baby?transaction_id=5000475451"/>
    <s v="watermelon"/>
    <s v="Watermelon"/>
    <s v="3-6M(SHORT-SLEEVE)"/>
    <s v="United States"/>
    <s v="Romper Short"/>
    <n v="3"/>
    <n v="11"/>
    <s v="Easter"/>
    <s v="3-6"/>
    <x v="39"/>
    <m/>
  </r>
  <r>
    <d v="2026-03-13T00:00:00"/>
    <s v="https://www.etsy.com/ca/listing/4376399899/the-littlest-book-club-member-baby?transaction_id=5000475451"/>
    <s v="coffee"/>
    <s v="Coffee"/>
    <s v="3-6M(SHORT-SLEEVE)"/>
    <s v="United States"/>
    <s v="Romper Short"/>
    <n v="3"/>
    <n v="11"/>
    <s v="Easter"/>
    <s v="3-6"/>
    <x v="18"/>
    <m/>
  </r>
  <r>
    <d v="2026-03-13T00:00:00"/>
    <s v="https://www.etsy.com/ca/listing/4336907597/custom-running-baby-romper-daddys-future?transaction_id=5000504531"/>
    <s v="watermelon"/>
    <s v="Watermelon"/>
    <s v="3-6M(LONG -SLEEVE)"/>
    <s v="United States"/>
    <s v="Romper Longer"/>
    <n v="3"/>
    <n v="11"/>
    <s v="Easter"/>
    <s v="3-6"/>
    <x v="20"/>
    <m/>
  </r>
  <r>
    <d v="2026-03-13T00:00:00"/>
    <s v="https://www.etsy.com/ca/listing/4336907597/custom-running-baby-romper-daddys-future?transaction_id=5000504531"/>
    <s v="watermelon"/>
    <s v="Watermelon"/>
    <s v="6-12M(LONG-SLEEVE)"/>
    <s v="United States"/>
    <s v="Romper Longer"/>
    <n v="3"/>
    <n v="11"/>
    <s v="Easter"/>
    <s v="6-12"/>
    <x v="33"/>
    <m/>
  </r>
  <r>
    <d v="2026-03-14T00:00:00"/>
    <s v="https://www.etsy.com/ca/listing/4467444587/pit-crew-for-diapers-baby-romper-funny?transaction_id=5000723373"/>
    <s v="dusty pink"/>
    <s v="Dusty Pink"/>
    <s v="3-6M(SHORT-SLEEVE)"/>
    <s v="United States"/>
    <s v="Romper Short"/>
    <n v="3"/>
    <n v="11"/>
    <s v="Easter"/>
    <s v="3-6"/>
    <x v="31"/>
    <m/>
  </r>
  <r>
    <d v="2026-03-14T00:00:00"/>
    <s v="https://www.etsy.com/ca/listing/4372352286/silly-goose-baby-romper-funny-infant?transaction_id=4991013994"/>
    <s v="forest green"/>
    <s v="Forest Green"/>
    <s v="3-6M(SHORT-SLEEVE)"/>
    <s v="United States"/>
    <s v="Romper Short"/>
    <n v="3"/>
    <n v="11"/>
    <s v="Easter"/>
    <s v="3-6"/>
    <x v="6"/>
    <m/>
  </r>
  <r>
    <d v="2026-03-14T00:00:00"/>
    <s v="https://www.etsy.com/ca/listing/4376392339/funny-baby-romper-my-brand-of-formula?transaction_id=4991294402"/>
    <s v="white"/>
    <s v="White"/>
    <s v="6-12M(LONG-SLEEVE)"/>
    <s v="United States"/>
    <s v="Romper Longer"/>
    <n v="3"/>
    <n v="11"/>
    <s v="Easter"/>
    <s v="6-12"/>
    <x v="46"/>
    <m/>
  </r>
  <r>
    <d v="2026-03-14T00:00:00"/>
    <s v="https://www.etsy.com/ca/listing/4376401181/challah-at-your-girl-baby-bodysuit-funny?transaction_id=4991305390"/>
    <s v="mauve taupe"/>
    <s v="Mauve Taupe"/>
    <s v="0-3M(LONG-SLEEVE)"/>
    <s v="United States"/>
    <s v="Romper Longer"/>
    <n v="3"/>
    <n v="11"/>
    <s v="Easter"/>
    <s v="0-3"/>
    <x v="40"/>
    <m/>
  </r>
  <r>
    <d v="2026-03-14T00:00:00"/>
    <s v="https://www.etsy.com/ca/listing/4467449868/the-littlest-garden-club-member-baby?transaction_id=4991672770"/>
    <s v="cream"/>
    <s v="Cream"/>
    <s v="6-12M( SHORT-SLEEVE)"/>
    <s v="United States"/>
    <s v="Romper Short"/>
    <n v="3"/>
    <n v="11"/>
    <s v="Easter"/>
    <s v="6-12"/>
    <x v="47"/>
    <m/>
  </r>
  <r>
    <d v="2026-03-14T00:00:00"/>
    <s v="https://www.etsy.com/ca/listing/4392962015/cant-wait-to-jam-with-daddy-embroidered?transaction_id=4991754250"/>
    <s v="sage green"/>
    <s v="Sage Green"/>
    <s v="3-6M(SHORT-SLEEVE)"/>
    <s v="United States"/>
    <s v="Romper Short"/>
    <n v="3"/>
    <n v="11"/>
    <s v="Easter"/>
    <s v="3-6"/>
    <x v="24"/>
    <m/>
  </r>
  <r>
    <d v="2026-03-14T00:00:00"/>
    <s v="https://www.etsy.com/ca/listing/4392935796/box-box-for-fresh-diapers-embroidered?transaction_id=4991813922"/>
    <s v="cream"/>
    <s v="Cream"/>
    <s v="6-12M(LONG-SLEEVE)"/>
    <s v="United States"/>
    <s v="Romper Longer"/>
    <n v="3"/>
    <n v="11"/>
    <s v="Easter"/>
    <s v="6-12"/>
    <x v="17"/>
    <m/>
  </r>
  <r>
    <d v="2026-03-14T00:00:00"/>
    <s v="https://www.etsy.com/ca/listing/4330463387/embroidered-baby-romper-relax-mommy-is-a?transaction_id=4991843574"/>
    <s v="cream"/>
    <s v="Cream"/>
    <s v="3-6M(LONG -SLEEVE)"/>
    <s v="United States"/>
    <s v="Romper Longer"/>
    <n v="3"/>
    <n v="11"/>
    <s v="Easter"/>
    <s v="3-6"/>
    <x v="1"/>
    <m/>
  </r>
  <r>
    <d v="2026-03-14T00:00:00"/>
    <s v="https://www.etsy.com/ca/listing/4372352286/silly-goose-baby-romper-funny-infant?transaction_id=5001762205"/>
    <s v="sage green"/>
    <s v="Sage Green"/>
    <s v="18-24M(SHORT-SLEEVE)"/>
    <s v="United States"/>
    <s v="Romper Short"/>
    <n v="3"/>
    <n v="11"/>
    <s v="Easter"/>
    <s v="18-24"/>
    <x v="48"/>
    <m/>
  </r>
  <r>
    <d v="2026-03-15T00:00:00"/>
    <s v="https://www.etsy.com/ca/listing/4392935796/box-box-for-fresh-diapers-embroidered?transaction_id=5001982335"/>
    <s v="cream"/>
    <s v="Cream"/>
    <s v="0-3M(LONG-SLEEVE)"/>
    <s v="Poland"/>
    <s v="Romper Longer"/>
    <n v="3"/>
    <n v="12"/>
    <s v="Easter"/>
    <s v="0-3"/>
    <x v="2"/>
    <m/>
  </r>
  <r>
    <d v="2026-03-15T00:00:00"/>
    <s v="https://www.etsy.com/ca/listing/4376392339/funny-baby-romper-my-brand-of-formula?transaction_id=4992159688"/>
    <s v="cream"/>
    <s v="Cream"/>
    <s v="0-3M(LONG-SLEEVE)"/>
    <s v="Poland"/>
    <s v="Romper Longer"/>
    <n v="3"/>
    <n v="12"/>
    <s v="Easter"/>
    <s v="0-3"/>
    <x v="2"/>
    <m/>
  </r>
  <r>
    <d v="2026-03-15T00:00:00"/>
    <s v="https://www.etsy.com/ca/listing/4330480699/little-prince-baby-romper-embroidered?transaction_id=5002161959"/>
    <s v="cream"/>
    <s v="Cream"/>
    <s v="3-6M(LONG -SLEEVE)"/>
    <s v="United States"/>
    <s v="Romper Longer"/>
    <n v="3"/>
    <n v="12"/>
    <s v="Easter"/>
    <s v="3-6"/>
    <x v="1"/>
    <m/>
  </r>
  <r>
    <d v="2026-03-15T00:00:00"/>
    <s v="https://www.etsy.com/ca/listing/4333135410/little-pumpkin-baby-romper-fall?transaction_id=5002237495"/>
    <s v="cream"/>
    <s v="Cream"/>
    <s v="0-3M(LONG-SLEEVE)"/>
    <s v="United States"/>
    <s v="Romper Longer"/>
    <n v="3"/>
    <n v="12"/>
    <s v="Easter"/>
    <s v="0-3"/>
    <x v="2"/>
    <m/>
  </r>
  <r>
    <d v="2026-03-15T00:00:00"/>
    <s v="https://www.etsy.com/ca/listing/4392935796/box-box-for-fresh-diapers-embroidered?transaction_id=4992432278"/>
    <s v="cream"/>
    <s v="Cream"/>
    <s v="6-12M(LONG-SLEEVE)"/>
    <s v="Canada"/>
    <s v="Romper Longer"/>
    <n v="3"/>
    <n v="12"/>
    <s v="Easter"/>
    <s v="6-12"/>
    <x v="17"/>
    <m/>
  </r>
  <r>
    <d v="2026-03-15T00:00:00"/>
    <s v="https://www.etsy.com/ca/listing/4392929794/little-latke-embroidered-romper-hanukkah?transaction_id=5002373771"/>
    <s v="caldet blue"/>
    <s v="Caldet Blue"/>
    <s v="3-6M(SHORT-SLEEVE)"/>
    <s v="United States"/>
    <s v="Romper Short"/>
    <n v="3"/>
    <n v="12"/>
    <s v="Easter"/>
    <s v="3-6"/>
    <x v="29"/>
    <m/>
  </r>
  <r>
    <d v="2026-03-15T00:00:00"/>
    <s v="https://www.etsy.com/ca/listing/4467440237/the-littlest-coffee-club-member-baby?transaction_id=4992638568"/>
    <s v="coffee"/>
    <s v="Coffee"/>
    <s v=" 3-6M(SHORT-SLEEVE)"/>
    <s v="United States"/>
    <s v="Romper Short"/>
    <n v="3"/>
    <n v="12"/>
    <s v="Easter"/>
    <s v="3-6"/>
    <x v="18"/>
    <m/>
  </r>
  <r>
    <d v="2026-03-15T00:00:00"/>
    <s v="https://www.etsy.com/ca/listing/4392925828/hello-grandma-embroidered-romper-i-cant?transaction_id=4992787322"/>
    <s v="cream"/>
    <s v="Cream"/>
    <s v="0-3M(SHORT -SLEEVE)"/>
    <s v="United States"/>
    <s v="Romper Short"/>
    <n v="3"/>
    <n v="12"/>
    <s v="Easter"/>
    <s v="0-3"/>
    <x v="15"/>
    <m/>
  </r>
  <r>
    <d v="2026-03-15T00:00:00"/>
    <s v="https://www.etsy.com/ca/listing/4392935796/box-box-for-fresh-diapers-embroidered?transaction_id=5002616643"/>
    <s v="salmon"/>
    <s v="Salmon"/>
    <s v="0-3M(SHORT -SLEEVE)"/>
    <s v="United States"/>
    <s v="Romper Short"/>
    <n v="3"/>
    <n v="12"/>
    <s v="Easter"/>
    <s v="0-3"/>
    <x v="32"/>
    <m/>
  </r>
  <r>
    <d v="2026-03-15T00:00:00"/>
    <s v="https://www.etsy.com/ca/listing/4392962015/cant-wait-to-jam-with-daddy-embroidered?transaction_id=5002682037"/>
    <s v="salmon"/>
    <s v="Salmon"/>
    <s v="3-6M(LONG -SLEEVE)"/>
    <s v="Switzerland"/>
    <s v="Romper Longer"/>
    <n v="3"/>
    <n v="12"/>
    <s v="Easter"/>
    <s v="3-6"/>
    <x v="49"/>
    <m/>
  </r>
  <r>
    <d v="2026-03-15T00:00:00"/>
    <s v="https://www.etsy.com/ca/listing/4333135410/little-pumpkin-baby-romper-fall?transaction_id=5002743009"/>
    <s v=" caldet blue"/>
    <s v=" Caldet Blue"/>
    <s v="0-3M(LONG-SLEEVE)"/>
    <s v="United States"/>
    <s v="Romper Longer"/>
    <n v="3"/>
    <n v="12"/>
    <s v="Easter"/>
    <s v="0-3"/>
    <x v="9"/>
    <m/>
  </r>
  <r>
    <d v="2026-03-15T00:00:00"/>
    <s v="https://www.etsy.com/ca/listing/4343133680/embroidered-bowling-baby-bodysuit-crawl?transaction_id=5002991289"/>
    <s v="dusty pink"/>
    <s v="Dusty Pink"/>
    <s v="6-12M( SHORT-SLEEVE)"/>
    <s v="United States"/>
    <s v="Romper Short"/>
    <n v="3"/>
    <n v="12"/>
    <s v="Easter"/>
    <s v="6-12"/>
    <x v="35"/>
    <m/>
  </r>
  <r>
    <d v="2026-03-15T00:00:00"/>
    <s v="https://www.etsy.com/ca/listing/4379194627/new-to-the-farm-embroidered-romper-baby?transaction_id=5003076325"/>
    <s v="sage green"/>
    <s v="Sage Green"/>
    <s v="3-6M(SHORT-SLEEVE)"/>
    <s v="Canada"/>
    <s v="Romper Short"/>
    <n v="3"/>
    <n v="12"/>
    <s v="Easter"/>
    <s v="3-6"/>
    <x v="24"/>
    <m/>
  </r>
  <r>
    <d v="2026-03-15T00:00:00"/>
    <s v="https://www.etsy.com/ca/listing/4392935796/box-box-for-fresh-diapers-embroidered?transaction_id=4993276474"/>
    <s v="cream"/>
    <s v="Cream"/>
    <s v="0-3M(SHORT -SLEEVE)"/>
    <s v="United States"/>
    <s v="Romper Short"/>
    <n v="3"/>
    <n v="12"/>
    <s v="Easter"/>
    <s v="0-3"/>
    <x v="15"/>
    <m/>
  </r>
  <r>
    <d v="2026-03-15T00:00:00"/>
    <s v="https://www.etsy.com/ca/listing/4347879262/funny-pickle-baby-romper-im-kind-of-a?transaction_id=4993276472"/>
    <s v="forest green"/>
    <s v="Forest Green"/>
    <s v="3-6M(SHORT-SLEEVE)"/>
    <s v="United States"/>
    <s v="Romper Short"/>
    <n v="3"/>
    <n v="12"/>
    <s v="Easter"/>
    <s v="3-6"/>
    <x v="6"/>
    <m/>
  </r>
  <r>
    <d v="2026-03-16T00:00:00"/>
    <s v="https://www.etsy.com/ca/listing/4371125103/personalized-dog-baby-bodysuit-custom?transaction_id=4993709380"/>
    <s v="cream"/>
    <s v="Cream"/>
    <s v="3-6M(SHORT-SLEEVE)"/>
    <s v="United States"/>
    <s v="Romper Short"/>
    <n v="3"/>
    <n v="12"/>
    <s v="Easter"/>
    <s v="3-6"/>
    <x v="0"/>
    <m/>
  </r>
  <r>
    <d v="2026-03-16T00:00:00"/>
    <s v="https://www.etsy.com/ca/listing/4376399899/the-littlest-book-club-member-baby?transaction_id=5003583273"/>
    <s v="cream"/>
    <s v="Cream"/>
    <s v="3-6M(SHORT-SLEEVE)"/>
    <s v="Canada"/>
    <s v="Romper Short"/>
    <n v="3"/>
    <n v="12"/>
    <s v="Easter"/>
    <s v="3-6"/>
    <x v="0"/>
    <m/>
  </r>
  <r>
    <d v="2026-03-16T00:00:00"/>
    <s v="https://www.etsy.com/ca/listing/4376399899/the-littlest-book-club-member-baby?transaction_id=5003583273"/>
    <s v="salmon"/>
    <s v="Salmon"/>
    <s v="3-6M(SHORT-SLEEVE)"/>
    <s v="United States"/>
    <s v="Romper Short"/>
    <n v="3"/>
    <n v="12"/>
    <s v="Easter"/>
    <s v="3-6"/>
    <x v="50"/>
    <m/>
  </r>
  <r>
    <d v="2026-03-16T00:00:00"/>
    <s v="https://www.etsy.com/ca/listing/4467440237/the-littlest-coffee-club-member-baby?transaction_id=5003592589"/>
    <s v="sage green"/>
    <s v="Sage Green"/>
    <s v=" 0-3M(LONG-SLEEVE)"/>
    <s v="United States"/>
    <s v="Romper Longer"/>
    <n v="3"/>
    <n v="12"/>
    <s v="Easter"/>
    <s v="0-3"/>
    <x v="5"/>
    <m/>
  </r>
  <r>
    <d v="2026-03-16T00:00:00"/>
    <s v="https://www.etsy.com/ca/listing/4376401181/challah-at-your-girl-baby-bodysuit-funny?transaction_id=5003596925"/>
    <s v="sage green"/>
    <s v="Sage Green"/>
    <s v="3-6M(SHORT-SLEEVE)"/>
    <s v="United States"/>
    <s v="Romper Short"/>
    <n v="3"/>
    <n v="12"/>
    <s v="Easter"/>
    <s v="3-6"/>
    <x v="24"/>
    <m/>
  </r>
  <r>
    <d v="2026-03-16T00:00:00"/>
    <s v="https://www.etsy.com/ca/listing/4336900156/personalized-soccer-baby-romper?transaction_id=5003615545"/>
    <s v="sage green"/>
    <s v="Sage Green"/>
    <s v="6-12M( SHORT-SLEEVE)"/>
    <s v="United States"/>
    <s v="Romper Short"/>
    <n v="3"/>
    <n v="12"/>
    <s v="Easter"/>
    <s v="6-12"/>
    <x v="19"/>
    <m/>
  </r>
  <r>
    <d v="2026-03-16T00:00:00"/>
    <s v="https://www.etsy.com/ca/listing/4371125103/personalized-dog-baby-bodysuit-custom?transaction_id=4993709380"/>
    <s v="caldet blue"/>
    <s v="Caldet Blue"/>
    <s v="3-6M(SHORT-SLEEVE)"/>
    <s v="United States"/>
    <s v="Romper Short"/>
    <n v="3"/>
    <n v="12"/>
    <s v="Easter"/>
    <s v="3-6"/>
    <x v="29"/>
    <m/>
  </r>
  <r>
    <d v="2026-03-16T00:00:00"/>
    <s v="https://www.etsy.com/ca/listing/4376399899/the-littlest-book-club-member-baby?transaction_id=5003841121"/>
    <s v="coffee"/>
    <s v="Coffee"/>
    <s v="3-6M(LONG -SLEEVE)"/>
    <s v="United States"/>
    <s v="Romper Longer"/>
    <n v="3"/>
    <n v="12"/>
    <s v="Easter"/>
    <s v="3-6"/>
    <x v="12"/>
    <m/>
  </r>
  <r>
    <d v="2026-03-16T00:00:00"/>
    <s v="https://www.etsy.com/ca/listing/4392935796/box-box-for-fresh-diapers-embroidered?transaction_id=4994138944"/>
    <s v="cream"/>
    <s v="Cream"/>
    <s v="3-6M(SHORT-SLEEVE)"/>
    <s v="United States"/>
    <s v="Romper Short"/>
    <n v="3"/>
    <n v="12"/>
    <s v="Easter"/>
    <s v="3-6"/>
    <x v="0"/>
    <m/>
  </r>
  <r>
    <d v="2026-03-16T00:00:00"/>
    <s v="https://www.etsy.com/ca/listing/4330485404/cat-face-embroidered-baby-romper-funny?transaction_id=4994141844"/>
    <s v="cream"/>
    <s v="Cream"/>
    <s v=" 3-6M(LONG -SLEEVE)"/>
    <s v="United States"/>
    <s v="Romper Longer"/>
    <n v="3"/>
    <n v="12"/>
    <s v="Easter"/>
    <s v="3-6"/>
    <x v="1"/>
    <m/>
  </r>
  <r>
    <d v="2026-03-16T00:00:00"/>
    <s v="https://www.etsy.com/ca/listing/4344231895/embroidered-baby-romper-shhh-im-reading?transaction_id=4994141842"/>
    <s v="dusty pink"/>
    <s v="Dusty Pink"/>
    <s v="6-12M(LONG-SLEEVE)"/>
    <s v="United States"/>
    <s v="Romper Longer"/>
    <n v="3"/>
    <n v="12"/>
    <s v="Easter"/>
    <s v="6-12"/>
    <x v="51"/>
    <m/>
  </r>
  <r>
    <d v="2026-03-16T00:00:00"/>
    <s v="https://www.etsy.com/ca/listing/4376399899/the-littlest-book-club-member-baby?transaction_id=4994301476"/>
    <s v="cream"/>
    <s v="Cream"/>
    <s v="0-3M(LONG-SLEEVE)"/>
    <s v="United States"/>
    <s v="Romper Longer"/>
    <n v="3"/>
    <n v="12"/>
    <s v="Easter"/>
    <s v="0-3"/>
    <x v="2"/>
    <m/>
  </r>
  <r>
    <d v="2026-03-16T00:00:00"/>
    <s v="https://www.etsy.com/ca/listing/4392935796/box-box-for-fresh-diapers-embroidered?transaction_id=5004227605"/>
    <s v="cream"/>
    <s v="Cream"/>
    <s v="0-3M(SHORT -SLEEVE)"/>
    <s v="Canada"/>
    <s v="Romper Short"/>
    <n v="3"/>
    <n v="12"/>
    <s v="Easter"/>
    <s v="0-3"/>
    <x v="15"/>
    <m/>
  </r>
  <r>
    <d v="2026-03-17T00:00:00"/>
    <s v="https://www.etsy.com/ca/listing/4376399899/the-littlest-book-club-member-baby?transaction_id=4994538936"/>
    <s v="forest green"/>
    <s v="Forest Green"/>
    <s v="0-3M(SHORT -SLEEVE)"/>
    <s v="United States"/>
    <s v="Romper Short"/>
    <n v="3"/>
    <n v="12"/>
    <s v="Easter"/>
    <s v="0-3"/>
    <x v="52"/>
    <m/>
  </r>
  <r>
    <d v="2026-03-17T00:00:00"/>
    <s v="https://www.etsy.com/ca/listing/4376399899/the-littlest-book-club-member-baby?transaction_id=4994549676"/>
    <s v="cream"/>
    <s v="Cream"/>
    <s v="3-6M(LONG -SLEEVE)"/>
    <s v="United States"/>
    <s v="Romper Longer"/>
    <n v="3"/>
    <n v="12"/>
    <s v="Easter"/>
    <s v="3-6"/>
    <x v="1"/>
    <m/>
  </r>
  <r>
    <d v="2026-03-17T00:00:00"/>
    <s v="https://www.etsy.com/ca/listing/4376399899/the-littlest-book-club-member-baby?transaction_id=5004565625"/>
    <s v="sage green"/>
    <s v="Sage Green"/>
    <s v="0-3M(LONG-SLEEVE)"/>
    <s v="Germany"/>
    <s v="Romper Longer"/>
    <n v="3"/>
    <n v="12"/>
    <s v="Easter"/>
    <s v="0-3"/>
    <x v="5"/>
    <m/>
  </r>
  <r>
    <d v="2026-03-17T00:00:00"/>
    <s v="https://www.etsy.com/ca/listing/4336902854/personalized-football-baby-romper-daddys?transaction_id=4994655186"/>
    <s v="white"/>
    <s v="White"/>
    <s v="0-3M(SHORT -SLEEVE)"/>
    <s v="Germany"/>
    <s v="Romper Short"/>
    <n v="3"/>
    <n v="12"/>
    <s v="Easter"/>
    <s v="0-3"/>
    <x v="21"/>
    <m/>
  </r>
  <r>
    <d v="2026-03-17T00:00:00"/>
    <s v="https://www.etsy.com/ca/listing/4467440237/the-littlest-coffee-club-member-baby?transaction_id=4994682498"/>
    <s v="cream"/>
    <s v="Cream"/>
    <s v="0-3M(LONG-SLEEVE)"/>
    <s v="United States"/>
    <s v="Romper Longer"/>
    <n v="3"/>
    <n v="12"/>
    <s v="Easter"/>
    <s v="0-3"/>
    <x v="2"/>
    <m/>
  </r>
  <r>
    <d v="2026-03-17T00:00:00"/>
    <s v="https://www.etsy.com/ca/listing/4392935796/box-box-for-fresh-diapers-embroidered?transaction_id=4994950320"/>
    <s v="cream"/>
    <s v="Cream"/>
    <s v="3-6M(LONG -SLEEVE)"/>
    <s v="Italy"/>
    <s v="Romper Longer"/>
    <n v="3"/>
    <n v="12"/>
    <s v="Easter"/>
    <s v="3-6"/>
    <x v="1"/>
    <m/>
  </r>
  <r>
    <d v="2026-03-17T00:00:00"/>
    <s v="https://www.etsy.com/ca/listing/4392936688/shhh-im-watching-motogp-with-daddy?transaction_id=5004928317"/>
    <s v="sage green"/>
    <s v="Sage Green"/>
    <s v="3-6M(LONG -SLEEVE)"/>
    <s v="Germany"/>
    <s v="Romper Longer"/>
    <n v="3"/>
    <n v="12"/>
    <s v="Easter"/>
    <s v="3-6"/>
    <x v="7"/>
    <m/>
  </r>
  <r>
    <d v="2026-03-17T00:00:00"/>
    <s v="https://www.etsy.com/ca/listing/4467451258/the-littlest-tennis-club-member-baby?transaction_id=4995014722"/>
    <s v="cream"/>
    <s v="Cream"/>
    <s v="12-18M(LONG-SLEEVE)"/>
    <s v="United States"/>
    <s v="Romper Longer"/>
    <n v="3"/>
    <n v="12"/>
    <s v="Easter"/>
    <s v="12-18"/>
    <x v="53"/>
    <m/>
  </r>
  <r>
    <d v="2026-03-17T00:00:00"/>
    <s v="https://www.etsy.com/ca/listing/4330483836/embroidered-bear-baby-romper-custom-name?transaction_id=5005008549"/>
    <s v="cream"/>
    <s v="Cream"/>
    <s v="0-3M(SHORT -SLEEVE)"/>
    <s v="United States"/>
    <s v="Romper Short"/>
    <n v="3"/>
    <n v="12"/>
    <s v="Easter"/>
    <s v="0-3"/>
    <x v="15"/>
    <m/>
  </r>
  <r>
    <d v="2026-03-17T00:00:00"/>
    <s v="https://www.etsy.com/ca/listing/4376399899/the-littlest-book-club-member-baby?transaction_id=4995196576"/>
    <s v="cream"/>
    <s v="Cream"/>
    <s v="0-3M(LONG-SLEEVE)"/>
    <s v="United States"/>
    <s v="Romper Longer"/>
    <n v="3"/>
    <n v="12"/>
    <s v="Easter"/>
    <s v="0-3"/>
    <x v="2"/>
    <m/>
  </r>
  <r>
    <d v="2026-03-17T00:00:00"/>
    <s v="https://www.etsy.com/ca/listing/4371125103/personalized-dog-baby-bodysuit-custom?transaction_id=5005198453"/>
    <s v="sage green"/>
    <s v="Sage Green"/>
    <s v="3-6M(SHORT-SLEEVE)"/>
    <s v="United States"/>
    <s v="Romper Short"/>
    <n v="3"/>
    <n v="12"/>
    <s v="Easter"/>
    <s v="3-6"/>
    <x v="24"/>
    <m/>
  </r>
  <r>
    <d v="2026-03-17T00:00:00"/>
    <s v="https://www.etsy.com/ca/listing/4376399899/the-littlest-book-club-member-baby?transaction_id=5005540989"/>
    <s v="cream"/>
    <s v="Cream"/>
    <s v="0-3M(LONG-SLEEVE)"/>
    <s v="United States"/>
    <s v="Romper Longer"/>
    <n v="3"/>
    <n v="12"/>
    <s v="Easter"/>
    <s v="0-3"/>
    <x v="2"/>
    <m/>
  </r>
  <r>
    <d v="2026-03-18T00:00:00"/>
    <s v=" https://www.etsy.com/ca/listing/4343133680/embroidered-bowling-baby-bodysuit-crawl?transaction_id=4995732022"/>
    <s v="caldet blue"/>
    <s v="Caldet Blue"/>
    <s v="3-6M(SHORT-SLEEVE)"/>
    <s v="United States"/>
    <s v="Romper Short"/>
    <n v="3"/>
    <n v="12"/>
    <s v="Easter"/>
    <s v="3-6"/>
    <x v="29"/>
    <m/>
  </r>
  <r>
    <d v="2026-03-18T00:00:00"/>
    <s v="https://www.etsy.com/ca/listing/4372352286/silly-goose-baby-romper-funny-infant?transaction_id=4995865104"/>
    <s v="caldet blue"/>
    <s v="Caldet Blue"/>
    <s v="0-3M(LONG-SLEEVE)"/>
    <s v="Canada"/>
    <s v="Romper Longer"/>
    <n v="3"/>
    <n v="12"/>
    <s v="Easter"/>
    <s v="0-3"/>
    <x v="9"/>
    <m/>
  </r>
  <r>
    <d v="2026-03-18T00:00:00"/>
    <s v="https://www.etsy.com/ca/listing/4376399899/the-littlest-book-club-member-baby?transaction_id=4995984850"/>
    <s v="sage green"/>
    <s v="Sage Green"/>
    <s v="6-12M(LONG-SLEEVE)"/>
    <s v="United States"/>
    <s v="Romper Longer"/>
    <n v="3"/>
    <n v="12"/>
    <s v="Easter"/>
    <s v="6-12"/>
    <x v="3"/>
    <m/>
  </r>
  <r>
    <d v="2026-03-18T00:00:00"/>
    <s v="https://www.etsy.com/ca/listing/4376392339/funny-baby-romper-my-brand-of-formula?transaction_id=5006238763"/>
    <s v="cream"/>
    <s v="Cream"/>
    <s v="6-12M( SHORT-SLEEVE)"/>
    <s v="United States"/>
    <s v="Romper Short"/>
    <n v="3"/>
    <n v="12"/>
    <s v="Easter"/>
    <s v="6-12"/>
    <x v="47"/>
    <m/>
  </r>
  <r>
    <d v="2026-03-18T00:00:00"/>
    <s v="https://www.etsy.com/ca/listing/4371125103/personalized-dog-baby-bodysuit-custom?transaction_id=5006547717"/>
    <s v="cream"/>
    <s v="Cream"/>
    <s v="3-6M(SHORT-SLEEVE)"/>
    <s v="United States"/>
    <s v="Romper Short"/>
    <n v="3"/>
    <n v="12"/>
    <s v="Easter"/>
    <s v="3-6"/>
    <x v="0"/>
    <m/>
  </r>
  <r>
    <d v="2026-03-18T00:00:00"/>
    <s v="https://www.etsy.com/ca/listing/4371125103/personalized-dog-baby-bodysuit-custom?transaction_id=5006596181"/>
    <s v="cream"/>
    <s v="Cream"/>
    <s v="3-6M(SHORT-SLEEVE)"/>
    <s v="United States"/>
    <s v="Romper Short"/>
    <n v="3"/>
    <n v="12"/>
    <s v="Easter"/>
    <s v="3-6"/>
    <x v="0"/>
    <m/>
  </r>
  <r>
    <d v="2026-03-19T00:00:00"/>
    <s v="https://www.etsy.com/ca/listing/4371125103/personalized-dog-baby-bodysuit-custom?transaction_id=4988743323"/>
    <s v="sage green"/>
    <s v="Sage Green"/>
    <s v="3-6M(LONG -SLEEVE)"/>
    <s v="United States"/>
    <s v="Romper Longer"/>
    <n v="3"/>
    <n v="12"/>
    <s v="Easter"/>
    <s v="3-6"/>
    <x v="7"/>
    <m/>
  </r>
  <r>
    <d v="2026-03-19T00:00:00"/>
    <s v="https://www.etsy.com/ca/listing/4336907597/custom-running-baby-romper-daddys-future?transaction_id=4972720528"/>
    <s v="cream"/>
    <s v="Cream"/>
    <s v="0-3M(SHORT -SLEEVE)"/>
    <s v="United States"/>
    <s v="Romper Short"/>
    <n v="3"/>
    <n v="12"/>
    <s v="Easter"/>
    <s v="0-3"/>
    <x v="15"/>
    <m/>
  </r>
  <r>
    <d v="2026-03-19T00:00:00"/>
    <s v="https://www.etsy.com/ca/listing/4330479964/personalized-fox-baby-bodysuit-custom?transaction_id=5006773313"/>
    <s v="sage green"/>
    <s v="Sage Green"/>
    <s v="3-6M(SHORT-SLEEVE)"/>
    <s v="United States"/>
    <s v="Romper Short"/>
    <n v="3"/>
    <n v="12"/>
    <s v="Easter"/>
    <s v="3-6"/>
    <x v="24"/>
    <m/>
  </r>
  <r>
    <d v="2026-03-19T00:00:00"/>
    <s v="https://www.etsy.com/ca/listing/4330479964/personalized-fox-baby-bodysuit-custom?transaction_id=5006773313"/>
    <s v="sage green"/>
    <s v="Sage Green"/>
    <s v="0-3M(SHORT -SLEEVE)"/>
    <s v="United States"/>
    <s v="Romper Short"/>
    <n v="3"/>
    <n v="12"/>
    <s v="Easter"/>
    <s v="0-3"/>
    <x v="13"/>
    <m/>
  </r>
  <r>
    <d v="2026-03-20T00:00:00"/>
    <s v="https://www.etsy.com/ca/listing/4376399899/the-littlest-book-club-member-baby?transaction_id=5007031909"/>
    <s v="cream"/>
    <s v="Cream"/>
    <s v="0-3M(LONG-SLEEVE)"/>
    <s v="United States"/>
    <s v="Romper Longer"/>
    <n v="3"/>
    <n v="12"/>
    <s v="Easter"/>
    <s v="0-3"/>
    <x v="2"/>
    <m/>
  </r>
  <r>
    <d v="2026-03-20T00:00:00"/>
    <s v="https://www.etsy.com/ca/listing/4347880114/funny-baby-romper-sorry-i-tooted-outfit?transaction_id=5007054431"/>
    <s v="cream"/>
    <s v="Cream"/>
    <s v="3-6M(LONG -SLEEVE)"/>
    <s v="United States"/>
    <s v="Romper Longer"/>
    <n v="3"/>
    <n v="12"/>
    <s v="Easter"/>
    <s v="3-6"/>
    <x v="1"/>
    <m/>
  </r>
  <r>
    <d v="2026-03-20T00:00:00"/>
    <s v="https://www.etsy.com/ca/listing/4392935796/box-box-for-fresh-diapers-embroidered?transaction_id=4997139408"/>
    <s v="white"/>
    <s v="White"/>
    <s v="0-3M(LONG-SLEEVE)"/>
    <s v="United States"/>
    <s v="Romper Longer"/>
    <n v="3"/>
    <n v="12"/>
    <s v="Easter"/>
    <s v="0-3"/>
    <x v="54"/>
    <m/>
  </r>
  <r>
    <d v="2026-03-20T00:00:00"/>
    <s v="https://www.etsy.com/ca/listing/4376399899/the-littlest-book-club-member-baby?transaction_id=4997230230"/>
    <s v="cream"/>
    <s v="Cream"/>
    <s v="0-3M(LONG-SLEEVE)"/>
    <s v="United States"/>
    <s v="Romper Longer"/>
    <n v="3"/>
    <n v="12"/>
    <s v="Easter"/>
    <s v="0-3"/>
    <x v="2"/>
    <m/>
  </r>
  <r>
    <d v="2026-03-20T00:00:00"/>
    <s v="https://www.etsy.com/ca/listing/4336902854/personalized-football-baby-romper-daddys?transaction_id=5007331189"/>
    <s v="cream"/>
    <s v="Cream"/>
    <s v="6-12M( SHORT-SLEEVE)"/>
    <s v="United States"/>
    <s v="Romper Short"/>
    <n v="3"/>
    <n v="12"/>
    <s v="Easter"/>
    <s v="6-12"/>
    <x v="47"/>
    <m/>
  </r>
  <r>
    <d v="2026-03-20T00:00:00"/>
    <s v="https://www.etsy.com/ca/listing/4467440237/the-littlest-coffee-club-member-baby?transaction_id=5007382239"/>
    <s v="forest green"/>
    <s v="Forest Green"/>
    <s v="3-6M(LONG -SLEEVE)"/>
    <s v="United States"/>
    <s v="Romper Longer"/>
    <n v="3"/>
    <n v="12"/>
    <s v="Easter"/>
    <s v="3-6"/>
    <x v="4"/>
    <m/>
  </r>
  <r>
    <d v="2026-03-20T00:00:00"/>
    <s v="https://www.etsy.com/ca/listing/4393819210/sweet-dreams-are-made-of-cheese?transaction_id=5007416599"/>
    <s v="cream"/>
    <s v="Cream"/>
    <s v="3-6M(SHORT-SLEEVE)"/>
    <s v="Belgium"/>
    <s v="Romper Short"/>
    <n v="3"/>
    <n v="12"/>
    <s v="Easter"/>
    <s v="3-6"/>
    <x v="0"/>
    <m/>
  </r>
  <r>
    <d v="2026-03-20T00:00:00"/>
    <s v="https://www.etsy.com/ca/listing/4330485404/cat-face-embroidered-baby-romper-funny?transaction_id=4997921464"/>
    <s v="cream"/>
    <s v="Cream"/>
    <s v="0-3M(SHORT -SLEEVE)"/>
    <s v="United States"/>
    <s v="Romper Short"/>
    <n v="3"/>
    <n v="12"/>
    <s v="Easter"/>
    <s v="0-3"/>
    <x v="15"/>
    <m/>
  </r>
  <r>
    <d v="2026-03-20T00:00:00"/>
    <s v="https://www.etsy.com/ca/listing/4376399899/the-littlest-book-club-member-baby?transaction_id=5008034425"/>
    <s v="sage green"/>
    <s v="Sage Green"/>
    <s v=" 6-12M(LONG-SLEEVE)"/>
    <s v="United States"/>
    <s v="Romper Longer"/>
    <n v="3"/>
    <n v="12"/>
    <s v="Easter"/>
    <s v="6-12"/>
    <x v="3"/>
    <m/>
  </r>
  <r>
    <d v="2026-03-20T00:00:00"/>
    <s v="https://www.etsy.com/ca/listing/4330504943/embroidered-tennis-baby-romper-daddys?transaction_id=5008080435"/>
    <s v="cream"/>
    <s v="Cream"/>
    <s v="3-6M(LONG -SLEEVE)"/>
    <s v="Germany"/>
    <s v="Romper Longer"/>
    <n v="3"/>
    <n v="12"/>
    <s v="Easter"/>
    <s v="3-6"/>
    <x v="1"/>
    <m/>
  </r>
  <r>
    <d v="2026-03-20T00:00:00"/>
    <s v="https://www.etsy.com/ca/listing/4330488178/embroidered-golf-baby-romper-new-to-the?transaction_id=5008525811"/>
    <s v="cream"/>
    <s v="Cream"/>
    <s v="0-3M(LONG-SLEEVE)"/>
    <s v="Germany"/>
    <s v="Romper Longer"/>
    <n v="3"/>
    <n v="12"/>
    <s v="Easter"/>
    <s v="0-3"/>
    <x v="2"/>
    <m/>
  </r>
  <r>
    <d v="2026-03-20T00:00:00"/>
    <s v="https://www.etsy.com/ca/listing/4376399899/the-littlest-book-club-member-baby?transaction_id=5008580137"/>
    <s v="sage green"/>
    <s v="Sage Green"/>
    <s v="0-3M(SHORT -SLEEVE)"/>
    <s v="United States"/>
    <s v="Romper Short"/>
    <n v="3"/>
    <n v="12"/>
    <s v="Easter"/>
    <s v="0-3"/>
    <x v="13"/>
    <m/>
  </r>
  <r>
    <d v="2026-03-20T00:00:00"/>
    <s v="https://www.etsy.com/ca/listing/4467440237/the-littlest-coffee-club-member-baby?transaction_id=4998889836"/>
    <s v="cream"/>
    <s v="Cream"/>
    <s v="3-6M(SHORT-SLEEVE)"/>
    <s v="United States"/>
    <s v="Romper Short"/>
    <n v="3"/>
    <n v="12"/>
    <s v="Easter"/>
    <s v="3-6"/>
    <x v="0"/>
    <m/>
  </r>
  <r>
    <d v="2026-03-21T00:00:00"/>
    <s v="https://www.etsy.com/ca/listing/4473754338/f1-baby-romper-with-daddy-racing-baby?transaction_id=5009951243"/>
    <s v="cream"/>
    <s v="Cream"/>
    <s v="3-6M(LONG -SLEEVE)"/>
    <s v="United States"/>
    <s v="Romper Longer"/>
    <n v="3"/>
    <n v="12"/>
    <s v="Easter"/>
    <s v="3-6"/>
    <x v="1"/>
    <m/>
  </r>
  <r>
    <d v="2026-03-21T00:00:00"/>
    <s v="https://www.etsy.com/ca/listing/4392935796/box-box-for-fresh-diapers-embroidered?transaction_id=5010093135"/>
    <s v="cream"/>
    <s v="Cream"/>
    <s v="18-24M(LONGT SLEEVE)"/>
    <s v="United States"/>
    <s v="Romper Longer"/>
    <n v="3"/>
    <n v="12"/>
    <s v="Easter"/>
    <s v="18-24"/>
    <x v="55"/>
    <m/>
  </r>
  <r>
    <d v="2026-03-22T00:00:00"/>
    <s v="https://www.etsy.com/ca/listing/4376389783/player-2-baby-romper-gamer-baby-outfit?transaction_id=5000526240"/>
    <s v="cream"/>
    <s v="Cream"/>
    <s v="0-3M(LONG-SLEEVE)"/>
    <s v="United States"/>
    <s v="Romper Longer"/>
    <n v="3"/>
    <n v="13"/>
    <s v="Easter"/>
    <s v="0-3"/>
    <x v="2"/>
    <m/>
  </r>
  <r>
    <d v="2026-03-22T00:00:00"/>
    <s v="https://www.etsy.com/ca/listing/4392935796/box-box-for-fresh-diapers-embroidered?transaction_id=5010652043"/>
    <s v="cream"/>
    <s v="Cream"/>
    <s v="6-12M( SHORT-SLEEVE)"/>
    <s v="Canada"/>
    <s v="Romper Short"/>
    <n v="3"/>
    <n v="13"/>
    <s v="Easter"/>
    <s v="6-12"/>
    <x v="47"/>
    <m/>
  </r>
  <r>
    <d v="2026-03-22T00:00:00"/>
    <s v="https://www.etsy.com/ca/listing/4376399899/the-littlest-book-club-member-baby?transaction_id=5010964223"/>
    <s v="sage green"/>
    <s v="Sage Green"/>
    <s v="6-12M(LONG-SLEEVE)"/>
    <s v="United States"/>
    <s v="Romper Longer"/>
    <n v="3"/>
    <n v="13"/>
    <s v="Easter"/>
    <s v="6-12"/>
    <x v="3"/>
    <m/>
  </r>
  <r>
    <d v="2026-03-22T00:00:00"/>
    <s v="https://www.etsy.com/ca/listing/4372352286/silly-goose-baby-romper-funny-infant?transaction_id=5011242241"/>
    <s v="forest green"/>
    <s v="Forest Green"/>
    <s v="6-12M( SHORT-SLEEVE)"/>
    <s v="United States"/>
    <s v="Romper Short"/>
    <n v="3"/>
    <n v="13"/>
    <s v="Easter"/>
    <s v="6-12"/>
    <x v="56"/>
    <m/>
  </r>
  <r>
    <d v="2026-03-22T00:00:00"/>
    <s v="https://www.etsy.com/ca/listing/4467449868/the-littlest-garden-club-member-baby?transaction_id=5001463758"/>
    <s v="cream"/>
    <s v="Cream"/>
    <s v="6-12M( SHORT-SLEEVE)"/>
    <s v="United States"/>
    <s v="Romper Short"/>
    <n v="3"/>
    <n v="13"/>
    <s v="Easter"/>
    <s v="6-12"/>
    <x v="47"/>
    <m/>
  </r>
  <r>
    <d v="2026-03-22T00:00:00"/>
    <s v="https://www.etsy.com/ca/listing/4393855716/lil-chef-embroidered-romper-cute-baby?transaction_id=5011261101"/>
    <s v="cream"/>
    <s v="Cream"/>
    <s v="12-18M(LONG-SLEEVE)"/>
    <s v="United States"/>
    <s v="Romper Longer"/>
    <n v="3"/>
    <n v="13"/>
    <s v="Easter"/>
    <s v="12-18"/>
    <x v="53"/>
    <m/>
  </r>
  <r>
    <d v="2026-04-23T00:00:00"/>
    <s v="https://www.etsy.com/ca/listing/4392962015/cant-wait-to-jam-with-daddy-embroidered?transaction_id=5001534892"/>
    <s v="salmon"/>
    <s v="Salmon"/>
    <s v="12-18M(SHORT-SLEEVE)"/>
    <s v="United States"/>
    <s v="Romper Short"/>
    <n v="4"/>
    <n v="17"/>
    <s v="Easter"/>
    <s v="12-18"/>
    <x v="57"/>
    <m/>
  </r>
  <r>
    <d v="2026-04-23T00:00:00"/>
    <s v="https://www.etsy.com/ca/listing/4473754338/f1-baby-romper-with-daddy-racing-baby?transaction_id=5001590428"/>
    <s v="cream"/>
    <s v="Cream"/>
    <s v="6-12M(LONG-SLEEVE)"/>
    <s v="United States"/>
    <s v="Romper Longer"/>
    <n v="4"/>
    <n v="17"/>
    <s v="Easter"/>
    <s v="6-12"/>
    <x v="17"/>
    <m/>
  </r>
  <r>
    <d v="2026-04-23T00:00:00"/>
    <s v="https://www.etsy.com/ca/listing/4376399899/the-littlest-book-club-member-baby?transaction_id=5001736286"/>
    <s v="salmon"/>
    <s v="Salmon"/>
    <s v=" 18-24M(SHORT-SLEEVE)"/>
    <s v="United States"/>
    <s v="Romper Short"/>
    <n v="4"/>
    <n v="17"/>
    <s v="Easter"/>
    <s v="18-24"/>
    <x v="58"/>
    <m/>
  </r>
  <r>
    <d v="2026-04-23T00:00:00"/>
    <s v="https://www.etsy.com/ca/listing/4376399899/the-littlest-book-club-member-baby?transaction_id=5001736286"/>
    <s v="salmon"/>
    <s v="Salmon"/>
    <s v="6-12M(LONG-SLEEVE)"/>
    <s v="United States"/>
    <s v="Romper Longer"/>
    <n v="4"/>
    <n v="17"/>
    <s v="Easter"/>
    <s v="6-12"/>
    <x v="59"/>
    <m/>
  </r>
  <r>
    <d v="2026-04-23T00:00:00"/>
    <s v="https://www.etsy.com/ca/listing/4467440237/the-littlest-coffee-club-member-baby?transaction_id=5002028198"/>
    <s v="cream"/>
    <s v="Cream"/>
    <s v="0-3M(LONG-SLEEVE)"/>
    <s v="United States"/>
    <s v="Romper Longer"/>
    <n v="4"/>
    <n v="17"/>
    <s v="Easter"/>
    <s v="0-3"/>
    <x v="2"/>
    <m/>
  </r>
  <r>
    <d v="2026-04-23T00:00:00"/>
    <s v="https://www.etsy.com/ca/listing/4392935796/box-box-for-fresh-diapers-embroidered?transaction_id=5011945921"/>
    <s v="cream"/>
    <s v="Cream"/>
    <s v="6-12M(LONG-SLEEVE)"/>
    <s v="Germany"/>
    <s v="Romper Longer"/>
    <n v="4"/>
    <n v="17"/>
    <s v="Easter"/>
    <s v="6-12"/>
    <x v="17"/>
    <m/>
  </r>
  <r>
    <d v="2026-04-23T00:00:00"/>
    <s v="https://www.etsy.com/ca/listing/4376399899/the-littlest-book-club-member-baby?transaction_id=5002454696"/>
    <s v="cream"/>
    <s v="Cream"/>
    <s v="0-3M(LONG-SLEEVE)"/>
    <s v="United States"/>
    <s v="Romper Longer"/>
    <n v="4"/>
    <n v="17"/>
    <s v="Easter"/>
    <s v="0-3"/>
    <x v="2"/>
    <m/>
  </r>
  <r>
    <d v="2026-04-23T00:00:00"/>
    <s v="https://www.etsy.com/ca/listing/4344231895/embroidered-baby-romper-shhh-im-reading?transaction_id=5002544240"/>
    <s v="caldet blue"/>
    <s v="Caldet Blue"/>
    <s v="3-6M(LONG -SLEEVE)"/>
    <s v="United States"/>
    <s v="Romper Longer"/>
    <n v="4"/>
    <n v="17"/>
    <s v="Easter"/>
    <s v="3-6"/>
    <x v="23"/>
    <m/>
  </r>
  <r>
    <d v="2026-03-24T00:00:00"/>
    <s v="https://www.etsy.com/ca/listing/4467448112/box-box-for-milk-baby-romper-funny?transaction_id=5002804744"/>
    <s v=" forest green"/>
    <s v=" Forest Green"/>
    <s v="6-12M(LONG-SLEEVE)"/>
    <s v="United Kingdom"/>
    <s v="Romper Longer"/>
    <n v="3"/>
    <n v="13"/>
    <s v="Easter"/>
    <s v="6-12"/>
    <x v="30"/>
    <m/>
  </r>
  <r>
    <d v="2026-03-24T00:00:00"/>
    <s v="https://www.etsy.com/ca/listing/4330504943/embroidered-tennis-baby-romper-daddys?transaction_id=5002855228"/>
    <s v="cream"/>
    <s v="Cream"/>
    <s v="12-18M(LONG-SLEEVE)"/>
    <s v="Switzerland"/>
    <s v="Romper Longer"/>
    <n v="3"/>
    <n v="13"/>
    <s v="Easter"/>
    <s v="12-18"/>
    <x v="53"/>
    <m/>
  </r>
  <r>
    <d v="2026-03-24T00:00:00"/>
    <s v="https://www.etsy.com/ca/listing/4376399899/the-littlest-book-club-member-baby?transaction_id=5003028366"/>
    <s v="forest green"/>
    <s v="Forest Green"/>
    <s v="6-12M(LONG-SLEEVE)"/>
    <s v="Canada"/>
    <s v="Romper Longer"/>
    <n v="3"/>
    <n v="13"/>
    <s v="Easter"/>
    <s v="6-12"/>
    <x v="30"/>
    <m/>
  </r>
  <r>
    <d v="2026-03-24T00:00:00"/>
    <s v="https://www.etsy.com/ca/listing/4392935796/box-box-for-fresh-diapers-embroidered?transaction_id=5012746899"/>
    <s v="cream"/>
    <s v="Cream"/>
    <s v="3-6M(LONG -SLEEVE)"/>
    <s v="Sweden"/>
    <s v="Romper Longer"/>
    <n v="3"/>
    <n v="13"/>
    <s v="Easter"/>
    <s v="3-6"/>
    <x v="1"/>
    <m/>
  </r>
  <r>
    <d v="2026-03-24T00:00:00"/>
    <s v="https://www.etsy.com/ca/listing/4376399899/the-littlest-book-club-member-baby?transaction_id=5003621998"/>
    <s v="forest green"/>
    <s v="Forest Green"/>
    <s v="6-12M(LONG-SLEEVE)"/>
    <s v="United States"/>
    <s v="Romper Longer"/>
    <n v="3"/>
    <n v="13"/>
    <s v="Easter"/>
    <s v="6-12"/>
    <x v="30"/>
    <m/>
  </r>
  <r>
    <d v="2026-03-24T00:00:00"/>
    <s v="https://www.etsy.com/ca/listing/4330488178/embroidered-golf-baby-romper-new-to-the?transaction_id=5013448521"/>
    <s v="cream"/>
    <s v="Cream"/>
    <s v="6-12M( SHORT-SLEEVE)"/>
    <s v="United States"/>
    <s v="Romper Short"/>
    <n v="3"/>
    <n v="13"/>
    <s v="Easter"/>
    <s v="6-12"/>
    <x v="47"/>
    <m/>
  </r>
  <r>
    <d v="2026-03-24T00:00:00"/>
    <s v="https://www.etsy.com/ca/listing/4376389783/player-2-baby-romper-gamer-baby-outfit?transaction_id=5013448519"/>
    <s v="caldet blue"/>
    <s v="Caldet Blue"/>
    <s v="12-18M(LONG-SLEEVE)"/>
    <s v="United States"/>
    <s v="Romper Longer"/>
    <n v="3"/>
    <n v="13"/>
    <s v="Easter"/>
    <s v="12-18"/>
    <x v="60"/>
    <m/>
  </r>
  <r>
    <d v="2026-03-24T00:00:00"/>
    <s v="https://www.etsy.com/ca/listing/4376399899/the-littlest-book-club-member-baby?transaction_id=5003689368"/>
    <s v="sage green"/>
    <s v="Sage Green"/>
    <s v="3-6M(LONG -SLEEVE)"/>
    <s v="United States"/>
    <s v="Romper Longer"/>
    <n v="3"/>
    <n v="13"/>
    <s v="Easter"/>
    <s v="3-6"/>
    <x v="7"/>
    <m/>
  </r>
  <r>
    <d v="2026-03-25T00:00:00"/>
    <s v="https://www.etsy.com/ca/listing/4376399899/the-littlest-book-club-member-baby?transaction_id=5003744328"/>
    <s v="coffee"/>
    <s v="Coffee"/>
    <s v="3-6M(SHORT-SLEEVE)"/>
    <s v="United States"/>
    <s v="Romper Short"/>
    <n v="3"/>
    <n v="13"/>
    <s v="Easter"/>
    <s v="3-6"/>
    <x v="18"/>
    <m/>
  </r>
  <r>
    <d v="2026-03-25T00:00:00"/>
    <s v="https://www.etsy.com/ca/listing/4392935796/box-box-for-fresh-diapers-embroidered?transaction_id=5003971068"/>
    <s v="cream"/>
    <s v="Cream"/>
    <s v="3-6M(SHORT-SLEEVE)"/>
    <s v="United States"/>
    <s v="Romper Short"/>
    <n v="3"/>
    <n v="13"/>
    <s v="Easter"/>
    <s v="3-6"/>
    <x v="0"/>
    <m/>
  </r>
  <r>
    <d v="2026-03-25T00:00:00"/>
    <s v="https://www.etsy.com/ca/listing/4471141630/crawl-walk-hockey-baby-romper-hockey?transaction_id=5013743793"/>
    <s v="cream"/>
    <s v="Cream"/>
    <s v="12-18M(LONG-SLEEVE)"/>
    <s v="Australia"/>
    <s v="Romper Longer"/>
    <n v="3"/>
    <n v="13"/>
    <s v="Easter"/>
    <s v="12-18"/>
    <x v="53"/>
    <m/>
  </r>
  <r>
    <d v="2026-03-25T00:00:00"/>
    <s v="https://www.etsy.com/ca/listing/4344231895/embroidered-baby-romper-shhh-im-reading?transaction_id=5014064455"/>
    <s v="texas orange"/>
    <s v="Texas Orange"/>
    <s v="6-12M(LONG-SLEEVE)"/>
    <s v="United States"/>
    <s v="Romper Longer"/>
    <n v="3"/>
    <n v="13"/>
    <s v="Easter"/>
    <s v="6-12"/>
    <x v="61"/>
    <m/>
  </r>
  <r>
    <d v="2026-03-25T00:00:00"/>
    <s v="https://www.etsy.com/ca/listing/4376399899/the-littlest-book-club-member-baby?transaction_id=5014082637"/>
    <s v="caldet blue"/>
    <s v="Caldet Blue"/>
    <s v="0-3M(LONG-SLEEVE)"/>
    <s v="United States"/>
    <s v="Romper Longer"/>
    <n v="3"/>
    <n v="13"/>
    <s v="Easter"/>
    <s v="0-3"/>
    <x v="9"/>
    <m/>
  </r>
  <r>
    <d v="2026-03-25T00:00:00"/>
    <s v="https://www.etsy.com/ca/listing/4376399899/the-littlest-book-club-member-baby?transaction_id=50140826377"/>
    <s v="cream"/>
    <s v="Cream"/>
    <s v="0-3M(SHORT -SLEEVE)"/>
    <s v="United States"/>
    <s v="Romper Short"/>
    <n v="3"/>
    <n v="13"/>
    <s v="Easter"/>
    <s v="0-3"/>
    <x v="15"/>
    <m/>
  </r>
  <r>
    <d v="2026-03-25T00:00:00"/>
    <s v="https://www.etsy.com/ca/listing/4376399899/the-littlest-book-club-member-baby?transaction_id=5004373814"/>
    <s v="dusty pink"/>
    <s v="Dusty Pink"/>
    <s v="0-3M(SHORT -SLEEVE)"/>
    <s v="United States"/>
    <s v="Romper Short"/>
    <n v="3"/>
    <n v="13"/>
    <s v="Easter"/>
    <s v="0-3"/>
    <x v="34"/>
    <m/>
  </r>
  <r>
    <d v="2026-03-25T00:00:00"/>
    <s v="https://www.etsy.com/ca/listing/4369779608/baby-vampire-halloween-romper-funny?transaction_id=5014265207"/>
    <s v="forest green"/>
    <s v="Forest Green"/>
    <s v="12-18M(SHORT-SLEEVE)"/>
    <s v="United States"/>
    <s v="Romper Short"/>
    <n v="3"/>
    <n v="13"/>
    <s v="Easter"/>
    <s v="12-18"/>
    <x v="62"/>
    <m/>
  </r>
  <r>
    <d v="2026-03-25T00:00:00"/>
    <s v="https://www.etsy.com/ca/listing/4379194627/new-to-the-farm-embroidered-romper-baby?transaction_id=5014379509"/>
    <s v="forest green"/>
    <s v="Forest Green"/>
    <s v="0-3M(LONG-SLEEVE)"/>
    <s v="United States"/>
    <s v="Romper Longer"/>
    <n v="3"/>
    <n v="13"/>
    <s v="Easter"/>
    <s v="0-3"/>
    <x v="41"/>
    <m/>
  </r>
  <r>
    <d v="2026-03-25T00:00:00"/>
    <s v="https://www.etsy.com/ca/listing/4371125103/personalized-dog-baby-bodysuit-custom?transaction_id=5014462679"/>
    <s v="caldet blue"/>
    <s v="Caldet Blue"/>
    <s v="6-12M( SHORT-SLEEVE)"/>
    <s v="United States"/>
    <s v="Romper Short"/>
    <n v="3"/>
    <n v="13"/>
    <s v="Easter"/>
    <s v="6-12"/>
    <x v="63"/>
    <m/>
  </r>
  <r>
    <d v="2026-03-26T00:00:00"/>
    <s v="https://www.etsy.com/ca/listing/4376399899/the-littlest-book-club-member-baby?transaction_id=5005518144"/>
    <s v="sage green"/>
    <s v="Sage Green"/>
    <s v="3-6M(LONG -SLEEVE)"/>
    <s v="United States"/>
    <s v="Romper Longer"/>
    <n v="3"/>
    <n v="13"/>
    <s v="Easter"/>
    <s v="3-6"/>
    <x v="7"/>
    <m/>
  </r>
  <r>
    <d v="2026-03-26T00:00:00"/>
    <s v="https://www.etsy.com/ca/listing/4467440237/the-littlest-coffee-club-member-baby?transaction_id=5015643379"/>
    <s v="coffee"/>
    <s v="Coffee"/>
    <s v="6-12M( SHORT-SLEEVE)"/>
    <s v="United States"/>
    <s v="Romper Short"/>
    <n v="3"/>
    <n v="13"/>
    <s v="Easter"/>
    <s v="6-12"/>
    <x v="64"/>
    <m/>
  </r>
  <r>
    <d v="2026-03-26T00:00:00"/>
    <s v="https://www.etsy.com/ca/listing/4376399899/the-littlest-book-club-member-baby?transaction_id=5015646531"/>
    <s v="sage green"/>
    <s v="Sage Green"/>
    <s v="3-6M(SHORT-SLEEVE)"/>
    <s v="United States"/>
    <s v="Romper Short"/>
    <n v="3"/>
    <n v="13"/>
    <s v="Easter"/>
    <s v="3-6"/>
    <x v="24"/>
    <m/>
  </r>
  <r>
    <d v="2026-03-26T00:00:00"/>
    <s v="https://www.etsy.com/ca/listing/4376401181/challah-at-your-girl-baby-bodysuit-funny?transaction_id=5003596925"/>
    <s v="salmon"/>
    <s v="Salmon"/>
    <s v="3-6M(SHORT-SLEEVE)"/>
    <s v="United States"/>
    <s v="Romper Short"/>
    <n v="3"/>
    <n v="13"/>
    <s v="Easter"/>
    <s v="3-6"/>
    <x v="50"/>
    <m/>
  </r>
  <r>
    <d v="2026-03-27T00:00:00"/>
    <s v="https://www.etsy.com/ca/listing/4330488178/embroidered-golf-baby-romper-new-to-the?transaction_id=5006363536"/>
    <s v="cream"/>
    <s v="Cream"/>
    <s v="0-3M(LONG-SLEEVE)"/>
    <s v="United States"/>
    <s v="Romper Longer"/>
    <n v="3"/>
    <n v="13"/>
    <s v="Easter"/>
    <s v="0-3"/>
    <x v="2"/>
    <m/>
  </r>
  <r>
    <d v="2026-03-27T00:00:00"/>
    <s v="https://www.etsy.com/ca/listing/4330504943/embroidered-tennis-baby-romper-daddys?transaction_id=5016228583"/>
    <s v="cream"/>
    <s v="Cream"/>
    <s v="3-6M(SHORT-SLEEVE)"/>
    <s v="United States"/>
    <s v="Romper Short"/>
    <n v="3"/>
    <n v="13"/>
    <s v="Easter"/>
    <s v="3-6"/>
    <x v="0"/>
    <m/>
  </r>
  <r>
    <d v="2026-03-27T00:00:00"/>
    <s v="https://www.etsy.com/ca/listing/4371125103/personalized-dog-baby-bodysuit-custom?transaction_id=5006728074"/>
    <s v="sage green"/>
    <s v="Sage Green"/>
    <s v="3-6M(SHORT-SLEEVE)"/>
    <s v="United States"/>
    <s v="Romper Short"/>
    <n v="3"/>
    <n v="13"/>
    <s v="Easter"/>
    <s v="3-6"/>
    <x v="24"/>
    <m/>
  </r>
  <r>
    <d v="2026-03-27T00:00:00"/>
    <s v="https://www.etsy.com/ca/listing/4376399899/the-littlest-book-club-member-baby?transaction_id=5016602033"/>
    <s v="sage green"/>
    <s v="Sage Green"/>
    <s v="3-6M(LONG -SLEEVE)"/>
    <s v="United States"/>
    <s v="Romper Longer"/>
    <n v="3"/>
    <n v="13"/>
    <s v="Easter"/>
    <s v="3-6"/>
    <x v="7"/>
    <m/>
  </r>
  <r>
    <d v="2026-03-27T00:00:00"/>
    <s v="https://www.etsy.com/ca/listing/4346126210/daddys-future-lifting-buddy-romper-baby?transaction_id=5016747363"/>
    <s v="dusty pink"/>
    <s v="Dusty Pink"/>
    <s v="3-6M(SHORT-SLEEVE)"/>
    <s v="Finland"/>
    <s v="Romper Short"/>
    <n v="3"/>
    <n v="13"/>
    <s v="Easter"/>
    <s v="3-6"/>
    <x v="31"/>
    <m/>
  </r>
  <r>
    <d v="2026-03-27T00:00:00"/>
    <s v="https://www.etsy.com/ca/listing/4392935796/box-box-for-fresh-diapers-embroidered?transaction_id=5007124268"/>
    <s v="cream"/>
    <s v="Cream"/>
    <s v=" 3-6M(SHORT-SLEEVE)"/>
    <s v="United States"/>
    <s v="Romper Short"/>
    <n v="3"/>
    <n v="13"/>
    <s v="Easter"/>
    <s v="3-6"/>
    <x v="0"/>
    <m/>
  </r>
  <r>
    <d v="2026-03-28T00:00:00"/>
    <s v="https://www.etsy.com/ca/listing/4376399899/the-littlest-book-club-member-baby?transaction_id=5007714594"/>
    <s v="sage green"/>
    <s v="Sage Green"/>
    <s v=" 6-12M( SHORT-SLEEVE)"/>
    <s v="United States"/>
    <s v="Romper Short"/>
    <n v="3"/>
    <n v="13"/>
    <s v="Easter"/>
    <s v="6-12"/>
    <x v="19"/>
    <m/>
  </r>
  <r>
    <d v="2026-03-28T00:00:00"/>
    <s v="https://www.etsy.com/ca/listing/4376399899/the-littlest-book-club-member-baby?transaction_id=5017760479"/>
    <s v="watermelon"/>
    <s v="Watermelon"/>
    <s v="0-3M(SHORT -SLEEVE)"/>
    <s v="United States"/>
    <s v="Romper Short"/>
    <n v="3"/>
    <n v="13"/>
    <s v="Easter"/>
    <s v="0-3"/>
    <x v="65"/>
    <m/>
  </r>
  <r>
    <d v="2026-03-28T00:00:00"/>
    <s v="https://www.etsy.com/ca/listing/4376399899/the-littlest-book-club-member-baby?transaction_id=5017760479"/>
    <s v="sage green"/>
    <s v="Sage Green"/>
    <s v="0-3M(SHORT -SLEEVE)"/>
    <s v="United States"/>
    <s v="Romper Short"/>
    <n v="3"/>
    <n v="13"/>
    <s v="Easter"/>
    <s v="0-3"/>
    <x v="13"/>
    <m/>
  </r>
  <r>
    <d v="2026-03-28T00:00:00"/>
    <s v="https://www.etsy.com/ca/listing/4469531325/happy-hour-with-uncle-mike-baby-romper?transaction_id=5017808059"/>
    <s v="cream"/>
    <s v="Cream"/>
    <s v="6-12M(LONG-SLEEVE)"/>
    <s v="United States"/>
    <s v="Romper Longer"/>
    <n v="3"/>
    <n v="13"/>
    <s v="Easter"/>
    <s v="6-12"/>
    <x v="17"/>
    <m/>
  </r>
  <r>
    <d v="2026-03-28T00:00:00"/>
    <s v="https://www.etsy.com/ca/listing/4392935796/box-box-for-fresh-diapers-embroidered?transaction_id=5018127557"/>
    <s v="dusty pink"/>
    <s v="Dusty Pink"/>
    <s v="3-6M(SHORT-SLEEVE)"/>
    <s v="United States"/>
    <s v="Romper Short"/>
    <n v="3"/>
    <n v="13"/>
    <s v="Easter"/>
    <s v="3-6"/>
    <x v="31"/>
    <m/>
  </r>
  <r>
    <d v="2026-03-28T00:00:00"/>
    <s v="https://www.etsy.com/ca/listing/4336900156/personalized-soccer-baby-romper?transaction_id=5008201224"/>
    <s v="white"/>
    <s v="White"/>
    <s v="0-3M(LONG-SLEEVE)"/>
    <s v="Australia"/>
    <s v="Romper Longer"/>
    <n v="3"/>
    <n v="13"/>
    <s v="Easter"/>
    <s v="0-3"/>
    <x v="54"/>
    <m/>
  </r>
  <r>
    <d v="2026-03-29T00:00:00"/>
    <s v="https://www.etsy.com/ca/listing/4376392339/funny-baby-romper-my-brand-of-formula?transaction_id=5018525509"/>
    <s v="cream"/>
    <s v="Cream"/>
    <s v="3-6M(LONG -SLEEVE)"/>
    <s v="Australia"/>
    <s v="Romper Longer"/>
    <n v="3"/>
    <n v="14"/>
    <s v="Easter"/>
    <s v="3-6"/>
    <x v="1"/>
    <m/>
  </r>
  <r>
    <d v="2026-03-29T00:00:00"/>
    <s v="https://www.etsy.com/ca/listing/4392935796/box-box-for-fresh-diapers-embroidered?transaction_id=5018431863"/>
    <s v="cream"/>
    <s v="Cream"/>
    <s v="3-6M(SHORT-SLEEVE)"/>
    <s v="Switzerland"/>
    <s v="Romper Short"/>
    <n v="3"/>
    <n v="14"/>
    <s v="Easter"/>
    <s v="3-6"/>
    <x v="0"/>
    <m/>
  </r>
  <r>
    <d v="2026-03-29T00:00:00"/>
    <s v="https://www.etsy.com/ca/listing/4376392339/funny-baby-romper-my-brand-of-formula?transaction_id=5008723820"/>
    <s v="cream"/>
    <s v="Cream"/>
    <s v="3-6M(SHORT-SLEEVE)"/>
    <s v="United States"/>
    <s v="Romper Short"/>
    <n v="3"/>
    <n v="14"/>
    <s v="Easter"/>
    <s v="3-6"/>
    <x v="0"/>
    <m/>
  </r>
  <r>
    <d v="2026-03-29T00:00:00"/>
    <s v="https://www.etsy.com/ca/listing/4376399899/the-littlest-book-club-member-baby?transaction_id=5008812784"/>
    <s v="dusty pink"/>
    <s v="Dusty Pink"/>
    <s v="6-12M(LONG-SLEEVE)"/>
    <s v="United States"/>
    <s v="Romper Longer"/>
    <n v="3"/>
    <n v="14"/>
    <s v="Easter"/>
    <s v="6-12"/>
    <x v="51"/>
    <m/>
  </r>
  <r>
    <d v="2026-03-30T00:00:00"/>
    <s v="https://www.etsy.com/ca/listing/4392932100/born-to-ride-with-my-daddy-embroidered?transaction_id=5019665249"/>
    <s v="watermelon"/>
    <s v="Watermelon"/>
    <s v="3-6M(LONG -SLEEVE)"/>
    <s v="Germany"/>
    <s v="Romper Longer"/>
    <n v="3"/>
    <n v="14"/>
    <s v="Easter"/>
    <s v="3-6"/>
    <x v="20"/>
    <m/>
  </r>
  <r>
    <d v="2026-03-30T00:00:00"/>
    <s v="https://www.etsy.com/ca/listing/4467451258/the-littlest-tennis-club-member-baby?transaction_id=5009868436"/>
    <s v="cream"/>
    <s v="Cream"/>
    <s v="6-12M(LONG-SLEEVE)"/>
    <s v="Germany"/>
    <s v="Romper Longer"/>
    <n v="3"/>
    <n v="14"/>
    <s v="Easter"/>
    <s v="6-12"/>
    <x v="17"/>
    <m/>
  </r>
  <r>
    <d v="2026-03-30T00:00:00"/>
    <s v="https://www.etsy.com/ca/listing/4336902854/personalized-football-baby-romper-daddys?transaction_id=5010043078"/>
    <s v="cream"/>
    <s v="Cream"/>
    <s v="3-6M(SHORT-SLEEVE)"/>
    <s v="Switzerland"/>
    <s v="Romper Short"/>
    <n v="3"/>
    <n v="14"/>
    <s v="Easter"/>
    <s v="3-6"/>
    <x v="0"/>
    <m/>
  </r>
  <r>
    <d v="2026-03-30T00:00:00"/>
    <s v="https://www.etsy.com/ca/listing/4376399899/the-littlest-book-club-member-baby?transaction_id=5020009859"/>
    <s v="sage green"/>
    <s v="Sage Green"/>
    <s v="0-3M(LONG-SLEEVE)"/>
    <s v="United States"/>
    <s v="Romper Longer"/>
    <n v="3"/>
    <n v="14"/>
    <s v="Easter"/>
    <s v="0-3"/>
    <x v="5"/>
    <m/>
  </r>
  <r>
    <d v="2026-03-30T00:00:00"/>
    <s v="https://www.etsy.com/ca/listing/4392935796/box-box-for-fresh-diapers-embroidered?transaction_id=5010435800"/>
    <s v="cream"/>
    <s v="Cream"/>
    <s v="0-3M(SHORT -SLEEVE)"/>
    <s v="United States"/>
    <s v="Romper Short"/>
    <n v="3"/>
    <n v="14"/>
    <s v="Easter"/>
    <s v="0-3"/>
    <x v="15"/>
    <m/>
  </r>
  <r>
    <d v="2026-03-30T00:00:00"/>
    <s v="https://www.etsy.com/ca/listing/4467440237/the-littlest-coffee-club-member-baby?transaction_id=5020596985"/>
    <s v="cream"/>
    <s v="Cream"/>
    <s v="0-3M(SHORT -SLEEVE)"/>
    <s v="United States"/>
    <s v="Romper Short"/>
    <n v="3"/>
    <n v="14"/>
    <s v="Easter"/>
    <s v="0-3"/>
    <x v="15"/>
    <m/>
  </r>
  <r>
    <d v="2026-04-01T00:00:00"/>
    <s v="https://www.etsy.com/ca/listing/4376399899/the-littlest-book-club-member-baby?transaction_id=5011059704"/>
    <s v="sage green"/>
    <s v="Sage Green"/>
    <s v="3-6M(LONG -SLEEVE)"/>
    <s v="United States"/>
    <s v="Romper Longer"/>
    <n v="4"/>
    <n v="14"/>
    <s v="Easter"/>
    <s v="3-6"/>
    <x v="7"/>
    <m/>
  </r>
  <r>
    <d v="2026-04-01T00:00:00"/>
    <s v="https://www.etsy.com/ca/listing/4344235128/new-to-the-hive-baby-romper-embroidered?transaction_id=5011379112"/>
    <s v="cream"/>
    <s v="Cream"/>
    <s v="3-6M(SHORT-SLEEVE)"/>
    <s v="United States"/>
    <s v="Romper Short"/>
    <n v="4"/>
    <n v="14"/>
    <s v="Easter"/>
    <s v="3-6"/>
    <x v="0"/>
    <m/>
  </r>
  <r>
    <d v="2026-04-01T00:00:00"/>
    <s v="https://www.etsy.com/ca/listing/4392935796/box-box-for-fresh-diapers-embroidered?transaction_id=5011591898"/>
    <s v="sage green"/>
    <s v="Sage Green"/>
    <s v=" 6-12M( SHORT-SLEEVE)"/>
    <s v="Canada"/>
    <s v="Romper Short"/>
    <n v="4"/>
    <n v="14"/>
    <s v="Easter"/>
    <s v="6-12"/>
    <x v="19"/>
    <m/>
  </r>
  <r>
    <d v="2026-04-01T00:00:00"/>
    <s v="https://www.etsy.com/ca/listing/4376399899/the-littlest-book-club-member-baby?transaction_id=5022032877"/>
    <s v="texas orange"/>
    <s v="Texas Orange"/>
    <s v="3-6M(SHORT-SLEEVE)"/>
    <s v="United States"/>
    <s v="Romper Short"/>
    <n v="4"/>
    <n v="14"/>
    <s v="Easter"/>
    <s v="3-6"/>
    <x v="66"/>
    <m/>
  </r>
  <r>
    <d v="2026-04-02T00:00:00"/>
    <s v="https://www.etsy.com/ca/listing/4392936688/shhh-im-watching-motogp-with-daddy?transaction_id=5012274298"/>
    <s v="cream"/>
    <s v="Cream"/>
    <s v="3-6M(SHORT-SLEEVE)"/>
    <s v="Switzerland"/>
    <s v="Romper Short"/>
    <n v="4"/>
    <n v="14"/>
    <s v="Easter"/>
    <s v="3-6"/>
    <x v="0"/>
    <m/>
  </r>
  <r>
    <d v="2026-04-02T00:00:00"/>
    <s v="https://www.etsy.com/ca/listing/4376399899/the-littlest-book-club-member-baby?transaction_id=5022514811"/>
    <s v="cream"/>
    <s v="Cream"/>
    <s v="3-6M(SHORT-SLEEVE)"/>
    <s v="Canada"/>
    <s v="Romper Short"/>
    <n v="4"/>
    <n v="14"/>
    <s v="Easter"/>
    <s v="3-6"/>
    <x v="0"/>
    <m/>
  </r>
  <r>
    <d v="2026-04-02T00:00:00"/>
    <s v="https://www.etsy.com/ca/listing/4376399899/the-littlest-book-club-member-baby?transaction_id=5012860280"/>
    <s v="sage green"/>
    <s v="Sage Green"/>
    <s v="6-12M(LONG-SLEEVE)"/>
    <s v="United States"/>
    <s v="Romper Longer"/>
    <n v="4"/>
    <n v="14"/>
    <s v="Easter"/>
    <s v="6-12"/>
    <x v="3"/>
    <m/>
  </r>
  <r>
    <d v="2026-04-03T00:00:00"/>
    <s v="https://www.etsy.com/ca/listing/4392932100/born-to-ride-with-my-daddy-embroidered?transaction_id=5013365610"/>
    <s v="cream"/>
    <s v="Cream"/>
    <s v="3-6M(LONG -SLEEVE)"/>
    <s v="Spain"/>
    <s v="Romper Longer"/>
    <n v="4"/>
    <n v="14"/>
    <s v="Easter"/>
    <s v="3-6"/>
    <x v="1"/>
    <m/>
  </r>
  <r>
    <d v="2026-04-03T00:00:00"/>
    <s v="https://www.etsy.com/ca/listing/4376399899/the-littlest-book-club-member-baby?transaction_id=5013478978"/>
    <s v="watermelon"/>
    <s v="Watermelon"/>
    <s v="3-6M(LONG -SLEEVE)"/>
    <s v="United States"/>
    <s v="Romper Longer"/>
    <n v="4"/>
    <n v="14"/>
    <s v="Easter"/>
    <s v="3-6"/>
    <x v="20"/>
    <m/>
  </r>
  <r>
    <d v="2026-04-03T00:00:00"/>
    <s v="https://www.etsy.com/ca/listing/4372352286/silly-goose-baby-romper-funny-infant?transaction_id=5013837266"/>
    <s v="mauve taupe"/>
    <s v="Mauve Taupe"/>
    <s v="3-6M(SHORT-SLEEVE)"/>
    <s v="United States"/>
    <s v="Romper Short"/>
    <n v="4"/>
    <n v="14"/>
    <s v="Easter"/>
    <s v="3-6"/>
    <x v="67"/>
    <m/>
  </r>
  <r>
    <d v="2026-04-03T00:00:00"/>
    <s v="https://www.etsy.com/ca/listing/4471141630/crawl-walk-hockey-baby-romper-hockey?transaction_id=5013906700"/>
    <s v="watermelon"/>
    <s v="Watermelon"/>
    <s v="6-12M(LONG-SLEEVE)"/>
    <s v="United States"/>
    <s v="Romper Longer"/>
    <n v="4"/>
    <n v="14"/>
    <s v="Easter"/>
    <s v="6-12"/>
    <x v="33"/>
    <m/>
  </r>
  <r>
    <d v="2026-04-03T00:00:00"/>
    <s v="https://www.etsy.com/ca/listing/4330488178/embroidered-golf-baby-romper-new-to-the?transaction_id=5013969128"/>
    <s v="cream"/>
    <s v="Cream"/>
    <s v="0-3M(SHORT -SLEEVE)"/>
    <s v="United States"/>
    <s v="Romper Short"/>
    <n v="4"/>
    <n v="14"/>
    <s v="Easter"/>
    <s v="0-3"/>
    <x v="15"/>
    <m/>
  </r>
  <r>
    <d v="2026-04-03T00:00:00"/>
    <s v="https://www.etsy.com/ca/listing/4347879262/funny-pickle-baby-romper-im-kind-of-a?transaction_id=5024276335"/>
    <s v="watermelon"/>
    <s v="Watermelon"/>
    <s v="12-18M(SHORT-SLEEVE)"/>
    <s v="United States"/>
    <s v="Romper Short"/>
    <n v="4"/>
    <n v="14"/>
    <s v="Easter"/>
    <s v="12-18"/>
    <x v="68"/>
    <m/>
  </r>
  <r>
    <d v="2026-04-03T00:00:00"/>
    <s v="https://www.etsy.com/ca/listing/4344235128/new-to-the-hive-baby-romper-embroidered?transaction_id=5024324125"/>
    <s v="coffee"/>
    <s v="Coffee"/>
    <s v="0-3M(SHORT -SLEEVE)"/>
    <s v="United States"/>
    <s v="Romper Short"/>
    <n v="4"/>
    <n v="14"/>
    <s v="Easter"/>
    <s v="0-3"/>
    <x v="14"/>
    <m/>
  </r>
  <r>
    <d v="2026-04-03T00:00:00"/>
    <s v="https://www.etsy.com/ca/listing/4371125103/personalized-dog-baby-bodysuit-custom?transaction_id=5014176994"/>
    <s v="sage green"/>
    <s v="Sage Green"/>
    <s v="0-3M(SHORT -SLEEVE)"/>
    <s v="United States"/>
    <s v="Romper Short"/>
    <n v="4"/>
    <n v="14"/>
    <s v="Easter"/>
    <s v="0-3"/>
    <x v="13"/>
    <m/>
  </r>
  <r>
    <d v="2026-04-04T00:00:00"/>
    <s v="https://www.etsy.com/ca/listing/4376399899/the-littlest-book-club-member-baby?transaction_id=5014612882"/>
    <s v="cream"/>
    <s v="Cream"/>
    <s v="0-3M(LONG-SLEEVE)"/>
    <s v="United States"/>
    <s v="Romper Longer"/>
    <n v="4"/>
    <n v="14"/>
    <s v="Easter"/>
    <s v="0-3"/>
    <x v="2"/>
    <m/>
  </r>
  <r>
    <d v="2026-04-04T00:00:00"/>
    <s v="https://www.etsy.com/ca/listing/4467452578/the-littlest-pickleball-club-member-baby?transaction_id=5024924649"/>
    <s v="white"/>
    <s v="White"/>
    <s v="3-6M(SHORT-SLEEVE)"/>
    <s v="Spain"/>
    <s v="Romper Short"/>
    <n v="4"/>
    <n v="14"/>
    <s v="Easter"/>
    <s v="3-6"/>
    <x v="69"/>
    <m/>
  </r>
  <r>
    <d v="2026-04-04T00:00:00"/>
    <s v="https://www.etsy.com/ca/listing/4376399899/the-littlest-book-club-member-baby?transaction_id=5024995263"/>
    <s v="cream"/>
    <s v="Cream"/>
    <s v="0-3M(SHORT -SLEEVE)"/>
    <s v="United States"/>
    <s v="Romper Short"/>
    <n v="4"/>
    <n v="14"/>
    <s v="Easter"/>
    <s v="0-3"/>
    <x v="15"/>
    <m/>
  </r>
  <r>
    <d v="2026-04-05T00:00:00"/>
    <s v="https://www.etsy.com/ca/listing/4376399899/the-littlest-book-club-member-baby?transaction_id=5015733214"/>
    <s v="dusty pink"/>
    <s v="Dusty Pink"/>
    <s v="0-3M(LONG-SLEEVE)"/>
    <s v="United States"/>
    <s v="Romper Longer"/>
    <n v="4"/>
    <n v="15"/>
    <s v="Easter"/>
    <s v="0-3"/>
    <x v="45"/>
    <m/>
  </r>
  <r>
    <d v="2026-04-05T00:00:00"/>
    <s v="https://www.etsy.com/ca/listing/4392935796/box-box-for-fresh-diapers-embroidered?transaction_id=5015787952"/>
    <s v="cream"/>
    <s v="Cream"/>
    <s v="3-6M(LONG -SLEEVE)"/>
    <s v="Canada"/>
    <s v="Romper Longer"/>
    <n v="4"/>
    <n v="15"/>
    <s v="Easter"/>
    <s v="3-6"/>
    <x v="1"/>
    <m/>
  </r>
  <r>
    <d v="2026-04-05T00:00:00"/>
    <s v="https://www.etsy.com/ca/listing/4376399899/the-littlest-book-club-member-baby?transaction_id=5015936336"/>
    <s v="salmon"/>
    <s v="Salmon"/>
    <s v="3-6M(SHORT-SLEEVE)"/>
    <s v="United Kingdom"/>
    <s v="Romper Short"/>
    <n v="4"/>
    <n v="15"/>
    <s v="Easter"/>
    <s v="3-6"/>
    <x v="50"/>
    <m/>
  </r>
  <r>
    <d v="2026-04-05T00:00:00"/>
    <s v="https://www.etsy.com/ca/listing/4376399899/the-littlest-book-club-member-baby?transaction_id=5026204571"/>
    <s v="sage green"/>
    <s v="Sage Green"/>
    <s v="3-6M(SHORT-SLEEVE)"/>
    <s v="United States"/>
    <s v="Romper Short"/>
    <n v="4"/>
    <n v="15"/>
    <s v="Easter"/>
    <s v="3-6"/>
    <x v="24"/>
    <m/>
  </r>
  <r>
    <d v="2026-04-05T00:00:00"/>
    <s v="https://www.etsy.com/ca/listing/4347260564/football-baby-romper-game-day-baby?transaction_id=5026494115"/>
    <s v="dusty pink"/>
    <s v="Dusty Pink"/>
    <s v="0-3M(LONG-SLEEVE)"/>
    <s v="United States"/>
    <s v="Romper Longer"/>
    <n v="4"/>
    <n v="15"/>
    <s v="Easter"/>
    <s v="0-3"/>
    <x v="45"/>
    <m/>
  </r>
  <r>
    <d v="2026-04-05T00:00:00"/>
    <s v="https://www.etsy.com/ca/listing/4330492936/a-roar-able-dinosaur-baby-bodysuit-cute?transaction_id=5016272930"/>
    <s v="cream"/>
    <s v="Cream"/>
    <s v="6-12M(LONG-SLEEVE)"/>
    <s v="United States"/>
    <s v="Romper Longer"/>
    <n v="4"/>
    <n v="15"/>
    <s v="Easter"/>
    <s v="6-12"/>
    <x v="17"/>
    <m/>
  </r>
  <r>
    <d v="2026-04-05T00:00:00"/>
    <s v="https://www.etsy.com/ca/listing/4376399899/the-littlest-book-club-member-baby?transaction_id=5026516759&amp;dd_referrer="/>
    <s v="sage green"/>
    <s v="Sage Green"/>
    <s v="3-6M(SHORT-SLEEVE)"/>
    <s v="United States"/>
    <s v="Romper Short"/>
    <n v="4"/>
    <n v="15"/>
    <s v="Easter"/>
    <s v="3-6"/>
    <x v="24"/>
    <m/>
  </r>
  <r>
    <d v="2026-04-05T00:00:00"/>
    <s v="https://www.etsy.com/ca/listing/4392936921/apparently-i-like-golf-embroidered?transaction_id=5026639391"/>
    <s v="cream"/>
    <s v="Cream"/>
    <s v="0-3M(LONG-SLEEVE)"/>
    <s v="United States"/>
    <s v="Romper Longer"/>
    <n v="4"/>
    <n v="15"/>
    <s v="Easter"/>
    <s v="0-3"/>
    <x v="2"/>
    <m/>
  </r>
  <r>
    <d v="2026-04-05T00:00:00"/>
    <s v="https://www.etsy.com/ca/listing/4392935796/box-box-for-fresh-diapers-embroidered?transaction_id=5016469770"/>
    <s v="white"/>
    <s v="White"/>
    <s v="0-3M(LONG-SLEEVE)"/>
    <s v="Hong Kong"/>
    <s v="Romper Longer"/>
    <n v="4"/>
    <n v="15"/>
    <s v="Easter"/>
    <s v="0-3"/>
    <x v="54"/>
    <m/>
  </r>
  <r>
    <d v="2026-04-06T00:00:00"/>
    <s v="https://www.etsy.com/ca/listing/4330474476/so-ducking-cute-embroidered-baby-romper?transaction_id=5016788538"/>
    <s v="cream"/>
    <s v="Cream"/>
    <s v="0-3M(LONG-SLEEVE)"/>
    <s v="Switzerland"/>
    <s v="Romper Longer"/>
    <n v="4"/>
    <n v="15"/>
    <s v="Easter"/>
    <s v="0-3"/>
    <x v="2"/>
    <m/>
  </r>
  <r>
    <d v="2026-04-06T00:00:00"/>
    <s v="https://www.etsy.com/ca/listing/4376401181/challah-at-your-girl-baby-bodysuit-funny?transaction_id=5017276926"/>
    <s v="cream"/>
    <s v="Cream"/>
    <s v="12-18M(SHORT-SLEEVE)"/>
    <s v="United Kingdom"/>
    <s v="Romper Short"/>
    <n v="4"/>
    <n v="15"/>
    <s v="Easter"/>
    <s v="12-18"/>
    <x v="26"/>
    <m/>
  </r>
  <r>
    <d v="2026-04-06T00:00:00"/>
    <s v="https://www.etsy.com/ca/listing/4376399899/the-littlest-book-club-member-baby?transaction_id=5027549917"/>
    <s v="salmon"/>
    <s v="Salmon"/>
    <s v="0-3M(SHORT -SLEEVE)"/>
    <s v="United States"/>
    <s v="Romper Short"/>
    <n v="4"/>
    <n v="15"/>
    <s v="Easter"/>
    <s v="0-3"/>
    <x v="32"/>
    <m/>
  </r>
  <r>
    <d v="2026-04-06T00:00:00"/>
    <s v="https://www.etsy.com/ca/listing/4376399899/the-littlest-book-club-member-baby?transaction_id=5027566015"/>
    <s v="cream"/>
    <s v="Cream"/>
    <s v="0-3M(SHORT -SLEEVE)"/>
    <s v="United States"/>
    <s v="Romper Short"/>
    <n v="4"/>
    <n v="15"/>
    <s v="Easter"/>
    <s v="0-3"/>
    <x v="15"/>
    <m/>
  </r>
  <r>
    <d v="2026-04-07T00:00:00"/>
    <s v="https://www.etsy.com/ca/listing/4392932100/born-to-ride-with-my-daddy-embroidered?transaction_id=5028070451"/>
    <s v="cream"/>
    <s v="Cream"/>
    <s v="3-6M(SHORT-SLEEVE)"/>
    <s v="Germany"/>
    <s v="Romper Short"/>
    <n v="4"/>
    <n v="15"/>
    <s v="Easter"/>
    <s v="3-6"/>
    <x v="0"/>
    <m/>
  </r>
  <r>
    <d v="2026-04-07T00:00:00"/>
    <s v="https://www.etsy.com/ca/listing/4467440237/the-littlest-coffee-club-member-baby?transaction_id=5018055952"/>
    <s v="cream"/>
    <s v="Cream"/>
    <s v="0-3M(SHORT -SLEEVE)"/>
    <s v="United States"/>
    <s v="Romper Short"/>
    <n v="4"/>
    <n v="15"/>
    <s v="Easter"/>
    <s v="0-3"/>
    <x v="15"/>
    <m/>
  </r>
  <r>
    <d v="2026-04-07T00:00:00"/>
    <s v="https://www.etsy.com/ca/listing/4336900156/personalized-soccer-baby-romper?transaction_id=5018289530"/>
    <s v="forest green"/>
    <s v="Forest Green"/>
    <s v="6-12M(LONG-SLEEVE)"/>
    <s v="United States"/>
    <s v="Romper Longer"/>
    <n v="4"/>
    <n v="15"/>
    <s v="Easter"/>
    <s v="6-12"/>
    <x v="30"/>
    <m/>
  </r>
  <r>
    <d v="2026-04-07T00:00:00"/>
    <s v="https://www.etsy.com/ca/listing/4376399899/the-littlest-book-club-member-baby?transaction_id=5018593294"/>
    <s v="forest green"/>
    <s v="Forest Green"/>
    <s v="0-3M(SHORT -SLEEVE)"/>
    <s v="United States"/>
    <s v="Romper Short"/>
    <n v="4"/>
    <n v="15"/>
    <s v="Easter"/>
    <s v="0-3"/>
    <x v="52"/>
    <m/>
  </r>
  <r>
    <d v="2026-04-07T00:00:00"/>
    <s v="https://www.etsy.com/ca/listing/4336907597/custom-running-baby-romper-daddys-future?transaction_id=5028933047"/>
    <s v="sage green"/>
    <s v="Sage Green"/>
    <s v="3-6M(LONG -SLEEVE)"/>
    <s v="United States"/>
    <s v="Romper Longer"/>
    <n v="4"/>
    <n v="15"/>
    <s v="Easter"/>
    <s v="3-6"/>
    <x v="7"/>
    <m/>
  </r>
  <r>
    <d v="2026-04-08T00:00:00"/>
    <s v="https://www.etsy.com/ca/listing/4475325519/daddys-future-fishing-buddy-baby?transaction_id=5029253059"/>
    <s v="cream"/>
    <s v="Cream"/>
    <s v="3-6M(SHORT-SLEEVE)"/>
    <s v="Austria"/>
    <s v="Romper Short"/>
    <n v="4"/>
    <n v="15"/>
    <s v="Easter"/>
    <s v="3-6"/>
    <x v="0"/>
    <m/>
  </r>
  <r>
    <d v="2026-04-08T00:00:00"/>
    <s v="https://www.etsy.com/ca/listing/4467440237/the-littlest-coffee-club-member-baby?transaction_id=5019174184"/>
    <s v="sage green"/>
    <s v="Sage Green"/>
    <s v="0-3M(LONG-SLEEVE)"/>
    <s v="United States"/>
    <s v="Romper Longer"/>
    <n v="4"/>
    <n v="15"/>
    <s v="Easter"/>
    <s v="0-3"/>
    <x v="5"/>
    <m/>
  </r>
  <r>
    <d v="2026-04-08T00:00:00"/>
    <s v="https://www.etsy.com/ca/listing/4392932100/born-to-ride-with-my-daddy-embroidered?transaction_id=5019485618"/>
    <s v="caldet blue"/>
    <s v="Caldet Blue"/>
    <s v="0-3M(SHORT -SLEEVE)"/>
    <s v="United States"/>
    <s v="Romper Short"/>
    <n v="4"/>
    <n v="15"/>
    <s v="Easter"/>
    <s v="0-3"/>
    <x v="38"/>
    <m/>
  </r>
  <r>
    <d v="2026-04-08T00:00:00"/>
    <s v="https://www.etsy.com/ca/listing/4346126210/daddys-future-lifting-buddy-romper-baby?transaction_id=5029715903"/>
    <s v="cream"/>
    <s v="Cream"/>
    <s v="3-6M(LONG -SLEEVE)"/>
    <s v="United States"/>
    <s v="Romper Longer"/>
    <n v="4"/>
    <n v="15"/>
    <s v="Easter"/>
    <s v="3-6"/>
    <x v="1"/>
    <m/>
  </r>
  <r>
    <d v="2026-04-08T00:00:00"/>
    <s v="https://www.etsy.com/ca/listing/4330485404/cat-face-embroidered-baby-romper-funny?transaction_id=5029841831"/>
    <s v="dusty pink"/>
    <s v="Dusty Pink"/>
    <s v="0-3M(LONG-SLEEVE)"/>
    <s v="United States"/>
    <s v="Romper Longer"/>
    <n v="4"/>
    <n v="15"/>
    <s v="Easter"/>
    <s v="0-3"/>
    <x v="45"/>
    <m/>
  </r>
  <r>
    <d v="2026-04-08T00:00:00"/>
    <s v="https://www.etsy.com/ca/listing/4371125103/personalized-dog-baby-bodysuit-custom?transaction_id=5019661910&amp;dd_referrer="/>
    <s v="salmon"/>
    <s v="Salmon"/>
    <s v="3-6M(SHORT-SLEEVE)"/>
    <s v="United States"/>
    <s v="Romper Short"/>
    <n v="4"/>
    <n v="15"/>
    <s v="Easter"/>
    <s v="3-6"/>
    <x v="50"/>
    <m/>
  </r>
  <r>
    <d v="2026-04-09T00:00:00"/>
    <s v="https://www.etsy.com/ca/listing/4471139005/going-home-to-meet-my-pups-baby-romper?transaction_id=5020339870"/>
    <s v="cream"/>
    <s v="Cream"/>
    <s v="0-3M(LONG-SLEEVE)"/>
    <s v="United Kingdom"/>
    <s v="Romper Longer"/>
    <n v="4"/>
    <n v="15"/>
    <s v="Easter"/>
    <s v="0-3"/>
    <x v="2"/>
    <m/>
  </r>
  <r>
    <d v="2026-04-09T00:00:00"/>
    <s v="https://www.etsy.com/ca/listing/4392929794/little-latke-embroidered-romper-hanukkah?transaction_id=5020415034"/>
    <s v="cream"/>
    <s v="Cream"/>
    <s v="3-6M(LONG -SLEEVE)"/>
    <s v="United States"/>
    <s v="Romper Longer"/>
    <n v="4"/>
    <n v="15"/>
    <s v="Easter"/>
    <s v="3-6"/>
    <x v="1"/>
    <m/>
  </r>
  <r>
    <d v="2026-04-09T00:00:00"/>
    <s v="https://www.etsy.com/ca/listing/4467446644/the-littlest-baking-club-member-baby?transaction_id=5030576887"/>
    <s v="caldet blue"/>
    <s v="Caldet Blue"/>
    <s v="3-6M(LONG -SLEEVE)"/>
    <s v="Canada"/>
    <s v="Romper Longer"/>
    <n v="4"/>
    <n v="15"/>
    <s v="Easter"/>
    <s v="3-6"/>
    <x v="23"/>
    <m/>
  </r>
  <r>
    <d v="2026-04-09T00:00:00"/>
    <s v="https://www.etsy.com/ca/listing/4467440237/the-littlest-coffee-club-member-baby?transaction_id=5030675555"/>
    <s v="coffee"/>
    <s v="Coffee"/>
    <s v="3-6M(LONG -SLEEVE)"/>
    <s v="United States"/>
    <s v="Romper Longer"/>
    <n v="4"/>
    <n v="15"/>
    <s v="Easter"/>
    <s v="3-6"/>
    <x v="12"/>
    <m/>
  </r>
  <r>
    <d v="2026-04-09T00:00:00"/>
    <s v="https://www.etsy.com/ca/listing/4376399899/the-littlest-book-club-member-baby?transaction_id=5020714388"/>
    <s v="sage green"/>
    <s v="Sage Green"/>
    <s v="6-12M( SHORT-SLEEVE)"/>
    <s v="United States"/>
    <s v="Romper Short"/>
    <n v="4"/>
    <n v="15"/>
    <s v="Easter"/>
    <s v="6-12"/>
    <x v="19"/>
    <m/>
  </r>
  <r>
    <d v="2026-04-09T00:00:00"/>
    <s v="https://www.etsy.com/ca/listing/4376399899/the-littlest-book-club-member-baby?transaction_id=5020766290"/>
    <s v="dusty pink"/>
    <s v="Dusty Pink"/>
    <s v="3-6M(LONG -SLEEVE)"/>
    <s v="United States"/>
    <s v="Romper Longer"/>
    <n v="4"/>
    <n v="15"/>
    <s v="Easter"/>
    <s v="3-6"/>
    <x v="8"/>
    <m/>
  </r>
  <r>
    <d v="2026-04-09T00:00:00"/>
    <s v="https://www.etsy.com/ca/listing/4371125103/personalized-dog-baby-bodysuit-custom?transaction_id=5021044466"/>
    <s v="cream"/>
    <s v="Cream"/>
    <s v="0-3M(LONG-SLEEVE)"/>
    <s v="United States"/>
    <s v="Romper Longer"/>
    <n v="4"/>
    <n v="15"/>
    <s v="Easter"/>
    <s v="0-3"/>
    <x v="2"/>
    <m/>
  </r>
  <r>
    <d v="2026-04-09T00:00:00"/>
    <s v="https://www.etsy.com/ca/listing/4376401181/challah-at-your-girl-baby-bodysuit-funny?transaction_id=5021064874"/>
    <s v="dusty pink"/>
    <s v="Dusty Pink"/>
    <s v="0-3M(LONG-SLEEVE)"/>
    <s v="United States"/>
    <s v="Romper Longer"/>
    <n v="4"/>
    <n v="15"/>
    <s v="Easter"/>
    <s v="0-3"/>
    <x v="45"/>
    <m/>
  </r>
  <r>
    <d v="2026-04-09T00:00:00"/>
    <s v="https://www.etsy.com/ca/listing/4346130567/hockey-baby-romper-embroidered-bodysuit?transaction_id=5031324451"/>
    <s v="dusty pink"/>
    <s v="Dusty Pink"/>
    <s v="3-6M(LONG -SLEEVE)"/>
    <s v="United States"/>
    <s v="Romper Longer"/>
    <n v="4"/>
    <n v="15"/>
    <s v="Easter"/>
    <s v="3-6"/>
    <x v="8"/>
    <m/>
  </r>
  <r>
    <d v="2026-04-09T00:00:00"/>
    <s v="https://www.etsy.com/ca/listing/4376399899/the-littlest-book-club-member-baby?transaction_id=5031475433"/>
    <s v="sage green"/>
    <s v="Sage Green"/>
    <s v="3-6M(LONG -SLEEVE)"/>
    <s v="United States"/>
    <s v="Romper Longer"/>
    <n v="4"/>
    <n v="15"/>
    <s v="Easter"/>
    <s v="3-6"/>
    <x v="7"/>
    <m/>
  </r>
  <r>
    <d v="2026-04-09T00:00:00"/>
    <s v="https://www.etsy.com/ca/listing/4376399899/the-littlest-book-club-member-baby?transaction_id=5031475434"/>
    <s v="sage green"/>
    <s v="Sage Green"/>
    <s v="6-12M(LONG-SLEEVE)"/>
    <s v="United States"/>
    <s v="Romper Longer"/>
    <n v="4"/>
    <n v="15"/>
    <s v="Easter"/>
    <s v="6-12"/>
    <x v="3"/>
    <m/>
  </r>
  <r>
    <d v="2026-04-09T00:00:00"/>
    <s v="https://www.etsy.com/ca/listing/4376399899/the-littlest-book-club-member-baby?transaction_id=5031482827"/>
    <s v="caldet blue"/>
    <s v="Caldet Blue"/>
    <s v="0-3M(SHORT -SLEEVE)"/>
    <s v="United States"/>
    <s v="Romper Short"/>
    <n v="4"/>
    <n v="15"/>
    <s v="Easter"/>
    <s v="0-3"/>
    <x v="38"/>
    <m/>
  </r>
  <r>
    <d v="2026-04-10T00:00:00"/>
    <s v="https://www.etsy.com/ca/listing/4471139539/daddys-future-hunting-buddy-baby-romper?transaction_id=5021935574"/>
    <s v="cream"/>
    <s v="Cream"/>
    <s v="0-3M(LONG-SLEEVE)"/>
    <s v="United States"/>
    <s v="Romper Longer"/>
    <n v="4"/>
    <n v="15"/>
    <s v="Easter"/>
    <s v="0-3"/>
    <x v="2"/>
    <m/>
  </r>
  <r>
    <d v="2026-04-10T00:00:00"/>
    <s v="https://www.etsy.com/ca/listing/4392932100/born-to-ride-with-my-daddy-embroidered?transaction_id=5021947328"/>
    <s v="white"/>
    <s v="White"/>
    <s v="3-6M(LONG -SLEEVE)"/>
    <s v="Germany"/>
    <s v="Romper Longer"/>
    <n v="4"/>
    <n v="15"/>
    <s v="Easter"/>
    <s v="3-6"/>
    <x v="70"/>
    <m/>
  </r>
  <r>
    <d v="2026-04-10T00:00:00"/>
    <s v="https://www.etsy.com/ca/listing/4376399899/the-littlest-book-club-member-baby?transaction_id=5022042608"/>
    <s v="mauve taupe"/>
    <s v="Mauve Taupe"/>
    <s v="0-3M(SHORT -SLEEVE)"/>
    <s v="United States"/>
    <s v="Romper Short"/>
    <n v="4"/>
    <n v="15"/>
    <s v="Easter"/>
    <s v="0-3"/>
    <x v="71"/>
    <m/>
  </r>
  <r>
    <d v="2026-04-10T00:00:00"/>
    <s v="https://www.etsy.com/ca/listing/4376399899/the-littlest-book-club-member-baby?transaction_id=5022458666"/>
    <s v="sage green"/>
    <s v="Sage Green"/>
    <s v="6-12M( SHORT-SLEEVE)"/>
    <s v="United States"/>
    <s v="Romper Short"/>
    <n v="4"/>
    <n v="15"/>
    <s v="Easter"/>
    <s v="6-12"/>
    <x v="19"/>
    <m/>
  </r>
  <r>
    <d v="2026-04-11T00:00:00"/>
    <s v="https://www.etsy.com/ca/listing/4379194627/new-to-the-farm-embroidered-romper-baby?transaction_id=5022668650"/>
    <s v="cream"/>
    <s v="Cream"/>
    <s v="0-3M(SHORT -SLEEVE)"/>
    <s v="Australia"/>
    <s v="Romper Short"/>
    <n v="4"/>
    <n v="15"/>
    <s v="Easter"/>
    <s v="0-3"/>
    <x v="15"/>
    <m/>
  </r>
  <r>
    <d v="2026-04-11T00:00:00"/>
    <s v="https://www.etsy.com/ca/listing/4379194627/new-to-the-farm-embroidered-romper-baby?transaction_id=5022830308"/>
    <s v="sage green"/>
    <s v="Sage Green"/>
    <s v="3-6M(SHORT-SLEEVE)"/>
    <s v="United States"/>
    <s v="Romper Short"/>
    <n v="4"/>
    <n v="15"/>
    <s v="Easter"/>
    <s v="3-6"/>
    <x v="24"/>
    <m/>
  </r>
  <r>
    <d v="2026-04-11T00:00:00"/>
    <s v="https://www.etsy.com/ca/listing/4392936688/shhh-im-watching-motogp-with-daddy?transaction_id=5023060312"/>
    <s v="sage green"/>
    <s v="Sage Green"/>
    <s v="0-3M(SHORT -SLEEVE)"/>
    <s v="Germany"/>
    <s v="Romper Short"/>
    <n v="4"/>
    <n v="15"/>
    <s v="Easter"/>
    <s v="0-3"/>
    <x v="13"/>
    <m/>
  </r>
  <r>
    <d v="2026-04-11T00:00:00"/>
    <s v="https://www.etsy.com/ca/listing/4477329625/custom-name-baseball-baby-romper?transaction_id=5033703487"/>
    <s v="cream"/>
    <s v="Cream"/>
    <s v="3-6M(LONG -SLEEVE)"/>
    <s v="United States"/>
    <s v="Romper Longer"/>
    <n v="4"/>
    <n v="15"/>
    <s v="Easter"/>
    <s v="3-6"/>
    <x v="1"/>
    <m/>
  </r>
  <r>
    <d v="2026-04-12T00:00:00"/>
    <s v="https://www.etsy.com/ca/listing/4376399899/the-littlest-book-club-member-baby?transaction_id=5024266070"/>
    <s v="cream"/>
    <s v="Cream"/>
    <s v="6-12M( SHORT-SLEEVE)"/>
    <s v="United States"/>
    <s v="Romper Short"/>
    <n v="4"/>
    <n v="16"/>
    <s v="Easter"/>
    <s v="6-12"/>
    <x v="47"/>
    <m/>
  </r>
  <r>
    <d v="2026-04-12T00:00:00"/>
    <s v="https://www.etsy.com/ca/listing/4376399899/the-littlest-book-club-member-baby?transaction_id=5035083529"/>
    <s v="sage green"/>
    <s v="Sage Green"/>
    <s v=" 6-12M( SHORT-SLEEVE)"/>
    <s v="United States"/>
    <s v="Romper Short"/>
    <n v="4"/>
    <n v="16"/>
    <s v="Easter"/>
    <s v="6-12"/>
    <x v="19"/>
    <m/>
  </r>
  <r>
    <d v="2026-04-12T00:00:00"/>
    <s v="https://www.etsy.com/ca/listing/4376399899/the-littlest-book-club-member-baby?transaction_id=5024641156"/>
    <s v="mauve taupe"/>
    <s v="Mauve Taupe"/>
    <s v="3-6M(LONG -SLEEVE)"/>
    <s v="United States"/>
    <s v="Romper Longer"/>
    <n v="4"/>
    <n v="16"/>
    <s v="Easter"/>
    <s v="3-6"/>
    <x v="10"/>
    <m/>
  </r>
  <r>
    <d v="2026-04-12T00:00:00"/>
    <s v="https://www.etsy.com/ca/listing/4351827687/handsome-just-like-daddy-baby-romper?transaction_id=5035259907"/>
    <s v="sage green"/>
    <s v="Sage Green"/>
    <s v="6-12M(LONG-SLEEVE)"/>
    <s v="United States"/>
    <s v="Romper Longer"/>
    <n v="4"/>
    <n v="16"/>
    <s v="Easter"/>
    <s v="6-12"/>
    <x v="3"/>
    <m/>
  </r>
  <r>
    <d v="2026-04-12T00:00:00"/>
    <s v="https://www.etsy.com/ca/listing/4376399899/the-littlest-book-club-member-baby?transaction_id=5024660178"/>
    <s v="dusty pink"/>
    <s v="Dusty Pink"/>
    <s v="6-12M(LONG-SLEEVE)"/>
    <s v="United States"/>
    <s v="Romper Longer"/>
    <n v="4"/>
    <n v="16"/>
    <s v="Easter"/>
    <s v="6-12"/>
    <x v="51"/>
    <m/>
  </r>
  <r>
    <d v="2026-04-12T00:00:00"/>
    <s v="https://www.etsy.com/ca/listing/4379194627/new-to-the-farm-embroidered-romper-baby?transaction_id=5035350493"/>
    <s v="sage green"/>
    <s v="Sage Green"/>
    <s v="3-6M(SHORT-SLEEVE)"/>
    <s v="Australia"/>
    <s v="Romper Short"/>
    <n v="4"/>
    <n v="16"/>
    <s v="Easter"/>
    <s v="3-6"/>
    <x v="24"/>
    <m/>
  </r>
  <r>
    <d v="2026-04-13T00:00:00"/>
    <s v="https://www.etsy.com/ca/listing/4344231895/embroidered-baby-romper-shhh-im-reading?transaction_id=5035606499&amp;dd_referrer="/>
    <s v="cream"/>
    <s v="Cream"/>
    <s v="0-3M(SHORT -SLEEVE)"/>
    <s v="The Netherlands"/>
    <s v="Romper Short"/>
    <n v="4"/>
    <n v="16"/>
    <s v="Easter"/>
    <s v="0-3"/>
    <x v="15"/>
    <m/>
  </r>
  <r>
    <d v="2026-04-13T00:00:00"/>
    <s v="https://www.etsy.com/ca/listing/4376399899/the-littlest-book-club-member-baby?transaction_id=5035938667"/>
    <s v="cream"/>
    <s v="Cream"/>
    <s v="0-3M(LONG-SLEEVE)"/>
    <s v="United States"/>
    <s v="Romper Longer"/>
    <n v="4"/>
    <n v="16"/>
    <s v="Easter"/>
    <s v="0-3"/>
    <x v="2"/>
    <m/>
  </r>
  <r>
    <d v="2026-04-13T00:00:00"/>
    <s v="https://www.etsy.com/ca/listing/4376399899/the-littlest-book-club-member-baby?transaction_id=5035938667"/>
    <s v="sage green"/>
    <s v="Sage Green"/>
    <s v="0-3M(LONG-SLEEVE)"/>
    <s v="United States"/>
    <s v="Romper Longer"/>
    <n v="4"/>
    <n v="16"/>
    <s v="Easter"/>
    <s v="0-3"/>
    <x v="5"/>
    <m/>
  </r>
  <r>
    <d v="2026-04-13T00:00:00"/>
    <s v="https://www.etsy.com/ca/listing/4376399899/the-littlest-book-club-member-baby?transaction_id=5036001337"/>
    <s v="sage green"/>
    <s v="Sage Green"/>
    <s v="6-12M(LONG-SLEEVE)"/>
    <s v="United States"/>
    <s v="Romper Longer"/>
    <n v="4"/>
    <n v="16"/>
    <s v="Easter"/>
    <s v="6-12"/>
    <x v="3"/>
    <m/>
  </r>
  <r>
    <d v="2026-04-13T00:00:00"/>
    <s v="https://www.etsy.com/ca/listing/4392932100/born-to-ride-with-my-daddy-embroidered?transaction_id=5036215455"/>
    <s v="cream"/>
    <s v="Cream"/>
    <s v="3-6M(LONG -SLEEVE)"/>
    <s v="Czech Republic"/>
    <s v="Romper Longer"/>
    <n v="4"/>
    <n v="16"/>
    <s v="Easter"/>
    <s v="3-6"/>
    <x v="1"/>
    <m/>
  </r>
  <r>
    <d v="2026-04-13T00:00:00"/>
    <s v="https://www.etsy.com/ca/listing/4376389783/player-2-baby-romper-gamer-baby-outfit?transaction_id=5025675098"/>
    <s v="caldet blue"/>
    <s v="Caldet Blue"/>
    <s v=" 6-12M(LONG-SLEEVE)"/>
    <s v="United States"/>
    <s v="Romper Longer"/>
    <n v="4"/>
    <n v="16"/>
    <s v="Easter"/>
    <s v="6-12"/>
    <x v="25"/>
    <m/>
  </r>
  <r>
    <d v="2026-04-13T00:00:00"/>
    <s v="https://www.etsy.com/ca/listing/4477329625/custom-name-baseball-baby-romper?transaction_id=5036722095"/>
    <s v="cream"/>
    <s v="Cream"/>
    <s v="3-6M(LONG -SLEEVE)"/>
    <s v="United States"/>
    <s v="Romper Longer"/>
    <n v="4"/>
    <n v="16"/>
    <s v="Easter"/>
    <s v="3-6"/>
    <x v="1"/>
    <m/>
  </r>
  <r>
    <d v="2026-03-14T00:00:00"/>
    <s v="https://www.etsy.com/ca/listing/4330485404/cat-face-embroidered-baby-romper-funny?transaction_id=5037088365"/>
    <s v="cream"/>
    <s v="Cream"/>
    <s v="3-6M(SHORT-SLEEVE)"/>
    <s v="Germany"/>
    <s v="Romper Short"/>
    <n v="3"/>
    <n v="11"/>
    <s v="Easter"/>
    <s v="3-6"/>
    <x v="0"/>
    <m/>
  </r>
  <r>
    <d v="2026-03-14T00:00:00"/>
    <s v="https://www.etsy.com/ca/listing/4467440237/the-littlest-coffee-club-member-baby?transaction_id=5026345206"/>
    <s v="mauve taupe"/>
    <s v="Mauve Taupe"/>
    <s v=" 3-6M(SHORT-SLEEVE)"/>
    <s v="United States"/>
    <s v="Romper Short"/>
    <n v="3"/>
    <n v="11"/>
    <s v="Easter"/>
    <s v="3-6"/>
    <x v="67"/>
    <m/>
  </r>
  <r>
    <d v="2026-03-14T00:00:00"/>
    <s v="https://www.etsy.com/ca/listing/4376399899/the-littlest-book-club-member-baby?transaction_id=5037370747"/>
    <s v=" sage green"/>
    <s v=" Sage Green"/>
    <s v="6-12M(LONG-SLEEVE)"/>
    <s v="United States"/>
    <s v="Romper Longer"/>
    <n v="3"/>
    <n v="11"/>
    <s v="Easter"/>
    <s v="6-12"/>
    <x v="3"/>
    <m/>
  </r>
  <r>
    <d v="2026-03-14T00:00:00"/>
    <s v="https://www.etsy.com/ca/listing/4462790215/personalized-cat-baby-bodysuit-custom?transaction_id=5037461055"/>
    <s v="sage green"/>
    <s v="Sage Green"/>
    <s v="3-6M(SHORT-SLEEVE)"/>
    <s v="United States"/>
    <s v="Romper Short"/>
    <n v="3"/>
    <n v="11"/>
    <s v="Easter"/>
    <s v="3-6"/>
    <x v="24"/>
    <m/>
  </r>
  <r>
    <d v="2026-03-14T00:00:00"/>
    <s v="https://www.etsy.com/ca/listing/4330499355/born-to-fix-like-my-daddy-baby-romper?transaction_id=5026644132"/>
    <s v="watermelon"/>
    <s v="Watermelon"/>
    <s v="0-3M(LONG-SLEEVE)"/>
    <s v="United States"/>
    <s v="Romper Longer"/>
    <n v="3"/>
    <n v="11"/>
    <s v="Easter"/>
    <s v="0-3"/>
    <x v="36"/>
    <m/>
  </r>
  <r>
    <d v="2026-03-14T00:00:00"/>
    <s v="https://www.etsy.com/ca/listing/4376399899/the-littlest-book-club-member-baby?transaction_id=5026990408"/>
    <s v="sage green"/>
    <s v="Sage Green"/>
    <s v=" 0-3M(SHORT -SLEEVE)"/>
    <s v="United States"/>
    <s v="Romper Short"/>
    <n v="3"/>
    <n v="11"/>
    <s v="Easter"/>
    <s v="0-3"/>
    <x v="13"/>
    <m/>
  </r>
  <r>
    <d v="2026-03-14T00:00:00"/>
    <s v="https://www.etsy.com/ca/listing/4376401181/challah-at-your-girl-baby-bodysuit-funny?transaction_id=5027150930"/>
    <s v="cream"/>
    <s v="Cream"/>
    <s v="0-3M(SHORT -SLEEVE)"/>
    <s v="United States"/>
    <s v="Romper Short"/>
    <n v="3"/>
    <n v="11"/>
    <s v="Easter"/>
    <s v="0-3"/>
    <x v="15"/>
    <m/>
  </r>
  <r>
    <d v="2026-04-15T00:00:00"/>
    <s v="https://www.etsy.com/ca/listing/4467440237/the-littlest-coffee-club-member-baby?transaction_id=5038394859"/>
    <s v="cream"/>
    <s v="Cream"/>
    <s v="6-12M( SHORT-SLEEVE)"/>
    <s v="United States"/>
    <s v="Romper Short"/>
    <n v="4"/>
    <n v="16"/>
    <s v="Easter"/>
    <s v="6-12"/>
    <x v="47"/>
    <m/>
  </r>
  <r>
    <d v="2026-04-15T00:00:00"/>
    <s v="https://www.etsy.com/ca/listing/4392935796/box-box-for-fresh-diapers-embroidered?transaction_id=5027593390"/>
    <s v="coffee"/>
    <s v="Coffee"/>
    <s v="0-3M(SHORT -SLEEVE)"/>
    <s v="United States"/>
    <s v="Romper Short"/>
    <n v="4"/>
    <n v="16"/>
    <s v="Easter"/>
    <s v="0-3"/>
    <x v="14"/>
    <m/>
  </r>
  <r>
    <d v="2026-04-15T00:00:00"/>
    <s v="https://www.etsy.com/ca/listing/4486216770/music-skills-loading-baby-romper?transaction_id=5038739451&amp;dd_referrer="/>
    <s v="cream"/>
    <s v="Cream"/>
    <s v="6-12M( SHORT-SLEEVE)"/>
    <s v="United States"/>
    <s v="Romper Short"/>
    <n v="4"/>
    <n v="16"/>
    <s v="Easter"/>
    <s v="6-12"/>
    <x v="47"/>
    <m/>
  </r>
  <r>
    <d v="2026-04-15T00:00:00"/>
    <s v="https://www.etsy.com/ca/listing/4376399899/the-littlest-book-club-member-baby?transaction_id=5039137937"/>
    <s v="sage green"/>
    <s v="Sage Green"/>
    <s v="3-6M(LONG -SLEEVE)"/>
    <s v="United States"/>
    <s v="Romper Longer"/>
    <n v="4"/>
    <n v="16"/>
    <s v="Easter"/>
    <s v="3-6"/>
    <x v="7"/>
    <m/>
  </r>
  <r>
    <d v="2026-04-15T00:00:00"/>
    <s v="https://www.etsy.com/ca/listing/4485619704/little-swiftie-baby-romper-taylor-fan?transaction_id=5028220264"/>
    <s v="dusty pink"/>
    <s v="Dusty Pink"/>
    <s v="3-6M(LONG -SLEEVE)"/>
    <s v="Australia"/>
    <s v="Romper Longer"/>
    <n v="4"/>
    <n v="16"/>
    <s v="Easter"/>
    <s v="3-6"/>
    <x v="8"/>
    <m/>
  </r>
  <r>
    <d v="2026-04-16T00:00:00"/>
    <s v="https://www.etsy.com/ca/listing/4330504400/embroidered-bicycle-baby-romper-born-to?transaction_id=5039492569"/>
    <s v="sage green"/>
    <s v="Sage Green"/>
    <s v="0-3M(LONG-SLEEVE)"/>
    <s v="Australia"/>
    <s v="Romper Longer"/>
    <n v="4"/>
    <n v="16"/>
    <s v="Easter"/>
    <s v="0-3"/>
    <x v="5"/>
    <m/>
  </r>
  <r>
    <d v="2026-04-16T00:00:00"/>
    <s v="https://www.etsy.com/ca/listing/4474903749/daddys-future-running-buddy-baby-romper?transaction_id=5028577582"/>
    <s v="caldet blue"/>
    <s v="Caldet Blue"/>
    <s v="3-6M(LONG -SLEEVE)"/>
    <s v="United Kingdom"/>
    <s v="Romper Longer"/>
    <n v="4"/>
    <n v="16"/>
    <s v="Easter"/>
    <s v="3-6"/>
    <x v="23"/>
    <m/>
  </r>
  <r>
    <d v="2026-04-16T00:00:00"/>
    <s v="https://www.etsy.com/ca/listing/4467445678/the-littlest-music-club-member-baby?transaction_id=5028650146"/>
    <s v="cream"/>
    <s v="Cream"/>
    <s v="3-6M(LONG -SLEEVE)"/>
    <s v="Australia"/>
    <s v="Romper Longer"/>
    <n v="4"/>
    <n v="16"/>
    <s v="Easter"/>
    <s v="3-6"/>
    <x v="1"/>
    <m/>
  </r>
  <r>
    <d v="2026-04-16T00:00:00"/>
    <s v="https://www.etsy.com/ca/listing/4467440237/the-littlest-coffee-club-member-baby?transaction_id=5040021663"/>
    <s v="salmon"/>
    <s v="Salmon"/>
    <s v="3-6M(LONG -SLEEVE)"/>
    <s v="United States"/>
    <s v="Romper Longer"/>
    <n v="4"/>
    <n v="16"/>
    <s v="Easter"/>
    <s v="3-6"/>
    <x v="49"/>
    <m/>
  </r>
  <r>
    <d v="2026-04-16T00:00:00"/>
    <s v="https://www.etsy.com/ca/listing/4467440237/the-littlest-coffee-club-member-baby?transaction_id=5040355363"/>
    <s v="cream"/>
    <s v="Cream"/>
    <s v="0-3M(SHORT -SLEEVE)"/>
    <s v="United States"/>
    <s v="Romper Short"/>
    <n v="4"/>
    <n v="16"/>
    <s v="Easter"/>
    <s v="0-3"/>
    <x v="15"/>
    <m/>
  </r>
  <r>
    <d v="2026-04-16T00:00:00"/>
    <s v="https://www.etsy.com/ca/listing/4379194627/new-to-the-farm-embroidered-romper-baby?transaction_id=5040537853&amp;dd_referrer="/>
    <s v=" cream"/>
    <s v=" Cream"/>
    <s v="0-3M(LONG-SLEEVE)"/>
    <s v="United States"/>
    <s v="Romper Longer"/>
    <n v="4"/>
    <n v="16"/>
    <s v="Easter"/>
    <s v="0-3"/>
    <x v="2"/>
    <m/>
  </r>
  <r>
    <d v="2026-04-16T00:00:00"/>
    <s v="https://www.etsy.com/ca/listing/4336900156/personalized-soccer-baby-romper?transaction_id=5018289530"/>
    <s v="forest green"/>
    <s v="Forest Green"/>
    <s v=" 6-12M(LONG-SLEEVE)"/>
    <s v="United States"/>
    <s v="Romper Longer"/>
    <n v="4"/>
    <n v="16"/>
    <s v="Easter"/>
    <s v="6-12"/>
    <x v="30"/>
    <m/>
  </r>
  <r>
    <d v="2026-04-16T00:00:00"/>
    <s v="https://www.etsy.com/ca/listing/4371125103/personalized-dog-baby-bodysuit-custom?transaction_id=5014462679"/>
    <s v="caldet blue"/>
    <s v="Caldet Blue"/>
    <s v="6-12M( SHORT-SLEEVE)"/>
    <s v="United States"/>
    <s v="Romper Short"/>
    <n v="4"/>
    <n v="16"/>
    <s v="Easter"/>
    <s v="6-12"/>
    <x v="63"/>
    <m/>
  </r>
  <r>
    <d v="2026-04-17T00:00:00"/>
    <s v="https://www.etsy.com/ca/listing/4330485404/cat-face-embroidered-baby-romper-funny?transaction_id=5040786827"/>
    <s v="forest green"/>
    <s v="Forest Green"/>
    <s v="3-6M(LONG -SLEEVE)"/>
    <s v="Germany"/>
    <s v="Romper Longer"/>
    <n v="4"/>
    <n v="16"/>
    <s v="Easter"/>
    <s v="3-6"/>
    <x v="4"/>
    <m/>
  </r>
  <r>
    <d v="2026-04-17T00:00:00"/>
    <s v="https://www.etsy.com/ca/listing/4482814958/first-mothers-day-together-baby-romper?transaction_id=5029774282"/>
    <s v="caldet blue"/>
    <s v="Caldet Blue"/>
    <s v="3-6M(LONG -SLEEVE"/>
    <s v="Australia"/>
    <s v="Romper Longer"/>
    <n v="4"/>
    <n v="16"/>
    <s v="Easter"/>
    <s v="3-6"/>
    <x v="23"/>
    <m/>
  </r>
  <r>
    <d v="2026-04-17T00:00:00"/>
    <s v="https://www.etsy.com/ca/listing/4371125103/personalized-dog-baby-bodysuit-custom?transaction_id=5040836145"/>
    <s v="cream"/>
    <s v="Cream"/>
    <s v="0-3M(SHORT -SLEEVE"/>
    <s v="Australia"/>
    <s v="Romper Short"/>
    <n v="4"/>
    <n v="16"/>
    <s v="Easter"/>
    <s v="0-3"/>
    <x v="15"/>
    <m/>
  </r>
  <r>
    <d v="2026-04-17T00:00:00"/>
    <s v="https://www.etsy.com/ca/listing/4467440237/the-littlest-coffee-club-member-baby?transaction_id=5029825508"/>
    <s v="cream"/>
    <s v="Cream"/>
    <s v="0-3M(LONG-SLEEVE"/>
    <s v="United States"/>
    <s v="Romper Longer"/>
    <n v="4"/>
    <n v="16"/>
    <s v="Easter"/>
    <s v="0-3"/>
    <x v="2"/>
    <m/>
  </r>
  <r>
    <d v="2026-04-17T00:00:00"/>
    <s v="https://www.etsy.com/ca/listing/4467440237/the-littlest-coffee-club-member-baby?transaction_id=5029952814"/>
    <s v="coffee"/>
    <s v="Coffee"/>
    <s v="0-3M(LONG-SLEEVE"/>
    <s v="United States"/>
    <s v="Romper Longer"/>
    <n v="4"/>
    <n v="16"/>
    <s v="Easter"/>
    <s v="0-3"/>
    <x v="28"/>
    <m/>
  </r>
  <r>
    <d v="2026-04-17T00:00:00"/>
    <s v="https://www.etsy.com/ca/listing/4330463387/embroidered-baby-romper-relax-mommy-is-a?transaction_id=5041019189"/>
    <s v="sage green"/>
    <s v="Sage Green"/>
    <s v="3-6M(LONG -SLEEVE)"/>
    <s v="United States"/>
    <s v="Romper Longer"/>
    <n v="4"/>
    <n v="16"/>
    <s v="Easter"/>
    <s v="3-6"/>
    <x v="7"/>
    <m/>
  </r>
  <r>
    <d v="2026-04-17T00:00:00"/>
    <s v="https://www.etsy.com/ca/listing/4333135410/little-pumpkin-baby-romper-fall?transaction_id=5041155095"/>
    <s v="cream"/>
    <s v="Cream"/>
    <s v="0-3M(LONG-SLEEVE)"/>
    <s v="United States"/>
    <s v="Romper Longer"/>
    <n v="4"/>
    <n v="16"/>
    <s v="Easter"/>
    <s v="0-3"/>
    <x v="2"/>
    <m/>
  </r>
  <r>
    <d v="2026-04-17T00:00:00"/>
    <s v="https://www.etsy.com/ca/listing/4392935796/box-box-for-fresh-diapers-embroidered?transaction_id=5030511698"/>
    <s v="white"/>
    <s v="White"/>
    <s v="0-3M(SHORT -SLEEVE)"/>
    <s v="United States"/>
    <s v="Romper Short"/>
    <n v="4"/>
    <n v="16"/>
    <s v="Easter"/>
    <s v="0-3"/>
    <x v="21"/>
    <m/>
  </r>
  <r>
    <d v="2026-04-17T00:00:00"/>
    <s v="https://www.etsy.com/ca/listing/4467440237/the-littlest-coffee-club-member-baby?transaction_id=5041695977"/>
    <s v="cream"/>
    <s v="Cream"/>
    <s v="0-3M(SHORT -SLEEVE)"/>
    <s v="United States"/>
    <s v="Romper Short"/>
    <n v="4"/>
    <n v="16"/>
    <s v="Easter"/>
    <s v="0-3"/>
    <x v="15"/>
    <m/>
  </r>
  <r>
    <d v="2026-04-17T00:00:00"/>
    <s v="https://www.etsy.com/ca/listing/4485619704/little-swiftie-baby-romper-taylor-fan?transaction_id=5041838827"/>
    <s v="dusty pink"/>
    <s v="Dusty Pink"/>
    <s v="3-6M(SHORT-SLEEVE)"/>
    <s v="United States"/>
    <s v="Romper Short"/>
    <n v="4"/>
    <n v="16"/>
    <s v="Easter"/>
    <s v="3-6"/>
    <x v="31"/>
    <m/>
  </r>
  <r>
    <d v="2026-04-18T00:00:00"/>
    <s v="https://www.etsy.com/ca/listing/4477332212/custom-name-music-baby-romper?transaction_id=5041991683"/>
    <s v="cream"/>
    <s v="Cream"/>
    <s v="3-6M(SHORT-SLEEVE)"/>
    <s v="The Netherlands"/>
    <s v="Romper Short"/>
    <n v="4"/>
    <n v="16"/>
    <s v="Easter"/>
    <s v="3-6"/>
    <x v="0"/>
    <m/>
  </r>
  <r>
    <d v="2026-04-18T00:00:00"/>
    <s v="https://www.etsy.com/ca/listing/4467440237/the-littlest-coffee-club-member-baby?transaction_id=5042101061"/>
    <s v="coffee"/>
    <s v="Coffee"/>
    <s v="3-6M(SHORT-SLEEVE)"/>
    <s v="United Kingdom"/>
    <s v="Romper Short"/>
    <n v="4"/>
    <n v="16"/>
    <s v="Easter"/>
    <s v="3-6"/>
    <x v="18"/>
    <m/>
  </r>
  <r>
    <d v="2026-04-18T00:00:00"/>
    <s v="https://www.etsy.com/ca/listing/4392936921/apparently-i-like-golf-embroidered?transaction_id=5042170019"/>
    <s v="cream"/>
    <s v="Cream"/>
    <s v="6-12M(LONG-SLEEVE)"/>
    <s v="Canada"/>
    <s v="Romper Longer"/>
    <n v="4"/>
    <n v="16"/>
    <s v="Easter"/>
    <s v="6-12"/>
    <x v="17"/>
    <m/>
  </r>
  <r>
    <d v="2026-04-18T00:00:00"/>
    <s v="https://www.etsy.com/ca/listing/4379194627/new-to-the-farm-embroidered-romper-baby?transaction_id=5031014780"/>
    <s v="dusty pink"/>
    <s v="Dusty Pink"/>
    <s v="3-6M(SHORT-SLEEVE)"/>
    <s v="Switzerland"/>
    <s v="Romper Short"/>
    <n v="4"/>
    <n v="16"/>
    <s v="Easter"/>
    <s v="3-6"/>
    <x v="31"/>
    <m/>
  </r>
  <r>
    <d v="2026-04-18T00:00:00"/>
    <s v="https://www.etsy.com/ca/listing/4467440237/the-littlest-coffee-club-member-baby?transaction_id=5031154556"/>
    <s v="sage green"/>
    <s v="Sage Green"/>
    <s v="0-3M(LONG-SLEEVE)"/>
    <s v="Canada"/>
    <s v="Romper Longer"/>
    <n v="4"/>
    <n v="16"/>
    <s v="Easter"/>
    <s v="0-3"/>
    <x v="5"/>
    <m/>
  </r>
  <r>
    <d v="2026-04-18T00:00:00"/>
    <s v="https://www.etsy.com/ca/listing/4376399899/the-littlest-book-club-member-baby?transaction_id=5042512311"/>
    <s v="sage green"/>
    <s v="Sage Green"/>
    <s v="6-12M( SHORT-SLEEVE)"/>
    <s v="United States"/>
    <s v="Romper Short"/>
    <n v="4"/>
    <n v="16"/>
    <s v="Easter"/>
    <s v="6-12"/>
    <x v="19"/>
    <m/>
  </r>
  <r>
    <d v="2026-04-18T00:00:00"/>
    <s v="https://www.etsy.com/ca/listing/4347895283/football-baby-bodysuit-dont-fumble-me?transaction_id=5031399846"/>
    <s v="cream"/>
    <s v="Cream"/>
    <s v="18-24M(LONGT SLEEVE)"/>
    <s v="United States"/>
    <s v="Romper Longer"/>
    <n v="4"/>
    <n v="16"/>
    <s v="Easter"/>
    <s v="18-24"/>
    <x v="55"/>
    <m/>
  </r>
  <r>
    <d v="2026-04-18T00:00:00"/>
    <s v="https://www.etsy.com/ca/listing/4330474831/embroidered-hedgehog-baby-bodysuit?transaction_id=5031496618"/>
    <s v="cream"/>
    <s v="Cream"/>
    <s v="0-3M(LONG-SLEEVE)"/>
    <s v="France"/>
    <s v="Romper Longer"/>
    <n v="4"/>
    <n v="16"/>
    <s v="Easter"/>
    <s v="0-3"/>
    <x v="2"/>
    <m/>
  </r>
  <r>
    <d v="2026-04-18T00:00:00"/>
    <s v="https://www.etsy.com/ca/listing/4376389783/player-2-baby-romper-gamer-baby-outfit?transaction_id=5043047507"/>
    <s v="salmon"/>
    <s v="Salmon"/>
    <s v="3-6M(LONG -SLEEVE)"/>
    <s v="United States"/>
    <s v="Romper Longer"/>
    <n v="4"/>
    <n v="16"/>
    <s v="Easter"/>
    <s v="3-6"/>
    <x v="49"/>
    <m/>
  </r>
  <r>
    <d v="2026-04-18T00:00:00"/>
    <s v="https://www.etsy.com/ca/listing/4330479964/personalized-fox-baby-bodysuit-custom?transaction_id=5043047503"/>
    <s v="cream"/>
    <s v="Cream"/>
    <s v="0-3M(LONG-SLEEVE)"/>
    <s v="United States"/>
    <s v="Romper Longer"/>
    <n v="4"/>
    <n v="16"/>
    <s v="Easter"/>
    <s v="0-3"/>
    <x v="2"/>
    <m/>
  </r>
  <r>
    <d v="2026-04-18T00:00:00"/>
    <s v="https://www.etsy.com/ca/listing/4376399899/the-littlest-book-club-member-baby?transaction_id=5031853806"/>
    <s v=" sage green"/>
    <s v=" Sage Green"/>
    <s v="3-6M(LONG -SLEEVE)"/>
    <s v="United States"/>
    <s v="Romper Longer"/>
    <n v="4"/>
    <n v="16"/>
    <s v="Easter"/>
    <s v="3-6"/>
    <x v="7"/>
    <m/>
  </r>
  <r>
    <d v="2026-04-18T00:00:00"/>
    <s v="https://www.etsy.com/ca/listing/4343133641/golf-skills-loading-embroidered-baby?transaction_id=5043260207"/>
    <s v=" cream"/>
    <s v=" Cream"/>
    <s v=" 0-3M(SHORT -SLEEVE)"/>
    <s v="Australia"/>
    <s v="Romper Short"/>
    <n v="4"/>
    <n v="16"/>
    <s v="Easter"/>
    <s v="0-3"/>
    <x v="15"/>
    <m/>
  </r>
  <r>
    <d v="2026-04-18T00:00:00"/>
    <s v="https://www.etsy.com/ca/listing/4482810867/custom-name-first-mothers-day-baby?transaction_id=5043266585"/>
    <s v="cream"/>
    <s v="Cream"/>
    <s v="3-6M(LONG -SLEEVE)"/>
    <s v="Australia"/>
    <s v="Romper Longer"/>
    <n v="4"/>
    <n v="16"/>
    <s v="Easter"/>
    <s v="3-6"/>
    <x v="1"/>
    <m/>
  </r>
  <r>
    <d v="2026-04-18T00:00:00"/>
    <s v="https://www.etsy.com/ca/listing/4330488178/embroidered-golf-baby-romper-new-to-the?transaction_id=5032125592"/>
    <s v="dusty pink"/>
    <s v="Dusty Pink"/>
    <s v="0-3M(SHORT -SLEEVE)"/>
    <s v="United States"/>
    <s v="Romper Short"/>
    <n v="4"/>
    <n v="16"/>
    <s v="Easter"/>
    <s v="0-3"/>
    <x v="34"/>
    <m/>
  </r>
  <r>
    <d v="2026-04-18T00:00:00"/>
    <s v="https://www.etsy.com/ca/listing/4471141630/crawl-walk-hockey-baby-romper-hockey?transaction_id=5043947667"/>
    <s v="cream"/>
    <s v="Cream"/>
    <s v="6-12M(LONG-SLEEVE)"/>
    <s v="United States"/>
    <s v="Romper Longer"/>
    <n v="4"/>
    <n v="16"/>
    <s v="Easter"/>
    <s v="6-12"/>
    <x v="17"/>
    <m/>
  </r>
  <r>
    <d v="2026-04-18T00:00:00"/>
    <s v="https://www.etsy.com/ca/listing/4485619704/little-swiftie-baby-romper-taylor-fan?transaction_id=5044057435"/>
    <s v="dusty pink"/>
    <s v="Dusty Pink"/>
    <s v="3-6M(SHORT-SLEEVE)"/>
    <s v="United Kingdom"/>
    <s v="Romper Short"/>
    <n v="4"/>
    <n v="16"/>
    <s v="Easter"/>
    <s v="3-6"/>
    <x v="31"/>
    <m/>
  </r>
  <r>
    <d v="2026-04-19T00:00:00"/>
    <s v="https://www.etsy.com/ca/listing/4467451258/the-littlest-tennis-club-member-baby?transaction_id=5044587249"/>
    <s v="cream"/>
    <s v="Cream"/>
    <s v="0-3M(LONG-SLEEVE)"/>
    <s v="Australia"/>
    <s v="Romper Longer"/>
    <n v="4"/>
    <n v="17"/>
    <s v="Easter"/>
    <s v="0-3"/>
    <x v="2"/>
    <m/>
  </r>
  <r>
    <d v="2026-04-19T00:00:00"/>
    <s v="https://www.etsy.com/ca/listing/4346126210/daddys-future-lifting-buddy-romper-baby?transaction_id=5033237526"/>
    <s v="cream"/>
    <s v="Cream"/>
    <s v="3-6M(LONG -SLEEVE)"/>
    <s v="United States"/>
    <s v="Romper Longer"/>
    <n v="4"/>
    <n v="17"/>
    <s v="Easter"/>
    <s v="3-6"/>
    <x v="1"/>
    <m/>
  </r>
  <r>
    <d v="2026-04-19T00:00:00"/>
    <s v="https://www.etsy.com/ca/listing/4392932100/born-to-ride-with-my-daddy-embroidered?transaction_id=5033539730"/>
    <s v="cream"/>
    <s v="Cream"/>
    <s v="6-12M(LONG-SLEEVE)"/>
    <s v="Germany"/>
    <s v="Romper Longer"/>
    <n v="4"/>
    <n v="17"/>
    <s v="Easter"/>
    <s v="6-12"/>
    <x v="17"/>
    <m/>
  </r>
  <r>
    <d v="2026-04-19T00:00:00"/>
    <s v="https://www.etsy.com/ca/listing/4471141028/custom-name-embroidered-romper-i-love-my?transaction_id=5034179714"/>
    <s v="cream"/>
    <s v="Cream"/>
    <s v="3-6M(SHORT-SLEEVE)"/>
    <s v="United States"/>
    <s v="Romper Short"/>
    <n v="4"/>
    <n v="17"/>
    <s v="Easter"/>
    <s v="3-6"/>
    <x v="0"/>
    <m/>
  </r>
  <r>
    <d v="2026-04-19T00:00:00"/>
    <s v="https://www.etsy.com/ca/listing/4467440237/the-littlest-coffee-club-member-baby?transaction_id=5045249557"/>
    <s v="caldet blue"/>
    <s v="Caldet Blue"/>
    <s v="6-12M( SHORT-SLEEVE)"/>
    <s v="United States"/>
    <s v="Romper Short"/>
    <n v="4"/>
    <n v="17"/>
    <s v="Easter"/>
    <s v="6-12"/>
    <x v="63"/>
    <m/>
  </r>
  <r>
    <d v="2026-04-19T00:00:00"/>
    <s v="https://www.etsy.com/ca/listing/4376399899/the-littlest-book-club-member-baby?transaction_id=5034078566"/>
    <s v="caldet blue"/>
    <s v="Caldet Blue"/>
    <s v="6-12M(LONG-SLEEVE)"/>
    <s v="United States"/>
    <s v="Romper Longer"/>
    <n v="4"/>
    <n v="17"/>
    <s v="Easter"/>
    <s v="6-12"/>
    <x v="25"/>
    <m/>
  </r>
  <r>
    <d v="2026-04-19T00:00:00"/>
    <s v="https://www.etsy.com/ca/listing/4376392339/funny-baby-romper-my-brand-of-formula?transaction_id=5034094704"/>
    <s v="white"/>
    <s v="White"/>
    <s v="0-3M(SHORT -SLEEVE)"/>
    <s v="United States"/>
    <s v="Romper Short"/>
    <n v="4"/>
    <n v="17"/>
    <s v="Easter"/>
    <s v="0-3"/>
    <x v="21"/>
    <m/>
  </r>
  <r>
    <d v="2026-04-19T00:00:00"/>
    <s v="https://www.etsy.com/ca/listing/4330488178/embroidered-golf-baby-romper-new-to-the?transaction_id=5045751699"/>
    <s v="cream"/>
    <s v="Cream"/>
    <s v="0-3M(LONG-SLEEVE)"/>
    <s v="United States"/>
    <s v="Romper Longer"/>
    <n v="4"/>
    <n v="17"/>
    <s v="Easter"/>
    <s v="0-3"/>
    <x v="2"/>
    <m/>
  </r>
  <r>
    <d v="2026-04-20T00:00:00"/>
    <s v="https://www.etsy.com/ca/listing/4485619704/little-swiftie-baby-romper-taylor-fan?transaction_id=5046071005"/>
    <s v="dusty pink"/>
    <s v="Dusty Pink"/>
    <s v="3-6M(LONG -SLEEVE)"/>
    <s v="United States"/>
    <s v="Romper Longer"/>
    <n v="4"/>
    <n v="17"/>
    <s v="Easter"/>
    <s v="3-6"/>
    <x v="8"/>
    <m/>
  </r>
  <r>
    <d v="2026-04-20T00:00:00"/>
    <s v="https://www.etsy.com/ca/listing/4330504943/embroidered-tennis-baby-romper-daddys?transaction_id=5034447822"/>
    <s v="cream"/>
    <s v="Cream"/>
    <s v="3-6M(LONG -SLEEVE)"/>
    <s v="Germany"/>
    <s v="Romper Longer"/>
    <n v="4"/>
    <n v="17"/>
    <s v="Easter"/>
    <s v="3-6"/>
    <x v="1"/>
    <m/>
  </r>
  <r>
    <d v="2026-04-20T00:00:00"/>
    <s v="https://www.etsy.com/ca/listing/4467440237/the-littlest-coffee-club-member-baby?transaction_id=5046495771"/>
    <s v="sage green"/>
    <s v="Sage Green"/>
    <s v="3-6M(LONG -SLEEVE)"/>
    <s v="Canada"/>
    <s v="Romper Longer"/>
    <n v="4"/>
    <n v="17"/>
    <s v="Easter"/>
    <s v="3-6"/>
    <x v="7"/>
    <m/>
  </r>
  <r>
    <d v="2026-04-20T00:00:00"/>
    <s v="https://www.etsy.com/ca/listing/4376389783/player-2-baby-romper-gamer-baby-outfit?transaction_id=5046670253"/>
    <s v="cream"/>
    <s v="Cream"/>
    <s v="0-3M(SHORT -SLEEVE)"/>
    <s v="United States"/>
    <s v="Romper Short"/>
    <n v="4"/>
    <n v="17"/>
    <s v="Easter"/>
    <s v="0-3"/>
    <x v="15"/>
    <m/>
  </r>
  <r>
    <d v="2026-04-20T00:00:00"/>
    <s v="https://www.etsy.com/ca/listing/4333134764/wizard-font-baby-romper-personalized?transaction_id=4925553009"/>
    <s v="caldet blue"/>
    <s v="Caldet Blue"/>
    <s v="12-18 months(SHORT-SLEEVE)"/>
    <s v="Canada"/>
    <s v="Romper Short"/>
    <n v="4"/>
    <n v="17"/>
    <s v="Easter"/>
    <s v="12-18"/>
    <x v="72"/>
    <m/>
  </r>
  <r>
    <d v="2026-04-21T00:00:00"/>
    <s v="https://www.etsy.com/ca/listing/4392932100/born-to-ride-with-my-daddy-embroidered?transaction_id=5035542520"/>
    <s v="watermelon"/>
    <s v="Watermelon"/>
    <s v="3-6M(LONG -SLEEVE)"/>
    <s v="Germany"/>
    <s v="Romper Longer"/>
    <n v="4"/>
    <n v="17"/>
    <s v="Easter"/>
    <s v="3-6"/>
    <x v="20"/>
    <m/>
  </r>
  <r>
    <d v="2026-04-21T00:00:00"/>
    <s v="https://www.etsy.com/ca/listing/4346126210/daddys-future-lifting-buddy-romper-baby?transaction_id=5047639849"/>
    <s v="white"/>
    <s v="White"/>
    <s v="0-3M(LONG-SLEEVE)"/>
    <s v="Germany"/>
    <s v="Romper Longer"/>
    <n v="4"/>
    <n v="17"/>
    <s v="Easter"/>
    <s v="0-3"/>
    <x v="54"/>
    <m/>
  </r>
  <r>
    <d v="2026-04-21T00:00:00"/>
    <s v="https://www.etsy.com/ca/listing/4467451258/the-littlest-tennis-club-member-baby?transaction_id=5047879613"/>
    <s v="cream"/>
    <s v="Cream"/>
    <s v="6-12M( SHORT-SLEEVE)"/>
    <s v="Germany"/>
    <s v="Romper Short"/>
    <n v="4"/>
    <n v="17"/>
    <s v="Easter"/>
    <s v="6-12"/>
    <x v="47"/>
    <m/>
  </r>
  <r>
    <d v="2026-04-21T00:00:00"/>
    <s v="https://www.etsy.com/ca/listing/4376389783/player-2-baby-romper-gamer-baby-outfit?transaction_id=5036003110"/>
    <s v="caldet blue"/>
    <s v="Caldet Blue"/>
    <s v=" 6-12M(LONG-SLEEVE)"/>
    <s v="United States"/>
    <s v="Romper Longer"/>
    <n v="4"/>
    <n v="17"/>
    <s v="Easter"/>
    <s v="6-12"/>
    <x v="25"/>
    <m/>
  </r>
  <r>
    <d v="2026-04-21T00:00:00"/>
    <s v="https://www.etsy.com/ca/listing/4392932100/born-to-ride-with-my-daddy-embroidered?transaction_id=5048301987"/>
    <s v="cream"/>
    <s v="Cream"/>
    <s v="6-12M( SHORT-SLEEVE)"/>
    <s v="United States"/>
    <s v="Romper Short"/>
    <n v="4"/>
    <n v="17"/>
    <s v="Easter"/>
    <s v="6-12"/>
    <x v="47"/>
    <m/>
  </r>
  <r>
    <d v="2026-04-21T00:00:00"/>
    <s v="https://www.etsy.com/ca/listing/4330504943/embroidered-tennis-baby-romper-daddys?transaction_id=5036592608"/>
    <s v="white"/>
    <s v="White"/>
    <s v="3-6M(LONG -SLEEVE)"/>
    <s v="Saudi Arabia"/>
    <s v="Romper Longer"/>
    <n v="4"/>
    <n v="17"/>
    <s v="Easter"/>
    <s v="3-6"/>
    <x v="70"/>
    <m/>
  </r>
  <r>
    <d v="2026-04-22T00:00:00"/>
    <s v="https://www.etsy.com/ca/listing/4346126210/daddys-future-lifting-buddy-romper-baby?transaction_id=5036712120"/>
    <s v="sage green"/>
    <s v="Sage Green"/>
    <s v="3-6M(LONG -SLEEVE)"/>
    <s v="Switzerland"/>
    <s v="Romper Longer"/>
    <n v="4"/>
    <n v="17"/>
    <s v="Easter"/>
    <s v="3-6"/>
    <x v="7"/>
    <m/>
  </r>
  <r>
    <d v="2026-04-22T00:00:00"/>
    <s v="https://www.etsy.com/ca/listing/4392932100/born-to-ride-with-my-daddy-embroidered?transaction_id=5036886088"/>
    <s v="cream"/>
    <s v="Cream"/>
    <s v="3-6M(LONG -SLEEVE)"/>
    <s v="Norway"/>
    <s v="Romper Longer"/>
    <n v="4"/>
    <n v="17"/>
    <s v="Easter"/>
    <s v="3-6"/>
    <x v="1"/>
    <m/>
  </r>
  <r>
    <d v="2026-04-22T00:00:00"/>
    <s v="https://www.etsy.com/ca/listing/4376399899/the-littlest-book-club-member-baby?transaction_id=5049067587"/>
    <s v="sage green"/>
    <s v="Sage Green"/>
    <s v="0-3M(SHORT -SLEEVE)"/>
    <s v="United States"/>
    <s v="Romper Short"/>
    <n v="4"/>
    <n v="17"/>
    <s v="Easter"/>
    <s v="0-3"/>
    <x v="13"/>
    <m/>
  </r>
  <r>
    <d v="2026-04-22T00:00:00"/>
    <s v="https://www.etsy.com/ca/listing/4330489800/personalized-badminton-baby-romper?transaction_id=5037790240"/>
    <s v="cream"/>
    <s v="Cream"/>
    <s v="3-6M(SHORT-SLEEVE)"/>
    <s v="Germany"/>
    <s v="Romper Short"/>
    <n v="4"/>
    <n v="17"/>
    <s v="Easter"/>
    <s v="3-6"/>
    <x v="0"/>
    <m/>
  </r>
  <r>
    <d v="2026-04-23T00:00:00"/>
    <s v="https://www.etsy.com/ca/listing/4376399899/the-littlest-book-club-member-baby?transaction_id=5050267047"/>
    <s v="cream"/>
    <s v="Cream"/>
    <s v="0-3M(LONG-SLEEVE)"/>
    <s v="Australia"/>
    <s v="Romper Longer"/>
    <n v="4"/>
    <n v="17"/>
    <s v="Easter"/>
    <s v="0-3"/>
    <x v="2"/>
    <m/>
  </r>
  <r>
    <d v="2026-04-23T00:00:00"/>
    <s v="https://www.etsy.com/ca/listing/4471139539/daddys-future-hunting-buddy-baby-romper?transaction_id=5038052938"/>
    <s v="watermelon"/>
    <s v="Watermelon"/>
    <s v="3-6M(SHORT-SLEEVE)"/>
    <s v="United States"/>
    <s v="Romper Short"/>
    <n v="4"/>
    <n v="17"/>
    <s v="Easter"/>
    <s v="3-6"/>
    <x v="39"/>
    <m/>
  </r>
  <r>
    <d v="2026-04-23T00:00:00"/>
    <s v="https://www.etsy.com/ca/listing/4467450860/the-littlest-camping-club-member-baby?transaction_id=5038105604"/>
    <s v="cream"/>
    <s v="Cream"/>
    <s v="6-12M(LONG-SLEEVE)"/>
    <s v="Canada"/>
    <s v="Romper Longer"/>
    <n v="4"/>
    <n v="17"/>
    <s v="Easter"/>
    <s v="6-12"/>
    <x v="17"/>
    <m/>
  </r>
  <r>
    <d v="2026-04-23T00:00:00"/>
    <s v="https://www.etsy.com/ca/listing/4467446644/the-littlest-baking-club-member-baby?transaction_id=5050668245"/>
    <s v="cream"/>
    <s v="Cream"/>
    <s v="0-3M(LONG-SLEEVE)"/>
    <s v="Canada"/>
    <s v="Romper Longer"/>
    <n v="4"/>
    <n v="17"/>
    <s v="Easter"/>
    <s v="0-3"/>
    <x v="2"/>
    <m/>
  </r>
  <r>
    <d v="2026-04-23T00:00:00"/>
    <s v="https://www.etsy.com/ca/listing/4376389783/player-2-baby-romper-gamer-baby-outfit?transaction_id=5050737861"/>
    <s v="coffee"/>
    <s v="Coffee"/>
    <s v="0-3M(LONG-SLEEVE)"/>
    <s v="Canada"/>
    <s v="Romper Longer"/>
    <n v="4"/>
    <n v="17"/>
    <s v="Easter"/>
    <s v="0-3"/>
    <x v="28"/>
    <m/>
  </r>
  <r>
    <d v="2026-04-23T00:00:00"/>
    <s v="https://www.etsy.com/ca/listing/4473754692/custom-name-embroidered-romper-fishing?transaction_id=5050971709"/>
    <s v="white"/>
    <s v="White"/>
    <s v="12-18M(LONG-SLEEVE)"/>
    <s v="Canada"/>
    <s v="Romper Longer"/>
    <n v="4"/>
    <n v="17"/>
    <s v="Easter"/>
    <s v="12-18"/>
    <x v="73"/>
    <m/>
  </r>
  <r>
    <d v="2026-04-23T00:00:00"/>
    <s v="https://www.etsy.com/ca/listing/4467449868/the-littlest-garden-club-member-baby?transaction_id=5038691222"/>
    <s v="cream"/>
    <s v="Cream"/>
    <s v="0-3M(SHORT -SLEEVE)"/>
    <s v="United States"/>
    <s v="Romper Short"/>
    <n v="4"/>
    <n v="17"/>
    <s v="Easter"/>
    <s v="0-3"/>
    <x v="15"/>
    <m/>
  </r>
  <r>
    <d v="2026-04-23T00:00:00"/>
    <s v="https://www.etsy.com/ca/listing/4336899579/personalized-basketball-baby-romper?transaction_id=5051363287"/>
    <s v="dusty pink"/>
    <s v="Dusty Pink"/>
    <s v="3-6M(LONG -SLEEVE)"/>
    <s v="Canada"/>
    <s v="Romper Longer"/>
    <n v="4"/>
    <n v="17"/>
    <s v="Easter"/>
    <s v="3-6"/>
    <x v="8"/>
    <m/>
  </r>
  <r>
    <d v="2026-04-23T00:00:00"/>
    <s v="https://www.etsy.com/ca/listing/4469531325/happy-hour-with-uncle-mike-baby-romper?transaction_id=5038901920"/>
    <s v="cream"/>
    <s v="Cream"/>
    <s v="6-12M(LONG-SLEEVE)"/>
    <s v="United States"/>
    <s v="Romper Longer"/>
    <n v="4"/>
    <n v="17"/>
    <s v="Easter"/>
    <s v="6-12"/>
    <x v="17"/>
    <m/>
  </r>
  <r>
    <d v="2026-04-23T00:00:00"/>
    <s v="https://www.etsy.com/ca/listing/4487705892/i-love-my-aunties-embroidered-baby?transaction_id=5038901918"/>
    <s v="sage green"/>
    <s v="Sage Green"/>
    <s v="6-12M(LONG-SLEEVE)"/>
    <s v="United States"/>
    <s v="Romper Longer"/>
    <n v="4"/>
    <n v="17"/>
    <s v="Easter"/>
    <s v="6-12"/>
    <x v="3"/>
    <m/>
  </r>
  <r>
    <d v="2026-04-24T00:00:00"/>
    <s v="https://www.etsy.com/ca/listing/4376399899/the-littlest-book-club-member-baby?transaction_id=5039407298"/>
    <s v="forest green"/>
    <s v="Forest Green"/>
    <s v="0-3M(LONG-SLEEVE)"/>
    <s v="United Kingdom"/>
    <s v="Romper Longer"/>
    <n v="4"/>
    <n v="17"/>
    <s v="Easter"/>
    <s v="0-3"/>
    <x v="41"/>
    <m/>
  </r>
  <r>
    <d v="2026-04-24T00:00:00"/>
    <s v="https://www.etsy.com/ca/listing/4477322429/little-schmear-bagel-baby-romper-cute?transaction_id=5052043539"/>
    <s v="salmon"/>
    <s v="Salmon"/>
    <s v="3-6M(LONG -SLEEVE)"/>
    <s v="United States"/>
    <s v="Romper Longer"/>
    <n v="4"/>
    <n v="17"/>
    <s v="Easter"/>
    <s v="3-6"/>
    <x v="49"/>
    <m/>
  </r>
  <r>
    <d v="2026-04-24T00:00:00"/>
    <s v="https://www.etsy.com/ca/listing/4477329625/custom-name-baseball-baby-romper?transaction_id=5052249165"/>
    <s v="cream"/>
    <s v="Cream"/>
    <s v="12-18M(LONG-SLEEVE)"/>
    <s v="Canada"/>
    <s v="Romper Longer"/>
    <n v="4"/>
    <n v="17"/>
    <s v="Easter"/>
    <s v="12-18"/>
    <x v="53"/>
    <m/>
  </r>
  <r>
    <d v="2026-04-24T00:00:00"/>
    <s v="https://www.etsy.com/ca/listing/4467452578/the-littlest-pickleball-club-member-baby?transaction_id=5039769144"/>
    <s v="dusty pink"/>
    <s v="Dusty Pink"/>
    <s v="3-6M(LONG -SLEEVE)"/>
    <s v="United States"/>
    <s v="Romper Longer"/>
    <n v="4"/>
    <n v="17"/>
    <s v="Easter"/>
    <s v="3-6"/>
    <x v="8"/>
    <m/>
  </r>
  <r>
    <d v="2026-04-24T00:00:00"/>
    <s v="https://www.etsy.com/ca/listing/4478460281/hunting-baby-romper-embroidered-outfit?transaction_id=5040029316"/>
    <s v="dusty pink"/>
    <s v="Dusty Pink"/>
    <s v="3-6M(LONG -SLEEVE)"/>
    <s v="United States"/>
    <s v="Romper Longer"/>
    <n v="4"/>
    <n v="17"/>
    <s v="Easter"/>
    <s v="3-6"/>
    <x v="8"/>
    <m/>
  </r>
  <r>
    <d v="2026-04-25T00:00:00"/>
    <s v="https://www.etsy.com/ca/listing/4330504943/embroidered-tennis-baby-romper-daddys?transaction_id=5040142934"/>
    <s v="cream"/>
    <s v="Cream"/>
    <s v="0-3M(LONG-SLEEVE)"/>
    <s v="Germany"/>
    <s v="Romper Longer"/>
    <n v="4"/>
    <n v="17"/>
    <s v="Easter"/>
    <s v="0-3"/>
    <x v="2"/>
    <m/>
  </r>
  <r>
    <d v="2026-04-25T00:00:00"/>
    <s v="https://www.etsy.com/ca/listing/4392932100/born-to-ride-with-my-daddy-embroidered?transaction_id=5040352358"/>
    <s v="white"/>
    <s v="White"/>
    <s v="6-12M(LONG-SLEEVE)"/>
    <s v="Germany"/>
    <s v="Romper Longer"/>
    <n v="4"/>
    <n v="17"/>
    <s v="Easter"/>
    <s v="6-12"/>
    <x v="46"/>
    <m/>
  </r>
  <r>
    <d v="2026-04-25T00:00:00"/>
    <s v="https://www.etsy.com/ca/listing/4376399899/the-littlest-book-club-member-baby?transaction_id=5053093079"/>
    <s v="sage green"/>
    <s v="Sage Green"/>
    <s v="12-18M(LONG-SLEEVE)"/>
    <s v="United States"/>
    <s v="Romper Longer"/>
    <n v="4"/>
    <n v="17"/>
    <s v="Easter"/>
    <s v="12-18"/>
    <x v="22"/>
    <m/>
  </r>
  <r>
    <d v="2026-04-25T00:00:00"/>
    <s v="https://www.etsy.com/ca/listing/4467446644/the-littlest-baking-club-member-baby?transaction_id=5040446520"/>
    <s v="cream"/>
    <s v="Cream"/>
    <s v="3-6M(SHORT-SLEEVE)"/>
    <s v="United Kingdom"/>
    <s v="Romper Short"/>
    <n v="4"/>
    <n v="17"/>
    <s v="Easter"/>
    <s v="3-6"/>
    <x v="0"/>
    <m/>
  </r>
  <r>
    <d v="2026-04-25T00:00:00"/>
    <s v="https://www.etsy.com/ca/listing/4376392339/funny-baby-romper-my-brand-of-formula?transaction_id=5053413727"/>
    <s v="cream"/>
    <s v="Cream"/>
    <s v="3-6M(LONG -SLEEVE)"/>
    <s v="Hong Kong"/>
    <s v="Romper Longer"/>
    <n v="4"/>
    <n v="17"/>
    <s v="Easter"/>
    <s v="3-6"/>
    <x v="1"/>
    <m/>
  </r>
  <r>
    <d v="2026-04-25T00:00:00"/>
    <s v="https://www.etsy.com/ca/listing/4336899579/personalized-basketball-baby-romper?transaction_id=5053443929"/>
    <s v="cream"/>
    <s v="Cream"/>
    <s v="3-6M(SHORT-SLEEVE)"/>
    <s v="Germany"/>
    <s v="Romper Short"/>
    <n v="4"/>
    <n v="17"/>
    <s v="Easter"/>
    <s v="3-6"/>
    <x v="0"/>
    <m/>
  </r>
  <r>
    <d v="2026-04-25T00:00:00"/>
    <s v="https://www.etsy.com/ca/listing/4330488178/embroidered-golf-baby-romper-new-to-the?transaction_id=5040950094"/>
    <s v="sage green"/>
    <s v="Sage Green"/>
    <s v="3-6M(SHORT-SLEEVE)"/>
    <s v="United States"/>
    <s v="Romper Short"/>
    <n v="4"/>
    <n v="17"/>
    <s v="Easter"/>
    <s v="3-6"/>
    <x v="24"/>
    <m/>
  </r>
  <r>
    <d v="2026-04-25T00:00:00"/>
    <s v="https://www.etsy.com/ca/listing/4471139539/daddys-future-hunting-buddy-baby-romper?transaction_id=5053802929"/>
    <s v="caldet blue"/>
    <s v="Caldet Blue"/>
    <s v="3-6M(LONG -SLEEVE)"/>
    <s v="United States"/>
    <s v="Romper Longer"/>
    <n v="4"/>
    <n v="17"/>
    <s v="Easter"/>
    <s v="3-6"/>
    <x v="23"/>
    <m/>
  </r>
  <r>
    <d v="2026-04-25T00:00:00"/>
    <s v="https://www.etsy.com/ca/listing/4372357398/personalized-hunting-baby-romper-custom?transaction_id=5040998376"/>
    <s v="sage green"/>
    <s v="Sage Green"/>
    <s v="12-18M(SHORT-SLEEVE)"/>
    <s v="United States"/>
    <s v="Romper Short"/>
    <n v="4"/>
    <n v="17"/>
    <s v="Easter"/>
    <s v="12-18"/>
    <x v="74"/>
    <m/>
  </r>
  <r>
    <d v="2026-04-25T00:00:00"/>
    <s v="https://www.etsy.com/ca/listing/4376399899/the-littlest-book-club-member-baby?transaction_id=5041052724"/>
    <s v="sage green"/>
    <s v="Sage Green"/>
    <s v="0-3M(SHORT -SLEEVE)"/>
    <s v="Canada"/>
    <s v="Romper Short"/>
    <n v="4"/>
    <n v="17"/>
    <s v="Easter"/>
    <s v="0-3"/>
    <x v="13"/>
    <m/>
  </r>
  <r>
    <d v="2026-04-25T00:00:00"/>
    <s v="https://www.etsy.com/ca/listing/4376392339/funny-baby-romper-my-brand-of-formula?transaction_id=5053413727"/>
    <s v="cream"/>
    <s v="Cream"/>
    <s v="3-6M(SHORT-SLEEVE)"/>
    <s v="United States"/>
    <s v="Romper Short"/>
    <n v="4"/>
    <n v="17"/>
    <s v="Easter"/>
    <s v="3-6"/>
    <x v="0"/>
    <m/>
  </r>
  <r>
    <d v="2026-04-26T00:00:00"/>
    <s v="https://www.etsy.com/ca/listing/4376399899/the-littlest-book-club-member-baby?transaction_id=5041052724"/>
    <s v="coffee"/>
    <s v="Coffee"/>
    <s v="6-12M( SHORT-SLEEVE)"/>
    <s v="United States"/>
    <s v="Romper Short"/>
    <n v="4"/>
    <n v="18"/>
    <s v="Easter"/>
    <s v="6-12"/>
    <x v="64"/>
    <m/>
  </r>
  <r>
    <d v="2026-04-26T00:00:00"/>
    <s v="https://www.etsy.com/ca/listing/4467451258/the-littlest-tennis-club-member-baby?transaction_id=5054421287"/>
    <s v="dusty pink"/>
    <s v="Dusty Pink"/>
    <s v="3-6M(LONG -SLEEVE)"/>
    <s v="United States"/>
    <s v="Romper Longer"/>
    <n v="4"/>
    <n v="18"/>
    <s v="Easter"/>
    <s v="3-6"/>
    <x v="8"/>
    <m/>
  </r>
  <r>
    <d v="2026-04-26T00:00:00"/>
    <s v="https://www.etsy.com/ca/listing/4376399899/the-littlest-book-club-member-baby?transaction_id=5041052724"/>
    <s v="forest green"/>
    <s v="Forest Green"/>
    <s v="3-6M(SHORT-SLEEVE)"/>
    <s v="United States"/>
    <s v="Romper Short"/>
    <n v="4"/>
    <n v="18"/>
    <s v="Easter"/>
    <s v="3-6"/>
    <x v="6"/>
    <m/>
  </r>
  <r>
    <d v="2026-04-26T00:00:00"/>
    <s v="https://www.etsy.com/ca/listing/4376399899/the-littlest-book-club-member-baby?transaction_id=5041052724"/>
    <s v="sage green"/>
    <s v="Sage Green"/>
    <s v="6-12M( SHORT-SLEEVE)"/>
    <s v="United States"/>
    <s v="Romper Short"/>
    <n v="4"/>
    <n v="18"/>
    <s v="Easter"/>
    <s v="6-12"/>
    <x v="19"/>
    <m/>
  </r>
  <r>
    <d v="2026-04-26T00:00:00"/>
    <s v="https://www.etsy.com/ca/listing/4376399899/the-littlest-book-club-member-baby?transaction_id=5042513010"/>
    <s v="dusty pink"/>
    <s v="Dusty Pink"/>
    <s v="6-12M(LONG-SLEEVE)"/>
    <s v="United States"/>
    <s v="Romper Longer"/>
    <n v="4"/>
    <n v="18"/>
    <s v="Easter"/>
    <s v="6-12"/>
    <x v="51"/>
    <m/>
  </r>
  <r>
    <d v="2026-04-26T00:00:00"/>
    <s v="https://www.etsy.com/ca/listing/4469531325/happy-hour-with-uncle-mike-baby-romper?transaction_id=5038901920"/>
    <s v="cream"/>
    <s v="Cream"/>
    <s v="6-12M(LONG-SLEEVE)"/>
    <s v="United States"/>
    <s v="Romper Longer"/>
    <n v="4"/>
    <n v="18"/>
    <s v="Easter"/>
    <s v="6-12"/>
    <x v="17"/>
    <m/>
  </r>
  <r>
    <d v="2026-04-27T00:00:00"/>
    <s v="https://www.etsy.com/ca/listing/4371125103/personalized-dog-baby-bodysuit-custom?transaction_id=5055400869"/>
    <s v=" caldet blue"/>
    <s v=" Caldet Blue"/>
    <s v="0-3M(SHORT -SLEEVE)"/>
    <s v="United States"/>
    <s v="Romper Short"/>
    <n v="4"/>
    <n v="18"/>
    <s v="Easter"/>
    <s v="0-3"/>
    <x v="38"/>
    <m/>
  </r>
  <r>
    <d v="2026-04-27T00:00:00"/>
    <s v="https://www.etsy.com/ca/listing/4376399899/the-littlest-book-club-member-baby?transaction_id=5042691982"/>
    <s v="sage green"/>
    <s v="Sage Green"/>
    <s v="3-6M(SHORT-SLEEVE)"/>
    <s v="Ireland"/>
    <s v="Romper Short"/>
    <n v="4"/>
    <n v="18"/>
    <s v="Easter"/>
    <s v="3-6"/>
    <x v="24"/>
    <m/>
  </r>
  <r>
    <d v="2026-04-27T00:00:00"/>
    <s v="https://www.etsy.com/ca/listing/4467451258/the-littlest-tennis-club-member-baby?transaction_id=5042742106"/>
    <s v=" cream"/>
    <s v=" Cream"/>
    <s v="6-12M(LONG-SLEEVE)"/>
    <s v="Germany"/>
    <s v="Romper Longer"/>
    <n v="4"/>
    <n v="18"/>
    <s v="Easter"/>
    <s v="6-12"/>
    <x v="17"/>
    <m/>
  </r>
  <r>
    <d v="2026-04-27T00:00:00"/>
    <s v="https://www.etsy.com/ca/listing/4371125103/personalized-dog-baby-bodysuit-custom?transaction_id=5043090864"/>
    <s v="cream"/>
    <s v="Cream"/>
    <s v="0-3M(LONG-SLEEVE)"/>
    <s v="United States"/>
    <s v="Romper Longer"/>
    <n v="4"/>
    <n v="18"/>
    <s v="Easter"/>
    <s v="0-3"/>
    <x v="2"/>
    <m/>
  </r>
  <r>
    <d v="2026-04-27T00:00:00"/>
    <s v="https://www.etsy.com/ca/listing/4330488178/embroidered-golf-baby-romper-new-to-the?transaction_id=5056296369&amp;dd_referrer="/>
    <s v="dusty pink"/>
    <s v="Dusty Pink"/>
    <s v="0-3M(LONG-SLEEVE)"/>
    <s v="United States"/>
    <s v="Romper Longer"/>
    <n v="4"/>
    <n v="18"/>
    <s v="Easter"/>
    <s v="0-3"/>
    <x v="45"/>
    <m/>
  </r>
  <r>
    <d v="2026-04-27T00:00:00"/>
    <s v="https://www.etsy.com/ca/listing/4376399899/the-littlest-book-club-member-baby?transaction_id=5056341907"/>
    <s v="cream"/>
    <s v="Cream"/>
    <s v="6-12M(LONG-SLEEVE)"/>
    <s v="United Kingdom"/>
    <s v="Romper Longer"/>
    <n v="4"/>
    <n v="18"/>
    <s v="Easter"/>
    <s v="6-12"/>
    <x v="17"/>
    <m/>
  </r>
  <r>
    <d v="2026-04-28T00:00:00"/>
    <s v="https://www.etsy.com/ca/listing/4376401181/challah-at-your-girl-baby-bodysuit-funny?transaction_id=5056959433"/>
    <s v="cream"/>
    <s v="Cream"/>
    <s v="12-18M(SHORT-SLEEVE)"/>
    <s v="United States"/>
    <s v="Romper Short"/>
    <n v="4"/>
    <n v="18"/>
    <s v="Easter"/>
    <s v="12-18"/>
    <x v="26"/>
    <m/>
  </r>
  <r>
    <d v="2026-04-28T00:00:00"/>
    <s v="https://www.etsy.com/ca/listing/4376401181/challah-at-your-girl-baby-bodysuit-funny?transaction_id=5056959433"/>
    <s v="cream"/>
    <s v="Cream"/>
    <s v="6-12M( SHORT-SLEEVE)"/>
    <s v="United States"/>
    <s v="Romper Short"/>
    <n v="4"/>
    <n v="18"/>
    <s v="Easter"/>
    <s v="6-12"/>
    <x v="47"/>
    <m/>
  </r>
  <r>
    <d v="2026-04-28T00:00:00"/>
    <s v="https://www.etsy.com/ca/listing/4376401181/challah-at-your-girl-baby-bodysuit-funny?transaction_id=5056959433"/>
    <s v="cream"/>
    <s v="Cream"/>
    <s v="6-12M( SHORT-SLEEVE)"/>
    <s v="United States"/>
    <s v="Romper Short"/>
    <n v="4"/>
    <n v="18"/>
    <s v="Easter"/>
    <s v="6-12"/>
    <x v="47"/>
    <m/>
  </r>
  <r>
    <d v="2026-04-28T00:00:00"/>
    <s v="https://www.etsy.com/ca/listing/4376399899/the-littlest-book-club-member-baby?transaction_id=5044295308"/>
    <s v="forest green"/>
    <s v="Forest Green"/>
    <s v="6-12M( SHORT-SLEEVE)"/>
    <s v="United States"/>
    <s v="Romper Short"/>
    <n v="4"/>
    <n v="18"/>
    <s v="Easter"/>
    <s v="6-12"/>
    <x v="56"/>
    <m/>
  </r>
  <r>
    <d v="2026-04-28T00:00:00"/>
    <s v="https://www.etsy.com/ca/listing/4344238379/funny-aunt-baby-romper-my-aunt-says-im?transaction_id=5044658114"/>
    <s v="caldet blue"/>
    <s v="Caldet Blue"/>
    <s v="3-6M(LONG -SLEEVE)"/>
    <s v="United States"/>
    <s v="Romper Longer"/>
    <n v="4"/>
    <n v="18"/>
    <s v="Easter"/>
    <s v="3-6"/>
    <x v="23"/>
    <m/>
  </r>
  <r>
    <d v="2026-04-28T00:00:00"/>
    <s v="https://www.etsy.com/ca/listing/4376399899/the-littlest-book-club-member-baby?transaction_id=5044974656"/>
    <s v="dusty pink"/>
    <s v="Dusty Pink"/>
    <s v=" 3-6M(SHORT-SLEEVE)"/>
    <s v="United States"/>
    <s v="Romper Short"/>
    <n v="4"/>
    <n v="18"/>
    <s v="Easter"/>
    <s v="3-6"/>
    <x v="31"/>
    <m/>
  </r>
  <r>
    <d v="2026-04-28T00:00:00"/>
    <s v="https://www.etsy.com/ca/listing/4469530783/id-rather-be-drinking-with-uncle-mike?transaction_id=5057833317"/>
    <s v="cream"/>
    <s v="Cream"/>
    <s v="6-12M(LONG-SLEEVE)"/>
    <s v="United States"/>
    <s v="Romper Longer"/>
    <n v="4"/>
    <n v="18"/>
    <s v="Easter"/>
    <s v="6-12"/>
    <x v="17"/>
    <m/>
  </r>
  <r>
    <d v="2026-04-28T00:00:00"/>
    <s v="https://www.etsy.com/ca/listing/4467440237/the-littlest-coffee-club-member-baby?transaction_id=5045268404"/>
    <s v="coffee"/>
    <s v="Coffee"/>
    <s v="0-3M(LONG-SLEEVE)"/>
    <s v="United States"/>
    <s v="Romper Longer"/>
    <n v="4"/>
    <n v="18"/>
    <s v="Easter"/>
    <s v="0-3"/>
    <x v="28"/>
    <m/>
  </r>
  <r>
    <d v="2026-04-29T00:00:00"/>
    <s v="https://www.etsy.com/ca/listing/4346126210/daddys-future-lifting-buddy-romper-baby?transaction_id=5045392382"/>
    <s v="cream"/>
    <s v="Cream"/>
    <s v="0-3M(LONG-SLEEVE)"/>
    <s v="Australia"/>
    <s v="Romper Longer"/>
    <n v="4"/>
    <n v="18"/>
    <s v="Easter"/>
    <s v="0-3"/>
    <x v="2"/>
    <m/>
  </r>
  <r>
    <d v="2026-04-29T00:00:00"/>
    <s v="https://www.etsy.com/ca/listing/4376399899/the-littlest-book-club-member-baby?transaction_id=5058207489"/>
    <s v="sage green"/>
    <s v="Sage Green"/>
    <s v="3-6M(SHORT-SLEEVE)"/>
    <s v="United Kingdom"/>
    <s v="Romper Short"/>
    <n v="4"/>
    <n v="18"/>
    <s v="Easter"/>
    <s v="3-6"/>
    <x v="24"/>
    <m/>
  </r>
  <r>
    <d v="2026-04-29T00:00:00"/>
    <s v="https://www.etsy.com/ca/listing/4376389783/player-2-baby-romper-gamer-baby-outfit?transaction_id=5058408003"/>
    <s v="cream"/>
    <s v="Cream"/>
    <s v="0-3M(SHORT -SLEEVE)"/>
    <s v="Switzerland"/>
    <s v="Romper Short"/>
    <n v="4"/>
    <n v="18"/>
    <s v="Easter"/>
    <s v="0-3"/>
    <x v="15"/>
    <m/>
  </r>
  <r>
    <d v="2026-04-29T00:00:00"/>
    <s v="https://www.etsy.com/ca/listing/4330488178/embroidered-golf-baby-romper-new-to-the?transaction_id=5058528611"/>
    <s v="cream"/>
    <s v="Cream"/>
    <s v="6-12M( SHORT-SLEEVE)"/>
    <s v="Germany"/>
    <s v="Romper Short"/>
    <n v="4"/>
    <n v="18"/>
    <s v="Easter"/>
    <s v="6-12"/>
    <x v="47"/>
    <m/>
  </r>
  <r>
    <d v="2026-04-29T00:00:00"/>
    <s v="https://www.etsy.com/ca/listing/4376399899/the-littlest-book-club-member-baby?transaction_id=5046049960"/>
    <s v="forest green"/>
    <s v="Forest Green"/>
    <s v="0-3M(LONG-SLEEVE)"/>
    <s v="United States"/>
    <s v="Romper Longer"/>
    <n v="4"/>
    <n v="18"/>
    <s v="Easter"/>
    <s v="0-3"/>
    <x v="41"/>
    <m/>
  </r>
  <r>
    <d v="2026-04-29T00:00:00"/>
    <s v="https://www.etsy.com/ca/listing/4392932100/born-to-ride-with-my-daddy-embroidered?transaction_id=5047031674"/>
    <s v=" dusty pink"/>
    <s v=" Dusty Pink"/>
    <s v="12-18M(LONG-SLEEVE)"/>
    <s v="United States"/>
    <s v="Romper Longer"/>
    <n v="4"/>
    <n v="18"/>
    <s v="Easter"/>
    <s v="12-18"/>
    <x v="75"/>
    <m/>
  </r>
  <r>
    <d v="2026-04-29T00:00:00"/>
    <s v="https://www.etsy.com/ca/listing/4376399899/the-littlest-book-club-member-baby?transaction_id=5059854759"/>
    <s v="cream"/>
    <s v="Cream"/>
    <s v="3-6M(SHORT-SLEEVE)"/>
    <s v="Canada"/>
    <s v="Romper Short"/>
    <n v="4"/>
    <n v="18"/>
    <s v="Easter"/>
    <s v="3-6"/>
    <x v="0"/>
    <m/>
  </r>
  <r>
    <d v="2026-04-29T00:00:00"/>
    <s v="https://www.etsy.com/ca/listing/4467440237/the-littlest-coffee-club-member-baby?transaction_id=5047287994"/>
    <s v="coffee"/>
    <s v="Coffee"/>
    <s v="0-3M(LONG-SLEEVE)"/>
    <s v="United States"/>
    <s v="Romper Longer"/>
    <n v="4"/>
    <n v="18"/>
    <s v="Easter"/>
    <s v="0-3"/>
    <x v="28"/>
    <m/>
  </r>
  <r>
    <d v="2026-04-29T00:00:00"/>
    <s v="https://www.etsy.com/ca/listing/4392935796/box-box-for-fresh-diapers-embroidered?transaction_id=5047360328"/>
    <s v="coffee"/>
    <s v="Coffee"/>
    <s v=" 3-6M(SHORT-SLEEVE)"/>
    <s v="United States"/>
    <s v="Romper Short"/>
    <n v="4"/>
    <n v="18"/>
    <s v="Easter"/>
    <s v="3-6"/>
    <x v="18"/>
    <m/>
  </r>
  <r>
    <d v="2026-04-29T00:00:00"/>
    <s v="https://www.etsy.com/ca/listing/4467452578/the-littlest-pickleball-club-member-baby?transaction_id=5060180715"/>
    <s v="watermelon"/>
    <s v="Watermelon"/>
    <s v="3-6M(LONG -SLEEVE)"/>
    <s v="United States"/>
    <s v="Romper Longer"/>
    <n v="4"/>
    <n v="18"/>
    <s v="Easter"/>
    <s v="3-6"/>
    <x v="20"/>
    <m/>
  </r>
  <r>
    <d v="2026-04-29T00:00:00"/>
    <s v="https://www.etsy.com/ca/listing/4343131516/embroidered-pickleball-baby-bodysuit?transaction_id=5047506404"/>
    <s v="dusty pink"/>
    <s v="Dusty Pink"/>
    <s v="0-3M(SHORT -SLEEVE)"/>
    <s v="United States"/>
    <s v="Romper Short"/>
    <n v="4"/>
    <n v="18"/>
    <s v="Easter"/>
    <s v="0-3"/>
    <x v="34"/>
    <m/>
  </r>
  <r>
    <d v="2026-04-29T00:00:00"/>
    <s v="https://www.etsy.com/ca/listing/4467451258/the-littlest-tennis-club-member-baby?transaction_id=5060344833"/>
    <s v="cream"/>
    <s v="Cream"/>
    <s v="0-3M(LONG-SLEEVE)"/>
    <s v="Italy"/>
    <s v="Romper Longer"/>
    <n v="4"/>
    <n v="18"/>
    <s v="Easter"/>
    <s v="0-3"/>
    <x v="2"/>
    <m/>
  </r>
  <r>
    <d v="2026-04-29T00:00:00"/>
    <s v="https://www.etsy.com/ca/listing/4392935796/box-box-for-fresh-diapers-embroidered?transaction_id=5047768298"/>
    <s v="sage green"/>
    <s v="Sage Green"/>
    <s v="3-6M(LONG -SLEEVE)"/>
    <s v="United States"/>
    <s v="Romper Longer"/>
    <n v="4"/>
    <n v="18"/>
    <s v="Easter"/>
    <s v="3-6"/>
    <x v="7"/>
    <m/>
  </r>
  <r>
    <d v="2026-05-01T00:00:00"/>
    <s v="https://www.etsy.com/ca/listing/4471139539/daddys-future-hunting-buddy-baby-romper?transaction_id=5060968111"/>
    <s v="sage green"/>
    <s v="Sage Green"/>
    <s v="0-3M(SHORT -SLEEVE)"/>
    <s v="United States"/>
    <s v="Romper Short"/>
    <n v="5"/>
    <n v="18"/>
    <s v="MothersDay"/>
    <s v="0-3"/>
    <x v="13"/>
    <m/>
  </r>
  <r>
    <d v="2026-05-01T00:00:00"/>
    <s v="https://www.etsy.com/ca/listing/4372357398/personalized-hunting-baby-romper-custom?transaction_id=5060968109"/>
    <s v="coffee"/>
    <s v="Coffee"/>
    <s v="3-6M(SHORT-SLEEVE)"/>
    <s v="United States"/>
    <s v="Romper Short"/>
    <n v="5"/>
    <n v="18"/>
    <s v="MothersDay"/>
    <s v="3-6"/>
    <x v="18"/>
    <m/>
  </r>
  <r>
    <d v="2026-05-01T00:00:00"/>
    <s v="https://www.etsy.com/ca/listing/4392932100/born-to-ride-with-my-daddy-embroidered?transaction_id=5048538918"/>
    <s v="caldet blue"/>
    <s v="Caldet Blue"/>
    <s v="0-3M(SHORT -SLEEVE)"/>
    <s v="Germany"/>
    <s v="Romper Short"/>
    <n v="5"/>
    <n v="18"/>
    <s v="MothersDay"/>
    <s v="0-3"/>
    <x v="38"/>
    <m/>
  </r>
  <r>
    <d v="2026-05-01T00:00:00"/>
    <s v="https://www.etsy.com/ca/listing/4336903235/personalized-tennis-baby-romper?transaction_id=5048860854"/>
    <s v="cream"/>
    <s v="Cream"/>
    <s v="0-3M(LONG-SLEEVE)"/>
    <s v="United States"/>
    <s v="Romper Longer"/>
    <n v="5"/>
    <n v="18"/>
    <s v="MothersDay"/>
    <s v="0-3"/>
    <x v="2"/>
    <m/>
  </r>
  <r>
    <d v="2026-05-01T00:00:00"/>
    <s v="https://www.etsy.com/ca/listing/4346126210/daddys-future-lifting-buddy-romper-baby?transaction_id=5064583587"/>
    <s v="cream"/>
    <s v="Cream"/>
    <s v="0-3M(LONG-SLEEVE)"/>
    <s v="United States"/>
    <s v="Romper Longer"/>
    <n v="5"/>
    <n v="18"/>
    <s v="MothersDay"/>
    <s v="0-3"/>
    <x v="2"/>
    <m/>
  </r>
  <r>
    <d v="2026-05-01T00:00:00"/>
    <s v="https://www.etsy.com/ca/listing/4369781522/crawl-walk-putt-baby-romper-funny-golf?transaction_id=5061565359"/>
    <s v="sage green"/>
    <s v="Sage Green"/>
    <s v="0-3M(SHORT -SLEEVE)"/>
    <s v="United States"/>
    <s v="Romper Short"/>
    <n v="5"/>
    <n v="18"/>
    <s v="MothersDay"/>
    <s v="0-3"/>
    <x v="13"/>
    <m/>
  </r>
  <r>
    <d v="2026-05-01T00:00:00"/>
    <s v="https://www.etsy.com/ca/listing/4376389783/player-2-baby-romper-gamer-baby-outfit?transaction_id=5061755139"/>
    <s v="cream"/>
    <s v="Cream"/>
    <s v="0-3M(SHORT -SLEEVE)"/>
    <s v="United States"/>
    <s v="Romper Short"/>
    <n v="5"/>
    <n v="18"/>
    <s v="MothersDay"/>
    <s v="0-3"/>
    <x v="15"/>
    <m/>
  </r>
  <r>
    <d v="2026-05-01T00:00:00"/>
    <s v="https://www.etsy.com/ca/listing/4475325519/daddys-future-fishing-buddy-baby?transaction_id=5049095320"/>
    <s v="cream"/>
    <s v="Cream"/>
    <s v="0-3M(LONG-SLEEVE)"/>
    <s v="United States"/>
    <s v="Romper Longer"/>
    <n v="5"/>
    <n v="18"/>
    <s v="MothersDay"/>
    <s v="0-3"/>
    <x v="2"/>
    <m/>
  </r>
  <r>
    <d v="2026-05-01T00:00:00"/>
    <s v="https://www.etsy.com/ca/listing/4376399899/the-littlest-book-club-member-baby?transaction_id=5049247474"/>
    <s v="dusty pink"/>
    <s v="Dusty Pink"/>
    <s v="0-3M(LONG-SLEEVE)"/>
    <s v="Australia"/>
    <s v="Romper Longer"/>
    <n v="5"/>
    <n v="18"/>
    <s v="MothersDay"/>
    <s v="0-3"/>
    <x v="45"/>
    <m/>
  </r>
  <r>
    <d v="2026-05-01T00:00:00"/>
    <s v="https://www.etsy.com/ca/listing/4471139005/going-home-to-meet-my-pups-baby-romper?transaction_id=5049276462"/>
    <s v="coffee"/>
    <s v="Coffee"/>
    <s v="0-3M(LONG-SLEEVE)"/>
    <s v="United States"/>
    <s v="Romper Longer"/>
    <n v="5"/>
    <n v="18"/>
    <s v="MothersDay"/>
    <s v="0-3"/>
    <x v="28"/>
    <m/>
  </r>
  <r>
    <d v="2026-05-02T00:00:00"/>
    <s v="https://www.etsy.com/ca/listing/4486208289/silly-goose-baby-romper-embroidered-cute?transaction_id=5049519574"/>
    <s v="cream"/>
    <s v="Cream"/>
    <s v="0-3M(LONG-SLEEVE)"/>
    <s v="United States"/>
    <s v="Romper Longer"/>
    <n v="5"/>
    <n v="18"/>
    <s v="MothersDay"/>
    <s v="0-3"/>
    <x v="2"/>
    <m/>
  </r>
  <r>
    <d v="2026-05-02T00:00:00"/>
    <s v="https://www.etsy.com/ca/listing/4376399899/the-littlest-book-club-member-baby?transaction_id=5062286629"/>
    <s v="sage green"/>
    <s v="Sage Green"/>
    <s v="3-6M(LONG -SLEEVE)"/>
    <s v="Canada"/>
    <s v="Romper Longer"/>
    <n v="5"/>
    <n v="18"/>
    <s v="MothersDay"/>
    <s v="3-6"/>
    <x v="7"/>
    <m/>
  </r>
  <r>
    <d v="2026-05-02T00:00:00"/>
    <s v="https://www.etsy.com/ca/listing/4352935112/custom-baby-romper-personalized-newborn?transaction_id=5049610416"/>
    <s v="cream"/>
    <s v="Cream"/>
    <s v="3-6M(LONG -SLEEVE)"/>
    <s v="Canada"/>
    <s v="Romper Longer"/>
    <n v="5"/>
    <n v="18"/>
    <s v="MothersDay"/>
    <s v="3-6"/>
    <x v="1"/>
    <m/>
  </r>
  <r>
    <d v="2026-05-02T00:00:00"/>
    <s v="https://www.etsy.com/ca/listing/4376399899/the-littlest-book-club-member-baby?transaction_id=5062984455"/>
    <s v="sage green"/>
    <s v="Sage Green"/>
    <s v="0-3M(LONG-SLEEVE)"/>
    <s v="United States"/>
    <s v="Romper Longer"/>
    <n v="5"/>
    <n v="18"/>
    <s v="MothersDay"/>
    <s v="0-3"/>
    <x v="5"/>
    <m/>
  </r>
  <r>
    <d v="2026-05-02T00:00:00"/>
    <s v="https://www.etsy.com/ca/listing/4346129239/soccer-baby-romper-embroidered-daddy-and?transaction_id=5063115127"/>
    <s v="caldet blue"/>
    <s v="Caldet Blue"/>
    <s v="6-12M( SHORT-SLEEVE)"/>
    <s v="United States"/>
    <s v="Romper Short"/>
    <n v="5"/>
    <n v="18"/>
    <s v="MothersDay"/>
    <s v="6-12"/>
    <x v="63"/>
    <m/>
  </r>
  <r>
    <d v="2026-05-02T00:00:00"/>
    <s v="https://www.etsy.com/ca/listing/4376389783/player-2-baby-romper-gamer-baby-outfit?transaction_id=5063126559"/>
    <s v="sage green"/>
    <s v="Sage Green"/>
    <s v="3-6M(SHORT-SLEEVE)"/>
    <s v="United States"/>
    <s v="Romper Short"/>
    <n v="5"/>
    <n v="18"/>
    <s v="MothersDay"/>
    <s v="3-6"/>
    <x v="24"/>
    <m/>
  </r>
  <r>
    <d v="2026-05-03T00:00:00"/>
    <s v="https://www.etsy.com/ca/listing/4474903749/daddys-future-running-buddy-baby-romper?transaction_id=5063468055"/>
    <s v="cream"/>
    <s v="Cream"/>
    <s v="6-12M( SHORT-SLEEVE)"/>
    <s v="Australia"/>
    <s v="Romper Short"/>
    <n v="5"/>
    <n v="19"/>
    <s v="MothersDay"/>
    <s v="6-12"/>
    <x v="47"/>
    <m/>
  </r>
  <r>
    <d v="2026-05-03T00:00:00"/>
    <s v="https://www.etsy.com/ca/listing/4376389783/player-2-baby-romper-gamer-baby-outfit?transaction_id=5063582939"/>
    <s v="cream"/>
    <s v="Cream"/>
    <s v="0-3M(LONG-SLEEVE)"/>
    <s v="United States"/>
    <s v="Romper Longer"/>
    <n v="5"/>
    <n v="19"/>
    <s v="MothersDay"/>
    <s v="0-3"/>
    <x v="2"/>
    <m/>
  </r>
  <r>
    <d v="2026-05-03T00:00:00"/>
    <s v="https://www.etsy.com/ca/listing/4376389783/player-2-baby-romper-gamer-baby-outfit?transaction_id=5063582939"/>
    <s v="cream"/>
    <s v="Cream"/>
    <s v="0-3M(LONG-SLEEVE)"/>
    <s v="United States"/>
    <s v="Romper Longer"/>
    <n v="5"/>
    <n v="19"/>
    <s v="MothersDay"/>
    <s v="0-3"/>
    <x v="2"/>
    <m/>
  </r>
  <r>
    <d v="2026-05-03T00:00:00"/>
    <s v="https://www.etsy.com/ca/listing/4487707236/new-to-the-crew-dirt-bike-embroidered?transaction_id=5063800341"/>
    <s v="sage green"/>
    <s v="Sage Green"/>
    <s v="0-3M(LONG-SLEEVE)"/>
    <s v="United States"/>
    <s v="Romper Longer"/>
    <n v="5"/>
    <n v="19"/>
    <s v="MothersDay"/>
    <s v="0-3"/>
    <x v="5"/>
    <m/>
  </r>
  <r>
    <d v="2026-05-03T00:00:00"/>
    <s v="https://www.etsy.com/ca/listing/4351813412/mini-boss-baby-bodysuit-baby-shower-gift?transaction_id=5063862799"/>
    <s v="watermelon"/>
    <s v="Watermelon"/>
    <s v="6-12M( SHORT-SLEEVE)"/>
    <s v="United States"/>
    <s v="Romper Short"/>
    <n v="5"/>
    <n v="19"/>
    <s v="MothersDay"/>
    <s v="6-12"/>
    <x v="76"/>
    <m/>
  </r>
  <r>
    <d v="2026-05-03T00:00:00"/>
    <s v="https://www.etsy.com/ca/listing/4489487118/mommys-future-sushi-date-baby-romper?transaction_id=5064180955"/>
    <s v="salmon"/>
    <s v="Salmon"/>
    <s v="6-12M(LONG-SLEEVE)"/>
    <s v="United States"/>
    <s v="Romper Longer"/>
    <n v="5"/>
    <n v="19"/>
    <s v="MothersDay"/>
    <s v="6-12"/>
    <x v="59"/>
    <m/>
  </r>
  <r>
    <d v="2026-05-03T00:00:00"/>
    <s v="https://www.etsy.com/ca/listing/4376399899/the-littlest-book-club-member-baby?transaction_id=5052013600"/>
    <s v="cream"/>
    <s v="Cream"/>
    <s v="6-12M(LONG-SLEEVE)"/>
    <s v="United States"/>
    <s v="Romper Longer"/>
    <n v="5"/>
    <n v="19"/>
    <s v="MothersDay"/>
    <s v="6-12"/>
    <x v="17"/>
    <m/>
  </r>
  <r>
    <d v="2026-05-03T00:00:00"/>
    <s v="https://www.etsy.com/ca/listing/4372350408/my-first-football-season-baby-romper?transaction_id=5064545105"/>
    <s v="white"/>
    <s v="White"/>
    <s v="0-3M(LONG-SLEEVE)"/>
    <s v="United States"/>
    <s v="Romper Longer"/>
    <n v="5"/>
    <n v="19"/>
    <s v="MothersDay"/>
    <s v="0-3"/>
    <x v="54"/>
    <m/>
  </r>
  <r>
    <d v="2026-05-04T00:00:00"/>
    <s v="https://www.etsy.com/ca/listing/4336907597/custom-running-baby-romper-daddys-future?transaction_id=5052294510"/>
    <s v="salmon"/>
    <s v="Salmon"/>
    <s v="3-6M(SHORT-SLEEVE)"/>
    <s v="Ireland"/>
    <s v="Romper Short"/>
    <n v="5"/>
    <n v="19"/>
    <s v="MothersDay"/>
    <s v="3-6"/>
    <x v="50"/>
    <m/>
  </r>
  <r>
    <d v="2026-05-04T00:00:00"/>
    <s v="https://www.etsy.com/ca/listing/4392932100/born-to-ride-with-my-daddy-embroidered?transaction_id=5064875493"/>
    <s v="cream"/>
    <s v="Cream"/>
    <s v=" 3-6M(SHORT-SLEEVE)"/>
    <s v="Ireland"/>
    <s v="Romper Short"/>
    <n v="5"/>
    <n v="19"/>
    <s v="MothersDay"/>
    <s v="3-6"/>
    <x v="0"/>
    <m/>
  </r>
  <r>
    <d v="2026-05-04T00:00:00"/>
    <s v="https://www.etsy.com/ca/listing/4376399899/the-littlest-book-club-member-baby?transaction_id=5052550368"/>
    <s v=" sage green"/>
    <s v=" Sage Green"/>
    <s v="0-3M(LONG-SLEEVE)"/>
    <s v="United States"/>
    <s v="Romper Longer"/>
    <n v="5"/>
    <n v="19"/>
    <s v="MothersDay"/>
    <s v="0-3"/>
    <x v="5"/>
    <m/>
  </r>
  <r>
    <d v="2026-05-04T00:00:00"/>
    <s v="https://www.etsy.com/ca/listing/4376399899/the-littlest-book-club-member-baby?transaction_id=5052550368"/>
    <s v=" forest green"/>
    <s v=" Forest Green"/>
    <s v="3-6M(SHORT-SLEEVE)"/>
    <s v="United States"/>
    <s v="Romper Short"/>
    <n v="5"/>
    <n v="19"/>
    <s v="MothersDay"/>
    <s v="3-6"/>
    <x v="6"/>
    <m/>
  </r>
  <r>
    <d v="2026-05-05T00:00:00"/>
    <s v="https://www.etsy.com/ca/listing/4371125103/personalized-dog-baby-bodysuit-custom?transaction_id=5040836145"/>
    <s v="cream"/>
    <s v="Cream"/>
    <s v="0-3M(SHORT -SLEEVE"/>
    <s v="Australia"/>
    <s v="Romper Short"/>
    <n v="5"/>
    <n v="19"/>
    <s v="MothersDay"/>
    <s v="0-3"/>
    <x v="15"/>
    <m/>
  </r>
  <r>
    <d v="2026-05-05T00:00:00"/>
    <s v="https://www.etsy.com/ca/listing/4344231895/embroidered-baby-romper-shhh-im-reading?transaction_id=5053676908"/>
    <s v="cream"/>
    <s v="Cream"/>
    <s v="3-6M(SHORT-SLEEVE)"/>
    <s v="Australia"/>
    <s v="Romper Short"/>
    <n v="5"/>
    <n v="19"/>
    <s v="MothersDay"/>
    <s v="3-6"/>
    <x v="0"/>
    <m/>
  </r>
  <r>
    <d v="2026-05-05T00:00:00"/>
    <s v="www.etsy.com/ca/listing/4467446644/the-littlest-baking-club-member-baby?transaction_id=5066881429"/>
    <s v="cream"/>
    <s v="Cream"/>
    <s v="3-6M(LONG -SLEEVE)"/>
    <s v="United States"/>
    <s v="Romper Longer"/>
    <n v="5"/>
    <n v="19"/>
    <s v="MothersDay"/>
    <s v="3-6"/>
    <x v="1"/>
    <m/>
  </r>
  <r>
    <d v="2026-05-05T00:00:00"/>
    <s v="https://www.etsy.com/ca/listing/4376399899/the-littlest-book-club-member-baby?transaction_id=5067281551"/>
    <s v="cream"/>
    <s v="Cream"/>
    <s v="6-12M(LONG-SLEEVE)"/>
    <s v="Canada"/>
    <s v="Romper Longer"/>
    <n v="5"/>
    <n v="19"/>
    <s v="MothersDay"/>
    <s v="6-12"/>
    <x v="17"/>
    <m/>
  </r>
  <r>
    <d v="2026-05-06T00:00:00"/>
    <s v="https://www.etsy.com/ca/listing/4477329625/custom-name-baseball-baby-romper?transaction_id=5055002930"/>
    <s v="cream"/>
    <s v="Cream"/>
    <s v="3-6M(SHORT-SLEEVE)"/>
    <s v="Germany"/>
    <s v="Romper Short"/>
    <n v="5"/>
    <n v="19"/>
    <s v="MothersDay"/>
    <s v="3-6"/>
    <x v="0"/>
    <m/>
  </r>
  <r>
    <d v="2026-05-06T00:00:00"/>
    <s v="https://www.etsy.com/ca/listing/4467451258/the-littlest-tennis-club-member-baby?transaction_id=5067483091"/>
    <s v="cream"/>
    <s v="Cream"/>
    <s v=" 3-6M(LONG -SLEEVE)"/>
    <s v="Germany"/>
    <s v="Romper Longer"/>
    <n v="5"/>
    <n v="19"/>
    <s v="MothersDay"/>
    <s v="3-6"/>
    <x v="1"/>
    <m/>
  </r>
  <r>
    <d v="2026-05-06T00:00:00"/>
    <s v="https://www.etsy.com/ca/listing/4392932100/born-to-ride-with-my-daddy-embroidered?transaction_id=5055026186"/>
    <s v="caldet blue"/>
    <s v="Caldet Blue"/>
    <s v="3-6M(LONG -SLEEVE)"/>
    <s v="Germany"/>
    <s v="Romper Longer"/>
    <n v="5"/>
    <n v="19"/>
    <s v="MothersDay"/>
    <s v="3-6"/>
    <x v="23"/>
    <m/>
  </r>
  <r>
    <d v="2026-05-06T00:00:00"/>
    <s v="https://www.etsy.com/ca/listing/4376399899/the-littlest-book-club-member-baby?transaction_id=5055075800"/>
    <s v="cream"/>
    <s v="Cream"/>
    <s v="0-3M(SHORT -SLEEVE)"/>
    <s v="Australia"/>
    <s v="Romper Short"/>
    <n v="5"/>
    <n v="19"/>
    <s v="MothersDay"/>
    <s v="0-3"/>
    <x v="15"/>
    <m/>
  </r>
  <r>
    <d v="2026-05-06T00:00:00"/>
    <s v="https://www.etsy.com/ca/listing/4471139539/daddys-future-hunting-buddy-baby-romper?transaction_id=5055287632"/>
    <s v="cream"/>
    <s v="Cream"/>
    <s v="3-6M(SHORT-SLEEVE)"/>
    <s v="United States"/>
    <s v="Romper Short"/>
    <n v="5"/>
    <n v="19"/>
    <s v="MothersDay"/>
    <s v="3-6"/>
    <x v="0"/>
    <m/>
  </r>
  <r>
    <d v="2026-05-06T00:00:00"/>
    <s v="https://www.etsy.com/ca/listing/4344238379/funny-aunt-baby-romper-my-aunt-says-im?transaction_id=5055311320"/>
    <s v="coffee"/>
    <s v="Coffee"/>
    <s v="3-6M(LONG -SLEEVE)"/>
    <s v="United States"/>
    <s v="Romper Longer"/>
    <n v="5"/>
    <n v="19"/>
    <s v="MothersDay"/>
    <s v="3-6"/>
    <x v="12"/>
    <m/>
  </r>
  <r>
    <d v="2026-05-06T00:00:00"/>
    <s v="https://www.etsy.com/ca/listing/4473754338/racing-baby-romper-with-daddy-racing?transaction_id=5068080005"/>
    <s v="cream"/>
    <s v="Cream"/>
    <s v="3-6M(LONG -SLEEVE)"/>
    <s v="United States"/>
    <s v="Romper Longer"/>
    <n v="5"/>
    <n v="19"/>
    <s v="MothersDay"/>
    <s v="3-6"/>
    <x v="1"/>
    <m/>
  </r>
  <r>
    <d v="2026-05-06T00:00:00"/>
    <s v="https://www.etsy.com/ca/listing/4392932100/born-to-ride-with-my-daddy-embroidered?transaction_id=5068177811"/>
    <s v="cream"/>
    <s v="Cream"/>
    <s v="3-6M(LONG -SLEEVE)"/>
    <s v="Germany"/>
    <s v="Romper Longer"/>
    <n v="5"/>
    <n v="19"/>
    <s v="MothersDay"/>
    <s v="3-6"/>
    <x v="1"/>
    <m/>
  </r>
  <r>
    <d v="2026-05-06T00:00:00"/>
    <s v="https://www.etsy.com/ca/listing/4467440237/the-littlest-coffee-club-member-baby?transaction_id=5055789602"/>
    <s v="watermelon"/>
    <s v="Watermelon"/>
    <s v="3-6M(LONG -SLEEVE)"/>
    <s v="Germany"/>
    <s v="Romper Longer"/>
    <n v="5"/>
    <n v="19"/>
    <s v="MothersDay"/>
    <s v="3-6"/>
    <x v="20"/>
    <m/>
  </r>
  <r>
    <d v="2026-05-07T00:00:00"/>
    <s v="https://www.etsy.com/ca/listing/4467450860/the-littlest-camping-club-member-baby?transaction_id=5056347436"/>
    <s v="cream"/>
    <s v="Cream"/>
    <s v="6-12M(LONG-SLEEVE)"/>
    <s v="United Kingdom"/>
    <s v="Romper Longer"/>
    <n v="5"/>
    <n v="19"/>
    <s v="MothersDay"/>
    <s v="6-12"/>
    <x v="17"/>
    <m/>
  </r>
  <r>
    <d v="2026-05-07T00:00:00"/>
    <s v="https://www.etsy.com/ca/listing/4392932100/born-to-ride-with-my-daddy-embroidered?transaction_id=5056636414"/>
    <s v="cream"/>
    <s v="Cream"/>
    <s v="3-6M(LONG -SLEEVE)"/>
    <s v="Spain"/>
    <s v="Romper Longer"/>
    <n v="5"/>
    <n v="19"/>
    <s v="MothersDay"/>
    <s v="3-6"/>
    <x v="1"/>
    <m/>
  </r>
  <r>
    <d v="2026-05-07T00:00:00"/>
    <s v="https://www.etsy.com/ca/listing/4376399899/the-littlest-book-club-member-baby?transaction_id=5056935846"/>
    <s v="coffee"/>
    <s v="Coffee"/>
    <s v="3-6M(LONG -SLEEVE)"/>
    <s v="United States"/>
    <s v="Romper Longer"/>
    <n v="5"/>
    <n v="19"/>
    <s v="MothersDay"/>
    <s v="3-6"/>
    <x v="12"/>
    <m/>
  </r>
  <r>
    <d v="2026-05-07T00:00:00"/>
    <s v="https://www.etsy.com/ca/listing/4376399899/the-littlest-book-club-member-baby?transaction_id=5069813351"/>
    <s v="dusty pink"/>
    <s v="Dusty Pink"/>
    <s v="6-12M( SHORT-SLEEVE)"/>
    <s v="United States"/>
    <s v="Romper Short"/>
    <n v="5"/>
    <n v="19"/>
    <s v="MothersDay"/>
    <s v="6-12"/>
    <x v="35"/>
    <m/>
  </r>
  <r>
    <d v="2026-05-07T00:00:00"/>
    <s v="https://www.etsy.com/ca/listing/4376399899/the-littlest-book-club-member-baby?transaction_id=5069813351"/>
    <s v="salmon"/>
    <s v="Salmon"/>
    <s v="3-6M(SHORT-SLEEVE)"/>
    <s v="United States"/>
    <s v="Romper Short"/>
    <n v="5"/>
    <n v="19"/>
    <s v="MothersDay"/>
    <s v="3-6"/>
    <x v="50"/>
    <m/>
  </r>
  <r>
    <d v="2026-05-07T00:00:00"/>
    <s v="https://www.etsy.com/ca/listing/4467440237/the-littlest-coffee-club-member-baby?transaction_id=5057261440"/>
    <s v="sage green"/>
    <s v="Sage Green"/>
    <s v="0-3M(SHORT -SLEEVE)"/>
    <s v="United States"/>
    <s v="Romper Short"/>
    <n v="5"/>
    <n v="19"/>
    <s v="MothersDay"/>
    <s v="0-3"/>
    <x v="13"/>
    <m/>
  </r>
  <r>
    <d v="2026-05-08T00:00:00"/>
    <s v="https://www.etsy.com/ca/listing/4476226361/funny-pony-baby-romper-cute-girl-newborn?transaction_id=5070105779"/>
    <s v="cream"/>
    <s v="Cream"/>
    <s v="3-6M(SHORT-SLEEVE)"/>
    <s v="France"/>
    <s v="Romper Short"/>
    <n v="5"/>
    <n v="19"/>
    <s v="MothersDay"/>
    <s v="3-6"/>
    <x v="0"/>
    <m/>
  </r>
  <r>
    <d v="2026-05-08T00:00:00"/>
    <s v="https://www.etsy.com/ca/listing/4471134725/new-to-the-herd-baby-romper-western-baby?transaction_id=5070105777"/>
    <s v="caldet blue"/>
    <s v="Caldet Blue"/>
    <s v="3-6M(SHORT-SLEEVE)"/>
    <s v="France"/>
    <s v="Romper Short"/>
    <n v="5"/>
    <n v="19"/>
    <s v="MothersDay"/>
    <s v="3-6"/>
    <x v="29"/>
    <m/>
  </r>
  <r>
    <d v="2026-05-08T00:00:00"/>
    <s v="https://www.etsy.com/ca/listing/4376399899/the-littlest-book-club-member-baby?transaction_id=5070448739"/>
    <s v="cream"/>
    <s v="Cream"/>
    <s v="3-6M(SHORT-SLEEVE)"/>
    <s v="United States"/>
    <s v="Romper Short"/>
    <n v="5"/>
    <n v="19"/>
    <s v="MothersDay"/>
    <s v="3-6"/>
    <x v="0"/>
    <m/>
  </r>
  <r>
    <d v="2026-05-09T00:00:00"/>
    <s v="https://www.etsy.com/ca/listing/4489487674/wait-for-me-i-have-little-legs-baby?transaction_id=5058675748"/>
    <s v="cream"/>
    <s v="Cream"/>
    <s v="3-6M(LONG -SLEEVE)"/>
    <s v="United States"/>
    <s v="Romper Longer"/>
    <n v="5"/>
    <n v="19"/>
    <s v="MothersDay"/>
    <s v="3-6"/>
    <x v="1"/>
    <m/>
  </r>
  <r>
    <d v="2026-05-09T00:00:00"/>
    <s v="https://www.etsy.com/ca/listing/4347880114/funny-baby-romper-sorry-i-tooted-outfit?transaction_id=5058892516"/>
    <s v="forest green"/>
    <s v="Forest Green"/>
    <s v=" 3-6M(LONG -SLEEVE)"/>
    <s v="Canada"/>
    <s v="Romper Longer"/>
    <n v="5"/>
    <n v="19"/>
    <s v="MothersDay"/>
    <s v="3-6"/>
    <x v="4"/>
    <m/>
  </r>
  <r>
    <d v="2026-05-09T00:00:00"/>
    <s v="https://www.etsy.com/ca/listing/4392935796/box-box-for-fresh-diapers-embroidered?transaction_id=5071454243"/>
    <s v="cream"/>
    <s v="Cream"/>
    <s v=" 0-3M(LONG-SLEEVE)"/>
    <s v="United Kingdom"/>
    <s v="Romper Longer"/>
    <n v="5"/>
    <n v="19"/>
    <s v="MothersDay"/>
    <s v="0-3"/>
    <x v="2"/>
    <m/>
  </r>
  <r>
    <d v="2026-05-09T00:00:00"/>
    <s v="https://www.etsy.com/ca/listing/4371125103/personalized-dog-baby-bodysuit-custom?transaction_id=5058902344"/>
    <s v="cream"/>
    <s v="Cream"/>
    <s v="0-3M(LONG-SLEEVE)"/>
    <s v="United States"/>
    <s v="Romper Longer"/>
    <n v="5"/>
    <n v="19"/>
    <s v="MothersDay"/>
    <s v="0-3"/>
    <x v="2"/>
    <m/>
  </r>
  <r>
    <d v="2026-05-09T00:00:00"/>
    <s v="https://www.etsy.com/ca/listing/4376399899/the-littlest-book-club-member-baby?transaction_id=5071507279"/>
    <s v="sage green"/>
    <s v="Sage Green"/>
    <s v="3-6M(SHORT-SLEEVE)"/>
    <s v="Switzerland"/>
    <s v="Romper Short"/>
    <n v="5"/>
    <n v="19"/>
    <s v="MothersDay"/>
    <s v="3-6"/>
    <x v="24"/>
    <m/>
  </r>
  <r>
    <d v="2026-05-09T00:00:00"/>
    <s v="https://www.etsy.com/ca/listing/4346126210/daddys-future-lifting-buddy-romper-baby?transaction_id=5059005754"/>
    <s v="cream"/>
    <s v="Cream"/>
    <s v="0-3M(LONG-SLEEVE)"/>
    <s v="United States"/>
    <s v="Romper Longer"/>
    <n v="5"/>
    <n v="19"/>
    <s v="MothersDay"/>
    <s v="0-3"/>
    <x v="2"/>
    <m/>
  </r>
  <r>
    <d v="2026-05-09T00:00:00"/>
    <s v="https://www.etsy.com/ca/listing/4392932100/born-to-ride-with-my-daddy-embroidered?transaction_id=5071569663"/>
    <s v="dusty pink"/>
    <s v="Dusty Pink"/>
    <s v="0-3M(SHORT -SLEEVE)"/>
    <s v="United States"/>
    <s v="Romper Short"/>
    <n v="5"/>
    <n v="19"/>
    <s v="MothersDay"/>
    <s v="0-3"/>
    <x v="34"/>
    <m/>
  </r>
  <r>
    <d v="2026-05-09T00:00:00"/>
    <s v="https://www.etsy.com/ca/listing/4376392339/funny-baby-romper-my-brand-of-formula?transaction_id=5071629467"/>
    <s v="cream"/>
    <s v="Cream"/>
    <s v="3-6M(LONG -SLEEVE)"/>
    <s v="United Kingdom"/>
    <s v="Romper Longer"/>
    <n v="5"/>
    <n v="19"/>
    <s v="MothersDay"/>
    <s v="3-6"/>
    <x v="1"/>
    <m/>
  </r>
  <r>
    <d v="2026-05-09T00:00:00"/>
    <s v="https://www.etsy.com/ca/listing/4487707236/new-to-the-crew-dirt-bike-embroidered?transaction_id=5071864103"/>
    <s v="dusty pink"/>
    <s v="Dusty Pink"/>
    <s v="0-3M(SHORT -SLEEVE)"/>
    <s v="United States"/>
    <s v="Romper Short"/>
    <n v="5"/>
    <n v="19"/>
    <s v="MothersDay"/>
    <s v="0-3"/>
    <x v="34"/>
    <m/>
  </r>
  <r>
    <d v="2026-05-09T00:00:00"/>
    <s v="https://www.etsy.com/ca/listing/4467446644/the-littlest-baking-club-member-baby?transaction_id=5059507596"/>
    <s v="forest green"/>
    <s v="Forest Green"/>
    <s v="3-6M(LONG -SLEEVE)"/>
    <s v="United States"/>
    <s v="Romper Longer"/>
    <n v="5"/>
    <n v="19"/>
    <s v="MothersDay"/>
    <s v="3-6"/>
    <x v="4"/>
    <m/>
  </r>
  <r>
    <d v="2026-05-10T00:00:00"/>
    <s v="https://www.etsy.com/ca/listing/4376399899/the-littlest-book-club-member-baby?transaction_id=5059938390"/>
    <s v="cream"/>
    <s v="Cream"/>
    <s v="0-3M(SHORT -SLEEVE)"/>
    <s v="United States"/>
    <s v="Romper Short"/>
    <n v="5"/>
    <n v="20"/>
    <s v="MothersDay"/>
    <s v="0-3"/>
    <x v="15"/>
    <m/>
  </r>
  <r>
    <d v="2026-05-10T00:00:00"/>
    <s v="https://www.etsy.com/ca/listing/4467440237/the-littlest-coffee-club-member-baby?transaction_id=5060294894"/>
    <s v="white"/>
    <s v="White"/>
    <s v="3-6M(LONG -SLEEVE)"/>
    <s v="United States"/>
    <s v="Romper Longer"/>
    <n v="5"/>
    <n v="20"/>
    <s v="MothersDay"/>
    <s v="3-6"/>
    <x v="70"/>
    <m/>
  </r>
  <r>
    <d v="2026-05-10T00:00:00"/>
    <s v="https://www.etsy.com/ca/listing/4376392339/funny-baby-romper-my-brand-of-formula?transaction_id=5060336290"/>
    <s v="cream"/>
    <s v="Cream"/>
    <s v="3-6M(SHORT-SLEEVE)"/>
    <s v="United States"/>
    <s v="Romper Short"/>
    <n v="5"/>
    <n v="20"/>
    <s v="MothersDay"/>
    <s v="3-6"/>
    <x v="0"/>
    <m/>
  </r>
  <r>
    <d v="2026-05-10T00:00:00"/>
    <s v="https://www.etsy.com/ca/listing/4392932100/born-to-ride-with-my-daddy-embroidered?transaction_id=5060416452"/>
    <s v="cream"/>
    <s v="Cream"/>
    <s v="0-3M(LONG-SLEEVE)"/>
    <s v="United States"/>
    <s v="Romper Longer"/>
    <n v="5"/>
    <n v="20"/>
    <s v="MothersDay"/>
    <s v="0-3"/>
    <x v="2"/>
    <m/>
  </r>
  <r>
    <d v="2026-05-10T00:00:00"/>
    <s v="https://www.etsy.com/ca/listing/4343131516/embroidered-pickleball-baby-bodysuit?transaction_id=5060783832"/>
    <s v="cream"/>
    <s v="Cream"/>
    <s v="0-3M(LONG-SLEEVE)"/>
    <s v="United States"/>
    <s v="Romper Longer"/>
    <n v="5"/>
    <n v="20"/>
    <s v="MothersDay"/>
    <s v="0-3"/>
    <x v="2"/>
    <m/>
  </r>
  <r>
    <d v="2026-05-10T00:00:00"/>
    <s v="https://www.etsy.com/ca/listing/4330504943/embroidered-tennis-baby-romper-daddys?transaction_id=5060963290"/>
    <s v="cream"/>
    <s v="Cream"/>
    <s v="3-6M(LONG -SLEEVE)"/>
    <s v="Germany"/>
    <s v="Romper Longer"/>
    <n v="5"/>
    <n v="20"/>
    <s v="MothersDay"/>
    <s v="3-6"/>
    <x v="1"/>
    <m/>
  </r>
  <r>
    <d v="2026-05-11T00:00:00"/>
    <s v="https://www.etsy.com/ca/listing/4473754692/custom-name-embroidered-romper-fishing?transaction_id=5061198272"/>
    <s v=" forest green"/>
    <s v=" Forest Green"/>
    <s v="6-12M(LONG-SLEEVE)"/>
    <s v="Germany"/>
    <s v="Romper Longer"/>
    <n v="5"/>
    <n v="20"/>
    <s v="MothersDay"/>
    <s v="6-12"/>
    <x v="30"/>
    <m/>
  </r>
  <r>
    <d v="2026-05-11T00:00:00"/>
    <s v="https://www.etsy.com/ca/listing/4371125103/personalized-dog-baby-bodysuit-custom?transaction_id=5074350191"/>
    <s v="cream"/>
    <s v="Cream"/>
    <s v="0-3M(LONG-SLEEVE)"/>
    <s v="United States"/>
    <s v="Romper Longer"/>
    <n v="5"/>
    <n v="20"/>
    <s v="MothersDay"/>
    <s v="0-3"/>
    <x v="2"/>
    <m/>
  </r>
  <r>
    <d v="2026-05-11T00:00:00"/>
    <s v="https://www.etsy.com/ca/listing/4482807926/funny-baby-romper-sleepless-nights?transaction_id=5074617575"/>
    <s v="coffee"/>
    <s v="Coffee"/>
    <s v="0-3M(LONG-SLEEVE)"/>
    <s v="United States"/>
    <s v="Romper Longer"/>
    <n v="5"/>
    <n v="20"/>
    <s v="MothersDay"/>
    <s v="0-3"/>
    <x v="28"/>
    <m/>
  </r>
  <r>
    <d v="2026-05-11T00:00:00"/>
    <s v="https://www.etsy.com/ca/listing/4392932100/born-to-ride-with-my-daddy-embroidered?transaction_id=5074681279"/>
    <s v="cream"/>
    <s v="Cream"/>
    <s v=" 3-6M(LONG -SLEEVE)"/>
    <s v="Germany"/>
    <s v="Romper Longer"/>
    <n v="5"/>
    <n v="20"/>
    <s v="MothersDay"/>
    <s v="3-6"/>
    <x v="1"/>
    <m/>
  </r>
  <r>
    <d v="2026-05-11T00:00:00"/>
    <s v="https://www.etsy.com/ca/listing/4471139539/daddys-future-hunting-buddy-baby-romper?transaction_id=5062277224"/>
    <s v="dusty pink"/>
    <s v="Dusty Pink"/>
    <s v=" 0-3M(SHORT -SLEEVE)"/>
    <s v="United States"/>
    <s v="Romper Short"/>
    <n v="5"/>
    <n v="20"/>
    <s v="MothersDay"/>
    <s v="0-3"/>
    <x v="34"/>
    <m/>
  </r>
  <r>
    <d v="2026-05-11T00:00:00"/>
    <s v="https://www.etsy.com/ca/listing/4336907597/custom-running-baby-romper-daddys-future?transaction_id=5074824287"/>
    <s v="sage green"/>
    <s v="Sage Green"/>
    <s v="6-12M(LONG-SLEEVE)"/>
    <s v="Canada"/>
    <s v="Romper Longer"/>
    <n v="5"/>
    <n v="20"/>
    <s v="MothersDay"/>
    <s v="6-12"/>
    <x v="3"/>
    <m/>
  </r>
  <r>
    <d v="2026-05-12T00:00:00"/>
    <s v="https://www.etsy.com/ca/listing/4330502784/lacrosse-baby-bodysuit-born-to-play-like?transaction_id=5075053659"/>
    <s v="caldet blue"/>
    <s v="Caldet Blue"/>
    <s v="6-12M(LONG-SLEEVE)"/>
    <s v="Germany"/>
    <s v="Romper Longer"/>
    <n v="5"/>
    <n v="20"/>
    <s v="MothersDay"/>
    <s v="6-12"/>
    <x v="25"/>
    <m/>
  </r>
  <r>
    <d v="2026-05-12T00:00:00"/>
    <s v="https://www.etsy.com/ca/listing/4379194627/new-to-the-farm-embroidered-romper-baby?transaction_id=5075158641"/>
    <s v="sage green"/>
    <s v="Sage Green"/>
    <s v="0-3M(SHORT -SLEEVE)"/>
    <s v="Switzerland"/>
    <s v="Romper Short"/>
    <n v="5"/>
    <n v="20"/>
    <s v="MothersDay"/>
    <s v="0-3"/>
    <x v="13"/>
    <m/>
  </r>
  <r>
    <d v="2026-05-12T00:00:00"/>
    <s v="https://www.etsy.com/ca/listing/4346126210/daddys-future-lifting-buddy-romper-baby?transaction_id=5062725502"/>
    <s v="sage green"/>
    <s v="Sage Green"/>
    <s v="3-6M(LONG -SLEEVE)"/>
    <s v="Switzerland"/>
    <s v="Romper Longer"/>
    <n v="5"/>
    <n v="20"/>
    <s v="MothersDay"/>
    <s v="3-6"/>
    <x v="7"/>
    <m/>
  </r>
  <r>
    <d v="2026-05-12T00:00:00"/>
    <s v="https://www.etsy.com/ca/listing/4330504155/born-to-play-like-my-daddy-baby-romper?transaction_id=5063029530"/>
    <s v="caldet blue"/>
    <s v="Caldet Blue"/>
    <s v="3-6M(SHORT-SLEEVE)"/>
    <s v="Germany"/>
    <s v="Romper Short"/>
    <n v="5"/>
    <n v="20"/>
    <s v="MothersDay"/>
    <s v="3-6"/>
    <x v="29"/>
    <m/>
  </r>
  <r>
    <d v="2026-05-12T00:00:00"/>
    <s v="https://www.etsy.com/ca/listing/4336907597/custom-running-baby-romper-daddys-future?transaction_id=5075645155"/>
    <s v="salmon"/>
    <s v="Salmon"/>
    <s v="6-12M(LONG-SLEEVE)"/>
    <s v="France"/>
    <s v="Romper Longer"/>
    <n v="5"/>
    <n v="20"/>
    <s v="MothersDay"/>
    <s v="6-12"/>
    <x v="59"/>
    <m/>
  </r>
  <r>
    <d v="2026-05-12T00:00:00"/>
    <s v="https://www.etsy.com/ca/listing/4376389783/player-2-baby-romper-gamer-baby-outfit?transaction_id=5076058255"/>
    <s v="cream"/>
    <s v="Cream"/>
    <s v="3-6M(LONG -SLEEVE)"/>
    <s v="Canada"/>
    <s v="Romper Longer"/>
    <n v="5"/>
    <n v="20"/>
    <s v="MothersDay"/>
    <s v="3-6"/>
    <x v="1"/>
    <m/>
  </r>
  <r>
    <d v="2026-05-13T00:00:00"/>
    <s v="https://www.etsy.com/ca/listing/4330489800/personalized-badminton-baby-romper?transaction_id=5076367833"/>
    <s v="sage green"/>
    <s v="Sage Green"/>
    <s v="3-6M(LONG -SLEEVE)"/>
    <s v="Germany"/>
    <s v="Romper Longer"/>
    <n v="5"/>
    <n v="20"/>
    <s v="MothersDay"/>
    <s v="3-6"/>
    <x v="7"/>
    <m/>
  </r>
  <r>
    <d v="2026-05-13T00:00:00"/>
    <s v="https://www.etsy.com/ca/listing/4376399899/the-littlest-book-club-member-baby?transaction_id=5076383799"/>
    <s v="sage green"/>
    <s v="Sage Green"/>
    <s v="6-12M(LONG-SLEEVE)"/>
    <s v="Germany"/>
    <s v="Romper Longer"/>
    <n v="5"/>
    <n v="20"/>
    <s v="MothersDay"/>
    <s v="6-12"/>
    <x v="3"/>
    <m/>
  </r>
  <r>
    <d v="2026-05-13T00:00:00"/>
    <s v="https://www.etsy.com/ca/listing/4392925828/hello-grandma-embroidered-romper-i-cant?transaction_id=5076492451"/>
    <s v="mauve taupe"/>
    <s v="Mauve Taupe"/>
    <s v="0-3M(SHORT -SLEEVE)"/>
    <s v="Ireland"/>
    <s v="Romper Short"/>
    <n v="5"/>
    <n v="20"/>
    <s v="MothersDay"/>
    <s v="0-3"/>
    <x v="71"/>
    <m/>
  </r>
  <r>
    <d v="2026-05-13T00:00:00"/>
    <s v="https://www.etsy.com/ca/listing/4379194627/new-to-the-farm-embroidered-romper-baby?transaction_id=5076509205"/>
    <s v="cream"/>
    <s v="Cream"/>
    <s v="0-3M(SHORT -SLEEVE)"/>
    <s v="United States"/>
    <s v="Romper Short"/>
    <n v="5"/>
    <n v="20"/>
    <s v="MothersDay"/>
    <s v="0-3"/>
    <x v="15"/>
    <m/>
  </r>
  <r>
    <d v="2026-05-13T00:00:00"/>
    <s v="https://www.etsy.com/ca/listing/4392935796/box-box-for-fresh-diapers-embroidered?transaction_id=5076511747"/>
    <s v="cream"/>
    <s v="Cream"/>
    <s v="0-3M(SHORT -SLEEVE)"/>
    <s v="United States"/>
    <s v="Romper Short"/>
    <n v="5"/>
    <n v="20"/>
    <s v="MothersDay"/>
    <s v="0-3"/>
    <x v="15"/>
    <m/>
  </r>
  <r>
    <d v="2026-05-13T00:00:00"/>
    <s v="https://www.etsy.com/ca/listing/4346126210/daddys-future-lifting-buddy-romper-baby?transaction_id=5064359114"/>
    <s v="cream"/>
    <s v="Cream"/>
    <s v=" 0-3M(LONG-SLEEVE)"/>
    <s v="Germany"/>
    <s v="Romper Longer"/>
    <n v="5"/>
    <n v="20"/>
    <s v="MothersDay"/>
    <s v="0-3"/>
    <x v="2"/>
    <m/>
  </r>
  <r>
    <d v="2026-05-13T00:00:00"/>
    <s v="https://www.etsy.com/ca/listing/4471139539/daddys-future-hunting-buddy-baby-romper?transaction_id=5077368225"/>
    <s v="sage green"/>
    <s v="Sage Green"/>
    <s v="0-3M(SHORT -SLEEVE)"/>
    <s v="United States"/>
    <s v="Romper Short"/>
    <n v="5"/>
    <n v="20"/>
    <s v="MothersDay"/>
    <s v="0-3"/>
    <x v="13"/>
    <m/>
  </r>
  <r>
    <d v="2026-05-13T00:00:00"/>
    <s v="https://www.etsy.com/ca/listing/4371125103/personalized-dog-baby-bodysuit-custom?transaction_id=5077417609"/>
    <s v="cream"/>
    <s v="Cream"/>
    <s v="0-3M(LONG-SLEEVE)"/>
    <s v="United States"/>
    <s v="Romper Longer"/>
    <n v="5"/>
    <n v="20"/>
    <s v="MothersDay"/>
    <s v="0-3"/>
    <x v="2"/>
    <m/>
  </r>
  <r>
    <d v="2026-05-14T00:00:00"/>
    <s v="https://www.etsy.com/ca/listing/4366190473/cat-face-embroidered-baby-romper-my?transaction_id=5064841842"/>
    <s v="cream"/>
    <s v="Cream"/>
    <s v="6-12M(LONG-SLEEVE)"/>
    <s v="United States"/>
    <s v="Romper Longer"/>
    <n v="5"/>
    <n v="20"/>
    <s v="MothersDay"/>
    <s v="6-12"/>
    <x v="17"/>
    <m/>
  </r>
  <r>
    <d v="2026-05-14T00:00:00"/>
    <s v="https://www.etsy.com/ca/listing/4376399899/the-littlest-book-club-member-baby?transaction_id=5065056274"/>
    <s v=" forest green"/>
    <s v=" Forest Green"/>
    <s v="3-6M(SHORT-SLEEVE)"/>
    <s v="United States"/>
    <s v="Romper Short"/>
    <n v="5"/>
    <n v="20"/>
    <s v="MothersDay"/>
    <s v="3-6"/>
    <x v="6"/>
    <m/>
  </r>
  <r>
    <d v="2026-05-14T00:00:00"/>
    <s v="https://www.etsy.com/ca/listing/4330492054/embroidered-baby-romper-cutie-pie-design?transaction_id=5065251360"/>
    <s v=" sage green"/>
    <s v=" Sage Green"/>
    <s v="0-3M(LONG-SLEEVE)"/>
    <s v="United States"/>
    <s v="Romper Longer"/>
    <n v="5"/>
    <n v="20"/>
    <s v="MothersDay"/>
    <s v="0-3"/>
    <x v="5"/>
    <m/>
  </r>
  <r>
    <d v="2026-05-14T00:00:00"/>
    <s v="https://www.etsy.com/ca/listing/4376399899/the-littlest-book-club-member-baby?transaction_id=5078017921"/>
    <s v=" sage green"/>
    <s v=" Sage Green"/>
    <s v="0-3M(SHORT -SLEEVE)"/>
    <s v="United States"/>
    <s v="Romper Short"/>
    <n v="5"/>
    <n v="20"/>
    <s v="MothersDay"/>
    <s v="0-3"/>
    <x v="13"/>
    <m/>
  </r>
  <r>
    <d v="2026-05-14T00:00:00"/>
    <s v="https://www.etsy.com/ca/listing/4467446644/the-littlest-baking-club-member-baby?transaction_id=5065354126"/>
    <s v="cream"/>
    <s v="Cream"/>
    <s v="0-3M(LONG-SLEEVE)"/>
    <s v="United States"/>
    <s v="Romper Longer"/>
    <n v="5"/>
    <n v="20"/>
    <s v="MothersDay"/>
    <s v="0-3"/>
    <x v="2"/>
    <m/>
  </r>
  <r>
    <d v="2026-05-14T00:00:00"/>
    <s v="https://www.etsy.com/ca/listing/4347260564/football-baby-romper-game-day-baby?transaction_id=5078074247"/>
    <s v="cream"/>
    <s v="Cream"/>
    <s v="3-6M(LONG -SLEEVE)"/>
    <s v="Canada"/>
    <s v="Romper Longer"/>
    <n v="5"/>
    <n v="20"/>
    <s v="MothersDay"/>
    <s v="3-6"/>
    <x v="1"/>
    <m/>
  </r>
  <r>
    <d v="2026-05-14T00:00:00"/>
    <s v="https://www.etsy.com/ca/listing/4487705892/i-love-my-aunties-embroidered-baby?transaction_id=5065889804"/>
    <s v="dusty pink"/>
    <s v="Dusty Pink"/>
    <s v="1 6-12M(LONG-SLEEVE)"/>
    <s v="United States"/>
    <s v="Romper Longer"/>
    <n v="5"/>
    <n v="20"/>
    <s v="MothersDay"/>
    <s v="1 6-12"/>
    <x v="77"/>
    <m/>
  </r>
  <r>
    <d v="2026-05-14T00:00:00"/>
    <s v="https://www.etsy.com/ca/listing/4379194627/new-to-the-farm-embroidered-romper-baby?transaction_id=5078714221"/>
    <s v="coffee"/>
    <s v="Coffee"/>
    <s v="0-3M(LONG-SLEEVE)"/>
    <s v="United States"/>
    <s v="Romper Longer"/>
    <n v="5"/>
    <n v="20"/>
    <s v="MothersDay"/>
    <s v="0-3"/>
    <x v="28"/>
    <m/>
  </r>
  <r>
    <d v="2026-05-15T00:00:00"/>
    <s v="https://www.etsy.com/ca/listing/4392936688/shhh-im-watching-motogp-with-daddy?transaction_id=5066646938"/>
    <s v="white"/>
    <s v="White"/>
    <s v="18-24M(SHORT-SLEEVE)"/>
    <s v="United States"/>
    <s v="Romper Short"/>
    <n v="5"/>
    <n v="20"/>
    <s v="MothersDay"/>
    <s v="18-24"/>
    <x v="43"/>
    <m/>
  </r>
  <r>
    <d v="2026-05-16T00:00:00"/>
    <s v="https://www.etsy.com/ca/listing/4376399899/the-littlest-book-club-member-baby?transaction_id=5080333415"/>
    <s v="sage green"/>
    <s v="Sage Green"/>
    <s v="6-12M( SHORT-SLEEVE)"/>
    <s v="United States"/>
    <s v="Romper Short"/>
    <n v="5"/>
    <n v="20"/>
    <s v="MothersDay"/>
    <s v="6-12"/>
    <x v="19"/>
    <m/>
  </r>
  <r>
    <d v="2026-05-16T00:00:00"/>
    <s v="https://www.etsy.com/ca/listing/4376389783/player-2-baby-romper-gamer-baby-outfit?transaction_id=5081092905"/>
    <s v="cream"/>
    <s v="Cream"/>
    <s v=" 0-3M(LONG-SLEEVE)"/>
    <s v="Canada"/>
    <s v="Romper Longer"/>
    <n v="5"/>
    <n v="20"/>
    <s v="MothersDay"/>
    <s v="0-3"/>
    <x v="2"/>
    <m/>
  </r>
  <r>
    <d v="2026-05-17T00:00:00"/>
    <s v="https://www.etsy.com/ca/listing/4392935796/box-box-for-fresh-diapers-embroidered?transaction_id=5081922605"/>
    <s v="dusty pink"/>
    <s v="Dusty Pink"/>
    <s v=" 6-12M(LONG-SLEEVE)"/>
    <s v="Canada"/>
    <s v="Romper Longer"/>
    <n v="5"/>
    <n v="21"/>
    <s v="MothersDay"/>
    <s v="6-12"/>
    <x v="51"/>
    <m/>
  </r>
  <r>
    <d v="2026-05-17T00:00:00"/>
    <s v="https://www.etsy.com/ca/listing/4471139539/daddys-future-hunting-buddy-baby-romper?transaction_id=5069146078"/>
    <s v="watermelon"/>
    <s v="Watermelon"/>
    <s v="12-18M(LONG-SLEEVE)"/>
    <s v="United States"/>
    <s v="Romper Longer"/>
    <n v="5"/>
    <n v="21"/>
    <s v="MothersDay"/>
    <s v="12-18"/>
    <x v="78"/>
    <m/>
  </r>
  <r>
    <d v="2026-05-17T00:00:00"/>
    <s v="https://www.etsy.com/ca/listing/4467451258/the-littlest-tennis-club-member-baby?transaction_id=5082408459"/>
    <s v="cream"/>
    <s v="Cream"/>
    <s v="3-6M(SHORT-SLEEVE)"/>
    <s v="United States"/>
    <s v="Romper Short"/>
    <n v="5"/>
    <n v="21"/>
    <s v="MothersDay"/>
    <s v="3-6"/>
    <x v="0"/>
    <m/>
  </r>
  <r>
    <d v="2026-05-17T00:00:00"/>
    <s v="https://www.etsy.com/ca/listing/4343133641/golf-skills-loading-embroidered-baby?transaction_id=5069425174"/>
    <s v="cream"/>
    <s v="Cream"/>
    <s v="3-6M(LONG -SLEEVE)"/>
    <s v="United States"/>
    <s v="Romper Longer"/>
    <n v="5"/>
    <n v="21"/>
    <s v="MothersDay"/>
    <s v="3-6"/>
    <x v="1"/>
    <m/>
  </r>
  <r>
    <d v="2026-05-18T00:00:00"/>
    <s v="https://www.etsy.com/ca/listing/4330502784/lacrosse-baby-bodysuit-born-to-play-like?transaction_id=5082715301"/>
    <s v="cream"/>
    <s v="Cream"/>
    <s v="0-3M(LONG-SLEEVE)"/>
    <s v="United States"/>
    <s v="Romper Longer"/>
    <n v="5"/>
    <n v="21"/>
    <s v="MothersDay"/>
    <s v="0-3"/>
    <x v="2"/>
    <m/>
  </r>
  <r>
    <d v="2026-05-18T00:00:00"/>
    <s v="https://www.etsy.com/ca/listing/4379194627/new-to-the-farm-embroidered-romper-baby?transaction_id=5069698810"/>
    <s v="cream"/>
    <s v="Cream"/>
    <s v="0-3M(LONG-SLEEVE)"/>
    <s v="United States"/>
    <s v="Romper Longer"/>
    <n v="5"/>
    <n v="21"/>
    <s v="MothersDay"/>
    <s v="0-3"/>
    <x v="2"/>
    <m/>
  </r>
  <r>
    <d v="2026-05-18T00:00:00"/>
    <s v="https://www.etsy.com/ca/listing/4392962015/cant-wait-to-jam-with-daddy-embroidered?transaction_id=5082737099"/>
    <s v="caldet blue"/>
    <s v="Caldet Blue"/>
    <s v="6-12M( SHORT-SLEEVE)"/>
    <s v="France"/>
    <s v="Romper Short"/>
    <n v="5"/>
    <n v="21"/>
    <s v="MothersDay"/>
    <s v="6-12"/>
    <x v="63"/>
    <m/>
  </r>
  <r>
    <d v="2026-05-18T00:00:00"/>
    <s v="https://www.etsy.com/ca/listing/4467451258/the-littlest-tennis-club-member-baby?transaction_id=5069711952"/>
    <s v="cream"/>
    <s v="Cream"/>
    <s v="6-12M(LONG-SLEEVE)"/>
    <s v="France"/>
    <s v="Romper Longer"/>
    <n v="5"/>
    <n v="21"/>
    <s v="MothersDay"/>
    <s v="6-12"/>
    <x v="17"/>
    <m/>
  </r>
  <r>
    <d v="2026-05-18T00:00:00"/>
    <s v="https://www.etsy.com/ca/listing/4376399899/the-littlest-book-club-member-baby?transaction_id=5069731110"/>
    <s v="forest green"/>
    <s v="Forest Green"/>
    <s v="12-18M(LONG-SLEEVE)"/>
    <s v="Ireland"/>
    <s v="Romper Longer"/>
    <n v="5"/>
    <n v="21"/>
    <s v="MothersDay"/>
    <s v="12-18"/>
    <x v="37"/>
    <m/>
  </r>
  <r>
    <d v="2026-05-18T00:00:00"/>
    <s v="https://www.etsy.com/ca/listing/4499618325/custom-name-construction-embroidered?transaction_id=5070006474"/>
    <s v="cream"/>
    <s v="Cream"/>
    <s v="12-18M(SHORT-SLEEVE)"/>
    <s v="United States"/>
    <s v="Romper Short"/>
    <n v="5"/>
    <n v="21"/>
    <s v="MothersDay"/>
    <s v="12-18"/>
    <x v="26"/>
    <m/>
  </r>
  <r>
    <d v="2026-05-18T00:00:00"/>
    <s v="https://www.etsy.com/ca/listing/4347260564/football-baby-romper-game-day-baby?transaction_id=5083051265"/>
    <s v="cream"/>
    <s v="Cream"/>
    <s v="3-6M(SHORT-SLEEVE)"/>
    <s v="Austria"/>
    <s v="Romper Short"/>
    <n v="5"/>
    <n v="21"/>
    <s v="MothersDay"/>
    <s v="3-6"/>
    <x v="0"/>
    <m/>
  </r>
  <r>
    <d v="2026-05-18T00:00:00"/>
    <s v="https://www.etsy.com/ca/listing/4372350408/my-first-football-season-baby-romper?transaction_id=5070250456"/>
    <s v="cream"/>
    <s v="Cream"/>
    <s v="0-3M(LONG-SLEEVE)"/>
    <s v="Canada"/>
    <s v="Romper Longer"/>
    <n v="5"/>
    <n v="21"/>
    <s v="MothersDay"/>
    <s v="0-3"/>
    <x v="2"/>
    <m/>
  </r>
  <r>
    <d v="2026-05-18T00:00:00"/>
    <s v="https://www.etsy.com/ca/listing/4336899579/personalized-basketball-baby-romper?transaction_id=5070508616"/>
    <s v="dusty pink"/>
    <s v="Dusty Pink"/>
    <s v="6-12M( SHORT-SLEEVE)"/>
    <s v="United States"/>
    <s v="Romper Short"/>
    <n v="5"/>
    <n v="21"/>
    <s v="MothersDay"/>
    <s v="6-12"/>
    <x v="35"/>
    <m/>
  </r>
  <r>
    <d v="2026-05-19T00:00:00"/>
    <s v="https://www.etsy.com/ca/listing/4467440237/the-littlest-coffee-club-member-baby?transaction_id=5084479499"/>
    <s v="sage green"/>
    <s v="Sage Green"/>
    <s v="0-3M(LONG-SLEEVE)"/>
    <s v="United States"/>
    <s v="Romper Longer"/>
    <n v="5"/>
    <n v="21"/>
    <s v="MothersDay"/>
    <s v="0-3"/>
    <x v="5"/>
    <m/>
  </r>
  <r>
    <d v="2026-05-19T00:00:00"/>
    <s v="https://www.etsy.com/ca/listing/4474910478/custom-name-fast-one-baby-romper?transaction_id=5071401550"/>
    <s v="cream"/>
    <s v="Cream"/>
    <s v="0-3M(SHORT -SLEEVE)"/>
    <s v="Austria"/>
    <s v="Romper Short"/>
    <n v="5"/>
    <n v="21"/>
    <s v="MothersDay"/>
    <s v="0-3"/>
    <x v="15"/>
    <m/>
  </r>
  <r>
    <d v="2026-05-19T00:00:00"/>
    <s v="https://www.etsy.com/ca/listing/4376389783/player-2-baby-romper-gamer-baby-outfit?transaction_id=5071661544"/>
    <s v="forest green"/>
    <s v="Forest Green"/>
    <s v="3-6M(SHORT-SLEEVE)"/>
    <s v="United Kingdom"/>
    <s v="Romper Short"/>
    <n v="5"/>
    <n v="21"/>
    <s v="MothersDay"/>
    <s v="3-6"/>
    <x v="6"/>
    <m/>
  </r>
  <r>
    <d v="2026-05-19T00:00:00"/>
    <s v="https://www.etsy.com/ca/listing/4330485404/cat-face-embroidered-baby-romper-funny?transaction_id=5071661542"/>
    <s v="forest green"/>
    <s v="Forest Green"/>
    <s v="3-6M(SHORT-SLEEVE)"/>
    <s v="United Kingdom"/>
    <s v="Romper Short"/>
    <n v="5"/>
    <n v="21"/>
    <s v="MothersDay"/>
    <s v="3-6"/>
    <x v="6"/>
    <m/>
  </r>
  <r>
    <d v="2026-05-20T00:00:00"/>
    <s v="https://www.etsy.com/ca/listing/4507678260/fathers-day-baby-girl-outfit-daddys?transaction_id=5085872865"/>
    <s v="cream"/>
    <s v="Cream"/>
    <s v="12-18M(SHORT-SLEEVE)"/>
    <s v="France"/>
    <s v="Romper Short"/>
    <n v="5"/>
    <n v="21"/>
    <s v="MothersDay"/>
    <s v="12-18"/>
    <x v="26"/>
    <m/>
  </r>
  <r>
    <d v="2026-05-20T00:00:00"/>
    <s v="https://www.etsy.com/ca/listing/4336899579/personalized-basketball-baby-romper?transaction_id=5085971097"/>
    <s v="cream"/>
    <s v="Cream"/>
    <s v="6-12M( SHORT-SLEEVE)"/>
    <s v="United States"/>
    <s v="Romper Short"/>
    <n v="5"/>
    <n v="21"/>
    <s v="MothersDay"/>
    <s v="6-12"/>
    <x v="47"/>
    <m/>
  </r>
  <r>
    <d v="2026-05-20T00:00:00"/>
    <s v="https://www.etsy.com/ca/listing/4347260564/football-baby-romper-game-day-baby?transaction_id=5086039743"/>
    <s v="cream"/>
    <s v="Cream"/>
    <s v="0-3M(LONG-SLEEVE)"/>
    <s v="Canada"/>
    <s v="Romper Longer"/>
    <n v="5"/>
    <n v="21"/>
    <s v="MothersDay"/>
    <s v="0-3"/>
    <x v="2"/>
    <m/>
  </r>
  <r>
    <d v="2026-05-20T00:00:00"/>
    <s v=" https://www.etsy.com/ca/listing/4376399899/the-littlest-book-club-member-baby?transaction_id=5086344411"/>
    <s v="coffee"/>
    <s v="Coffee"/>
    <s v="12-18M(LONG-SLEEVE)"/>
    <s v="United States"/>
    <s v="Romper Longer"/>
    <n v="5"/>
    <n v="21"/>
    <s v="MothersDay"/>
    <s v="12-18"/>
    <x v="79"/>
    <m/>
  </r>
  <r>
    <d v="2026-05-21T00:00:00"/>
    <s v="https://www.etsy.com/ca/listing/4376399899/the-littlest-book-club-member-baby?transaction_id=5086344411"/>
    <s v="sage green"/>
    <s v="Sage Green"/>
    <s v="0-3M(LONG-SLEEVE)"/>
    <s v="Ireland"/>
    <s v="Romper Longer"/>
    <n v="5"/>
    <n v="21"/>
    <s v="MothersDay"/>
    <s v="0-3"/>
    <x v="5"/>
    <m/>
  </r>
  <r>
    <d v="2026-05-21T00:00:00"/>
    <s v="https://www.etsy.com/ca/listing/4487707236/new-to-the-crew-dirt-bike-embroidered?transaction_id=5073210214"/>
    <s v="watermelon"/>
    <s v="Watermelon"/>
    <s v="0-3M(LONG-SLEEVE)"/>
    <s v="United Kingdom"/>
    <s v="Romper Longer"/>
    <n v="5"/>
    <n v="21"/>
    <s v="MothersDay"/>
    <s v="0-3"/>
    <x v="36"/>
    <m/>
  </r>
  <r>
    <d v="2026-05-21T00:00:00"/>
    <s v="https://www.etsy.com/ca/listing/4376399899/the-littlest-book-club-member-baby?transaction_id=5073455932"/>
    <s v="sage green"/>
    <s v="Sage Green"/>
    <s v="3-6M(SHORT-SLEEVE)"/>
    <s v="United States"/>
    <s v="Romper Short"/>
    <n v="5"/>
    <n v="21"/>
    <s v="MothersDay"/>
    <s v="3-6"/>
    <x v="24"/>
    <m/>
  </r>
  <r>
    <d v="2026-05-21T00:00:00"/>
    <s v="https://www.etsy.com/ca/listing/4346126210/daddys-future-lifting-buddy-romper-baby?transaction_id=5086795403"/>
    <s v="cream"/>
    <s v="Cream"/>
    <s v="0-3M(SHORT -SLEEVE)"/>
    <s v="United States"/>
    <s v="Romper Short"/>
    <n v="5"/>
    <n v="21"/>
    <s v="MothersDay"/>
    <s v="0-3"/>
    <x v="15"/>
    <m/>
  </r>
  <r>
    <d v="2026-05-21T00:00:00"/>
    <s v="https://www.etsy.com/ca/listing/4392935796/box-box-for-fresh-diapers-embroidered?transaction_id=5073794162"/>
    <s v="cream"/>
    <s v="Cream"/>
    <s v="0-3M(LONG-SLEEVE)"/>
    <s v="United Kingdom"/>
    <s v="Romper Longer"/>
    <n v="5"/>
    <n v="21"/>
    <s v="MothersDay"/>
    <s v="0-3"/>
    <x v="2"/>
    <m/>
  </r>
  <r>
    <d v="2026-05-22T00:00:00"/>
    <s v="https://www.etsy.com/ca/listing/4467449868/the-littlest-garden-club-member-baby?transaction_id=5074232670"/>
    <s v="cream"/>
    <s v="Cream"/>
    <s v="3-6M(LONG -SLEEVE)"/>
    <s v="United States"/>
    <s v="Romper Longer"/>
    <n v="5"/>
    <n v="21"/>
    <s v="MothersDay"/>
    <s v="3-6"/>
    <x v="1"/>
    <m/>
  </r>
  <r>
    <d v="2026-05-22T00:00:00"/>
    <s v="https://www.etsy.com/ca/listing/4503550714/crawl-walk-climb-baby-romper-embroidered?transaction_id=5087525947"/>
    <s v="watermelon"/>
    <s v="Watermelon"/>
    <s v="6-12M(LONG-SLEEVE)"/>
    <s v="United States"/>
    <s v="Romper Longer"/>
    <n v="5"/>
    <n v="21"/>
    <s v="MothersDay"/>
    <s v="6-12"/>
    <x v="33"/>
    <m/>
  </r>
  <r>
    <d v="2026-05-22T00:00:00"/>
    <s v="https://www.etsy.com/ca/listing/4503550714/crawl-walk-climb-baby-romper-embroidered?transaction_id=5087552007"/>
    <s v="coffee"/>
    <s v="Coffee"/>
    <s v="18-24M(LONGT SLEEVE)"/>
    <s v="Denmark"/>
    <s v="Romper Longer"/>
    <n v="5"/>
    <n v="21"/>
    <s v="MothersDay"/>
    <s v="18-24"/>
    <x v="80"/>
    <m/>
  </r>
  <r>
    <d v="2026-05-22T00:00:00"/>
    <s v="https://www.etsy.com/ca/listing/4474903749/daddys-future-running-buddy-baby-romper?transaction_id=5087668961"/>
    <s v="cream"/>
    <s v="Cream"/>
    <s v="3-6M(LONG -SLEEVE)"/>
    <s v="United States"/>
    <s v="Romper Longer"/>
    <n v="5"/>
    <n v="21"/>
    <s v="MothersDay"/>
    <s v="3-6"/>
    <x v="1"/>
    <m/>
  </r>
  <r>
    <d v="2026-05-22T00:00:00"/>
    <s v="https://www.etsy.com/ca/listing/4392935796/box-box-for-fresh-diapers-embroidered?transaction_id=5087890237"/>
    <s v="cream"/>
    <s v="Cream"/>
    <s v="3-6M(SHORT-SLEEVE)"/>
    <s v="United States"/>
    <s v="Romper Short"/>
    <n v="5"/>
    <n v="21"/>
    <s v="MothersDay"/>
    <s v="3-6"/>
    <x v="0"/>
    <m/>
  </r>
  <r>
    <d v="2026-05-22T00:00:00"/>
    <s v="https://www.etsy.com/ca/listing/4376392339/funny-baby-romper-my-brand-of-formula?transaction_id=5074798922&amp;dd_referrer="/>
    <s v="cream"/>
    <s v="Cream"/>
    <s v="0-3M(LONG-SLEEVE)"/>
    <s v="France"/>
    <s v="Romper Longer"/>
    <n v="5"/>
    <n v="21"/>
    <s v="MothersDay"/>
    <s v="0-3"/>
    <x v="2"/>
    <m/>
  </r>
  <r>
    <d v="2026-05-22T00:00:00"/>
    <s v="https://www.etsy.com/ca/listing/4376399899/the-littlest-book-club-member-baby?transaction_id=5087910599"/>
    <s v="forest green"/>
    <s v="Forest Green"/>
    <s v="3-6M(LONG -SLEEVE)"/>
    <s v="United States"/>
    <s v="Romper Longer"/>
    <n v="5"/>
    <n v="21"/>
    <s v="MothersDay"/>
    <s v="3-6"/>
    <x v="4"/>
    <m/>
  </r>
  <r>
    <d v="2026-05-22T00:00:00"/>
    <s v="https://www.etsy.com/ca/listing/4376399899/the-littlest-book-club-member-baby?transaction_id=5088363707"/>
    <s v="sage green"/>
    <s v="Sage Green"/>
    <s v="3-6M(LONG -SLEEVE)"/>
    <s v="United States"/>
    <s v="Romper Longer"/>
    <n v="5"/>
    <n v="21"/>
    <s v="MothersDay"/>
    <s v="3-6"/>
    <x v="7"/>
    <m/>
  </r>
  <r>
    <d v="2026-05-23T00:00:00"/>
    <s v="https://www.etsy.com/ca/listing/4392962015/cant-wait-to-jam-with-daddy-embroidered?transaction_id=5088578035"/>
    <s v="sage green"/>
    <s v="Sage Green"/>
    <s v="12-18M(SHORT-SLEEVE)"/>
    <s v="Australia"/>
    <s v="Romper Short"/>
    <n v="5"/>
    <n v="21"/>
    <s v="MothersDay"/>
    <s v="12-18"/>
    <x v="74"/>
    <m/>
  </r>
  <r>
    <d v="2026-05-23T00:00:00"/>
    <s v="https://www.etsy.com/ca/listing/4376399899/the-littlest-book-club-member-baby?transaction_id=5075572586"/>
    <s v="sage green"/>
    <s v="Sage Green"/>
    <s v="0-3M(LONG-SLEEVE)"/>
    <s v="Australia"/>
    <s v="Romper Longer"/>
    <n v="5"/>
    <n v="21"/>
    <s v="MothersDay"/>
    <s v="0-3"/>
    <x v="5"/>
    <m/>
  </r>
  <r>
    <d v="2026-05-23T00:00:00"/>
    <s v="https://www.etsy.com/ca/listing/4371125103/personalized-dog-baby-bodysuit-custom?transaction_id=5088756437"/>
    <s v="sage green"/>
    <s v="Sage Green"/>
    <s v="6-12M(LONG-SLEEVE)"/>
    <s v="United States"/>
    <s v="Romper Longer"/>
    <n v="5"/>
    <n v="21"/>
    <s v="MothersDay"/>
    <s v="6-12"/>
    <x v="3"/>
    <m/>
  </r>
  <r>
    <d v="2026-05-23T00:00:00"/>
    <s v="https://www.etsy.com/ca/listing/4507561777/funny-baby-romper-of-course-im-cute-have?transaction_id=5076224720"/>
    <s v="caldet blue"/>
    <s v="Caldet Blue"/>
    <s v="12-18M(SHORT-SLEEVE)"/>
    <s v="United States"/>
    <s v="Romper Short"/>
    <n v="5"/>
    <n v="21"/>
    <s v="MothersDay"/>
    <s v="12-18"/>
    <x v="72"/>
    <m/>
  </r>
  <r>
    <d v="2026-05-23T00:00:00"/>
    <s v="https://www.etsy.com/ca/listing/4507655767/dads-best-bud-baby-romper-first-fathers?transaction_id=5089172157"/>
    <s v=" forest green"/>
    <s v=" Forest Green"/>
    <s v=" 12-18M(SHORT-SLEEVE)"/>
    <s v="United States"/>
    <s v="Romper Short"/>
    <n v="5"/>
    <n v="21"/>
    <s v="MothersDay"/>
    <s v="12-18"/>
    <x v="62"/>
    <m/>
  </r>
  <r>
    <d v="2026-05-23T00:00:00"/>
    <s v="https://www.etsy.com/ca/listing/4352935112/custom-baby-romper-personalized-newborn?transaction_id=5089172159"/>
    <s v="texas orange"/>
    <s v="Texas Orange"/>
    <s v="12-18M(SHORT-SLEEVE)"/>
    <s v="United States"/>
    <s v="Romper Short"/>
    <n v="5"/>
    <n v="21"/>
    <s v="MothersDay"/>
    <s v="12-18"/>
    <x v="81"/>
    <m/>
  </r>
  <r>
    <d v="2026-05-23T00:00:00"/>
    <s v="https://www.etsy.com/ca/listing/4330502784/lacrosse-baby-bodysuit-born-to-play-like?transaction_id=5076344202"/>
    <s v="dusty pink"/>
    <s v="Dusty Pink"/>
    <s v="6-12M(LONG-SLEEVE)"/>
    <s v="United States"/>
    <s v="Romper Longer"/>
    <n v="5"/>
    <n v="21"/>
    <s v="MothersDay"/>
    <s v="6-12"/>
    <x v="51"/>
    <m/>
  </r>
  <r>
    <d v="2026-05-23T00:00:00"/>
    <s v="https://www.etsy.com/ca/listing/4467440237/the-littlest-coffee-club-member-baby?transaction_id=5089382085"/>
    <s v="sage green"/>
    <s v="Sage Green"/>
    <s v="3-6M(LONG -SLEEVE)"/>
    <s v="United States"/>
    <s v="Romper Longer"/>
    <n v="5"/>
    <n v="21"/>
    <s v="MothersDay"/>
    <s v="3-6"/>
    <x v="7"/>
    <m/>
  </r>
  <r>
    <d v="2026-05-24T00:00:00"/>
    <s v="https://www.etsy.com/ca/listing/4346126210/daddys-future-lifting-buddy-romper-baby?transaction_id=5076879874"/>
    <s v=" sage green"/>
    <s v=" Sage Green"/>
    <s v="3-6M(SHORT-SLEEVE)"/>
    <s v="United States"/>
    <s v="Romper Short"/>
    <n v="5"/>
    <n v="22"/>
    <s v="MothersDay"/>
    <s v="3-6"/>
    <x v="24"/>
    <m/>
  </r>
  <r>
    <d v="2026-05-24T00:00:00"/>
    <s v="https://www.etsy.com/ca/listing/4392962015/cant-wait-to-jam-with-daddy-embroidered?transaction_id=5077609052"/>
    <s v="salmon"/>
    <s v="Salmon"/>
    <s v="3-6M(SHORT-SLEEVE)"/>
    <s v="Canada"/>
    <s v="Romper Short"/>
    <n v="5"/>
    <n v="22"/>
    <s v="MothersDay"/>
    <s v="3-6"/>
    <x v="50"/>
    <m/>
  </r>
  <r>
    <d v="2026-05-24T00:00:00"/>
    <s v="https://www.etsy.com/ca/listing/4376399899/the-littlest-book-club-member-baby?transaction_id=5090388903"/>
    <s v="coffee"/>
    <s v="Coffee"/>
    <s v="0-3M(LONG-SLEEVE)"/>
    <s v="United States"/>
    <s v="Romper Longer"/>
    <n v="5"/>
    <n v="22"/>
    <s v="MothersDay"/>
    <s v="0-3"/>
    <x v="28"/>
    <m/>
  </r>
  <r>
    <d v="2026-05-25T00:00:00"/>
    <s v="https://www.etsy.com/ca/listing/4376392339/funny-baby-romper-my-brand-of-formula?transaction_id=5077838196"/>
    <s v="white"/>
    <s v="White"/>
    <s v="3-6M(SHORT-SLEEVE)"/>
    <s v="United States"/>
    <s v="Romper Short"/>
    <n v="5"/>
    <n v="22"/>
    <s v="MothersDay"/>
    <s v="3-6"/>
    <x v="69"/>
    <m/>
  </r>
  <r>
    <d v="2026-05-25T00:00:00"/>
    <s v="https://www.etsy.com/ca/listing/4503545399/little-meatball-baby-romper-embroidered?transaction_id=5077838194"/>
    <s v="cream"/>
    <s v="Cream"/>
    <s v="0-3M(SHORT -SLEEVE)"/>
    <s v="United States"/>
    <s v="Romper Short"/>
    <n v="5"/>
    <n v="22"/>
    <s v="MothersDay"/>
    <s v="0-3"/>
    <x v="15"/>
    <m/>
  </r>
  <r>
    <d v="2026-05-25T00:00:00"/>
    <s v="https://www.etsy.com/ca/listing/4371125103/personalized-dog-baby-bodysuit-custom?transaction_id=5090983897"/>
    <s v="sage green"/>
    <s v="Sage Green"/>
    <s v="0-3M(LONG-SLEEVE)"/>
    <s v="Australia"/>
    <s v="Romper Longer"/>
    <n v="5"/>
    <n v="22"/>
    <s v="MothersDay"/>
    <s v="0-3"/>
    <x v="5"/>
    <m/>
  </r>
  <r>
    <d v="2026-05-25T00:00:00"/>
    <s v="https://www.etsy.com/ca/listing/4371125103/personalized-dog-baby-bodysuit-custom?transaction_id=5090983897"/>
    <s v="caldet blue"/>
    <s v="Caldet Blue"/>
    <s v="0-3M(LONG-SLEEVE)"/>
    <s v="Australia"/>
    <s v="Romper Longer"/>
    <n v="5"/>
    <n v="22"/>
    <s v="MothersDay"/>
    <s v="0-3"/>
    <x v="9"/>
    <m/>
  </r>
  <r>
    <d v="2026-05-25T00:00:00"/>
    <s v="https://www.etsy.com/ca/listing/4471139005/going-home-to-meet-my-pups-baby-romper?transaction_id=5078714568"/>
    <s v="watermelon"/>
    <s v="Watermelon"/>
    <s v="0-3M(SHORT -SLEEVE)"/>
    <s v="Canada"/>
    <s v="Romper Short"/>
    <n v="5"/>
    <n v="22"/>
    <s v="MothersDay"/>
    <s v="0-3"/>
    <x v="65"/>
    <m/>
  </r>
  <r>
    <d v="2026-05-25T00:00:00"/>
    <s v="https://www.etsy.com/ca/listing/4346126210/daddys-future-lifting-buddy-romper-baby?transaction_id=5079035376"/>
    <s v="white"/>
    <s v="White"/>
    <s v="0-3M(SHORT -SLEEVE)"/>
    <s v="United States"/>
    <s v="Romper Short"/>
    <n v="5"/>
    <n v="22"/>
    <s v="MothersDay"/>
    <s v="0-3"/>
    <x v="21"/>
    <m/>
  </r>
  <r>
    <d v="2026-05-26T00:00:00"/>
    <s v="https://www.etsy.com/ca/listing/4392962015/cant-wait-to-jam-with-daddy-embroidered?transaction_id=5091760127"/>
    <s v="cream"/>
    <s v="Cream"/>
    <s v="3-6M(SHORT-SLEEVE)"/>
    <s v="United Kingdom"/>
    <s v="Romper Short"/>
    <n v="5"/>
    <n v="22"/>
    <s v="MothersDay"/>
    <s v="3-6"/>
    <x v="0"/>
    <m/>
  </r>
  <r>
    <d v="2026-05-26T00:00:00"/>
    <s v="https://www.etsy.com/ca/listing/4376399899/the-littlest-book-club-member-baby?transaction_id=5090388903"/>
    <s v="sage green"/>
    <s v="Sage Green"/>
    <s v="3-6M(SHORT-SLEEVE)"/>
    <s v="United States"/>
    <s v="Romper Short"/>
    <n v="5"/>
    <n v="22"/>
    <s v="MothersDay"/>
    <s v="3-6"/>
    <x v="24"/>
    <m/>
  </r>
  <r>
    <d v="2026-05-26T00:00:00"/>
    <s v="https://www.etsy.com/ca/listing/4376389783/player-2-baby-romper-gamer-baby-outfit?transaction_id=5092189307"/>
    <s v="caldet blue"/>
    <s v="Caldet Blue"/>
    <s v="6-12M( SHORT-SLEEVE)"/>
    <s v="Germany"/>
    <s v="Romper Short"/>
    <n v="5"/>
    <n v="22"/>
    <s v="MothersDay"/>
    <s v="6-12"/>
    <x v="63"/>
    <m/>
  </r>
  <r>
    <d v="2026-05-26T00:00:00"/>
    <s v="https://www.etsy.com/ca/listing/4467449868/the-littlest-garden-club-member-baby?transaction_id=5092562733"/>
    <s v="white"/>
    <s v="White"/>
    <s v="0-3M(LONG-SLEEVE)"/>
    <s v="United States"/>
    <s v="Romper Longer"/>
    <n v="5"/>
    <n v="22"/>
    <s v="MothersDay"/>
    <s v="0-3"/>
    <x v="54"/>
    <m/>
  </r>
  <r>
    <d v="2026-05-26T00:00:00"/>
    <s v="https://www.etsy.com/ca/listing/4507655767/dads-best-bud-baby-romper-first-fathers?transaction_id=5080181062"/>
    <s v="coffee"/>
    <s v="Coffee"/>
    <s v="3-6M(SHORT-SLEEVE)"/>
    <s v="United States"/>
    <s v="Romper Short"/>
    <n v="5"/>
    <n v="22"/>
    <s v="MothersDay"/>
    <s v="3-6"/>
    <x v="18"/>
    <m/>
  </r>
  <r>
    <d v="2026-05-26T00:00:00"/>
    <s v="https://www.etsy.com/ca/listing/4475334330/daddys-future-football-buddy-baby?transaction_id=5092677177"/>
    <s v="sage green"/>
    <s v="Sage Green"/>
    <s v="12-18M(LONG-SLEEVE)"/>
    <s v="Germany"/>
    <s v="Romper Longer"/>
    <n v="5"/>
    <n v="22"/>
    <s v="MothersDay"/>
    <s v="12-18"/>
    <x v="22"/>
    <m/>
  </r>
  <r>
    <d v="2026-05-27T00:00:00"/>
    <s v="https://www.etsy.com/ca/listing/4376392339/funny-baby-romper-my-brand-of-formula?transaction_id=5092981477"/>
    <s v="cream"/>
    <s v="Cream"/>
    <s v="3-6M(SHORT-SLEEVE)"/>
    <s v="United States"/>
    <s v="Romper Short"/>
    <n v="5"/>
    <n v="22"/>
    <s v="MothersDay"/>
    <s v="3-6"/>
    <x v="0"/>
    <m/>
  </r>
  <r>
    <d v="2026-05-27T00:00:00"/>
    <s v="https://www.etsy.com/ca/listing/4376389783/player-2-baby-romper-gamer-baby-outfit?transaction_id=5080943038"/>
    <s v="coffee"/>
    <s v="Coffee"/>
    <s v="6-12M( SHORT-SLEEVE)"/>
    <s v="United States"/>
    <s v="Romper Short"/>
    <n v="5"/>
    <n v="22"/>
    <s v="MothersDay"/>
    <s v="6-12"/>
    <x v="64"/>
    <m/>
  </r>
  <r>
    <d v="2026-05-27T00:00:00"/>
    <s v="https://www.etsy.com/ca/listing/4508996324/custom-name-embroidered-romper-my-daddys?transaction_id=5093357087"/>
    <s v="cream"/>
    <s v="Cream"/>
    <s v="6-12M( SHORT-SLEEVE)"/>
    <s v="United States"/>
    <s v="Romper Short"/>
    <n v="5"/>
    <n v="22"/>
    <s v="MothersDay"/>
    <s v="6-12"/>
    <x v="47"/>
    <m/>
  </r>
  <r>
    <d v="2026-05-27T00:00:00"/>
    <s v="https://www.etsy.com/ca/listing/4376392339/funny-baby-romper-my-brand-of-formula?transaction_id=5081371852"/>
    <s v="cream"/>
    <s v="Cream"/>
    <s v="3-6M(LONG -SLEEVE)"/>
    <s v="United States"/>
    <s v="Romper Longer"/>
    <n v="5"/>
    <n v="22"/>
    <s v="MothersDay"/>
    <s v="3-6"/>
    <x v="1"/>
    <m/>
  </r>
  <r>
    <d v="2026-05-27T00:00:00"/>
    <s v="https://www.etsy.com/ca/listing/4372352286/silly-goose-baby-romper-funny-infant?transaction_id=5093707855"/>
    <s v="sage green"/>
    <s v="Sage Green"/>
    <s v="3-6M(LONG -SLEEVE)"/>
    <s v="Canada"/>
    <s v="Romper Longer"/>
    <n v="5"/>
    <n v="22"/>
    <s v="MothersDay"/>
    <s v="3-6"/>
    <x v="7"/>
    <m/>
  </r>
  <r>
    <d v="2026-05-28T00:00:00"/>
    <s v="https://www.etsy.com/ca/listing/4392935796/box-box-for-fresh-diapers-embroidered?transaction_id=5093834059"/>
    <s v="sage green"/>
    <s v="Sage Green"/>
    <s v="6-12M(LONG-SLEEVE)"/>
    <s v="United States"/>
    <s v="Romper Longer"/>
    <n v="5"/>
    <n v="22"/>
    <s v="MothersDay"/>
    <s v="6-12"/>
    <x v="3"/>
    <m/>
  </r>
  <r>
    <d v="2026-05-28T00:00:00"/>
    <s v="https://www.etsy.com/ca/listing/4392962015/cant-wait-to-jam-with-daddy-embroidered?transaction_id=5093849519"/>
    <s v="sage green"/>
    <s v="Sage Green"/>
    <s v="3-6M(LONG -SLEEVE)"/>
    <s v="Italy"/>
    <s v="Romper Longer"/>
    <n v="5"/>
    <n v="22"/>
    <s v="MothersDay"/>
    <s v="3-6"/>
    <x v="7"/>
    <m/>
  </r>
  <r>
    <d v="2026-05-28T00:00:00"/>
    <s v="https://www.etsy.com/ca/listing/4346126210/daddys-future-lifting-buddy-romper-baby?transaction_id=5094480463"/>
    <s v="caldet blue"/>
    <s v="Caldet Blue"/>
    <s v="6-12M( SHORT-SLEEVE)"/>
    <s v="United Kingdom"/>
    <s v="Romper Short"/>
    <n v="5"/>
    <n v="22"/>
    <s v="MothersDay"/>
    <s v="6-12"/>
    <x v="63"/>
    <m/>
  </r>
  <r>
    <d v="2026-05-28T00:00:00"/>
    <s v="https://www.etsy.com/ca/listing/4376399899/the-littlest-book-club-member-baby?transaction_id=5094630987"/>
    <s v="caldet blue"/>
    <s v="Caldet Blue"/>
    <s v="12-18M(SHORT-SLEEVE)"/>
    <s v="United States"/>
    <s v="Romper Short"/>
    <n v="5"/>
    <n v="22"/>
    <s v="MothersDay"/>
    <s v="12-18"/>
    <x v="72"/>
    <m/>
  </r>
  <r>
    <d v="2026-05-28T00:00:00"/>
    <s v="https://www.etsy.com/ca/listing/4505538781/custom-embroidered-dog-portrait?transaction_id=5094791053"/>
    <s v="sage green"/>
    <s v="Sage Green"/>
    <s v="0-3M(LONG-SLEEVE)"/>
    <s v="United States"/>
    <s v="Romper Longer"/>
    <n v="5"/>
    <n v="22"/>
    <s v="MothersDay"/>
    <s v="0-3"/>
    <x v="5"/>
    <m/>
  </r>
  <r>
    <d v="2026-05-28T00:00:00"/>
    <s v="https://www.etsy.com/ca/listing/4376399899/the-littlest-book-club-member-baby?transaction_id=5051996577"/>
    <s v="forest green"/>
    <s v="Forest Green"/>
    <s v="3-6M(SHORT-SLEEVE)"/>
    <s v="Austria"/>
    <s v="Romper Short"/>
    <n v="5"/>
    <n v="22"/>
    <s v="MothersDay"/>
    <s v="3-6"/>
    <x v="6"/>
    <m/>
  </r>
  <r>
    <d v="2026-05-29T00:00:00"/>
    <s v="https://www.etsy.com/ca/listing/4508996324/custom-name-embroidered-romper-my-daddys?transaction_id=5095263143"/>
    <s v="cream"/>
    <s v="Cream"/>
    <s v="0-3M(SHORT -SLEEVE)"/>
    <s v="United States"/>
    <s v="Romper Short"/>
    <n v="5"/>
    <n v="22"/>
    <s v="MothersDay"/>
    <s v="0-3"/>
    <x v="15"/>
    <m/>
  </r>
  <r>
    <d v="2026-05-29T00:00:00"/>
    <s v="https://www.etsy.com/ca/listing/4503545399/little-meatball-baby-romper-embroidered?transaction_id=5083354450"/>
    <s v="sage green"/>
    <s v="Sage Green"/>
    <s v="0-3M(LONG-SLEEVE)"/>
    <s v="United States"/>
    <s v="Romper Longer"/>
    <n v="5"/>
    <n v="22"/>
    <s v="MothersDay"/>
    <s v="0-3"/>
    <x v="5"/>
    <m/>
  </r>
  <r>
    <d v="2026-05-29T00:00:00"/>
    <s v="https://www.etsy.com/ca/listing/4509984575/made-in-the-usa-baby-romper-patriotic?transaction_id=5083370258"/>
    <s v="cream"/>
    <s v="Cream"/>
    <s v="6-12M( SHORT-SLEEVE)"/>
    <s v="United States"/>
    <s v="Romper Short"/>
    <n v="5"/>
    <n v="22"/>
    <s v="MothersDay"/>
    <s v="6-12"/>
    <x v="47"/>
    <m/>
  </r>
  <r>
    <d v="2026-05-29T00:00:00"/>
    <s v="https://www.etsy.com/ca/listing/4507655767/dads-best-bud-baby-romper-first-fathers?transaction_id=5095361189"/>
    <s v="forest green"/>
    <s v="Forest Green"/>
    <s v="12-18M(SHORT-SLEEVE)"/>
    <s v="United States"/>
    <s v="Romper Short"/>
    <n v="5"/>
    <n v="22"/>
    <s v="MothersDay"/>
    <s v="12-18"/>
    <x v="62"/>
    <m/>
  </r>
  <r>
    <d v="2026-05-29T00:00:00"/>
    <s v="https://www.etsy.com/ca/listing/4347260564/football-baby-romper-game-day-baby?transaction_id=5083542866"/>
    <s v="texas orange"/>
    <s v="Texas Orange"/>
    <s v="3-6M(LONG -SLEEVE)"/>
    <s v="United Kingdom"/>
    <s v="Romper Longer"/>
    <n v="5"/>
    <n v="22"/>
    <s v="MothersDay"/>
    <s v="3-6"/>
    <x v="82"/>
    <m/>
  </r>
  <r>
    <d v="2026-05-29T00:00:00"/>
    <s v="https://www.etsy.com/ca/listing/4376389783/player-2-baby-romper-gamer-baby-outfit?transaction_id=5083688660"/>
    <s v="cream"/>
    <s v="Cream"/>
    <s v="3-6M(LONG -SLEEVE)"/>
    <s v="United States"/>
    <s v="Romper Longer"/>
    <n v="5"/>
    <n v="22"/>
    <s v="MothersDay"/>
    <s v="3-6"/>
    <x v="1"/>
    <m/>
  </r>
  <r>
    <d v="2026-05-29T00:00:00"/>
    <s v="https://www.etsy.com/ca/listing/4376399899/the-littlest-book-club-member-baby?transaction_id=5083834200"/>
    <s v="forest green"/>
    <s v="Forest Green"/>
    <s v="3-6M(SHORT-SLEEVE)"/>
    <s v="United States"/>
    <s v="Romper Short"/>
    <n v="5"/>
    <n v="22"/>
    <s v="MothersDay"/>
    <s v="3-6"/>
    <x v="6"/>
    <m/>
  </r>
  <r>
    <d v="2026-06-01T00:00:00"/>
    <s v="https://www.etsy.com/ca/listing/4467451258/the-littlest-tennis-club-member-baby?transaction_id=5084332148"/>
    <s v="cream"/>
    <s v="Cream"/>
    <s v="3-6M(LONG -SLEEVE)"/>
    <s v="United States"/>
    <s v="Romper Longer"/>
    <n v="6"/>
    <n v="23"/>
    <s v="FathersDay"/>
    <s v="3-6"/>
    <x v="1"/>
    <m/>
  </r>
  <r>
    <d v="2026-06-01T00:00:00"/>
    <s v="https://www.etsy.com/ca/listing/4478460281/hunting-baby-romper-embroidered-outfit?transaction_id=5096342977"/>
    <s v="forest green"/>
    <s v="Forest Green"/>
    <s v="6-12M(LONG-SLEEVE)"/>
    <s v="Germany"/>
    <s v="Romper Longer"/>
    <n v="6"/>
    <n v="23"/>
    <s v="FathersDay"/>
    <s v="6-12"/>
    <x v="30"/>
    <m/>
  </r>
  <r>
    <d v="2026-06-01T00:00:00"/>
    <s v="https://www.etsy.com/ca/listing/4347260564/football-baby-romper-game-day-baby?transaction_id=5084674052"/>
    <s v="salmon"/>
    <s v="Salmon"/>
    <s v="3-6M(LONG -SLEEVE)"/>
    <s v="United States"/>
    <s v="Romper Longer"/>
    <n v="6"/>
    <n v="23"/>
    <s v="FathersDay"/>
    <s v="3-6"/>
    <x v="49"/>
    <m/>
  </r>
  <r>
    <d v="2026-06-01T00:00:00"/>
    <s v="https://www.etsy.com/ca/listing/4347260564/football-baby-romper-game-day-baby?transaction_id=5084674052"/>
    <s v="texas orange"/>
    <s v="Texas Orange"/>
    <s v="0-3M(LONG-SLEEVE)"/>
    <s v="United States"/>
    <s v="Romper Longer"/>
    <n v="6"/>
    <n v="23"/>
    <s v="FathersDay"/>
    <s v="0-3"/>
    <x v="83"/>
    <m/>
  </r>
  <r>
    <d v="2026-06-01T00:00:00"/>
    <s v="https://www.etsy.com/ca/listing/4376389783/player-2-baby-romper-gamer-baby-outfit?transaction_id=5096587231"/>
    <s v="caldet blue"/>
    <s v="Caldet Blue"/>
    <s v="12-18M(SHORT-SLEEVE)"/>
    <s v="Germany"/>
    <s v="Romper Short"/>
    <n v="6"/>
    <n v="23"/>
    <s v="FathersDay"/>
    <s v="12-18"/>
    <x v="72"/>
    <m/>
  </r>
  <r>
    <d v="2026-06-01T00:00:00"/>
    <s v="https://www.etsy.com/ca/listing/4467452578/the-littlest-pickleball-club-member-baby?transaction_id=5096629599"/>
    <s v="coffee"/>
    <s v="Coffee"/>
    <s v="3-6M(SHORT-SLEEVE)"/>
    <s v="United States"/>
    <s v="Romper Short"/>
    <n v="6"/>
    <n v="23"/>
    <s v="FathersDay"/>
    <s v="3-6"/>
    <x v="18"/>
    <m/>
  </r>
  <r>
    <d v="2026-06-01T00:00:00"/>
    <s v="https://www.etsy.com/ca/listing/4467451258/the-littlest-tennis-club-member-baby?transaction_id=5085141084"/>
    <s v="caldet blue"/>
    <s v="Caldet Blue"/>
    <s v="3-6M(SHORT-SLEEVE)"/>
    <s v="United States"/>
    <s v="Romper Short"/>
    <n v="6"/>
    <n v="23"/>
    <s v="FathersDay"/>
    <s v="3-6"/>
    <x v="29"/>
    <m/>
  </r>
  <r>
    <d v="2026-06-01T00:00:00"/>
    <s v="https://www.etsy.com/ca/listing/4392936688/shhh-im-watching-motogp-with-daddy?transaction_id=5085659936"/>
    <s v="texas orange"/>
    <s v="Texas Orange"/>
    <s v="3-6M(LONG -SLEEVE)"/>
    <s v="United Kingdom"/>
    <s v="Romper Longer"/>
    <n v="6"/>
    <n v="23"/>
    <s v="FathersDay"/>
    <s v="3-6"/>
    <x v="82"/>
    <m/>
  </r>
  <r>
    <d v="2026-06-01T00:00:00"/>
    <s v="https://www.etsy.com/ca/listing/4503545399/little-meatball-baby-romper-embroidered?transaction_id=5097365541"/>
    <s v="cream"/>
    <s v="Cream"/>
    <s v="0-3M(SHORT -SLEEVE)"/>
    <s v="United States"/>
    <s v="Romper Short"/>
    <n v="6"/>
    <n v="23"/>
    <s v="FathersDay"/>
    <s v="0-3"/>
    <x v="15"/>
    <m/>
  </r>
  <r>
    <d v="2026-06-01T00:00:00"/>
    <s v="https://www.etsy.com/ca/listing/4467440237/the-littlest-coffee-club-member-baby?transaction_id=5086312194"/>
    <s v="sage green"/>
    <s v="Sage Green"/>
    <s v="3-6M(LONG -SLEEVE)"/>
    <s v="United States"/>
    <s v="Romper Longer"/>
    <n v="6"/>
    <n v="23"/>
    <s v="FathersDay"/>
    <s v="3-6"/>
    <x v="7"/>
    <m/>
  </r>
  <r>
    <d v="2026-06-02T00:00:00"/>
    <s v="https://www.etsy.com/ca/listing/4336907597/custom-running-baby-romper-daddys-future?transaction_id=5098726827"/>
    <s v="dusty pink"/>
    <s v="Dusty Pink"/>
    <s v="0-3M(LONG-SLEEVE)"/>
    <s v="United States"/>
    <s v="Romper Longer"/>
    <n v="6"/>
    <n v="23"/>
    <s v="FathersDay"/>
    <s v="0-3"/>
    <x v="45"/>
    <m/>
  </r>
  <r>
    <d v="2026-06-02T00:00:00"/>
    <s v="https://www.etsy.com/ca/listing/4330485404/cat-face-embroidered-baby-romper-funny?transaction_id=5087544534"/>
    <s v="dusty pink"/>
    <s v="Dusty Pink"/>
    <s v="3-6M(SHORT-SLEEVE)"/>
    <s v="United States"/>
    <s v="Romper Short"/>
    <n v="6"/>
    <n v="23"/>
    <s v="FathersDay"/>
    <s v="3-6"/>
    <x v="31"/>
    <m/>
  </r>
  <r>
    <d v="2026-06-02T00:00:00"/>
    <s v="https://www.etsy.com/ca/listing/4347260564/football-baby-romper-game-day-baby?transaction_id=5098755627"/>
    <s v="cream"/>
    <s v="Cream"/>
    <s v="6-12M( SHORT-SLEEVE)"/>
    <s v="United States"/>
    <s v="Romper Short"/>
    <n v="6"/>
    <n v="23"/>
    <s v="FathersDay"/>
    <s v="6-12"/>
    <x v="47"/>
    <m/>
  </r>
  <r>
    <d v="2026-06-02T00:00:00"/>
    <s v="https://www.etsy.com/ca/listing/4347260564/football-baby-romper-game-day-baby?transaction_id=5098755627"/>
    <s v="texas orange"/>
    <s v="Texas Orange"/>
    <s v="0-3M(LONG-SLEEVE)"/>
    <s v="United States"/>
    <s v="Romper Longer"/>
    <n v="6"/>
    <n v="23"/>
    <s v="FathersDay"/>
    <s v="0-3"/>
    <x v="83"/>
    <m/>
  </r>
  <r>
    <d v="2026-06-02T00:00:00"/>
    <s v="https://www.etsy.com/ca/listing/4376389783/player-2-baby-romper-gamer-baby-outfit?transaction_id=5098879881"/>
    <s v="cream"/>
    <s v="Cream"/>
    <s v="0-3M(LONG-SLEEVE)"/>
    <s v="United States"/>
    <s v="Romper Longer"/>
    <n v="6"/>
    <n v="23"/>
    <s v="FathersDay"/>
    <s v="0-3"/>
    <x v="2"/>
    <m/>
  </r>
  <r>
    <d v="2026-06-02T00:00:00"/>
    <s v="https://www.etsy.com/ca/listing/4372352286/silly-goose-baby-romper-funny-infant?transaction_id=5088147786"/>
    <s v="forest green"/>
    <s v="Forest Green"/>
    <s v="0-3M(SHORT -SLEEVE)"/>
    <s v="United States"/>
    <s v="Romper Short"/>
    <n v="6"/>
    <n v="23"/>
    <s v="FathersDay"/>
    <s v="0-3"/>
    <x v="52"/>
    <m/>
  </r>
  <r>
    <d v="2026-06-02T00:00:00"/>
    <s v="https://www.etsy.com/ca/listing/4376392339/funny-baby-romper-my-brand-of-formula?transaction_id=5099363175"/>
    <s v="cream"/>
    <s v="Cream"/>
    <s v="3-6M(SHORT-SLEEVE)"/>
    <s v="United States"/>
    <s v="Romper Short"/>
    <n v="6"/>
    <n v="23"/>
    <s v="FathersDay"/>
    <s v="3-6"/>
    <x v="0"/>
    <m/>
  </r>
  <r>
    <d v="2026-06-03T00:00:00"/>
    <s v="https://www.etsy.com/ca/listing/4510985933/i-go-where-mommy-goes-romper-duck-baby?transaction_id=5088309936"/>
    <s v="sage green"/>
    <s v="Sage Green"/>
    <s v="3-6M(LONG -SLEEVE)"/>
    <s v="United States"/>
    <s v="Romper Longer"/>
    <n v="6"/>
    <n v="23"/>
    <s v="FathersDay"/>
    <s v="3-6"/>
    <x v="7"/>
    <m/>
  </r>
  <r>
    <d v="2026-06-03T00:00:00"/>
    <s v="https://www.etsy.com/ca/listing/4477332212/custom-name-music-baby-romper?transaction_id=5088450014"/>
    <s v="cream"/>
    <s v="Cream"/>
    <s v="6-12M( SHORT-SLEEVE)"/>
    <s v="The Netherlands"/>
    <s v="Romper Short"/>
    <n v="6"/>
    <n v="23"/>
    <s v="FathersDay"/>
    <s v="6-12"/>
    <x v="47"/>
    <m/>
  </r>
  <r>
    <d v="2026-06-03T00:00:00"/>
    <s v="https://www.etsy.com/ca/listing/4504890435/surfs-up-baby-romper-beach-baby-outfit?transaction_id=5099588939"/>
    <s v="cream"/>
    <s v="Cream"/>
    <s v="3-6M(LONG -SLEEVE)"/>
    <s v="Germany"/>
    <s v="Romper Longer"/>
    <n v="6"/>
    <n v="23"/>
    <s v="FathersDay"/>
    <s v="3-6"/>
    <x v="1"/>
    <m/>
  </r>
  <r>
    <d v="2026-06-03T00:00:00"/>
    <s v="https://www.etsy.com/ca/listing/4505538781/custom-embroidered-dog-portrait?transaction_id=5088502048&amp;dd_referrer="/>
    <s v="cream"/>
    <s v="Cream"/>
    <s v="6-12M(LONG-SLEEVE)"/>
    <s v="United States"/>
    <s v="Romper Longer"/>
    <n v="6"/>
    <n v="23"/>
    <s v="FathersDay"/>
    <s v="6-12"/>
    <x v="17"/>
    <m/>
  </r>
  <r>
    <d v="2026-06-03T00:00:00"/>
    <s v="https://www.etsy.com/ca/listing/4471139005/going-home-to-meet-my-pups-baby-romper?transaction_id=5099658135"/>
    <s v="watermelon"/>
    <s v="Watermelon"/>
    <s v="0-3M(SHORT -SLEEVE)"/>
    <s v="United States"/>
    <s v="Romper Short"/>
    <n v="6"/>
    <n v="23"/>
    <s v="FathersDay"/>
    <s v="0-3"/>
    <x v="65"/>
    <m/>
  </r>
  <r>
    <d v="2026-06-03T00:00:00"/>
    <s v="https://www.etsy.com/ca/listing/4507678260/fathers-day-baby-girl-outfit-daddys?transaction_id=5088615664"/>
    <s v="dusty pink"/>
    <s v="Dusty Pink"/>
    <s v="0-3M(SHORT -SLEEVE)"/>
    <s v="United Kingdom"/>
    <s v="Romper Short"/>
    <n v="6"/>
    <n v="23"/>
    <s v="FathersDay"/>
    <s v="0-3"/>
    <x v="34"/>
    <m/>
  </r>
  <r>
    <d v="2026-06-03T00:00:00"/>
    <s v="https://www.etsy.com/ca/listing/4333134764/wizard-font-baby-romper-personalized?transaction_id=5088697384"/>
    <s v="dusty pink"/>
    <s v="Dusty Pink"/>
    <s v="6-12M(LONG-SLEEVE)"/>
    <s v="Denmark"/>
    <s v="Romper Longer"/>
    <n v="6"/>
    <n v="23"/>
    <s v="FathersDay"/>
    <s v="6-12"/>
    <x v="51"/>
    <m/>
  </r>
  <r>
    <d v="2026-06-03T00:00:00"/>
    <s v="https://www.etsy.com/ca/listing/4507678260/fathers-day-baby-girl-outfit-daddys?transaction_id=5099909219"/>
    <s v="cream"/>
    <s v="Cream"/>
    <s v="0-3M(SHORT -SLEEVE)"/>
    <s v="United Kingdom"/>
    <s v="Romper Short"/>
    <n v="6"/>
    <n v="23"/>
    <s v="FathersDay"/>
    <s v="0-3"/>
    <x v="15"/>
    <m/>
  </r>
  <r>
    <d v="2026-06-03T00:00:00"/>
    <s v="https://www.etsy.com/ca/listing/4471139539/daddys-future-hunting-buddy-baby-romper?transaction_id=5100035543"/>
    <s v="watermelon"/>
    <s v="Watermelon"/>
    <s v="0-3M(LONG-SLEEVE)"/>
    <s v="United States"/>
    <s v="Romper Longer"/>
    <n v="6"/>
    <n v="23"/>
    <s v="FathersDay"/>
    <s v="0-3"/>
    <x v="36"/>
    <m/>
  </r>
  <r>
    <d v="2026-06-03T00:00:00"/>
    <s v="https://www.etsy.com/ca/listing/4507678260/fathers-day-baby-girl-outfit-daddys?transaction_id=5100248865"/>
    <s v="cream"/>
    <s v="Cream"/>
    <s v="0-3M(SHORT -SLEEVE)"/>
    <s v="United States"/>
    <s v="Romper Short"/>
    <n v="6"/>
    <n v="23"/>
    <s v="FathersDay"/>
    <s v="0-3"/>
    <x v="15"/>
    <m/>
  </r>
  <r>
    <d v="2026-06-03T00:00:00"/>
    <s v="https://www.etsy.com/ca/listing/4507678260/fathers-day-baby-girl-outfit-daddys?transaction_id=5100259755"/>
    <s v="cream"/>
    <s v="Cream"/>
    <s v="0-3M(SHORT -SLEEVE)"/>
    <s v="United States"/>
    <s v="Romper Short"/>
    <n v="6"/>
    <n v="23"/>
    <s v="FathersDay"/>
    <s v="0-3"/>
    <x v="15"/>
    <m/>
  </r>
  <r>
    <d v="2026-06-03T00:00:00"/>
    <s v="https://www.etsy.com/ca/listing/4330485404/cat-face-embroidered-baby-romper-funny?transaction_id=5100429021"/>
    <s v="caldet blue"/>
    <s v="Caldet Blue"/>
    <s v="3-6M(LONG -SLEEVE)"/>
    <s v="United States"/>
    <s v="Romper Longer"/>
    <n v="6"/>
    <n v="23"/>
    <s v="FathersDay"/>
    <s v="3-6"/>
    <x v="23"/>
    <m/>
  </r>
  <r>
    <d v="2026-06-03T00:00:00"/>
    <s v="https://www.etsy.com/ca/listing/4376399899/the-littlest-book-club-member-baby?transaction_id=5089344804"/>
    <s v="sage green"/>
    <s v="Sage Green"/>
    <s v="3-6M(LONG -SLEEVE)"/>
    <s v="United States"/>
    <s v="Romper Longer"/>
    <n v="6"/>
    <n v="23"/>
    <s v="FathersDay"/>
    <s v="3-6"/>
    <x v="7"/>
    <m/>
  </r>
  <r>
    <d v="2026-06-03T00:00:00"/>
    <s v="https://www.etsy.com/ca/listing/4467452578/the-littlest-pickleball-club-member-baby?transaction_id=5089451048"/>
    <s v="cream"/>
    <s v="Cream"/>
    <s v="3-6M(SHORT-SLEEVE)"/>
    <s v="United States"/>
    <s v="Romper Short"/>
    <n v="6"/>
    <n v="23"/>
    <s v="FathersDay"/>
    <s v="3-6"/>
    <x v="0"/>
    <m/>
  </r>
  <r>
    <d v="2026-06-04T00:00:00"/>
    <s v="https://www.etsy.com/ca/listing/4330504943/embroidered-tennis-baby-romper-daddys?transaction_id=5089634574"/>
    <s v="cream"/>
    <s v="Cream"/>
    <s v="3-6M(LONG -SLEEVE)"/>
    <s v="United States"/>
    <s v="Romper Longer"/>
    <n v="6"/>
    <n v="23"/>
    <s v="FathersDay"/>
    <s v="3-6"/>
    <x v="1"/>
    <m/>
  </r>
  <r>
    <d v="2026-06-04T00:00:00"/>
    <s v="https://www.etsy.com/ca/listing/4510985933/i-go-where-mommy-goes-romper-duck-baby?transaction_id=5101211245"/>
    <s v="salmon"/>
    <s v="Salmon"/>
    <s v="0-3M(LONG-SLEEVE)"/>
    <s v="United States"/>
    <s v="Romper Longer"/>
    <n v="6"/>
    <n v="23"/>
    <s v="FathersDay"/>
    <s v="0-3"/>
    <x v="84"/>
    <m/>
  </r>
  <r>
    <d v="2026-06-04T00:00:00"/>
    <s v="https://www.etsy.com/ca/listing/4510985933/i-go-where-mommy-goes-romper-duck-baby?transaction_id=5101211245"/>
    <s v="dusty pink"/>
    <s v="Dusty Pink"/>
    <s v="0-3M(LONG-SLEEVE)"/>
    <s v="United States"/>
    <s v="Romper Longer"/>
    <n v="6"/>
    <n v="23"/>
    <s v="FathersDay"/>
    <s v="0-3"/>
    <x v="45"/>
    <m/>
  </r>
  <r>
    <d v="2026-06-04T00:00:00"/>
    <s v="https://www.etsy.com/ca/listing/4504890435/surfs-up-baby-romper-beach-baby-outfit?transaction_id=5090267832"/>
    <s v="caldet blue"/>
    <s v="Caldet Blue"/>
    <s v="0-3M(SHORT -SLEEVE)"/>
    <s v="United Kingdom"/>
    <s v="Romper Short"/>
    <n v="6"/>
    <n v="23"/>
    <s v="FathersDay"/>
    <s v="0-3"/>
    <x v="38"/>
    <m/>
  </r>
  <r>
    <d v="2026-06-04T00:00:00"/>
    <s v="https://www.etsy.com/ca/listing/4376399899/the-littlest-book-club-member-baby?transaction_id=5101412159"/>
    <s v="sage green"/>
    <s v="Sage Green"/>
    <s v="0-3M(LONG-SLEEVE)"/>
    <s v="United States"/>
    <s v="Romper Longer"/>
    <n v="6"/>
    <n v="23"/>
    <s v="FathersDay"/>
    <s v="0-3"/>
    <x v="5"/>
    <m/>
  </r>
  <r>
    <d v="2026-06-04T00:00:00"/>
    <s v="https://www.etsy.com/ca/listing/4330480699/little-prince-baby-romper-embroidered?transaction_id=5090603442"/>
    <s v="cream"/>
    <s v="Cream"/>
    <s v="18-24M(SHORT-SLEEVE)"/>
    <s v="United States"/>
    <s v="Romper Short"/>
    <n v="6"/>
    <n v="23"/>
    <s v="FathersDay"/>
    <s v="18-24"/>
    <x v="16"/>
    <m/>
  </r>
  <r>
    <d v="2026-06-05T00:00:00"/>
    <s v="https://www.etsy.com/ca/listing/4392935796/box-box-for-fresh-diapers-embroidered?transaction_id=5101788015"/>
    <s v="cream"/>
    <s v="Cream"/>
    <s v="0-3M(SHORT -SLEEVE)"/>
    <s v="Canada"/>
    <s v="Romper Short"/>
    <n v="6"/>
    <n v="23"/>
    <s v="FathersDay"/>
    <s v="0-3"/>
    <x v="15"/>
    <m/>
  </r>
  <r>
    <d v="2026-06-05T00:00:00"/>
    <s v="https://www.etsy.com/ca/listing/4371125103/personalized-dog-baby-bodysuit-custom?transaction_id=5102342523"/>
    <s v="caldet blue"/>
    <s v="Caldet Blue"/>
    <s v="0-3M(SHORT -SLEEVE)"/>
    <s v="United States"/>
    <s v="Romper Short"/>
    <n v="6"/>
    <n v="23"/>
    <s v="FathersDay"/>
    <s v="0-3"/>
    <x v="38"/>
    <m/>
  </r>
  <r>
    <d v="2026-06-05T00:00:00"/>
    <s v="https://www.etsy.com/ca/listing/4346126210/daddys-future-lifting-buddy-romper-baby?transaction_id=5102387067"/>
    <s v="caldet blue"/>
    <s v="Caldet Blue"/>
    <s v="12-18(SHORT -SLEEVE)"/>
    <s v="United States"/>
    <s v="Romper Short"/>
    <n v="6"/>
    <n v="23"/>
    <s v="FathersDay"/>
    <s v="12-18"/>
    <x v="72"/>
    <m/>
  </r>
  <r>
    <d v="2026-06-05T00:00:00"/>
    <s v="https://www.etsy.com/ca/listing/4467451258/the-littlest-tennis-club-member-baby?transaction_id=5091774734"/>
    <s v="cream"/>
    <s v="Cream"/>
    <s v="0-3M(SHORT -SLEEVE)"/>
    <s v="United States"/>
    <s v="Romper Short"/>
    <n v="6"/>
    <n v="23"/>
    <s v="FathersDay"/>
    <s v="0-3"/>
    <x v="15"/>
    <m/>
  </r>
  <r>
    <d v="2026-06-05T00:00:00"/>
    <s v="https://www.etsy.com/ca/listing/4467438815/my-brand-of-formula-baby-romper-formula?transaction_id=5091840390"/>
    <s v="cream"/>
    <s v="Cream"/>
    <s v="6-12M(LONG-SLEEVE)"/>
    <s v="Canada"/>
    <s v="Romper Longer"/>
    <n v="6"/>
    <n v="23"/>
    <s v="FathersDay"/>
    <s v="6-12"/>
    <x v="17"/>
    <m/>
  </r>
  <r>
    <d v="2026-06-05T00:00:00"/>
    <s v="https://www.etsy.com/ca/listing/4344235128/new-to-the-hive-baby-romper-embroidered?transaction_id=5091983378"/>
    <s v="cream"/>
    <s v="Cream"/>
    <s v="3-6M(SHORT-SLEEVE)"/>
    <s v="United States"/>
    <s v="Romper Short"/>
    <n v="6"/>
    <n v="23"/>
    <s v="FathersDay"/>
    <s v="3-6"/>
    <x v="0"/>
    <m/>
  </r>
  <r>
    <d v="2026-06-05T00:00:00"/>
    <s v="https://www.etsy.com/ca/listing/4376399899/the-littlest-book-club-member-baby?transaction_id=5102879483"/>
    <s v="mauve taupe"/>
    <s v="Mauve Taupe"/>
    <s v="6-12M(LONG-SLEEVE)"/>
    <s v="United States"/>
    <s v="Romper Longer"/>
    <n v="6"/>
    <n v="23"/>
    <s v="FathersDay"/>
    <s v="6-12"/>
    <x v="85"/>
    <m/>
  </r>
  <r>
    <d v="2026-06-06T00:00:00"/>
    <s v="https://www.etsy.com/ca/listing/4392936688/shhh-im-watching-motogp-with-daddy?transaction_id=5103166059"/>
    <s v="coffee"/>
    <s v="Coffee"/>
    <s v="6-12M(LONG-SLEEVE)"/>
    <s v="Austria"/>
    <s v="Romper Longer"/>
    <n v="6"/>
    <n v="23"/>
    <s v="FathersDay"/>
    <s v="6-12"/>
    <x v="86"/>
    <m/>
  </r>
  <r>
    <d v="2026-06-06T00:00:00"/>
    <s v="https://www.etsy.com/ca/listing/4473754338/racing-baby-romper-with-daddy-racing?transaction_id=5092362946"/>
    <s v="cream"/>
    <s v="Cream"/>
    <s v="6-12M(LONG-SLEEVE)"/>
    <s v="Austria"/>
    <s v="Romper Longer"/>
    <n v="6"/>
    <n v="23"/>
    <s v="FathersDay"/>
    <s v="6-12"/>
    <x v="17"/>
    <m/>
  </r>
  <r>
    <d v="2026-06-06T00:00:00"/>
    <s v="https://www.etsy.com/ca/listing/4330495722/embroidered-golf-baby-romper-custom?transaction_id=5103225951"/>
    <s v="dusty pink"/>
    <s v="Dusty Pink"/>
    <s v="3-6M(SHORT-SLEEVE)"/>
    <s v="France"/>
    <s v="Romper Short"/>
    <n v="6"/>
    <n v="23"/>
    <s v="FathersDay"/>
    <s v="3-6"/>
    <x v="31"/>
    <m/>
  </r>
  <r>
    <d v="2026-06-06T00:00:00"/>
    <s v="https://www.etsy.com/ca/listing/4510983683/daddys-first-fathers-day-romper?transaction_id=5092557110"/>
    <s v="cream"/>
    <s v="Cream"/>
    <s v="3-6M(SHORT-SLEEVE)"/>
    <s v="United States"/>
    <s v="Romper Short"/>
    <n v="6"/>
    <n v="23"/>
    <s v="FathersDay"/>
    <s v="3-6"/>
    <x v="0"/>
    <m/>
  </r>
  <r>
    <d v="2026-06-06T00:00:00"/>
    <s v="https://www.etsy.com/ca/listing/4467440237/the-littlest-coffee-club-member-baby?transaction_id=5092619594"/>
    <s v="coffee"/>
    <s v="Coffee"/>
    <s v="0-3M(LONG-SLEEVE)"/>
    <s v="United States"/>
    <s v="Romper Longer"/>
    <n v="6"/>
    <n v="23"/>
    <s v="FathersDay"/>
    <s v="0-3"/>
    <x v="28"/>
    <m/>
  </r>
  <r>
    <d v="2026-06-06T00:00:00"/>
    <s v="https://www.etsy.com/ca/listing/4330504943/embroidered-tennis-baby-romper-daddys?transaction_id=5092914006"/>
    <s v="cream"/>
    <s v="Cream"/>
    <s v="3-6M(LONG -SLEEVE)"/>
    <s v="Austria"/>
    <s v="Romper Longer"/>
    <n v="6"/>
    <n v="23"/>
    <s v="FathersDay"/>
    <s v="3-6"/>
    <x v="1"/>
    <m/>
  </r>
  <r>
    <d v="2026-06-06T00:00:00"/>
    <s v="https://www.etsy.com/ca/listing/4369781522/crawl-walk-putt-baby-romper-funny-golf?transaction_id=5103699005"/>
    <s v="dusty pink"/>
    <s v="Dusty Pink"/>
    <s v="3-6M(SHORT-SLEEVE)"/>
    <s v="Germany"/>
    <s v="Romper Short"/>
    <n v="6"/>
    <n v="23"/>
    <s v="FathersDay"/>
    <s v="3-6"/>
    <x v="31"/>
    <m/>
  </r>
  <r>
    <d v="2026-06-06T00:00:00"/>
    <s v="https://www.etsy.com/ca/listing/4376399899/the-littlest-book-club-member-baby?transaction_id=5093213392"/>
    <s v="sage green"/>
    <s v="Sage Green"/>
    <s v="3-6M(LONG -SLEEVE)"/>
    <s v="Norway"/>
    <s v="Romper Longer"/>
    <n v="6"/>
    <n v="23"/>
    <s v="FathersDay"/>
    <s v="3-6"/>
    <x v="7"/>
    <m/>
  </r>
  <r>
    <d v="2026-06-06T00:00:00"/>
    <s v="https://www.etsy.com/ca/listing/4511381564/born-a-champion-baby-romper-sports-baby?transaction_id=5093214426"/>
    <s v="cream"/>
    <s v="Cream"/>
    <s v="3-6M(LONG -SLEEVE)"/>
    <s v="United States"/>
    <s v="Romper Longer"/>
    <n v="6"/>
    <n v="23"/>
    <s v="FathersDay"/>
    <s v="3-6"/>
    <x v="1"/>
    <m/>
  </r>
  <r>
    <d v="2026-06-06T00:00:00"/>
    <s v="https://www.etsy.com/ca/listing/4376389783/player-2-baby-romper-gamer-baby-outfit?transaction_id=5104129057"/>
    <s v="cream"/>
    <s v="Cream"/>
    <s v="6-12M(LONG-SLEEVE)"/>
    <s v="Canada"/>
    <s v="Romper Longer"/>
    <n v="6"/>
    <n v="23"/>
    <s v="FathersDay"/>
    <s v="6-12"/>
    <x v="17"/>
    <m/>
  </r>
  <r>
    <d v="2026-06-06T00:00:00"/>
    <s v="https://www.etsy.com/ca/listing/4507655767/dads-best-bud-baby-romper-first-fathers?transaction_id=5093474294"/>
    <s v="dusty pink"/>
    <s v="Dusty Pink"/>
    <s v="0-3M(LONG-SLEEVE)"/>
    <s v="United States"/>
    <s v="Romper Longer"/>
    <n v="6"/>
    <n v="23"/>
    <s v="FathersDay"/>
    <s v="0-3"/>
    <x v="45"/>
    <m/>
  </r>
  <r>
    <d v="2026-06-07T00:00:00"/>
    <s v="https://www.etsy.com/ca/listing/4346126210/daddys-future-lifting-buddy-romper-baby?transaction_id=5104427595"/>
    <s v="watermelon"/>
    <s v="Watermelon"/>
    <s v="3-6M(SHORT-SLEEVE)"/>
    <s v="United States"/>
    <s v="Romper Short"/>
    <n v="6"/>
    <n v="24"/>
    <s v="FathersDay"/>
    <s v="3-6"/>
    <x v="39"/>
    <m/>
  </r>
  <r>
    <d v="2026-06-07T00:00:00"/>
    <s v="https://www.etsy.com/ca/listing/4507655767/dads-best-bud-baby-romper-first-fathers?transaction_id=5104467145"/>
    <s v="cream"/>
    <s v="Cream"/>
    <s v="3-6M(LONG -SLEEVE)"/>
    <s v="United States"/>
    <s v="Romper Longer"/>
    <n v="6"/>
    <n v="24"/>
    <s v="FathersDay"/>
    <s v="3-6"/>
    <x v="1"/>
    <m/>
  </r>
  <r>
    <d v="2026-06-07T00:00:00"/>
    <s v="https://www.etsy.com/ca/listing/4507655767/dads-best-bud-baby-romper-first-fathers?transaction_id=5104467145"/>
    <s v="mauve taupe"/>
    <s v="Mauve Taupe"/>
    <s v="3-6M(LONG -SLEEVE)"/>
    <s v="Austria"/>
    <s v="Romper Longer"/>
    <n v="6"/>
    <n v="24"/>
    <s v="FathersDay"/>
    <s v="3-6"/>
    <x v="10"/>
    <m/>
  </r>
  <r>
    <d v="2026-06-07T00:00:00"/>
    <s v="https://www.etsy.com/ca/listing/4347260564/football-baby-romper-game-day-baby?transaction_id=5104595195&amp;dd_referrer="/>
    <s v="dusty pink"/>
    <s v="Dusty Pink"/>
    <s v="3-6M(LONG -SLEEVE)"/>
    <s v="United States"/>
    <s v="Romper Longer"/>
    <n v="6"/>
    <n v="24"/>
    <s v="FathersDay"/>
    <s v="3-6"/>
    <x v="8"/>
    <m/>
  </r>
  <r>
    <d v="2026-06-07T00:00:00"/>
    <s v="https://www.etsy.com/ca/listing/4474903749/daddys-future-running-buddy-baby-romper?transaction_id=5094202266"/>
    <s v="sage green"/>
    <s v="Sage Green"/>
    <s v="3-6M(SHORT-SLEEVE)"/>
    <s v="United States"/>
    <s v="Romper Short"/>
    <n v="6"/>
    <n v="24"/>
    <s v="FathersDay"/>
    <s v="3-6"/>
    <x v="24"/>
    <m/>
  </r>
  <r>
    <d v="2026-06-07T00:00:00"/>
    <s v="https://www.etsy.com/ca/listing/4346126210/daddys-future-lifting-buddy-romper-baby?transaction_id=5094214706"/>
    <s v="cream"/>
    <s v="Cream"/>
    <s v="6-12M(LONG-SLEEVE)"/>
    <s v="Germany"/>
    <s v="Romper Longer"/>
    <n v="6"/>
    <n v="24"/>
    <s v="FathersDay"/>
    <s v="6-12"/>
    <x v="17"/>
    <m/>
  </r>
  <r>
    <d v="2026-06-07T00:00:00"/>
    <s v="https://www.etsy.com/ca/listing/4376389783/player-2-baby-romper-gamer-baby-outfit?transaction_id=5104814449"/>
    <s v="salmon"/>
    <s v="Salmon"/>
    <s v="3-6M(SHORT-SLEEVE)"/>
    <s v="France"/>
    <s v="Romper Short"/>
    <n v="6"/>
    <n v="24"/>
    <s v="FathersDay"/>
    <s v="3-6"/>
    <x v="50"/>
    <m/>
  </r>
  <r>
    <d v="2026-06-07T00:00:00"/>
    <s v="https://www.etsy.com/ca/listing/4347260564/football-baby-romper-game-day-baby?transaction_id=5094773914"/>
    <s v="texas orange"/>
    <s v="Texas Orange"/>
    <s v="6-12M(LONG-SLEEVE)"/>
    <s v="United States"/>
    <s v="Romper Longer"/>
    <n v="6"/>
    <n v="24"/>
    <s v="FathersDay"/>
    <s v="6-12"/>
    <x v="61"/>
    <m/>
  </r>
  <r>
    <d v="2026-06-08T00:00:00"/>
    <s v="https://www.etsy.com/ca/listing/4471139539/daddys-future-hunting-buddy-baby-romper?transaction_id=5094825028"/>
    <s v="forest green"/>
    <s v="Forest Green"/>
    <s v="3-6M(LONG -SLEEVE)"/>
    <s v="United States"/>
    <s v="Romper Longer"/>
    <n v="6"/>
    <n v="24"/>
    <s v="FathersDay"/>
    <s v="3-6"/>
    <x v="4"/>
    <m/>
  </r>
  <r>
    <d v="2026-06-08T00:00:00"/>
    <s v="https://www.etsy.com/ca/listing/4336899579/personalized-basketball-baby-romper?transaction_id=5094899850"/>
    <s v="cream"/>
    <s v="Cream"/>
    <s v="3-6M(LONG -SLEEVE)"/>
    <s v="United Kingdom"/>
    <s v="Romper Longer"/>
    <n v="6"/>
    <n v="24"/>
    <s v="FathersDay"/>
    <s v="3-6"/>
    <x v="1"/>
    <m/>
  </r>
  <r>
    <d v="2026-06-08T00:00:00"/>
    <s v="https://www.etsy.com/ca/listing/4376401181/challah-at-your-girl-baby-bodysuit-funny?transaction_id=5105697945"/>
    <s v="cream"/>
    <s v="Cream"/>
    <s v="3-6M(LONG -SLEEVE)"/>
    <s v="United States"/>
    <s v="Romper Longer"/>
    <n v="6"/>
    <n v="24"/>
    <s v="FathersDay"/>
    <s v="3-6"/>
    <x v="1"/>
    <m/>
  </r>
  <r>
    <d v="2026-06-08T00:00:00"/>
    <s v="https://www.etsy.com/ca/listing/4330463387/embroidered-baby-romper-relax-mommy-is-a?transaction_id=5105904905"/>
    <s v="watermelon"/>
    <s v="Watermelon"/>
    <s v="3-6M(LONG -SLEEVE)"/>
    <s v="Switzerland"/>
    <s v="Romper Longer"/>
    <n v="6"/>
    <n v="24"/>
    <s v="FathersDay"/>
    <s v="3-6"/>
    <x v="20"/>
    <m/>
  </r>
  <r>
    <d v="2026-06-08T00:00:00"/>
    <s v="https://www.etsy.com/ca/listing/4507655767/dads-best-bud-baby-romper-first-fathers?transaction_id=5104467145"/>
    <s v="cream"/>
    <s v="Cream"/>
    <s v="0-3M(SHORT -SLEEVE)"/>
    <s v="United States"/>
    <s v="Romper Short"/>
    <n v="6"/>
    <n v="24"/>
    <s v="FathersDay"/>
    <s v="0-3"/>
    <x v="15"/>
    <m/>
  </r>
  <r>
    <d v="2026-06-08T00:00:00"/>
    <s v="https://www.etsy.com/ca/listing/4346126210/daddys-future-lifting-buddy-romper-baby?transaction_id=5094214706"/>
    <s v="caldet blue"/>
    <s v="Caldet Blue"/>
    <s v="6-12M( SHORT-SLEEVE)"/>
    <s v="United States"/>
    <s v="Romper Short"/>
    <n v="6"/>
    <n v="24"/>
    <s v="FathersDay"/>
    <s v="6-12"/>
    <x v="63"/>
    <m/>
  </r>
  <r>
    <d v="2026-06-08T00:00:00"/>
    <s v="https://www.etsy.com/ca/listing/4507655767/dads-best-bud-baby-romper-first-fathers?transaction_id=5104467145"/>
    <s v="cream"/>
    <s v="Cream"/>
    <s v="6-12M( SHORT-SLEEVE)"/>
    <s v="United States"/>
    <s v="Romper Short"/>
    <n v="6"/>
    <n v="24"/>
    <s v="FathersDay"/>
    <s v="6-12"/>
    <x v="47"/>
    <m/>
  </r>
  <r>
    <d v="2026-06-08T00:00:00"/>
    <s v="https://www.etsy.com/ca/listing/4376392339/funny-baby-romper-my-brand-of-formula?transaction_id=5106156755"/>
    <s v="dusty pink"/>
    <s v="Dusty Pink"/>
    <s v="6-12M( SHORT-SLEEVE)"/>
    <s v="United States"/>
    <s v="Romper Short"/>
    <n v="6"/>
    <n v="24"/>
    <s v="FathersDay"/>
    <s v="6-12"/>
    <x v="35"/>
    <m/>
  </r>
  <r>
    <d v="2026-06-08T00:00:00"/>
    <s v="https://www.etsy.com/ca/listing/4516287742/little-potato-embroidered-baby-romper?transaction_id=5095688026"/>
    <s v="cream"/>
    <s v="Cream"/>
    <s v="6-12M(LONG-SLEEVE)"/>
    <s v="Germany"/>
    <s v="Romper Longer"/>
    <n v="6"/>
    <n v="24"/>
    <s v="FathersDay"/>
    <s v="6-12"/>
    <x v="17"/>
    <m/>
  </r>
  <r>
    <d v="2026-06-09T00:00:00"/>
    <s v="https://www.etsy.com/ca/listing/4376389783/player-2-baby-romper-gamer-baby-outfit?transaction_id=5106700519"/>
    <s v="sage green"/>
    <s v="Sage Green"/>
    <s v="6-12M( SHORT-SLEEVE)"/>
    <s v="United States"/>
    <s v="Romper Short"/>
    <n v="6"/>
    <n v="24"/>
    <s v="FathersDay"/>
    <s v="6-12"/>
    <x v="19"/>
    <m/>
  </r>
  <r>
    <d v="2026-06-09T00:00:00"/>
    <s v="https://www.etsy.com/ca/listing/4336899579/personalized-basketball-baby-romper?transaction_id=5096871228"/>
    <s v="dusty pink"/>
    <s v="Dusty Pink"/>
    <s v="3-6M(LONG -SLEEVE)"/>
    <s v="United States"/>
    <s v="Romper Longer"/>
    <n v="6"/>
    <n v="24"/>
    <s v="FathersDay"/>
    <s v="3-6"/>
    <x v="8"/>
    <m/>
  </r>
  <r>
    <d v="2026-06-09T00:00:00"/>
    <s v="https://www.etsy.com/ca/listing/4515635452/newest-member-camping-crew-embroidered?transaction_id=5107135315"/>
    <s v="cream"/>
    <s v="Cream"/>
    <s v="6-12M( SHORT-SLEEVE)"/>
    <s v="Canada"/>
    <s v="Romper Short"/>
    <n v="6"/>
    <n v="24"/>
    <s v="FathersDay"/>
    <s v="6-12"/>
    <x v="47"/>
    <m/>
  </r>
  <r>
    <d v="2026-06-09T00:00:00"/>
    <s v="https://www.etsy.com/ca/listing/4507655767/dads-best-bud-baby-romper-first-fathers?transaction_id=5097100790"/>
    <s v="white"/>
    <s v="White"/>
    <s v="6-12M( SHORT-SLEEVE)"/>
    <s v="United States"/>
    <s v="Romper Short"/>
    <n v="6"/>
    <n v="24"/>
    <s v="FathersDay"/>
    <s v="6-12"/>
    <x v="42"/>
    <m/>
  </r>
  <r>
    <d v="2026-06-09T00:00:00"/>
    <s v="https://www.etsy.com/ca/listing/4393855716/lil-chef-embroidered-romper-cute-baby?transaction_id=5107327619"/>
    <s v="cream"/>
    <s v="Cream"/>
    <s v="12-18M(SHORT-SLEEVE)"/>
    <s v="United States"/>
    <s v="Romper Short"/>
    <n v="6"/>
    <n v="24"/>
    <s v="FathersDay"/>
    <s v="12-18"/>
    <x v="26"/>
    <m/>
  </r>
  <r>
    <d v="2026-06-09T00:00:00"/>
    <s v="https://www.etsy.com/ca/listing/4511380496/outwit-outplay-outnap-baby-romper-funny?transaction_id=5107386331"/>
    <s v="sage green"/>
    <s v="Sage Green"/>
    <s v="3-6M(LONG -SLEEVE)"/>
    <s v="United States"/>
    <s v="Romper Longer"/>
    <n v="6"/>
    <n v="24"/>
    <s v="FathersDay"/>
    <s v="3-6"/>
    <x v="7"/>
    <m/>
  </r>
  <r>
    <d v="2026-06-09T00:00:00"/>
    <s v="https://www.etsy.com/listing/4473754338/racing-baby-romper-with-daddy-racing"/>
    <s v="white"/>
    <s v="White"/>
    <s v="6-12M( SHORT-SLEEVE)"/>
    <s v="Canada"/>
    <s v="Romper Short"/>
    <n v="6"/>
    <n v="24"/>
    <s v="FathersDay"/>
    <s v="6-12"/>
    <x v="42"/>
    <m/>
  </r>
  <r>
    <d v="2026-06-09T00:00:00"/>
    <s v="https://www.etsy.com/ca/listing/4471139539/daddys-future-hunting-buddy-baby-romper?transaction_id=5097387428"/>
    <s v="sage green"/>
    <s v="Sage Green"/>
    <s v="3-6M(LONG -SLEEVE)"/>
    <s v="United States"/>
    <s v="Romper Longer"/>
    <n v="6"/>
    <n v="24"/>
    <s v="FathersDay"/>
    <s v="3-6"/>
    <x v="7"/>
    <m/>
  </r>
  <r>
    <d v="2026-06-09T00:00:00"/>
    <s v="https://www.etsy.com/ca/listing/4515633002/my-dad-is-the-best-by-par-embroidered?transaction_id=5097400774"/>
    <s v="caldet blue"/>
    <s v="Caldet Blue"/>
    <s v="3-6M(LONG -SLEEVE)"/>
    <s v="United States"/>
    <s v="Romper Longer"/>
    <n v="6"/>
    <n v="24"/>
    <s v="FathersDay"/>
    <s v="3-6"/>
    <x v="23"/>
    <m/>
  </r>
  <r>
    <d v="2026-06-09T00:00:00"/>
    <s v="https://www.etsy.com/ca/listing/4499626742/mamas-little-cannoli-embroidered-baby?transaction_id=5097519384"/>
    <s v="cream"/>
    <s v="Cream"/>
    <s v="3-6M(LONG -SLEEVE)"/>
    <s v="Australia"/>
    <s v="Romper Longer"/>
    <n v="6"/>
    <n v="24"/>
    <s v="FathersDay"/>
    <s v="3-6"/>
    <x v="1"/>
    <m/>
  </r>
  <r>
    <d v="2026-06-10T00:00:00"/>
    <s v="https://www.etsy.com/ca/listing/4347260564/football-baby-romper-game-day-baby?transaction_id=5107714843"/>
    <s v="cream"/>
    <s v="Cream"/>
    <s v="3-6M(LONG -SLEEVE)"/>
    <s v="United States"/>
    <s v="Romper Longer"/>
    <n v="6"/>
    <n v="24"/>
    <s v="FathersDay"/>
    <s v="3-6"/>
    <x v="1"/>
    <m/>
  </r>
  <r>
    <d v="2026-06-10T00:00:00"/>
    <s v="https://www.etsy.com/ca/listing/4503552705/check-engine-diaper-baby-romper?transaction_id=5107792009"/>
    <s v="cream"/>
    <s v="Cream"/>
    <s v="6-12M(LONG-SLEEVE)"/>
    <s v="Germany"/>
    <s v="Romper Longer"/>
    <n v="6"/>
    <n v="24"/>
    <s v="FathersDay"/>
    <s v="6-12"/>
    <x v="17"/>
    <m/>
  </r>
  <r>
    <d v="2026-06-10T00:00:00"/>
    <s v="https://www.etsy.com/ca/listing/4507655767/dads-best-bud-baby-romper-first-fathers?transaction_id=5097942076"/>
    <s v="cream"/>
    <s v="Cream"/>
    <s v="3-6M(SHORT-SLEEVE)"/>
    <s v="United States"/>
    <s v="Romper Short"/>
    <n v="6"/>
    <n v="24"/>
    <s v="FathersDay"/>
    <s v="3-6"/>
    <x v="0"/>
    <m/>
  </r>
  <r>
    <d v="2026-06-10T00:00:00"/>
    <s v="https://www.etsy.com/ca/listing/4344231895/embroidered-baby-romper-shhh-im-reading?transaction_id=5108205459"/>
    <s v="watermelon"/>
    <s v="Watermelon"/>
    <s v="3-6M(LONG -SLEEVE)"/>
    <s v="United States"/>
    <s v="Romper Longer"/>
    <n v="6"/>
    <n v="24"/>
    <s v="FathersDay"/>
    <s v="3-6"/>
    <x v="20"/>
    <m/>
  </r>
  <r>
    <d v="2026-06-10T00:00:00"/>
    <s v="https://www.etsy.com/listing/4392936688/shhh-im-watching-motogp-with-daddy"/>
    <s v="caldet blue"/>
    <s v="Caldet Blue"/>
    <s v="12-18M(SHORT-SLEEVE)"/>
    <s v="Germany"/>
    <s v="Romper Short"/>
    <n v="6"/>
    <n v="24"/>
    <s v="FathersDay"/>
    <s v="12-18"/>
    <x v="72"/>
    <m/>
  </r>
  <r>
    <d v="2026-06-10T00:00:00"/>
    <s v="https://www.etsy.com/ca/listing/4347260564/football-baby-romper-game-day-baby?transaction_id=5108662309&amp;dd_referrer="/>
    <s v="cream"/>
    <s v="Cream"/>
    <s v="0-3M(LONG-SLEEVE)"/>
    <s v="United States"/>
    <s v="Romper Longer"/>
    <n v="6"/>
    <n v="24"/>
    <s v="FathersDay"/>
    <s v="0-3"/>
    <x v="2"/>
    <m/>
  </r>
  <r>
    <d v="2026-06-10T00:00:00"/>
    <s v="https://www.etsy.com/ca/listing/4471139539/daddys-future-hunting-buddy-baby-romper?transaction_id=5108705949"/>
    <s v="cream"/>
    <s v="Cream"/>
    <s v="0-3M(LONG-SLEEVE)"/>
    <s v="United States"/>
    <s v="Romper Longer"/>
    <n v="6"/>
    <n v="24"/>
    <s v="FathersDay"/>
    <s v="0-3"/>
    <x v="2"/>
    <m/>
  </r>
  <r>
    <d v="2026-06-10T00:00:00"/>
    <s v="https://www.etsy.com/ca/listing/4376401181/challah-at-your-girl-baby-bodysuit-funny?transaction_id=5108757621"/>
    <s v="white"/>
    <s v="White"/>
    <s v="0-3M(SHORT -SLEEVE)"/>
    <s v="United States"/>
    <s v="Romper Short"/>
    <n v="6"/>
    <n v="24"/>
    <s v="FathersDay"/>
    <s v="0-3"/>
    <x v="21"/>
    <m/>
  </r>
  <r>
    <d v="2026-06-11T00:00:00"/>
    <s v="https://www.etsy.com/ca/listing/4347260564/football-baby-romper-game-day-baby?transaction_id=5099103656"/>
    <s v="cream"/>
    <s v="Cream"/>
    <s v="3-6M(LONG -SLEEVE)"/>
    <s v="Austria"/>
    <s v="Romper Longer"/>
    <n v="6"/>
    <n v="24"/>
    <s v="FathersDay"/>
    <s v="3-6"/>
    <x v="1"/>
    <m/>
  </r>
  <r>
    <d v="2026-06-11T00:00:00"/>
    <s v="https://www.etsy.com/ca/listing/4376399899/the-littlest-book-club-member-baby?transaction_id=5099357820"/>
    <s v="sage green"/>
    <s v="Sage Green"/>
    <s v="3-6M(LONG -SLEEVE)"/>
    <s v="United States"/>
    <s v="Romper Longer"/>
    <n v="6"/>
    <n v="24"/>
    <s v="FathersDay"/>
    <s v="3-6"/>
    <x v="7"/>
    <m/>
  </r>
  <r>
    <d v="2026-06-11T00:00:00"/>
    <s v="https://www.etsy.com/ca/listing/4347260564/football-baby-romper-game-day-baby?transaction_id=5109271243"/>
    <s v="cream"/>
    <s v="Cream"/>
    <s v="6-12M( SHORT-SLEEVE)"/>
    <s v="United Kingdom"/>
    <s v="Romper Short"/>
    <n v="6"/>
    <n v="24"/>
    <s v="FathersDay"/>
    <s v="6-12"/>
    <x v="47"/>
    <m/>
  </r>
  <r>
    <d v="2026-06-11T00:00:00"/>
    <s v="https://www.etsy.com/ca/listing/4393856175/personalized-christmas-embroidered?transaction_id=5109426491"/>
    <s v="forest green"/>
    <s v="Forest Green"/>
    <s v="6-12M(LONG-SLEEVE)"/>
    <s v="United States"/>
    <s v="Romper Longer"/>
    <n v="6"/>
    <n v="24"/>
    <s v="FathersDay"/>
    <s v="6-12"/>
    <x v="30"/>
    <m/>
  </r>
  <r>
    <d v="2026-06-11T00:00:00"/>
    <s v="https://www.etsy.com/ca/listing/4392935796/box-box-for-fresh-diapers-embroidered?transaction_id=5099529070"/>
    <s v="cream"/>
    <s v="Cream"/>
    <s v="6-12M(LONG-SLEEVE)"/>
    <s v="United States"/>
    <s v="Romper Longer"/>
    <n v="6"/>
    <n v="24"/>
    <s v="FathersDay"/>
    <s v="6-12"/>
    <x v="17"/>
    <m/>
  </r>
  <r>
    <d v="2026-06-11T00:00:00"/>
    <s v="https://www.etsy.com/ca/listing/4467446644/the-littlest-baking-club-member-baby?transaction_id=5109532643"/>
    <s v="cream"/>
    <s v="Cream"/>
    <s v="3-6M(LONG -SLEEVE)"/>
    <s v="United Kingdom"/>
    <s v="Romper Longer"/>
    <n v="6"/>
    <n v="24"/>
    <s v="FathersDay"/>
    <s v="3-6"/>
    <x v="1"/>
    <m/>
  </r>
  <r>
    <d v="2026-06-11T00:00:00"/>
    <s v="https://www.etsy.com/ca/listing/4366190473/cat-face-embroidered-baby-romper-my?transaction_id=5109564695"/>
    <s v="cream"/>
    <s v="Cream"/>
    <s v="0-3M(LONG-SLEEVE)"/>
    <s v="United States"/>
    <s v="Romper Longer"/>
    <n v="6"/>
    <n v="24"/>
    <s v="FathersDay"/>
    <s v="0-3"/>
    <x v="2"/>
    <m/>
  </r>
  <r>
    <d v="2026-06-11T00:00:00"/>
    <s v="https://www.etsy.com/ca/listing/4507655767/dads-best-bud-baby-romper-first-fathers?transaction_id=5109719861"/>
    <s v="forest green"/>
    <s v="Forest Green"/>
    <s v="6-12M( SHORT-SLEEVE)"/>
    <s v="United States"/>
    <s v="Romper Short"/>
    <n v="6"/>
    <n v="24"/>
    <s v="FathersDay"/>
    <s v="6-12"/>
    <x v="56"/>
    <m/>
  </r>
  <r>
    <d v="2026-06-11T00:00:00"/>
    <s v="https://www.etsy.com/ca/listing/4366190473/cat-face-embroidered-baby-romper-my?transaction_id=5109847945"/>
    <s v="mauve taupe"/>
    <s v="Mauve Taupe"/>
    <s v="3-6M(LONG-SLEEVE)"/>
    <s v="United States"/>
    <s v="Romper Longer"/>
    <n v="6"/>
    <n v="24"/>
    <s v="FathersDay"/>
    <s v="3-6"/>
    <x v="10"/>
    <m/>
  </r>
  <r>
    <d v="2026-06-12T00:00:00"/>
    <s v="https://www.etsy.com/ca/listing/4376392339/funny-baby-romper-my-brand-of-formula?transaction_id=5100290514"/>
    <s v="white"/>
    <s v="White"/>
    <s v="12-18M(SHORT-SLEEVE)"/>
    <s v="United States"/>
    <s v="Romper Short"/>
    <n v="6"/>
    <n v="24"/>
    <s v="FathersDay"/>
    <s v="12-18"/>
    <x v="87"/>
    <m/>
  </r>
  <r>
    <d v="2026-06-12T00:00:00"/>
    <s v="https://www.etsy.com/ca/listing/4467449868/the-littlest-garden-club-member-baby?transaction_id=5110132099"/>
    <s v="cream"/>
    <s v="Cream"/>
    <s v="0-3M(SHORT -SLEEVE)"/>
    <s v="United States"/>
    <s v="Romper Short"/>
    <n v="6"/>
    <n v="24"/>
    <s v="FathersDay"/>
    <s v="0-3"/>
    <x v="15"/>
    <m/>
  </r>
  <r>
    <d v="2026-06-12T00:00:00"/>
    <s v="https://www.etsy.com/ca/listing/4471139539/daddys-future-hunting-buddy-baby-romper?transaction_id=5100458786"/>
    <s v="cream"/>
    <s v="Cream"/>
    <s v="0-3M(LONG-SLEEVE)"/>
    <s v="United States"/>
    <s v="Romper Longer"/>
    <n v="6"/>
    <n v="24"/>
    <s v="FathersDay"/>
    <s v="0-3"/>
    <x v="2"/>
    <m/>
  </r>
  <r>
    <d v="2026-06-12T00:00:00"/>
    <s v="https://www.etsy.com/ca/listing/4471139539/daddys-future-hunting-buddy-baby-romper?transaction_id=5110544795"/>
    <s v="sage green"/>
    <s v="Sage Green"/>
    <s v="0-3M(LONG-SLEEVE)"/>
    <s v="United States"/>
    <s v="Romper Longer"/>
    <n v="6"/>
    <n v="24"/>
    <s v="FathersDay"/>
    <s v="0-3"/>
    <x v="5"/>
    <m/>
  </r>
  <r>
    <d v="2026-06-12T00:00:00"/>
    <s v="https://www.etsy.com/ca/listing/4333135410/little-pumpkin-baby-romper-fall?transaction_id=5100789506"/>
    <s v="cream"/>
    <s v="Cream"/>
    <s v="0-3M(SHORT -SLEEVE)"/>
    <s v="United States"/>
    <s v="Romper Short"/>
    <n v="6"/>
    <n v="24"/>
    <s v="FathersDay"/>
    <s v="0-3"/>
    <x v="15"/>
    <m/>
  </r>
  <r>
    <d v="2026-06-12T00:00:00"/>
    <s v="https://www.etsy.com/ca/listing/4330479964/personalized-fox-baby-bodysuit-custom?transaction_id=5110707789"/>
    <s v="white"/>
    <s v="White"/>
    <s v="3-6M(SHORT-SLEEVE)"/>
    <s v="United Kingdom"/>
    <s v="Romper Short"/>
    <n v="6"/>
    <n v="24"/>
    <s v="FathersDay"/>
    <s v="3-6"/>
    <x v="69"/>
    <m/>
  </r>
  <r>
    <d v="2026-06-12T00:00:00"/>
    <s v="https://www.etsy.com/ca/listing/4507678260/fathers-day-baby-girl-outfit-daddys?transaction_id=5101026358"/>
    <s v="cream"/>
    <s v="Cream"/>
    <s v="3-6M(SHORT-SLEEVE)"/>
    <s v="France"/>
    <s v="Romper Short"/>
    <n v="6"/>
    <n v="24"/>
    <s v="FathersDay"/>
    <s v="3-6"/>
    <x v="0"/>
    <m/>
  </r>
  <r>
    <d v="2026-06-12T00:00:00"/>
    <s v="https://www.etsy.com/ca/listing/4392936688/shhh-im-watching-motogp-with-daddy?transaction_id=5101232880"/>
    <s v="dusty pink"/>
    <s v="Dusty Pink"/>
    <s v="6-12M(LONG-SLEEVE)"/>
    <s v="Poland"/>
    <s v="Romper Longer"/>
    <n v="6"/>
    <n v="24"/>
    <s v="FathersDay"/>
    <s v="6-12"/>
    <x v="51"/>
    <m/>
  </r>
  <r>
    <d v="2026-06-12T00:00:00"/>
    <s v="https://www.etsy.com/ca/listing/4471139539/daddys-future-hunting-buddy-baby-romper?transaction_id=5110979399"/>
    <s v="forest green"/>
    <s v="Forest Green"/>
    <s v="3-6M(LONG -SLEEVE)"/>
    <s v="United States"/>
    <s v="Romper Longer"/>
    <n v="6"/>
    <n v="24"/>
    <s v="FathersDay"/>
    <s v="3-6"/>
    <x v="4"/>
    <m/>
  </r>
  <r>
    <d v="2026-06-12T00:00:00"/>
    <s v="https://www.etsy.com/ca/listing/4503550714/crawl-walk-climb-baby-romper-embroidered?transaction_id=5101695318"/>
    <s v="cream"/>
    <s v="Cream"/>
    <s v="6-12M( SHORT-SLEEVE)"/>
    <s v="Australia"/>
    <s v="Romper Short"/>
    <n v="6"/>
    <n v="24"/>
    <s v="FathersDay"/>
    <s v="6-12"/>
    <x v="47"/>
    <m/>
  </r>
  <r>
    <d v="2026-06-12T00:00:00"/>
    <s v="https://www.etsy.com/ca/listing/4467452578/the-littlest-pickleball-club-member-baby?transaction_id=5102088170"/>
    <s v="cream"/>
    <s v="Cream"/>
    <s v="3-6M(LONG -SLEEVE)"/>
    <s v="Australia"/>
    <s v="Romper Longer"/>
    <n v="6"/>
    <n v="24"/>
    <s v="FathersDay"/>
    <s v="3-6"/>
    <x v="1"/>
    <m/>
  </r>
  <r>
    <d v="2026-06-12T00:00:00"/>
    <s v="https://www.etsy.com/ca/listing/4376392339/funny-baby-romper-my-brand-of-formula?transaction_id=5111922219"/>
    <s v="cream"/>
    <s v="Cream"/>
    <s v="18-24M(SHORT-SLEEVE)"/>
    <s v="Canada"/>
    <s v="Romper Short"/>
    <n v="6"/>
    <n v="24"/>
    <s v="FathersDay"/>
    <s v="18-24"/>
    <x v="16"/>
    <m/>
  </r>
  <r>
    <d v="2026-06-12T00:00:00"/>
    <s v="https://www.etsy.com/ca/listing/4503552705/check-engine-diaper-baby-romper?transaction_id=5111940185"/>
    <s v="dusty pink"/>
    <s v="Dusty Pink"/>
    <s v="6-12M( SHORT-SLEEVE)"/>
    <s v="The Netherlands"/>
    <s v="Romper Short"/>
    <n v="6"/>
    <n v="24"/>
    <s v="FathersDay"/>
    <s v="6-12"/>
    <x v="35"/>
    <m/>
  </r>
  <r>
    <d v="2026-06-13T00:00:00"/>
    <s v="https://www.etsy.com/ca/listing/4346126210/daddys-future-lifting-buddy-romper-baby?transaction_id=5112360923"/>
    <s v="cream"/>
    <s v="Cream"/>
    <s v="0-3M(SHORT -SLEEVE)"/>
    <s v="Luxembourg"/>
    <s v="Romper Short"/>
    <n v="6"/>
    <n v="24"/>
    <s v="FathersDay"/>
    <s v="0-3"/>
    <x v="15"/>
    <m/>
  </r>
  <r>
    <d v="2026-06-13T00:00:00"/>
    <s v="https://www.etsy.com/ca/listing/4330504943/embroidered-tennis-baby-romper-daddys?transaction_id=5102798900"/>
    <s v="cream"/>
    <s v="Cream"/>
    <s v="3-6M(SHORT-SLEEVE)"/>
    <s v="Switzerland"/>
    <s v="Romper Short"/>
    <n v="6"/>
    <n v="24"/>
    <s v="FathersDay"/>
    <s v="3-6"/>
    <x v="0"/>
    <m/>
  </r>
  <r>
    <d v="2026-06-13T00:00:00"/>
    <s v="https://www.etsy.com/ca/listing/4330504943/embroidered-tennis-baby-romper-daddys?transaction_id=5102890704"/>
    <s v="cream"/>
    <s v="Cream"/>
    <s v="6-12M(LONG-SLEEVE)"/>
    <s v="Austria"/>
    <s v="Romper Longer"/>
    <n v="6"/>
    <n v="24"/>
    <s v="FathersDay"/>
    <s v="6-12"/>
    <x v="17"/>
    <m/>
  </r>
  <r>
    <d v="2026-06-13T00:00:00"/>
    <s v="https://www.etsy.com/ca/listing/4503548678/crawl-walk-262-baby-romper-embroidered?transaction_id=5112449305"/>
    <s v="white"/>
    <s v="White"/>
    <s v="0-3M(LONG-SLEEVE)"/>
    <s v="United Kingdom"/>
    <s v="Romper Longer"/>
    <n v="6"/>
    <n v="24"/>
    <s v="FathersDay"/>
    <s v="0-3"/>
    <x v="54"/>
    <m/>
  </r>
  <r>
    <d v="2026-06-13T00:00:00"/>
    <s v="https://www.etsy.com/ca/listing/4511382091/born-in-2026-americas-250th-year-baby?transaction_id=5112861399"/>
    <s v="white"/>
    <s v="White"/>
    <s v="0-3M(SHORT -SLEEVE)"/>
    <s v="United States"/>
    <s v="Romper Short"/>
    <n v="6"/>
    <n v="24"/>
    <s v="FathersDay"/>
    <s v="0-3"/>
    <x v="21"/>
    <m/>
  </r>
  <r>
    <d v="2026-06-13T00:00:00"/>
    <s v="https://www.etsy.com/ca/listing/4392935796/box-box-for-fresh-diapers-embroidered?transaction_id=5112883463"/>
    <s v="cream"/>
    <s v="Cream"/>
    <s v="6-12M( SHORT-SLEEVE)"/>
    <s v="Canada"/>
    <s v="Romper Short"/>
    <n v="6"/>
    <n v="24"/>
    <s v="FathersDay"/>
    <s v="6-12"/>
    <x v="47"/>
    <m/>
  </r>
  <r>
    <d v="2026-06-13T00:00:00"/>
    <s v="https://www.etsy.com/ca/listing/4507678260/fathers-day-baby-girl-outfit-daddys?transaction_id=5112949333"/>
    <s v="dusty pink"/>
    <s v="Dusty Pink"/>
    <s v="6-12M( SHORT-SLEEVE)"/>
    <s v="United States"/>
    <s v="Romper Short"/>
    <n v="6"/>
    <n v="24"/>
    <s v="FathersDay"/>
    <s v="6-12"/>
    <x v="35"/>
    <m/>
  </r>
  <r>
    <d v="2026-06-13T00:00:00"/>
    <s v="https://www.etsy.com/ca/listing/4471139539/daddys-future-hunting-buddy-baby-romper?transaction_id=5112949515"/>
    <s v="cream"/>
    <s v="Cream"/>
    <s v="12-18M(LONG-SLEEVE)"/>
    <s v="United States"/>
    <s v="Romper Longer"/>
    <n v="6"/>
    <n v="24"/>
    <s v="FathersDay"/>
    <s v="12-18"/>
    <x v="53"/>
    <m/>
  </r>
  <r>
    <d v="2026-06-13T00:00:00"/>
    <s v="https://www.etsy.com/ca/listing/4376399899/the-littlest-book-club-member-baby?transaction_id=5113129763"/>
    <s v="sage green"/>
    <s v="Sage Green"/>
    <s v="0-3M(LONG-SLEEVE)"/>
    <s v="United States"/>
    <s v="Romper Longer"/>
    <n v="6"/>
    <n v="24"/>
    <s v="FathersDay"/>
    <s v="0-3"/>
    <x v="5"/>
    <m/>
  </r>
  <r>
    <d v="2026-06-14T00:00:00"/>
    <s v="https://www.etsy.com/ca/listing/4471139539/daddys-future-hunting-buddy-baby-romper?transaction_id=5104068276"/>
    <s v="watermelon"/>
    <s v="Watermelon"/>
    <s v="6-12M(LONG-SLEEVE)"/>
    <s v="Belgium"/>
    <s v="Romper Longer"/>
    <n v="6"/>
    <n v="25"/>
    <s v="FathersDay"/>
    <s v="6-12"/>
    <x v="33"/>
    <m/>
  </r>
  <r>
    <d v="2026-06-14T00:00:00"/>
    <s v="https://www.etsy.com/ca/listing/4515637261/level-1-human-embroidered-baby-romper?transaction_id=5113505739"/>
    <s v="cream"/>
    <s v="Cream"/>
    <s v="3-6M(LONG -SLEEVE)"/>
    <s v="United Kingdom"/>
    <s v="Romper Longer"/>
    <n v="6"/>
    <n v="25"/>
    <s v="FathersDay"/>
    <s v="3-6"/>
    <x v="1"/>
    <m/>
  </r>
  <r>
    <d v="2026-06-14T00:00:00"/>
    <s v="https://www.etsy.com/ca/listing/4392935796/box-box-for-fresh-diapers-embroidered?transaction_id=5104178538"/>
    <s v="cream"/>
    <s v="Cream"/>
    <s v="0-3M(LONG-SLEEVE)"/>
    <s v="Australia"/>
    <s v="Romper Longer"/>
    <n v="6"/>
    <n v="25"/>
    <s v="FathersDay"/>
    <s v="0-3"/>
    <x v="2"/>
    <m/>
  </r>
  <r>
    <d v="2026-06-14T00:00:00"/>
    <s v="https://www.etsy.com/ca/listing/4336907597/custom-running-baby-romper-daddys-future?transaction_id=5113806997"/>
    <s v="cream"/>
    <s v="Cream"/>
    <s v="6-12M( SHORT-SLEEVE)"/>
    <s v="Germany"/>
    <s v="Romper Short"/>
    <n v="6"/>
    <n v="25"/>
    <s v="FathersDay"/>
    <s v="6-12"/>
    <x v="47"/>
    <m/>
  </r>
  <r>
    <d v="2026-06-14T00:00:00"/>
    <s v="https://www.etsy.com/ca/listing/4515633002/my-dad-is-the-best-by-par-embroidered?transaction_id=5104550934"/>
    <s v="sage green"/>
    <s v="Sage Green"/>
    <s v="6-12M(LONG-SLEEVE)"/>
    <s v="United States"/>
    <s v="Romper Longer"/>
    <n v="6"/>
    <n v="25"/>
    <s v="FathersDay"/>
    <s v="6-12"/>
    <x v="3"/>
    <m/>
  </r>
  <r>
    <d v="2026-06-14T00:00:00"/>
    <s v="https://www.etsy.com/ca/listing/4392936688/shhh-im-watching-motogp-with-daddy?transaction_id=5104559536"/>
    <s v="cream"/>
    <s v="Cream"/>
    <s v="0-3M(LONG-SLEEVE)"/>
    <s v="Germany"/>
    <s v="Romper Longer"/>
    <n v="6"/>
    <n v="25"/>
    <s v="FathersDay"/>
    <s v="0-3"/>
    <x v="2"/>
    <m/>
  </r>
  <r>
    <d v="2026-06-14T00:00:00"/>
    <s v="https://www.etsy.com/ca/listing/4504890435/surfs-up-baby-romper-beach-baby-outfit?transaction_id=5104729210"/>
    <s v="sage green"/>
    <s v="Sage Green"/>
    <s v="0-3M(LONG-SLEEVE)"/>
    <s v="United States"/>
    <s v="Romper Longer"/>
    <n v="6"/>
    <n v="25"/>
    <s v="FathersDay"/>
    <s v="0-3"/>
    <x v="5"/>
    <m/>
  </r>
  <r>
    <d v="2026-06-14T00:00:00"/>
    <s v="https://www.etsy.com/ca/listing/4329601875/embroidered-baby-romper-custom-name?transaction_id=5104729208"/>
    <s v="caldet blue"/>
    <s v="Caldet Blue"/>
    <s v="0-3M(SHORT -SLEEVE)"/>
    <s v="United States"/>
    <s v="Romper Short"/>
    <n v="6"/>
    <n v="25"/>
    <s v="FathersDay"/>
    <s v="0-3"/>
    <x v="38"/>
    <m/>
  </r>
  <r>
    <d v="2026-06-15T00:00:00"/>
    <s v="https://www.etsy.com/ca/listing/4515633002/my-dad-is-the-best-by-par-embroidered?transaction_id=5105329512"/>
    <s v="cream"/>
    <s v="Cream"/>
    <s v="12-18M(LONG-SLEEVE)"/>
    <s v="Canada"/>
    <s v="Romper Longer"/>
    <n v="6"/>
    <n v="25"/>
    <s v="FathersDay"/>
    <s v="12-18"/>
    <x v="53"/>
    <m/>
  </r>
  <r>
    <d v="2026-06-15T00:00:00"/>
    <s v="https://www.etsy.com/ca/listing/4346126210/daddys-future-lifting-buddy-romper-baby?transaction_id=5114693661"/>
    <s v="caldet blue"/>
    <s v="Caldet Blue"/>
    <s v="0-3M(LONG-SLEEVE)"/>
    <s v="Germany"/>
    <s v="Romper Longer"/>
    <n v="6"/>
    <n v="25"/>
    <s v="FathersDay"/>
    <s v="0-3"/>
    <x v="9"/>
    <m/>
  </r>
  <r>
    <d v="2026-06-15T00:00:00"/>
    <s v="https://www.etsy.com/ca/listing/4344231895/embroidered-baby-romper-shhh-im-reading?transaction_id=5114715313"/>
    <s v="sage green"/>
    <s v="Sage Green"/>
    <s v="3-6M(SHORT-SLEEVE)"/>
    <s v="United States"/>
    <s v="Romper Short"/>
    <n v="6"/>
    <n v="25"/>
    <s v="FathersDay"/>
    <s v="3-6"/>
    <x v="24"/>
    <m/>
  </r>
  <r>
    <d v="2026-06-15T00:00:00"/>
    <s v="https://www.etsy.com/ca/listing/4376389783/player-2-baby-romper-gamer-baby-outfit?transaction_id=5114715311"/>
    <s v="caldet blue"/>
    <s v="Caldet Blue"/>
    <s v="0-3M(SHORT -SLEEVE)"/>
    <s v="United States"/>
    <s v="Romper Short"/>
    <n v="6"/>
    <n v="25"/>
    <s v="FathersDay"/>
    <s v="0-3"/>
    <x v="38"/>
    <m/>
  </r>
  <r>
    <d v="2026-06-15T00:00:00"/>
    <s v="https://www.etsy.com/ca/listing/4347260564/football-baby-romper-game-day-baby?transaction_id=5105543066"/>
    <s v="cream"/>
    <s v="Cream"/>
    <s v="3-6M(LONG -SLEEVE)"/>
    <s v="United States"/>
    <s v="Romper Longer"/>
    <n v="6"/>
    <n v="25"/>
    <s v="FathersDay"/>
    <s v="3-6"/>
    <x v="1"/>
    <m/>
  </r>
  <r>
    <d v="2026-06-15T00:00:00"/>
    <s v="https://www.etsy.com/ca/listing/4511382091/born-in-2026-americas-250th-year-baby?transaction_id=5114900835"/>
    <s v="watermelon"/>
    <s v="Watermelon"/>
    <s v="0-3M(SHORT -SLEEVE)"/>
    <s v="United States"/>
    <s v="Romper Short"/>
    <n v="6"/>
    <n v="25"/>
    <s v="FathersDay"/>
    <s v="0-3"/>
    <x v="65"/>
    <m/>
  </r>
  <r>
    <d v="2026-06-15T00:00:00"/>
    <s v="https://www.etsy.com/ca/listing/4515633002/my-dad-is-the-best-by-par-embroidered?transaction_id=5105838124"/>
    <s v="cream"/>
    <s v="Cream"/>
    <s v="3-6M(LONG -SLEEVE)"/>
    <s v="United States"/>
    <s v="Romper Longer"/>
    <n v="6"/>
    <n v="25"/>
    <s v="FathersDay"/>
    <s v="3-6"/>
    <x v="1"/>
    <m/>
  </r>
  <r>
    <d v="2026-06-15T00:00:00"/>
    <s v="https://www.etsy.com/ca/listing/4471139539/daddys-future-hunting-buddy-baby-romper?transaction_id=5115102859"/>
    <s v="caldet blue"/>
    <s v="Caldet Blue"/>
    <s v="6-12M(LONG-SLEEVE)"/>
    <s v="United States"/>
    <s v="Romper Longer"/>
    <n v="6"/>
    <n v="25"/>
    <s v="FathersDay"/>
    <s v="6-12"/>
    <x v="25"/>
    <m/>
  </r>
  <r>
    <d v="2026-06-15T00:00:00"/>
    <s v="https://www.etsy.com/ca/listing/4467452578/the-littlest-pickleball-club-member-baby?transaction_id=5115345747"/>
    <s v="cream"/>
    <s v="Cream"/>
    <s v="3-6M(LONG -SLEEVE)"/>
    <s v="United States"/>
    <s v="Romper Longer"/>
    <n v="6"/>
    <n v="25"/>
    <s v="FathersDay"/>
    <s v="3-6"/>
    <x v="1"/>
    <m/>
  </r>
  <r>
    <d v="2026-06-15T00:00:00"/>
    <s v="https://www.etsy.com/ca/listing/4336907597/custom-running-baby-romper-daddys-future?transaction_id=5115345745"/>
    <s v="caldet blue"/>
    <s v="Caldet Blue"/>
    <s v="3-6M(LONG -SLEEVE)"/>
    <s v="United States"/>
    <s v="Romper Longer"/>
    <n v="6"/>
    <n v="25"/>
    <s v="FathersDay"/>
    <s v="3-6"/>
    <x v="23"/>
    <m/>
  </r>
  <r>
    <d v="2026-01-26T00:00:00"/>
    <s v="https://www.etsy.com/listing/4444631598/first-edition-published-2026-embroidered?transaction_id=4944380131"/>
    <s v="Light Blue"/>
    <s v="Light Blue"/>
    <s v="0-3 Months"/>
    <s v="United States"/>
    <s v="Bodysuit"/>
    <n v="1"/>
    <n v="5"/>
    <s v="NewYear"/>
    <s v="0-3"/>
    <x v="88"/>
    <m/>
  </r>
  <r>
    <d v="2026-01-26T00:00:00"/>
    <s v="https://www.etsy.com/listing/4444631598/first-edition-published-2026-embroidered?transaction_id=4944423961"/>
    <s v="cream"/>
    <s v="Cream"/>
    <s v="0-3 Months"/>
    <s v="United States"/>
    <s v="Bodysuit"/>
    <n v="1"/>
    <n v="5"/>
    <s v="NewYear"/>
    <s v="0-3"/>
    <x v="89"/>
    <m/>
  </r>
  <r>
    <d v="2026-01-27T00:00:00"/>
    <s v="https://www.etsy.com/listing/4444631598/first-edition-published-2026-embroidered?transaction_id=4944423961"/>
    <s v="cream"/>
    <s v="Cream"/>
    <s v="3-6 Months"/>
    <s v="United States"/>
    <s v="Bodysuit"/>
    <n v="1"/>
    <n v="5"/>
    <s v="NewYear"/>
    <s v="3-6"/>
    <x v="90"/>
    <m/>
  </r>
  <r>
    <d v="2026-01-28T00:00:00"/>
    <s v="https://www.etsy.com/listing/4444631598/first-edition-published-2026-embroidered?transaction_id=4935047224"/>
    <s v="cream"/>
    <s v="Cream"/>
    <s v="0-3 Months"/>
    <s v="United States"/>
    <s v="Bodysuit"/>
    <n v="1"/>
    <n v="5"/>
    <s v="NewYear"/>
    <s v="0-3"/>
    <x v="89"/>
    <m/>
  </r>
  <r>
    <d v="2026-01-28T00:00:00"/>
    <s v="https://www.etsy.com/listing/4445823088/its-alright-to-be-a-little-bitty?transaction_id=4953144105"/>
    <s v="cream"/>
    <s v="Cream"/>
    <s v="0-3 Months"/>
    <s v="United States"/>
    <s v="Bodysuit"/>
    <n v="1"/>
    <n v="5"/>
    <s v="NewYear"/>
    <s v="0-3"/>
    <x v="89"/>
    <m/>
  </r>
  <r>
    <d v="2026-02-02T00:00:00"/>
    <s v="https://www.etsy.com/listing/4445823088/its-alright-to-be-a-little-bitty?transaction_id=4953144105"/>
    <s v="cream"/>
    <s v="Cream"/>
    <s v="0-3 Months"/>
    <s v="United States"/>
    <s v="Bodysuit"/>
    <n v="2"/>
    <n v="6"/>
    <s v="Valentine"/>
    <s v="0-3"/>
    <x v="89"/>
    <m/>
  </r>
  <r>
    <d v="2026-02-03T00:00:00"/>
    <s v="https://www.etsy.com/listing/4444656323/no-thoughts-only-potato-embroidered-baby?transaction_id=4944282348"/>
    <s v="Light Blue"/>
    <s v="Light Blue"/>
    <s v="0-3 Months"/>
    <s v="United States"/>
    <s v="Bodysuit"/>
    <n v="2"/>
    <n v="6"/>
    <s v="Valentine"/>
    <s v="0-3"/>
    <x v="88"/>
    <m/>
  </r>
  <r>
    <d v="2026-02-06T00:00:00"/>
    <s v="https://www.etsy.com/listing/4444663232/walking-bread-embroidered-baby-bodysuit?transaction_id=4957427797"/>
    <s v="Light Pink"/>
    <s v="Light Pink"/>
    <s v="3-6 Months"/>
    <s v="United States"/>
    <s v="Bodysuit"/>
    <n v="2"/>
    <n v="6"/>
    <s v="Valentine"/>
    <s v="3-6"/>
    <x v="91"/>
    <m/>
  </r>
  <r>
    <d v="2026-02-06T00:00:00"/>
    <s v="https://www.etsy.com/listing/4445823392/future-firefighter-embroidered-baby?transaction_id=4958087003"/>
    <s v="Light Blue"/>
    <s v="Light Blue"/>
    <s v="0-3 Months"/>
    <s v="United States"/>
    <s v="Bodysuit"/>
    <n v="2"/>
    <n v="6"/>
    <s v="Valentine"/>
    <s v="0-3"/>
    <x v="88"/>
    <m/>
  </r>
  <r>
    <d v="2026-02-07T00:00:00"/>
    <s v="https://www.etsy.com/listing/4445820850/newest-member-of-the-band-embroidered?transaction_id=4948162586"/>
    <s v="Light Blue"/>
    <s v="Light Blue"/>
    <s v="3-6 Months"/>
    <s v="United States"/>
    <s v="Bodysuit"/>
    <n v="2"/>
    <n v="6"/>
    <s v="Valentine"/>
    <s v="3-6"/>
    <x v="92"/>
    <m/>
  </r>
  <r>
    <d v="2026-02-07T00:00:00"/>
    <s v="https://www.etsy.com/listing/4444631598/first-edition-published-2026-embroidered?transaction_id=4948240154"/>
    <s v="cream"/>
    <s v="Cream"/>
    <s v="0-3 Months"/>
    <s v="United States"/>
    <s v="Bodysuit"/>
    <n v="2"/>
    <n v="6"/>
    <s v="Valentine"/>
    <s v="0-3"/>
    <x v="89"/>
    <m/>
  </r>
  <r>
    <d v="2026-02-10T00:00:00"/>
    <s v="https://www.etsy.com/listing/4449065874/books-and-coffee-embroidered-baby?transaction_id=4952152258"/>
    <s v="Light Pink"/>
    <s v="Light Pink"/>
    <s v="0-3 Months"/>
    <s v="United States"/>
    <s v="Bodysuit"/>
    <n v="2"/>
    <n v="7"/>
    <s v="Valentine"/>
    <s v="0-3"/>
    <x v="93"/>
    <m/>
  </r>
  <r>
    <d v="2026-02-10T00:00:00"/>
    <s v="https://www.etsy.com/listing/4444654013/you-are-the-notes-to-my-heart?transaction_id=4962825555"/>
    <s v="Light Pink"/>
    <s v="Light Pink"/>
    <s v="3-6 Months"/>
    <s v="United States"/>
    <s v="Bodysuit"/>
    <n v="2"/>
    <n v="7"/>
    <s v="Valentine"/>
    <s v="3-6"/>
    <x v="91"/>
    <m/>
  </r>
  <r>
    <d v="2026-02-11T00:00:00"/>
    <s v="https://www.etsy.com/listing/4451637685/little-foodie-embroidered-baby-bodysuit?transaction_id=4953851572"/>
    <s v="Light Pink"/>
    <s v="Light Pink"/>
    <s v="0-3 Months"/>
    <s v="United States"/>
    <s v="Bodysuit"/>
    <n v="2"/>
    <n v="7"/>
    <s v="Valentine"/>
    <s v="0-3"/>
    <x v="93"/>
    <m/>
  </r>
  <r>
    <d v="2026-02-12T00:00:00"/>
    <s v="https://www.etsy.com/listing/4444631598/first-edition-published-2026-embroidered?transaction_id=4954716208"/>
    <s v="cream"/>
    <s v="Cream"/>
    <s v="0-3 Months"/>
    <s v="United States"/>
    <s v="Bodysuit"/>
    <n v="2"/>
    <n v="7"/>
    <s v="Valentine"/>
    <s v="0-3"/>
    <x v="89"/>
    <m/>
  </r>
  <r>
    <d v="2026-02-13T00:00:00"/>
    <s v="https://www.etsy.com/listing/4451637931/i-love-to-read-wine-labels-embroidered?transaction_id=4966999847"/>
    <s v="Light Blue"/>
    <s v="Light Blue"/>
    <s v="3-6 Months"/>
    <s v="United States"/>
    <s v="Bodysuit"/>
    <n v="2"/>
    <n v="7"/>
    <s v="Valentine"/>
    <s v="3-6"/>
    <x v="92"/>
    <m/>
  </r>
  <r>
    <d v="2026-02-14T00:00:00"/>
    <s v="https://www.etsy.com/listing/4444631598/first-edition-published-2026-embroidered?transaction_id=4957341868"/>
    <s v="cream"/>
    <s v="Cream"/>
    <s v="0-3 Months"/>
    <s v="United States"/>
    <s v="Bodysuit"/>
    <n v="2"/>
    <n v="7"/>
    <s v="Valentine"/>
    <s v="0-3"/>
    <x v="89"/>
    <m/>
  </r>
  <r>
    <d v="2026-02-15T00:00:00"/>
    <s v="https://www.etsy.com/listing/4445844080/apparently-i-like-fish-embroidered-baby?transaction_id=4958745760"/>
    <s v="cream"/>
    <s v="Cream"/>
    <s v="0-3 Months"/>
    <s v="United States"/>
    <s v="Bodysuit"/>
    <n v="2"/>
    <n v="8"/>
    <s v="Valentine"/>
    <s v="0-3"/>
    <x v="89"/>
    <m/>
  </r>
  <r>
    <d v="2026-02-16T00:00:00"/>
    <s v="https://www.etsy.com/listing/4445848948/jazz-baby-bodysuit-embroidered-saxophone?transaction_id=4959382068"/>
    <s v="cream"/>
    <s v="Cream"/>
    <s v="3-6 Months"/>
    <s v="United States"/>
    <s v="Bodysuit"/>
    <n v="2"/>
    <n v="8"/>
    <s v="Valentine"/>
    <s v="3-6"/>
    <x v="90"/>
    <m/>
  </r>
  <r>
    <d v="2026-02-16T00:00:00"/>
    <s v="https://www.etsy.com/listing/4445850114/the-littlest-book-club-member-baby?transaction_id=4960221064"/>
    <s v="cream"/>
    <s v="Cream"/>
    <s v="3-6 Months"/>
    <s v="United States"/>
    <s v="Bodysuit"/>
    <n v="2"/>
    <n v="8"/>
    <s v="Valentine"/>
    <s v="3-6"/>
    <x v="90"/>
    <m/>
  </r>
  <r>
    <d v="2026-02-17T00:00:00"/>
    <s v="https://www.etsy.com/listing/4445850114/the-littlest-book-club-member-baby?transaction_id=4970812147"/>
    <s v="Light Pink"/>
    <s v="Light Pink"/>
    <s v="3-6 Months"/>
    <s v="United States"/>
    <s v="Bodysuit"/>
    <n v="2"/>
    <n v="8"/>
    <s v="Valentine"/>
    <s v="3-6"/>
    <x v="91"/>
    <m/>
  </r>
  <r>
    <d v="2026-02-18T00:00:00"/>
    <s v="https://www.etsy.com/listing/4445823392/future-firefighter-embroidered-baby?transaction_id=4972238399"/>
    <s v="Light Blue"/>
    <s v="Light Blue"/>
    <s v="3-6 Months"/>
    <s v="United States"/>
    <s v="Bodysuit"/>
    <n v="2"/>
    <n v="8"/>
    <s v="Valentine"/>
    <s v="3-6"/>
    <x v="92"/>
    <m/>
  </r>
  <r>
    <d v="2026-02-18T00:00:00"/>
    <s v="https://www.etsy.com/listing/4444631598/first-edition-published-2026-embroidered?transaction_id=4972033923"/>
    <s v="cream"/>
    <s v="Cream"/>
    <s v="0-3 Months"/>
    <s v="United States"/>
    <s v="Bodysuit"/>
    <n v="2"/>
    <n v="8"/>
    <s v="Valentine"/>
    <s v="0-3"/>
    <x v="89"/>
    <m/>
  </r>
  <r>
    <d v="2026-02-25T00:00:00"/>
    <s v="https://www.etsy.com/listing/4444631598/first-edition-published-2026-embroidered?transaction_id=4979848937"/>
    <s v="Light Blue"/>
    <s v="Light Blue"/>
    <s v="0-3 Months"/>
    <s v="United States"/>
    <s v="Bodysuit"/>
    <n v="2"/>
    <n v="9"/>
    <s v="Valentine"/>
    <s v="0-3"/>
    <x v="88"/>
    <m/>
  </r>
  <r>
    <d v="2026-02-25T00:00:00"/>
    <s v="https://www.etsy.com/listing/4444659369/future-bookworm-embroidered-baby?transaction_id=4969672358"/>
    <s v="Light Pink"/>
    <s v="Light Pink"/>
    <s v="0-3 Months"/>
    <s v="United States"/>
    <s v="Bodysuit"/>
    <n v="2"/>
    <n v="9"/>
    <s v="Valentine"/>
    <s v="0-3"/>
    <x v="93"/>
    <m/>
  </r>
  <r>
    <d v="2026-02-27T00:00:00"/>
    <s v="https://www.etsy.com/listing/4444631598/first-edition-published-2026-embroidered?transaction_id=4973100906"/>
    <s v="cream"/>
    <s v="Cream"/>
    <s v="0-3 Months"/>
    <s v="United States"/>
    <s v="Bodysuit"/>
    <n v="2"/>
    <n v="9"/>
    <s v="Valentine"/>
    <s v="0-3"/>
    <x v="89"/>
    <m/>
  </r>
  <r>
    <d v="2026-03-01T00:00:00"/>
    <s v="https://www.etsy.com/listing/4445821812/yes-im-treble-embroidered-baby-bodysuit?transaction_id=4986023643"/>
    <s v="Light Blue"/>
    <s v="Light Blue"/>
    <s v="3-6 Months"/>
    <s v="United States"/>
    <s v="Bodysuit"/>
    <n v="3"/>
    <n v="10"/>
    <s v="Easter"/>
    <s v="3-6"/>
    <x v="92"/>
    <m/>
  </r>
  <r>
    <d v="2026-03-02T00:00:00"/>
    <s v="https://www.etsy.com/listing/4445820850/newest-member-of-the-band-embroidered?transaction_id=4976351672"/>
    <s v="Light Blue"/>
    <s v="Light Blue"/>
    <s v="0-3 Months"/>
    <m/>
    <s v="Bodysuit"/>
    <n v="3"/>
    <n v="10"/>
    <s v="Easter"/>
    <s v="0-3"/>
    <x v="88"/>
    <m/>
  </r>
  <r>
    <d v="2026-03-02T00:00:00"/>
    <s v="https://www.etsy.com/listing/4444631598/first-edition-published-2026-embroidered?transaction_id=4976696854"/>
    <s v="cream"/>
    <s v="Cream"/>
    <s v="3-6 Months"/>
    <s v="United States"/>
    <s v="Bodysuit"/>
    <n v="3"/>
    <n v="10"/>
    <s v="Easter"/>
    <s v="3-6"/>
    <x v="90"/>
    <m/>
  </r>
  <r>
    <d v="2026-03-02T00:00:00"/>
    <s v="https://www.etsy.com/listing/4445820850/newest-member-of-the-band-embroidered?transaction_id=4983701810"/>
    <s v="Light Blue"/>
    <s v="Light Blue"/>
    <s v="0-3 Months"/>
    <s v="United States"/>
    <s v="Bodysuit"/>
    <n v="3"/>
    <n v="10"/>
    <s v="Easter"/>
    <s v="0-3"/>
    <x v="88"/>
    <m/>
  </r>
  <r>
    <d v="2026-03-09T00:00:00"/>
    <s v="https://www.etsy.com/listing/4445844080/apparently-i-like-fish-embroidered-baby?transaction_id=4995674495"/>
    <s v="Light Pink"/>
    <s v="Light Pink"/>
    <s v="3-6 Months"/>
    <s v="United States"/>
    <s v="Bodysuit"/>
    <n v="3"/>
    <n v="11"/>
    <s v="Easter"/>
    <s v="3-6"/>
    <x v="91"/>
    <m/>
  </r>
  <r>
    <d v="2026-03-10T00:00:00"/>
    <s v="https://www.etsy.com/listing/4451637630/construction-truck-embroidered-baby?transaction_id=4996874413"/>
    <s v="cream"/>
    <s v="Cream"/>
    <s v="0-3 Months"/>
    <m/>
    <s v="Bodysuit"/>
    <n v="3"/>
    <n v="11"/>
    <s v="Easter"/>
    <s v="0-3"/>
    <x v="89"/>
    <m/>
  </r>
  <r>
    <d v="2026-03-10T00:00:00"/>
    <s v="https://www.etsy.com/listing/4445823088/its-alright-to-be-a-little-bitty?transaction_id=4997012411"/>
    <s v="cream"/>
    <s v="Cream"/>
    <s v="3-6 Months"/>
    <s v="United States"/>
    <s v="Bodysuit"/>
    <n v="3"/>
    <n v="11"/>
    <s v="Easter"/>
    <s v="3-6"/>
    <x v="90"/>
    <m/>
  </r>
  <r>
    <d v="2026-03-11T00:00:00"/>
    <s v="https://www.etsy.com/listing/4445837519/cant-wait-to-jam-with-daddy-embroidered?transaction_id=4987483098"/>
    <s v="cream"/>
    <s v="Cream"/>
    <s v="3-6 Months"/>
    <s v="United States"/>
    <s v="Bodysuit"/>
    <n v="3"/>
    <n v="11"/>
    <s v="Easter"/>
    <s v="3-6"/>
    <x v="90"/>
    <m/>
  </r>
  <r>
    <d v="2026-03-13T00:00:00"/>
    <s v="https://www.etsy.com/listing/4445837519/cant-wait-to-jam-with-daddy-embroidered?transaction_id=4990699690"/>
    <s v="cream"/>
    <s v="Cream"/>
    <s v="3-6 Months"/>
    <s v="United States"/>
    <s v="Bodysuit"/>
    <n v="3"/>
    <n v="11"/>
    <s v="Easter"/>
    <s v="3-6"/>
    <x v="90"/>
    <m/>
  </r>
  <r>
    <d v="2026-03-14T00:00:00"/>
    <s v="https://www.etsy.com/listing/4444631598/first-edition-published-2026-embroidered?transaction_id=4990771302"/>
    <s v="cream"/>
    <s v="Cream"/>
    <s v="0-3 Months"/>
    <m/>
    <s v="Bodysuit"/>
    <n v="3"/>
    <n v="11"/>
    <s v="Easter"/>
    <s v="0-3"/>
    <x v="89"/>
    <m/>
  </r>
  <r>
    <d v="2026-03-15T00:00:00"/>
    <s v="https://www.etsy.com/listing/4466840353/the-littlest-baking-club-member-baby?transaction_id=5002635841"/>
    <s v="cream"/>
    <s v="Cream"/>
    <s v="3-6 Months"/>
    <s v="United States"/>
    <s v="Bodysuit"/>
    <n v="3"/>
    <n v="12"/>
    <s v="Easter"/>
    <s v="3-6"/>
    <x v="90"/>
    <m/>
  </r>
  <r>
    <d v="2026-03-15T00:00:00"/>
    <s v="https://www.etsy.com/listing/4468994168/listening-to-taylor-with-my-mom-baby?transaction_id=4993235766"/>
    <s v="cream"/>
    <s v="Cream"/>
    <s v="3-6 Months"/>
    <s v="United States"/>
    <s v="Bodysuit"/>
    <n v="3"/>
    <n v="12"/>
    <s v="Easter"/>
    <s v="3-6"/>
    <x v="90"/>
    <m/>
  </r>
  <r>
    <d v="2026-03-17T00:00:00"/>
    <s v="https://www.etsy.com/listing/4468994168/listening-to-taylor-with-my-mom-baby?transaction_id=4995102250"/>
    <s v="Light Pink"/>
    <s v="Light Pink"/>
    <s v="3-6 Months"/>
    <s v="United States"/>
    <s v="Bodysuit"/>
    <n v="3"/>
    <n v="12"/>
    <s v="Easter"/>
    <s v="3-6"/>
    <x v="91"/>
    <m/>
  </r>
  <r>
    <d v="2026-03-18T00:00:00"/>
    <s v="https://www.etsy.com/listing/4470004184/little-lamb-baby-bodysuit-cute-lamb-baby?transaction_id=5006601749"/>
    <s v="cream"/>
    <s v="Cream"/>
    <s v="3-6 Months"/>
    <m/>
    <s v="Bodysuit"/>
    <n v="3"/>
    <n v="12"/>
    <s v="Easter"/>
    <s v="3-6"/>
    <x v="90"/>
    <m/>
  </r>
  <r>
    <d v="2026-03-20T00:00:00"/>
    <s v="https://www.etsy.com/listing/4445820850/newest-member-of-the-band-embroidered?transaction_id=4998504262"/>
    <s v="Light Pink"/>
    <s v="Light Pink"/>
    <s v="3-6 Months"/>
    <s v="United States"/>
    <s v="Bodysuit"/>
    <n v="3"/>
    <n v="12"/>
    <s v="Easter"/>
    <s v="3-6"/>
    <x v="91"/>
    <m/>
  </r>
  <r>
    <d v="2026-03-21T00:00:00"/>
    <s v="https://www.etsy.com/listing/4444631598/first-edition-published-2026-embroidered?transaction_id=4999623804"/>
    <s v="cream"/>
    <s v="Cream"/>
    <s v="0-3 Months"/>
    <s v="United States"/>
    <s v="Bodysuit"/>
    <n v="3"/>
    <n v="12"/>
    <s v="Easter"/>
    <s v="0-3"/>
    <x v="89"/>
    <m/>
  </r>
  <r>
    <d v="2026-03-21T00:00:00"/>
    <s v="https://www.etsy.com/listing/4462719875/rainbow-mini-baby-bodysuit-boho-rainbow?transaction_id=5009858889"/>
    <s v="cream"/>
    <s v="Cream"/>
    <s v="0-3 Months"/>
    <s v="United States"/>
    <s v="Bodysuit"/>
    <n v="3"/>
    <n v="12"/>
    <s v="Easter"/>
    <s v="0-3"/>
    <x v="89"/>
    <m/>
  </r>
  <r>
    <d v="2026-03-21T00:00:00"/>
    <s v="https://www.etsy.com/listing/4444631598/first-edition-published-2026-embroidered?transaction_id=5009913385"/>
    <s v="cream"/>
    <s v="Cream"/>
    <s v="3-6 Months"/>
    <m/>
    <s v="Bodysuit"/>
    <n v="3"/>
    <n v="12"/>
    <s v="Easter"/>
    <s v="3-6"/>
    <x v="90"/>
    <m/>
  </r>
  <r>
    <d v="2026-03-22T00:00:00"/>
    <s v="https://www.etsy.com/listing/4445812849/born-to-jazz-it-up-embroidered-baby?transaction_id=5000498560"/>
    <s v="cream"/>
    <s v="Cream"/>
    <s v="3-6 Months"/>
    <s v="United States"/>
    <s v="Bodysuit"/>
    <n v="3"/>
    <n v="13"/>
    <s v="Easter"/>
    <s v="3-6"/>
    <x v="90"/>
    <m/>
  </r>
  <r>
    <d v="2026-03-23T00:00:00"/>
    <s v="https://www.etsy.com/listing/4474936599/is-it-too-soon-to-ask-for-a-guitar-baby?transaction_id=5012031999"/>
    <s v="Light Pink"/>
    <s v="Light Pink"/>
    <s v="0-3 Months"/>
    <s v="United States"/>
    <s v="Bodysuit"/>
    <n v="3"/>
    <n v="13"/>
    <s v="Easter"/>
    <s v="0-3"/>
    <x v="93"/>
    <m/>
  </r>
  <r>
    <d v="2026-03-24T00:00:00"/>
    <s v="https://www.etsy.com/listing/4445823088/its-alright-to-be-a-little-bitty?transaction_id=5012985331"/>
    <s v="Light Pink"/>
    <s v="Light Pink"/>
    <s v="3-6 Months"/>
    <s v="United States"/>
    <s v="Bodysuit"/>
    <n v="3"/>
    <n v="13"/>
    <s v="Easter"/>
    <s v="3-6"/>
    <x v="91"/>
    <m/>
  </r>
  <r>
    <d v="2026-03-25T00:00:00"/>
    <s v="https://www.etsy.com/listing/4468963265/our-tiny-love-song-baby-bodysuit-music?transaction_id=5013605597"/>
    <s v="cream"/>
    <s v="Cream"/>
    <s v="0-3 Months"/>
    <m/>
    <s v="Bodysuit"/>
    <n v="3"/>
    <n v="13"/>
    <s v="Easter"/>
    <s v="0-3"/>
    <x v="89"/>
    <m/>
  </r>
  <r>
    <d v="2026-03-25T00:00:00"/>
    <s v="https://www.etsy.com/listing/4445850114/the-littlest-book-club-member-baby?transaction_id=5004070906"/>
    <s v="cream"/>
    <s v="Cream"/>
    <s v="3-6 Months"/>
    <s v="United States"/>
    <s v="Bodysuit"/>
    <n v="3"/>
    <n v="13"/>
    <s v="Easter"/>
    <s v="3-6"/>
    <x v="90"/>
    <m/>
  </r>
  <r>
    <d v="2026-03-27T00:00:00"/>
    <s v="https://www.etsy.com/listing/4474936599/is-it-too-soon-to-ask-for-a-guitar-baby?transaction_id=5016370289"/>
    <s v="cream"/>
    <s v="Cream"/>
    <s v="3-6 Months"/>
    <s v="United States"/>
    <s v="Bodysuit"/>
    <n v="3"/>
    <n v="13"/>
    <s v="Easter"/>
    <s v="3-6"/>
    <x v="90"/>
    <m/>
  </r>
  <r>
    <d v="2026-03-30T00:00:00"/>
    <s v="https://www.etsy.com/listing/4474936599/is-it-too-soon-to-ask-for-a-guitar-baby?transaction_id=5010397200"/>
    <s v="Light Blue"/>
    <s v="Light Blue"/>
    <s v="3-6 Months"/>
    <s v="United States"/>
    <s v="Bodysuit"/>
    <n v="3"/>
    <n v="14"/>
    <s v="Easter"/>
    <s v="3-6"/>
    <x v="92"/>
    <m/>
  </r>
  <r>
    <d v="2026-03-30T00:00:00"/>
    <s v="https://www.etsy.com/listing/4474303017/new-to-the-soccer-crew-baby-bodysuit?transaction_id=5010293274"/>
    <s v="Light Blue"/>
    <s v="Light Blue"/>
    <s v="0-3 Months"/>
    <m/>
    <s v="Bodysuit"/>
    <n v="3"/>
    <n v="14"/>
    <s v="Easter"/>
    <s v="0-3"/>
    <x v="88"/>
    <m/>
  </r>
  <r>
    <d v="2026-04-02T00:00:00"/>
    <s v="https://www.etsy.com/listing/4474936599/is-it-too-soon-to-ask-for-a-guitar-baby?transaction_id=5024313039"/>
    <s v="Light Blue"/>
    <s v="Light Blue"/>
    <s v="3-6 Months"/>
    <s v="United States"/>
    <s v="Bodysuit"/>
    <n v="4"/>
    <n v="14"/>
    <s v="Easter"/>
    <s v="3-6"/>
    <x v="92"/>
    <m/>
  </r>
  <r>
    <d v="2026-04-02T00:00:00"/>
    <s v="https://www.etsy.com/listing/4477984420/cant-wait-to-jam-with-daddy-baby?transaction_id=5014139562"/>
    <s v="Light Blue"/>
    <s v="Light Blue"/>
    <s v="3-6 Months"/>
    <s v="United States"/>
    <s v="Bodysuit"/>
    <n v="4"/>
    <n v="14"/>
    <s v="Easter"/>
    <s v="3-6"/>
    <x v="92"/>
    <m/>
  </r>
  <r>
    <d v="2026-04-05T00:00:00"/>
    <s v="https://www.etsy.com/listing/4445823392/future-firefighter-embroidered-baby?transaction_id=5016569082"/>
    <s v="Light Pink"/>
    <s v="Light Pink"/>
    <s v="0-3 Months"/>
    <s v="United States"/>
    <s v="Bodysuit"/>
    <n v="4"/>
    <n v="15"/>
    <s v="Easter"/>
    <s v="0-3"/>
    <x v="93"/>
    <m/>
  </r>
  <r>
    <d v="2026-04-07T00:00:00"/>
    <s v="https://www.etsy.com/listing/4445814433/music-is-in-my-dna-embroidered-baby?transaction_id=5029101403"/>
    <s v="Light Pink"/>
    <s v="Light Pink"/>
    <s v="0-3 Months"/>
    <m/>
    <s v="Bodysuit"/>
    <n v="4"/>
    <n v="15"/>
    <s v="Easter"/>
    <s v="0-3"/>
    <x v="93"/>
    <m/>
  </r>
  <r>
    <d v="2026-04-07T00:00:00"/>
    <s v="https://www.etsy.com/listing/4445843132/player-3-has-entered-the-game?transaction_id=5019968686"/>
    <s v="Light Pink"/>
    <s v="Light Pink"/>
    <s v="0-3 Months"/>
    <s v="United States"/>
    <s v="Bodysuit"/>
    <n v="4"/>
    <n v="15"/>
    <s v="Easter"/>
    <s v="0-3"/>
    <x v="93"/>
    <m/>
  </r>
  <r>
    <d v="2026-04-08T00:00:00"/>
    <s v="https://www.etsy.com/listing/4475350344/funny-firefighter-baby-bodysuit-mommy?transaction_id=5030940719"/>
    <s v="cream"/>
    <s v="Cream"/>
    <s v="3-6 Months"/>
    <s v="United States"/>
    <s v="Bodysuit"/>
    <n v="4"/>
    <n v="15"/>
    <s v="Easter"/>
    <s v="3-6"/>
    <x v="90"/>
    <m/>
  </r>
  <r>
    <d v="2026-04-09T00:00:00"/>
    <s v="https://www.etsy.com/listing/4445813613/future-pianist-embroidered-baby-bodysuit?transaction_id=5021525596"/>
    <s v="cream"/>
    <s v="Cream"/>
    <s v="0-3 Months"/>
    <s v="United States"/>
    <s v="Bodysuit"/>
    <n v="4"/>
    <n v="15"/>
    <s v="Easter"/>
    <s v="0-3"/>
    <x v="89"/>
    <m/>
  </r>
  <r>
    <d v="2026-04-09T00:00:00"/>
    <s v="https://www.etsy.com/listing/4482262637/is-it-too-soon-to-ask-for-a-motorbike?transaction_id=5032606683"/>
    <s v="Light Blue"/>
    <s v="Light Blue"/>
    <s v="0-3 Months"/>
    <m/>
    <s v="Bodysuit"/>
    <n v="4"/>
    <n v="15"/>
    <s v="Easter"/>
    <s v="0-3"/>
    <x v="88"/>
    <m/>
  </r>
  <r>
    <d v="2026-04-10T00:00:00"/>
    <s v="https://www.etsy.com/listing/4474939594/mommys-little-pierogi-baby-bodysuit-cute?transaction_id=5034017495"/>
    <s v="Light Blue"/>
    <s v="Light Blue"/>
    <s v="3-6 Months"/>
    <s v="United States"/>
    <s v="Bodysuit"/>
    <n v="4"/>
    <n v="15"/>
    <s v="Easter"/>
    <s v="3-6"/>
    <x v="92"/>
    <m/>
  </r>
  <r>
    <d v="2026-04-12T00:00:00"/>
    <s v="https://www.etsy.com/listing/4482263561/is-it-too-soon-to-ask-for-a-fishing-pole?transaction_id=5025653790"/>
    <s v="Light Blue"/>
    <s v="Light Blue"/>
    <s v="3-6 Months"/>
    <s v="United States"/>
    <s v="Bodysuit"/>
    <n v="4"/>
    <n v="16"/>
    <s v="Easter"/>
    <s v="3-6"/>
    <x v="92"/>
    <m/>
  </r>
  <r>
    <d v="2026-04-13T00:00:00"/>
    <s v="https://www.etsy.com/listing/4466846574/the-littlest-book-club-member-baby?transaction_id=5026793442"/>
    <s v="cream"/>
    <s v="Cream"/>
    <s v="0-3 Months"/>
    <s v="United States"/>
    <s v="Bodysuit"/>
    <n v="4"/>
    <n v="16"/>
    <s v="Easter"/>
    <s v="0-3"/>
    <x v="89"/>
    <m/>
  </r>
  <r>
    <d v="2026-04-17T00:00:00"/>
    <s v="https://www.etsy.com/listing/4474936599/is-it-too-soon-to-ask-for-a-guitar-baby?transaction_id=5042143997"/>
    <s v="cream"/>
    <s v="Cream"/>
    <s v="3-6 Months"/>
    <m/>
    <s v="Bodysuit"/>
    <n v="4"/>
    <n v="16"/>
    <s v="Easter"/>
    <s v="3-6"/>
    <x v="90"/>
    <m/>
  </r>
  <r>
    <d v="2026-04-17T00:00:00"/>
    <s v="https://www.etsy.com/listing/4444665236/born-to-stand-out-embroidered-baby?transaction_id=5042541631"/>
    <s v="cream"/>
    <s v="Cream"/>
    <s v="3-6 Months"/>
    <s v="United States"/>
    <s v="Bodysuit"/>
    <n v="4"/>
    <n v="16"/>
    <s v="Easter"/>
    <s v="3-6"/>
    <x v="90"/>
    <m/>
  </r>
  <r>
    <d v="2026-04-18T00:00:00"/>
    <s v="https://www.etsy.com/listing/4468994168/listening-to-taylor-with-my-mom-baby?transaction_id=5032185546"/>
    <s v="Light Pink"/>
    <s v="Light Pink"/>
    <s v="0-3 Months"/>
    <s v="United States"/>
    <s v="Bodysuit"/>
    <n v="4"/>
    <n v="16"/>
    <s v="Easter"/>
    <s v="0-3"/>
    <x v="93"/>
    <m/>
  </r>
  <r>
    <d v="2026-04-18T00:00:00"/>
    <s v="https://www.etsy.com/listing/4482268262/is-it-too-soon-to-ask-for-a-pony-baby?transaction_id=5043620155"/>
    <s v="cream"/>
    <s v="Cream"/>
    <s v="3-6 Months"/>
    <s v="United States"/>
    <s v="Bodysuit"/>
    <n v="4"/>
    <n v="16"/>
    <s v="Easter"/>
    <s v="3-6"/>
    <x v="90"/>
    <m/>
  </r>
  <r>
    <d v="2026-04-18T00:00:00"/>
    <s v="https://www.etsy.com/listing/4474303017/new-to-the-soccer-crew-baby-bodysuit?transaction_id=5032450654"/>
    <s v="cream"/>
    <s v="Cream"/>
    <s v="3-6 Months"/>
    <m/>
    <s v="Bodysuit"/>
    <n v="4"/>
    <n v="16"/>
    <s v="Easter"/>
    <s v="3-6"/>
    <x v="90"/>
    <m/>
  </r>
  <r>
    <d v="2026-04-18T00:00:00"/>
    <s v="https://www.etsy.com/listing/4489495881/music-baby-bodysuit-i-cant-wait-to-jam?transaction_id=5044388547"/>
    <s v="cream"/>
    <s v="Cream"/>
    <s v="0-3 Months"/>
    <s v="United States"/>
    <s v="Bodysuit"/>
    <n v="4"/>
    <n v="16"/>
    <s v="Easter"/>
    <s v="0-3"/>
    <x v="89"/>
    <m/>
  </r>
  <r>
    <d v="2026-04-18T00:00:00"/>
    <s v="https://www.etsy.com/listing/4485620709/nap-now-jam-later-baby-bodysuit-funny?transaction_id=5044388543"/>
    <s v="cream"/>
    <s v="Cream"/>
    <s v="0-3 Months"/>
    <s v="United States"/>
    <s v="Bodysuit"/>
    <n v="4"/>
    <n v="16"/>
    <s v="Easter"/>
    <s v="0-3"/>
    <x v="89"/>
    <m/>
  </r>
  <r>
    <d v="2026-04-19T00:00:00"/>
    <s v="https://www.etsy.com/listing/4474303017/new-to-the-soccer-crew-baby-bodysuit?transaction_id=5045519423"/>
    <s v="Light Blue"/>
    <s v="Light Blue"/>
    <s v="3-6 Months"/>
    <s v="United States"/>
    <s v="Bodysuit"/>
    <n v="4"/>
    <n v="17"/>
    <s v="Easter"/>
    <s v="3-6"/>
    <x v="92"/>
    <m/>
  </r>
  <r>
    <d v="2026-04-19T00:00:00"/>
    <s v="https://www.etsy.com/listing/4477984420/cant-wait-to-jam-with-daddy-baby?transaction_id=5045545811"/>
    <s v="cream"/>
    <s v="Cream"/>
    <s v="3-6 Months"/>
    <m/>
    <s v="Bodysuit"/>
    <n v="4"/>
    <n v="17"/>
    <s v="Easter"/>
    <s v="3-6"/>
    <x v="90"/>
    <m/>
  </r>
  <r>
    <d v="2026-04-19T00:00:00"/>
    <s v="https://www.etsy.com/listing/4486249378/mommys-voice-is-my-favorite-music-baby?transaction_id=5033935876"/>
    <s v="Light Blue"/>
    <s v="Light Blue"/>
    <s v="0-3 Months"/>
    <s v="United States"/>
    <s v="Bodysuit"/>
    <n v="4"/>
    <n v="17"/>
    <s v="Easter"/>
    <s v="0-3"/>
    <x v="88"/>
    <m/>
  </r>
  <r>
    <d v="2026-04-20T00:00:00"/>
    <s v="https://www.etsy.com/listing/4455407010/sing-a-little-song-embroidered-baby?transaction_id=5046349159"/>
    <s v="cream"/>
    <s v="Cream"/>
    <s v="3-6 Months"/>
    <s v="United States"/>
    <s v="Bodysuit"/>
    <n v="4"/>
    <n v="17"/>
    <s v="Easter"/>
    <s v="3-6"/>
    <x v="90"/>
    <m/>
  </r>
  <r>
    <d v="2026-04-20T00:00:00"/>
    <s v="https://www.etsy.com/listing/4482262915/is-it-too-soon-to-ask-for-a-racket-baby?transaction_id=5047104613"/>
    <s v="cream"/>
    <s v="Cream"/>
    <s v="3-6 Months"/>
    <s v="United States"/>
    <s v="Bodysuit"/>
    <n v="4"/>
    <n v="17"/>
    <s v="Easter"/>
    <s v="3-6"/>
    <x v="90"/>
    <m/>
  </r>
  <r>
    <d v="2026-04-20T00:00:00"/>
    <s v="https://www.etsy.com/listing/4474936599/is-it-too-soon-to-ask-for-a-guitar-baby?transaction_id=5035261126"/>
    <s v="cream"/>
    <s v="Cream"/>
    <s v="0-3 Months"/>
    <m/>
    <s v="Bodysuit"/>
    <n v="4"/>
    <n v="17"/>
    <s v="Easter"/>
    <s v="0-3"/>
    <x v="89"/>
    <m/>
  </r>
  <r>
    <d v="2026-04-27T00:00:00"/>
    <s v="https://www.etsy.com/listing/4445837519/cant-wait-to-jam-with-daddy-embroidered?transaction_id=5056445213"/>
    <s v="cream"/>
    <s v="Cream"/>
    <s v="0-3 Months"/>
    <s v="United States"/>
    <s v="Bodysuit"/>
    <n v="4"/>
    <n v="18"/>
    <s v="Easter"/>
    <s v="0-3"/>
    <x v="89"/>
    <m/>
  </r>
  <r>
    <d v="2026-05-03T00:00:00"/>
    <s v="https://www.etsy.com/listing/4482267440/is-it-too-soon-to-ask-for-a-bike-baby?transaction_id=5061815209"/>
    <s v="Light Pink"/>
    <s v="Light Pink"/>
    <s v="3-6 Months"/>
    <s v="United States"/>
    <s v="Bodysuit"/>
    <n v="5"/>
    <n v="19"/>
    <s v="MothersDay"/>
    <s v="3-6"/>
    <x v="91"/>
    <m/>
  </r>
  <r>
    <d v="2026-05-03T00:00:00"/>
    <s v="https://www.etsy.com/listing/4449064143/future-tractor-driver-embroidered-baby?transaction_id=5049132944"/>
    <s v="cream"/>
    <s v="Cream"/>
    <s v="3-6 Months"/>
    <s v="United States"/>
    <s v="Bodysuit"/>
    <n v="5"/>
    <n v="19"/>
    <s v="MothersDay"/>
    <s v="3-6"/>
    <x v="90"/>
    <m/>
  </r>
  <r>
    <d v="2026-05-02T00:00:00"/>
    <s v="https://www.etsy.com/listing/4474939594/mommys-little-pierogi-baby-bodysuit-cute?transaction_id=5063070439"/>
    <s v="cream"/>
    <s v="Cream"/>
    <s v="3-6 Months"/>
    <m/>
    <s v="Bodysuit"/>
    <n v="5"/>
    <n v="18"/>
    <s v="MothersDay"/>
    <s v="3-6"/>
    <x v="90"/>
    <m/>
  </r>
  <r>
    <d v="2026-05-03T00:00:00"/>
    <s v="https://www.etsy.com/listing/4486243785/on-call-for-snacks-baby-bodysuit-funny?transaction_id=5064426787"/>
    <s v="cream"/>
    <s v="Cream"/>
    <s v="3-6 Months"/>
    <s v="United States"/>
    <s v="Bodysuit"/>
    <n v="5"/>
    <n v="19"/>
    <s v="MothersDay"/>
    <s v="3-6"/>
    <x v="90"/>
    <m/>
  </r>
  <r>
    <d v="2026-05-04T00:00:00"/>
    <s v="https://www.etsy.com/listing/4485629164/the-littlest-dog-lovers-club-member-baby?transaction_id=5065549629"/>
    <s v="cream"/>
    <s v="Cream"/>
    <s v="3-6 Months"/>
    <s v="United States"/>
    <s v="Bodysuit"/>
    <n v="5"/>
    <n v="19"/>
    <s v="MothersDay"/>
    <s v="3-6"/>
    <x v="90"/>
    <m/>
  </r>
  <r>
    <d v="2026-05-06T00:00:00"/>
    <s v="https://www.etsy.com/listing/4482268262/is-it-too-soon-to-ask-for-a-pony-baby?transaction_id=5056108504"/>
    <s v="cream"/>
    <s v="Cream"/>
    <s v="3-6 Months"/>
    <s v="United States"/>
    <s v="Bodysuit"/>
    <n v="5"/>
    <n v="19"/>
    <s v="MothersDay"/>
    <s v="3-6"/>
    <x v="90"/>
    <m/>
  </r>
  <r>
    <d v="2026-05-06T00:00:00"/>
    <s v="https://www.etsy.com/listing/4470004184/little-lamb-baby-bodysuit-cute-lamb-baby?transaction_id=5056121936"/>
    <s v="cream"/>
    <s v="Cream"/>
    <s v="3-6 Months"/>
    <m/>
    <s v="Bodysuit"/>
    <n v="5"/>
    <n v="19"/>
    <s v="MothersDay"/>
    <s v="3-6"/>
    <x v="90"/>
    <m/>
  </r>
  <r>
    <d v="2026-05-11T00:00:00"/>
    <s v="https://www.etsy.com/listing/4475352752/reading-with-mommy-baby-bodysuit-cute?transaction_id=5061492840"/>
    <s v="Light Blue"/>
    <s v="Light Blue"/>
    <s v="3-6 Months"/>
    <s v="United States"/>
    <s v="Bodysuit"/>
    <n v="5"/>
    <n v="20"/>
    <s v="MothersDay"/>
    <s v="3-6"/>
    <x v="92"/>
    <m/>
  </r>
  <r>
    <d v="2026-05-11T00:00:00"/>
    <s v="https://www.etsy.com/listing/4495319713/newest-band-member-baby-bodysuit-music?transaction_id=5074209967"/>
    <s v="cream"/>
    <s v="Cream"/>
    <s v="0-3 Months"/>
    <s v="United States"/>
    <s v="Bodysuit"/>
    <n v="5"/>
    <n v="20"/>
    <s v="MothersDay"/>
    <s v="0-3"/>
    <x v="89"/>
    <m/>
  </r>
  <r>
    <d v="2026-05-11T00:00:00"/>
    <s v="https://www.etsy.com/listing/4500801384/little-peanut-baby-bodysuit-embroidered?transaction_id=5074448259"/>
    <s v="Light Pink"/>
    <s v="Light Pink"/>
    <s v="0-3 Months"/>
    <s v="United States"/>
    <s v="Bodysuit"/>
    <n v="5"/>
    <n v="20"/>
    <s v="MothersDay"/>
    <s v="0-3"/>
    <x v="93"/>
    <m/>
  </r>
  <r>
    <d v="2026-05-11T00:00:00"/>
    <s v="https://www.etsy.com/listing/4482262637/is-it-too-soon-to-ask-for-a-motorbike?transaction_id=5062008208"/>
    <s v="cream"/>
    <s v="Cream"/>
    <s v="3-6 Months"/>
    <m/>
    <s v="Bodysuit"/>
    <n v="5"/>
    <n v="20"/>
    <s v="MothersDay"/>
    <s v="3-6"/>
    <x v="90"/>
    <m/>
  </r>
  <r>
    <d v="2026-05-12T00:00:00"/>
    <s v="https://www.etsy.com/listing/4484984853/baking-with-mommy-baby-bodysuit-cute?transaction_id=5074936985"/>
    <s v="cream"/>
    <s v="Cream"/>
    <s v="3-6 Months"/>
    <s v="United States"/>
    <s v="Bodysuit"/>
    <n v="5"/>
    <n v="20"/>
    <s v="MothersDay"/>
    <s v="3-6"/>
    <x v="90"/>
    <m/>
  </r>
  <r>
    <d v="2026-05-12T00:00:00"/>
    <s v="https://www.etsy.com/listing/4473746630/shh-i-am-playing-tennis-with-daddy-baby?transaction_id=5075815835"/>
    <s v=" Light Pink"/>
    <s v=" Light Pink"/>
    <s v="0-3 Months"/>
    <s v="United States"/>
    <s v="Bodysuit"/>
    <n v="5"/>
    <n v="20"/>
    <s v="MothersDay"/>
    <s v="0-3"/>
    <x v="93"/>
    <m/>
  </r>
  <r>
    <d v="2026-05-13T00:00:00"/>
    <s v="https://www.etsy.com/listing/4474936599/is-it-too-soon-to-ask-for-a-guitar-baby?transaction_id=5063640098"/>
    <s v="Light Blue"/>
    <s v="Light Blue"/>
    <s v="0-3 Months"/>
    <s v="United States"/>
    <s v="Bodysuit"/>
    <n v="5"/>
    <n v="20"/>
    <s v="MothersDay"/>
    <s v="0-3"/>
    <x v="88"/>
    <m/>
  </r>
  <r>
    <d v="2026-05-13T00:00:00"/>
    <s v="https://www.etsy.com/listing/4465222631/born-to-play-tennis-like-my-daddy?transaction_id=5064002796"/>
    <s v="cream"/>
    <s v="Cream"/>
    <s v="3-6 Months"/>
    <m/>
    <s v="Bodysuit"/>
    <n v="5"/>
    <n v="20"/>
    <s v="MothersDay"/>
    <s v="3-6"/>
    <x v="90"/>
    <m/>
  </r>
  <r>
    <d v="2026-05-13T00:00:00"/>
    <s v="https://www.etsy.com/listing/4482262637/is-it-too-soon-to-ask-for-a-motorbike?transaction_id=5077110745"/>
    <s v="cream"/>
    <s v="Cream"/>
    <s v=" 3-6 months"/>
    <s v="United States"/>
    <s v="Bodysuit"/>
    <n v="5"/>
    <n v="20"/>
    <s v="MothersDay"/>
    <s v="3-6"/>
    <x v="90"/>
    <m/>
  </r>
  <r>
    <d v="2026-05-13T00:00:00"/>
    <s v="https://www.etsy.com/listing/4445846846/daddys-future-golf-buddy-embroidered?transaction_id=5066325626"/>
    <s v="Light Blue"/>
    <s v="Light Blue"/>
    <s v="3-6 Months"/>
    <s v="United States"/>
    <s v="Bodysuit"/>
    <n v="5"/>
    <n v="20"/>
    <s v="MothersDay"/>
    <s v="3-6"/>
    <x v="92"/>
    <m/>
  </r>
  <r>
    <d v="2026-05-13T00:00:00"/>
    <s v="https://www.etsy.com/listing/4495319713/newest-band-member-baby-bodysuit-music?transaction_id=5069039850"/>
    <s v="Light Blue"/>
    <s v="Light Blue"/>
    <s v="0-3 Months"/>
    <s v="United States"/>
    <s v="Bodysuit"/>
    <n v="5"/>
    <n v="20"/>
    <s v="MothersDay"/>
    <s v="0-3"/>
    <x v="88"/>
    <m/>
  </r>
  <r>
    <d v="2026-05-20T00:00:00"/>
    <s v="https://www.etsy.com/listing/4500799949/beach-baby-baby-bodysuit-embroidered?transaction_id=5072888378"/>
    <s v="Light Pink"/>
    <s v="Light Pink"/>
    <s v="3-6 Months"/>
    <m/>
    <s v="Bodysuit"/>
    <n v="5"/>
    <n v="21"/>
    <s v="MothersDay"/>
    <s v="3-6"/>
    <x v="91"/>
    <m/>
  </r>
  <r>
    <d v="2026-05-21T00:00:00"/>
    <s v="https://www.etsy.com/listing/4468994168/listening-to-taylor-with-my-mom-baby?transaction_id=5086355273"/>
    <s v="cream"/>
    <s v="Cream"/>
    <s v="3-6 Months"/>
    <s v="United States"/>
    <s v="Bodysuit"/>
    <n v="5"/>
    <n v="21"/>
    <s v="MothersDay"/>
    <s v="3-6"/>
    <x v="90"/>
    <m/>
  </r>
  <r>
    <d v="2026-05-24T00:00:00"/>
    <s v="https://www.etsy.com/listing/4482262637/is-it-too-soon-to-ask-for-a-motorbike?transaction_id=5076975614"/>
    <s v="cream"/>
    <s v="Cream"/>
    <s v="0-3 Months"/>
    <s v="United States"/>
    <s v="Bodysuit"/>
    <n v="5"/>
    <n v="22"/>
    <s v="MothersDay"/>
    <s v="0-3"/>
    <x v="89"/>
    <m/>
  </r>
  <r>
    <d v="2026-05-24T00:00:00"/>
    <s v="https://www.etsy.com/listing/4468994168/listening-to-taylor-with-my-mom-baby?transaction_id=5077056620"/>
    <s v=" Light Pink"/>
    <s v=" Light Pink"/>
    <s v="3-6 Months"/>
    <s v="United States"/>
    <s v="Bodysuit"/>
    <n v="5"/>
    <n v="22"/>
    <s v="MothersDay"/>
    <s v="3-6"/>
    <x v="91"/>
    <m/>
  </r>
  <r>
    <d v="2026-05-24T00:00:00"/>
    <s v="https://www.etsy.com/listing/4482267440/is-it-too-soon-to-ask-for-a-bike-baby?transaction_id=5090041385"/>
    <s v="cream"/>
    <s v="Cream"/>
    <s v=" 3-6 months"/>
    <m/>
    <s v="Bodysuit"/>
    <n v="5"/>
    <n v="22"/>
    <s v="MothersDay"/>
    <s v="3-6"/>
    <x v="90"/>
    <m/>
  </r>
  <r>
    <d v="2026-05-24T00:00:00"/>
    <s v="https://www.etsy.com/listing/4484990810/little-baker-baby-bodysuit-cute-baking?transaction_id=5090369365"/>
    <s v="Light Pink"/>
    <s v="Light Pink"/>
    <s v="0-3 Months"/>
    <s v="United States"/>
    <s v="Bodysuit"/>
    <n v="5"/>
    <n v="22"/>
    <s v="MothersDay"/>
    <s v="0-3"/>
    <x v="93"/>
    <m/>
  </r>
  <r>
    <d v="2026-05-25T00:00:00"/>
    <s v="https://www.etsy.com/listing/4466846574/the-littlest-book-club-member-baby?transaction_id=5090508013"/>
    <s v="Light Blue"/>
    <s v="Light Blue"/>
    <s v="0-3 Months"/>
    <s v="United States"/>
    <s v="Bodysuit"/>
    <n v="5"/>
    <n v="22"/>
    <s v="MothersDay"/>
    <s v="0-3"/>
    <x v="88"/>
    <m/>
  </r>
  <r>
    <d v="2026-05-25T00:00:00"/>
    <s v="https://www.etsy.com/listing/4500801384/little-peanut-baby-bodysuit-embroidered?transaction_id=5090539511"/>
    <s v="cream"/>
    <s v="Cream"/>
    <s v="0-3 Months"/>
    <s v="United States"/>
    <s v="Bodysuit"/>
    <n v="5"/>
    <n v="22"/>
    <s v="MothersDay"/>
    <s v="0-3"/>
    <x v="89"/>
    <m/>
  </r>
  <r>
    <d v="2026-05-25T00:00:00"/>
    <s v="https://www.etsy.com/listing/4504134080/brunch-club-embroidered-baby-bodysuit?transaction_id=5091387857"/>
    <s v="cream"/>
    <s v="Cream"/>
    <s v="3-6 Months"/>
    <m/>
    <s v="Bodysuit"/>
    <n v="5"/>
    <n v="22"/>
    <s v="MothersDay"/>
    <s v="3-6"/>
    <x v="90"/>
    <m/>
  </r>
  <r>
    <d v="2026-05-26T00:00:00"/>
    <s v="https://www.etsy.com/listing/4474939594/mommys-little-pierogi-baby-bodysuit-cute?transaction_id=5091718405"/>
    <s v="cream"/>
    <s v="Cream"/>
    <s v="0-3 Months"/>
    <s v="United States"/>
    <s v="Bodysuit"/>
    <n v="5"/>
    <n v="22"/>
    <s v="MothersDay"/>
    <s v="0-3"/>
    <x v="89"/>
    <m/>
  </r>
  <r>
    <d v="2026-05-26T00:00:00"/>
    <s v="https://www.etsy.com/listing/4468994168/listening-to-taylor-with-my-mom-baby?transaction_id=5080025846"/>
    <s v="cream"/>
    <s v="Cream"/>
    <s v="3-6 Months"/>
    <s v="United States"/>
    <s v="Bodysuit"/>
    <n v="5"/>
    <n v="22"/>
    <s v="MothersDay"/>
    <s v="3-6"/>
    <x v="90"/>
    <m/>
  </r>
  <r>
    <d v="2026-05-27T00:00:00"/>
    <s v="https://www.etsy.com/listing/4484984853/baking-with-mommy-baby-bodysuit-cute?transaction_id=5080298630"/>
    <s v="cream"/>
    <s v="Cream"/>
    <s v="3-6 Months"/>
    <s v="United States"/>
    <s v="Bodysuit"/>
    <n v="5"/>
    <n v="22"/>
    <s v="MothersDay"/>
    <s v="3-6"/>
    <x v="90"/>
    <m/>
  </r>
  <r>
    <d v="2026-05-27T00:00:00"/>
    <s v="https://www.etsy.com/listing/4468994168/listening-to-taylor-with-my-mom-baby?transaction_id=5093572063"/>
    <s v="cream"/>
    <s v="Cream"/>
    <s v="3-6 Months"/>
    <m/>
    <s v="Bodysuit"/>
    <n v="5"/>
    <n v="22"/>
    <s v="MothersDay"/>
    <s v="3-6"/>
    <x v="90"/>
    <m/>
  </r>
  <r>
    <d v="2026-05-27T00:00:00"/>
    <s v="https://www.etsy.com/listing/4500801384/little-peanut-baby-bodysuit-embroidered?transaction_id=5081464834"/>
    <s v="cream"/>
    <s v="Cream"/>
    <s v="0-3 Months"/>
    <s v="United States"/>
    <s v="Bodysuit"/>
    <n v="5"/>
    <n v="22"/>
    <s v="MothersDay"/>
    <s v="0-3"/>
    <x v="89"/>
    <m/>
  </r>
  <r>
    <d v="2026-05-28T00:00:00"/>
    <s v="https://www.etsy.com/listing/4482262637/is-it-too-soon-to-ask-for-a-motorbike?transaction_id=5093904381"/>
    <s v="cream"/>
    <s v="Cream"/>
    <s v="0-3 Months"/>
    <s v="United States"/>
    <s v="Bodysuit"/>
    <n v="5"/>
    <n v="22"/>
    <s v="MothersDay"/>
    <s v="0-3"/>
    <x v="89"/>
    <m/>
  </r>
  <r>
    <d v="2026-05-28T00:00:00"/>
    <s v="https://www.etsy.com/listing/4500799949/beach-baby-baby-bodysuit-embroidered?transaction_id=5082659828"/>
    <s v="Light Blue"/>
    <s v="Light Blue"/>
    <s v="3-6 Months"/>
    <s v="United States"/>
    <s v="Bodysuit"/>
    <n v="5"/>
    <n v="22"/>
    <s v="MothersDay"/>
    <s v="3-6"/>
    <x v="92"/>
    <m/>
  </r>
  <r>
    <d v="2026-05-29T00:00:00"/>
    <s v="https://www.etsy.com/listing/4504123979/is-it-too-soon-to-ask-for-a-violin?transaction_id=5095177231"/>
    <s v="cream"/>
    <s v="Cream"/>
    <s v="3-6 Months"/>
    <m/>
    <s v="Bodysuit"/>
    <n v="5"/>
    <n v="22"/>
    <s v="MothersDay"/>
    <s v="3-6"/>
    <x v="90"/>
    <m/>
  </r>
  <r>
    <d v="2026-06-01T00:00:00"/>
    <s v="https://www.etsy.com/listing/4482267440/is-it-too-soon-to-ask-for-a-bike-baby?transaction_id=5084641598"/>
    <s v="cream"/>
    <s v="Cream"/>
    <s v="0-3 Months"/>
    <s v="United States"/>
    <s v="Bodysuit"/>
    <n v="6"/>
    <n v="23"/>
    <s v="FathersDay"/>
    <s v="0-3"/>
    <x v="89"/>
    <m/>
  </r>
  <r>
    <d v="2026-06-01T00:00:00"/>
    <s v="https://www.etsy.com/listing/4508225352/daddys-tennis-buddy-embroidered-baby?transaction_id=5085567972"/>
    <s v="cream"/>
    <s v="Cream"/>
    <s v="0-3 Months"/>
    <s v="United States"/>
    <s v="Bodysuit"/>
    <n v="6"/>
    <n v="23"/>
    <s v="FathersDay"/>
    <s v="0-3"/>
    <x v="89"/>
    <m/>
  </r>
  <r>
    <d v="2026-06-01T00:00:00"/>
    <s v="https://www.etsy.com/listing/4445850114/the-littlest-book-club-member-baby?transaction_id=5086261024"/>
    <s v="Light Blue"/>
    <s v="Light Blue"/>
    <s v="3-6 Months"/>
    <s v="United States"/>
    <s v="Bodysuit"/>
    <n v="6"/>
    <n v="23"/>
    <s v="FathersDay"/>
    <s v="3-6"/>
    <x v="92"/>
    <m/>
  </r>
  <r>
    <d v="2026-06-02T00:00:00"/>
    <s v="https://www.etsy.com/listing/4445813825/grandpas-future-sailing-buddy?transaction_id=5089352856"/>
    <s v="Light Blue"/>
    <s v="Light Blue"/>
    <s v="3-6 Months"/>
    <m/>
    <s v="Bodysuit"/>
    <n v="6"/>
    <n v="23"/>
    <s v="FathersDay"/>
    <s v="3-6"/>
    <x v="92"/>
    <m/>
  </r>
  <r>
    <d v="2026-06-03T00:00:00"/>
    <s v="https://www.etsy.com/listing/4482268262/is-it-too-soon-to-ask-for-a-pony-baby?transaction_id=5089736186"/>
    <s v="Light Pink"/>
    <s v="Light Pink"/>
    <s v="3-6 Months"/>
    <s v="United States"/>
    <s v="Bodysuit"/>
    <n v="6"/>
    <n v="23"/>
    <s v="FathersDay"/>
    <s v="3-6"/>
    <x v="91"/>
    <m/>
  </r>
  <r>
    <d v="2026-06-03T00:00:00"/>
    <s v="https://www.etsy.com/listing/4444655159/do-not-kiss-me-if-im-nacho-baby?transaction_id=5090309072"/>
    <s v="Light Pink"/>
    <s v="Light Pink"/>
    <s v="3-6 Months"/>
    <s v="United States"/>
    <s v="Bodysuit"/>
    <n v="6"/>
    <n v="23"/>
    <s v="FathersDay"/>
    <s v="3-6"/>
    <x v="91"/>
    <m/>
  </r>
  <r>
    <d v="2026-06-04T00:00:00"/>
    <s v="https://www.etsy.com/listing/4482268262/is-it-too-soon-to-ask-for-a-pony-baby?transaction_id=5091550196"/>
    <s v="cream"/>
    <s v="Cream"/>
    <s v="0-3 Months"/>
    <s v="United States"/>
    <s v="Bodysuit"/>
    <n v="6"/>
    <n v="23"/>
    <s v="FathersDay"/>
    <s v="0-3"/>
    <x v="89"/>
    <m/>
  </r>
  <r>
    <d v="2026-06-04T00:00:00"/>
    <s v="https://www.etsy.com/listing/4496558503/cant-wait-to-jam-with-daddy-baby?transaction_id=5091566986"/>
    <s v="Light Blue"/>
    <s v="Light Blue"/>
    <s v="3-6 Months"/>
    <m/>
    <s v="Bodysuit"/>
    <n v="6"/>
    <n v="23"/>
    <s v="FathersDay"/>
    <s v="3-6"/>
    <x v="92"/>
    <m/>
  </r>
  <r>
    <d v="2026-06-05T00:00:00"/>
    <s v="https://www.etsy.com/listing/4509977914/little-book-dragon-embroidered-baby?transaction_id=5104020737"/>
    <s v="Light Blue"/>
    <s v="Light Blue"/>
    <s v="3-6 Months"/>
    <s v="United States"/>
    <s v="Bodysuit"/>
    <n v="6"/>
    <n v="23"/>
    <s v="FathersDay"/>
    <s v="3-6"/>
    <x v="92"/>
    <m/>
  </r>
  <r>
    <d v="2026-06-05T00:00:00"/>
    <s v="https://www.etsy.com/listing/4476223868/im-proof-my-mommy-cant-resist?transaction_id=5093340234"/>
    <s v="cream"/>
    <s v="Cream"/>
    <s v="0-3 Months"/>
    <s v="United States"/>
    <s v="Bodysuit"/>
    <n v="6"/>
    <n v="23"/>
    <s v="FathersDay"/>
    <s v="0-3"/>
    <x v="89"/>
    <m/>
  </r>
  <r>
    <d v="2026-06-07T00:00:00"/>
    <s v="https://www.etsy.com/listing/4482267440/is-it-too-soon-to-ask-for-a-bike-baby?transaction_id=5105484447"/>
    <s v="cream"/>
    <s v="Cream"/>
    <s v="0-3 Months"/>
    <s v="United States"/>
    <s v="Bodysuit"/>
    <n v="6"/>
    <n v="24"/>
    <s v="FathersDay"/>
    <s v="0-3"/>
    <x v="89"/>
    <m/>
  </r>
  <r>
    <d v="2026-06-07T00:00:00"/>
    <s v="https://www.etsy.com/listing/4508225352/daddys-tennis-buddy-embroidered-baby?transaction_id=5106250741"/>
    <s v="Light Blue"/>
    <s v="Light Blue"/>
    <s v="3-6 Months"/>
    <m/>
    <s v="Bodysuit"/>
    <n v="6"/>
    <n v="24"/>
    <s v="FathersDay"/>
    <s v="3-6"/>
    <x v="92"/>
    <m/>
  </r>
  <r>
    <d v="2026-06-08T00:00:00"/>
    <s v="https://www.etsy.com/listing/4476223868/im-proof-my-mommy-cant-resist?transaction_id=5096291434"/>
    <s v="cream"/>
    <s v="Cream"/>
    <s v="3-6 Months"/>
    <s v="United States"/>
    <s v="Bodysuit"/>
    <n v="6"/>
    <n v="24"/>
    <s v="FathersDay"/>
    <s v="3-6"/>
    <x v="90"/>
    <m/>
  </r>
  <r>
    <d v="2026-06-08T00:00:00"/>
    <s v="https://www.etsy.com/listing/4472680499/shhh-i-am-playing-drums-with-daddy-baby?transaction_id=5096302910"/>
    <s v="cream"/>
    <s v="Cream"/>
    <s v="0-3 Months"/>
    <s v="United States"/>
    <s v="Bodysuit"/>
    <n v="6"/>
    <n v="24"/>
    <s v="FathersDay"/>
    <s v="0-3"/>
    <x v="89"/>
    <m/>
  </r>
  <r>
    <d v="2026-06-08T00:00:00"/>
    <s v="https://www.etsy.com/listing/4489495881/music-baby-bodysuit-i-cant-wait-to-jam?transaction_id=5096302908"/>
    <s v="cream"/>
    <s v="Cream"/>
    <s v="3-6 Months"/>
    <s v="United States"/>
    <s v="Bodysuit"/>
    <n v="6"/>
    <n v="24"/>
    <s v="FathersDay"/>
    <s v="3-6"/>
    <x v="90"/>
    <m/>
  </r>
  <r>
    <d v="2026-06-09T00:00:00"/>
    <s v="https://www.etsy.com/listing/4504126615/is-it-too-soon-to-ask-for-a-trumpet?transaction_id=5097729064"/>
    <s v="cream"/>
    <s v="Cream"/>
    <s v="3-6 Months"/>
    <m/>
    <s v="Bodysuit"/>
    <n v="6"/>
    <n v="24"/>
    <s v="FathersDay"/>
    <s v="3-6"/>
    <x v="90"/>
    <m/>
  </r>
  <r>
    <d v="2026-06-09T00:00:00"/>
    <s v="https://www.etsy.com/listing/4465185824/born-to-play-hockey-like-my-daddy?transaction_id=5108113061"/>
    <s v="Light Blue"/>
    <s v="Light Blue"/>
    <s v="3-6 Months"/>
    <s v="United States"/>
    <s v="Bodysuit"/>
    <n v="6"/>
    <n v="24"/>
    <s v="FathersDay"/>
    <s v="3-6"/>
    <x v="92"/>
    <m/>
  </r>
  <r>
    <d v="2026-06-10T00:00:00"/>
    <s v="https://www.etsy.com/listing/4484990810/little-baker-baby-bodysuit-cute-baking?transaction_id=5099336804"/>
    <s v="Light Blue"/>
    <s v="Light Blue"/>
    <s v="0-3 Months"/>
    <s v="United States"/>
    <s v="Bodysuit"/>
    <n v="6"/>
    <n v="24"/>
    <s v="FathersDay"/>
    <s v="0-3"/>
    <x v="88"/>
    <m/>
  </r>
  <r>
    <d v="2026-06-11T00:00:00"/>
    <s v="https://www.etsy.com/listing/4500801384/little-peanut-baby-bodysuit-embroidered?transaction_id=5110142311"/>
    <s v="cream"/>
    <s v="Cream"/>
    <s v="0-3 Months"/>
    <s v="United States"/>
    <s v="Bodysuit"/>
    <n v="6"/>
    <n v="24"/>
    <s v="FathersDay"/>
    <s v="0-3"/>
    <x v="89"/>
    <m/>
  </r>
  <r>
    <d v="2026-06-13T00:00:00"/>
    <s v="https://www.etsy.com/listing/4482267440/is-it-too-soon-to-ask-for-a-bike-baby?transaction_id=5112569401"/>
    <s v="Light Pink"/>
    <s v="Light Pink"/>
    <s v="3-6 Months"/>
    <m/>
    <s v="Bodysuit"/>
    <n v="6"/>
    <n v="24"/>
    <s v="FathersDay"/>
    <s v="3-6"/>
    <x v="91"/>
    <m/>
  </r>
  <r>
    <d v="2026-06-14T00:00:00"/>
    <s v="https://www.etsy.com/listing/4496554253/the-littlest-book-club-baby-bodysuit?transaction_id=5114125107"/>
    <s v="cream"/>
    <s v="Cream"/>
    <s v="3-6 Months"/>
    <s v="United States"/>
    <s v="Bodysuit"/>
    <n v="6"/>
    <n v="25"/>
    <s v="FathersDay"/>
    <s v="3-6"/>
    <x v="90"/>
    <m/>
  </r>
  <r>
    <d v="2026-06-15T00:00:00"/>
    <s v="https://www.etsy.com/listing/4445837519/cant-wait-to-jam-with-daddy-embroidered?transaction_id=5105433824"/>
    <s v="cream"/>
    <s v="Cream"/>
    <s v="0-3 Months"/>
    <s v="United States"/>
    <s v="Bodysuit"/>
    <n v="6"/>
    <n v="25"/>
    <s v="FathersDay"/>
    <s v="0-3"/>
    <x v="89"/>
    <m/>
  </r>
  <r>
    <d v="2026-06-15T00:00:00"/>
    <s v="https://www.etsy.com/listing/4504126615/is-it-too-soon-to-ask-for-a-trumpet?transaction_id=5115370109"/>
    <s v="cream"/>
    <s v="Cream"/>
    <s v="3-6 Months"/>
    <s v="United States"/>
    <s v="Bodysuit"/>
    <n v="6"/>
    <n v="25"/>
    <s v="FathersDay"/>
    <s v="3-6"/>
    <x v="90"/>
    <m/>
  </r>
  <r>
    <d v="2026-06-15T00:00:00"/>
    <s v="https://www.etsy.com/listing/4509977914/little-book-dragon-embroidered-baby?transaction_id=5106483632"/>
    <s v="Light Blue"/>
    <s v="Light Blue"/>
    <s v="0-3 Months"/>
    <m/>
    <s v="Bodysuit"/>
    <n v="6"/>
    <n v="25"/>
    <s v="FathersDay"/>
    <s v="0-3"/>
    <x v="88"/>
    <m/>
  </r>
  <r>
    <d v="2026-06-15T00:00:00"/>
    <s v="https://www.etsy.com/listing/4445837519/cant-wait-to-jam-with-daddy-embroidered?transaction_id=5106544186"/>
    <s v="cream"/>
    <s v="Cream"/>
    <s v="3-6 Months"/>
    <s v="United States"/>
    <s v="Bodysuit"/>
    <n v="6"/>
    <n v="25"/>
    <s v="FathersDay"/>
    <s v="3-6"/>
    <x v="90"/>
    <m/>
  </r>
  <r>
    <d v="2026-06-15T00:00:00"/>
    <s v="https://www.etsy.com/listing/4482258711/is-it-too-soon-to-ask-for-a-stethoscope?transaction_id=5106547874"/>
    <s v="Light Pink"/>
    <s v="Light Pink"/>
    <s v="3-6 Months"/>
    <m/>
    <s v="Bodysuit"/>
    <n v="6"/>
    <n v="25"/>
    <s v="FathersDay"/>
    <s v="3-6"/>
    <x v="91"/>
    <m/>
  </r>
  <r>
    <d v="2026-02-20T00:00:00"/>
    <s v="https://www.etsy.com/ca/listing/4451695034/my-first-racing-season-baby-romper?transaction_id=4964172936"/>
    <s v="caldet blue"/>
    <s v="Caldet Blue"/>
    <s v="6-12M(SHORT-SLEEVE)"/>
    <s v="United States"/>
    <s v="Romper Short"/>
    <n v="2"/>
    <n v="8"/>
    <s v="Valentine"/>
    <s v="6-12"/>
    <x v="63"/>
    <m/>
  </r>
  <r>
    <d v="2026-02-24T00:00:00"/>
    <s v="https://www.etsy.com/ca/listing/4451695034/my-first-racing-season-baby-romper?transaction_id=4979373679"/>
    <s v="salmon"/>
    <s v="Salmon"/>
    <s v="3-6M(LONG-SLEEVE)"/>
    <s v="United States"/>
    <s v="Romper Longer"/>
    <n v="2"/>
    <n v="9"/>
    <s v="Valentine"/>
    <s v="3-6"/>
    <x v="49"/>
    <m/>
  </r>
  <r>
    <d v="2026-02-26T00:00:00"/>
    <s v="https://www.etsy.com/ca/listing/4451695034/my-first-racing-season-baby-romper?transaction_id=4979373679"/>
    <s v="cream"/>
    <s v="Cream"/>
    <s v="12-18M(SHORT-SLEEVE)"/>
    <s v="United States"/>
    <s v="Romper Short"/>
    <n v="2"/>
    <n v="9"/>
    <s v="Valentine"/>
    <s v="12-18"/>
    <x v="26"/>
    <m/>
  </r>
  <r>
    <d v="2026-03-10T00:00:00"/>
    <s v="https://www.etsy.com/ca/listing/4451695034/my-first-racing-season-baby-romper?transaction_id=4996986907"/>
    <s v="cream"/>
    <s v="Cream"/>
    <s v="0-3M(SHORT-SLEEVE)"/>
    <s v="United States"/>
    <s v="Romper Short"/>
    <n v="3"/>
    <n v="11"/>
    <s v="Easter"/>
    <s v="0-3"/>
    <x v="15"/>
    <m/>
  </r>
  <r>
    <d v="2026-03-12T00:00:00"/>
    <s v="https://www.etsy.com/ca/listing/4470615480/apparently-i-like-f1-baby-romper-formula?transaction_id=4989437094"/>
    <s v="caldet blue"/>
    <s v="Caldet Blue"/>
    <s v="6-12M(LONG-SLEEVE)"/>
    <s v="United States"/>
    <s v="Romper Longer"/>
    <n v="3"/>
    <n v="11"/>
    <s v="Easter"/>
    <s v="6-12"/>
    <x v="25"/>
    <m/>
  </r>
  <r>
    <d v="2026-03-24T00:00:00"/>
    <s v="https://www.etsy.com/ca/listing/4470615480/apparently-i-like-f1-baby-romper-formula?transaction_id=5003043950"/>
    <s v="white"/>
    <s v="White"/>
    <s v="0-3M(SHORT-SLEEVE)"/>
    <s v="United States"/>
    <s v="Romper Short"/>
    <n v="3"/>
    <n v="13"/>
    <s v="Easter"/>
    <s v="0-3"/>
    <x v="21"/>
    <m/>
  </r>
  <r>
    <d v="2026-03-29T00:00:00"/>
    <s v="https://www.etsy.com/ca/listing/4470615480/apparently-i-like-f1-baby-romper-formula?transaction_id=5016427093"/>
    <s v="caldet blue"/>
    <s v="Caldet Blue"/>
    <s v=" 0-3M(SHORT-SLEEVE)"/>
    <s v="United States"/>
    <s v="Romper Short"/>
    <n v="3"/>
    <n v="14"/>
    <s v="Easter"/>
    <s v="0-3"/>
    <x v="38"/>
    <m/>
  </r>
  <r>
    <d v="2026-03-29T00:00:00"/>
    <m/>
    <s v="forest green"/>
    <s v="Forest Green"/>
    <s v="0-3M(SHORT-SLEEVE)"/>
    <m/>
    <s v="Romper Short"/>
    <n v="3"/>
    <n v="14"/>
    <s v="Easter"/>
    <s v="0-3"/>
    <x v="52"/>
    <m/>
  </r>
  <r>
    <d v="2026-03-29T00:00:00"/>
    <s v="https://www.etsy.com/ca/listing/4470615480/apparently-i-like-f1-baby-romper-formula?transaction_id=5008484496"/>
    <s v="caldet blue"/>
    <s v="Caldet Blue"/>
    <s v="3-6M(SHORT-SLEEVE)"/>
    <s v="United States"/>
    <s v="Romper Short"/>
    <n v="3"/>
    <n v="14"/>
    <s v="Easter"/>
    <s v="3-6"/>
    <x v="29"/>
    <m/>
  </r>
  <r>
    <d v="2026-03-30T00:00:00"/>
    <s v="https://www.etsy.com/ca/listing/4474915842/is-it-too-soon-to-ask-for-the-car-baby?transaction_id=5020775917"/>
    <s v="white"/>
    <s v="White"/>
    <s v="3-6M(SHORT-SLEEVE)"/>
    <s v="United States"/>
    <s v="Romper Short"/>
    <n v="3"/>
    <n v="14"/>
    <s v="Easter"/>
    <s v="3-6"/>
    <x v="69"/>
    <m/>
  </r>
  <r>
    <d v="2026-04-01T00:00:00"/>
    <s v="https://www.etsy.com/ca/listing/4470615480/apparently-i-like-f1-baby-romper-formula?transaction_id=5021294609"/>
    <s v=" cream"/>
    <s v=" Cream"/>
    <s v="3-6M(LONG-SLEEVE)"/>
    <s v="United States"/>
    <s v="Romper Longer"/>
    <n v="4"/>
    <n v="14"/>
    <s v="Easter"/>
    <s v="3-6"/>
    <x v="1"/>
    <m/>
  </r>
  <r>
    <d v="2026-04-02T00:00:00"/>
    <s v="https://www.etsy.com/ca/listing/4470615480/apparently-i-like-f1-baby-romper-formula?transaction_id=5024036863"/>
    <s v="cream"/>
    <s v="Cream"/>
    <s v="0-3M(LONG-SLEEVE)"/>
    <s v="United States"/>
    <s v="Romper Longer"/>
    <n v="4"/>
    <n v="14"/>
    <s v="Easter"/>
    <s v="0-3"/>
    <x v="2"/>
    <m/>
  </r>
  <r>
    <d v="2026-04-03T00:00:00"/>
    <s v="https://www.etsy.com/ca/listing/4476229576/daddys-future-trucking-buddy-baby-romper?transaction_id=5024863865"/>
    <s v="cream"/>
    <s v="Cream"/>
    <s v="0-3M(LONG-SLEEVE)"/>
    <s v="United States"/>
    <s v="Romper Longer"/>
    <n v="4"/>
    <n v="14"/>
    <s v="Easter"/>
    <s v="0-3"/>
    <x v="2"/>
    <m/>
  </r>
  <r>
    <d v="2026-04-04T00:00:00"/>
    <s v="https://www.etsy.com/ca/listing/4449569507/mom-and-dads-game-changer-baby-romper?transaction_id=5015439286"/>
    <s v="texas orange"/>
    <s v="Texas Orange"/>
    <s v="0-3M(LONG-SLEEVE)"/>
    <s v="United States"/>
    <s v="Romper Longer"/>
    <n v="4"/>
    <n v="14"/>
    <s v="Easter"/>
    <s v="0-3"/>
    <x v="83"/>
    <m/>
  </r>
  <r>
    <d v="2026-04-04T00:00:00"/>
    <s v="https://www.etsy.com/ca/listing/4447793500/its-in-my-dna-baby-romper-baseball-baby?transaction_id=5015439284"/>
    <s v="sage green"/>
    <s v="Sage Green"/>
    <s v="3-6M(LONG-SLEEVE)"/>
    <m/>
    <s v="Romper Longer"/>
    <n v="4"/>
    <n v="14"/>
    <s v="Easter"/>
    <s v="3-6"/>
    <x v="7"/>
    <m/>
  </r>
  <r>
    <d v="2026-04-08T00:00:00"/>
    <s v="https://www.etsy.com/ca/listing/4474915842/is-it-too-soon-to-ask-for-the-car-baby?transaction_id=5031413447"/>
    <s v="white"/>
    <s v="White"/>
    <s v="3-6M(LONG-SLEEVE)"/>
    <s v="United States"/>
    <s v="Romper Longer"/>
    <n v="4"/>
    <n v="15"/>
    <s v="Easter"/>
    <s v="3-6"/>
    <x v="70"/>
    <m/>
  </r>
  <r>
    <d v="2026-04-09T00:00:00"/>
    <s v="https://www.etsy.com/ca/listing/4470615480/apparently-i-like-f1-baby-romper-formula?transaction_id=5022118458"/>
    <s v="cream"/>
    <s v="Cream"/>
    <s v="0-3M(SHORT-SLEEVE)"/>
    <s v="United States"/>
    <s v="Romper Short"/>
    <n v="4"/>
    <n v="15"/>
    <s v="Easter"/>
    <s v="0-3"/>
    <x v="15"/>
    <m/>
  </r>
  <r>
    <d v="2026-04-10T00:00:00"/>
    <s v="https://www.etsy.com/ca/listing/4470615480/apparently-i-like-f1-baby-romper-formula?transaction_id=5023021280"/>
    <s v="cream"/>
    <s v="Cream"/>
    <s v="0-3M(LONG-SLEEVE)"/>
    <s v="United States"/>
    <s v="Romper Longer"/>
    <n v="4"/>
    <n v="15"/>
    <s v="Easter"/>
    <s v="0-3"/>
    <x v="2"/>
    <m/>
  </r>
  <r>
    <d v="2026-04-12T00:00:00"/>
    <s v="https://www.etsy.com/ca/listing/4470615480/apparently-i-like-f1-baby-romper-formula?transaction_id=5025776334"/>
    <s v="cream"/>
    <s v="Cream"/>
    <s v="3-6M(SHORT-SLEEVE)"/>
    <s v="United States"/>
    <s v="Romper Short"/>
    <n v="4"/>
    <n v="16"/>
    <s v="Easter"/>
    <s v="3-6"/>
    <x v="0"/>
    <m/>
  </r>
  <r>
    <d v="2026-04-14T00:00:00"/>
    <s v="https://www.etsy.com/ca/listing/4477990621/dirt-is-my-daddys-office-baby-romper?transaction_id=5038417325"/>
    <s v="cream"/>
    <s v="Cream"/>
    <s v="6-12M(LONG-SLEEVE)"/>
    <s v="United States"/>
    <s v="Romper Longer"/>
    <n v="4"/>
    <n v="16"/>
    <s v="Easter"/>
    <s v="6-12"/>
    <x v="17"/>
    <m/>
  </r>
  <r>
    <d v="2026-04-18T00:00:00"/>
    <s v="https://www.etsy.com/ca/listing/4470615480/apparently-i-like-f1-baby-romper-formula?transaction_id=5043406357"/>
    <s v="cream"/>
    <s v="Cream"/>
    <s v="0-3M(LONG-SLEEVE)"/>
    <s v="United States"/>
    <s v="Romper Longer"/>
    <n v="4"/>
    <n v="16"/>
    <s v="Easter"/>
    <s v="0-3"/>
    <x v="2"/>
    <m/>
  </r>
  <r>
    <d v="2026-04-18T00:00:00"/>
    <s v="https://www.etsy.com/ca/listing/4483717191/new-to-the-squad-embroidered-baby-romper?transaction_id=5032079210"/>
    <s v="white"/>
    <s v="White"/>
    <s v="3-6M(LONG-SLEEVE)"/>
    <s v="United States"/>
    <s v="Romper Longer"/>
    <n v="4"/>
    <n v="16"/>
    <s v="Easter"/>
    <s v="3-6"/>
    <x v="70"/>
    <m/>
  </r>
  <r>
    <d v="2026-04-18T00:00:00"/>
    <s v="https://www.etsy.com/ca/listing/4470615480/apparently-i-like-f1-baby-romper-formula?transaction_id=5032903802"/>
    <s v="cream"/>
    <s v="Cream"/>
    <s v="3-6M(LONG-SLEEVE)"/>
    <s v="Canada"/>
    <s v="Romper Longer"/>
    <n v="4"/>
    <n v="16"/>
    <s v="Easter"/>
    <s v="3-6"/>
    <x v="1"/>
    <m/>
  </r>
  <r>
    <d v="2026-04-19T00:00:00"/>
    <s v="https://www.etsy.com/ca/listing/4470615480/apparently-i-like-f1-baby-romper-formula?transaction_id=5033474894"/>
    <s v="cream"/>
    <s v="Cream"/>
    <s v="18-24M(LONG-SLEEVE)"/>
    <s v="United States"/>
    <s v="Romper Longer"/>
    <n v="4"/>
    <n v="17"/>
    <s v="Easter"/>
    <s v="18-24"/>
    <x v="55"/>
    <m/>
  </r>
  <r>
    <d v="2026-04-22T00:00:00"/>
    <s v="https://www.etsy.com/ca/listing/4470615480/apparently-i-like-f1-baby-romper-formula?transaction_id=5049031255"/>
    <s v="caldet blue"/>
    <s v="Caldet Blue"/>
    <s v="6-12M(SHORT-SLEEVE)"/>
    <s v="United States"/>
    <s v="Romper Short"/>
    <n v="4"/>
    <n v="17"/>
    <s v="Easter"/>
    <s v="6-12"/>
    <x v="63"/>
    <m/>
  </r>
  <r>
    <d v="2026-04-24T00:00:00"/>
    <s v="https://www.etsy.com/ca/listing/4470607045/new-to-the-pit-crew-baby-romper-racing?transaction_id=5051683413"/>
    <s v="cream"/>
    <s v="Cream"/>
    <s v="3-6M(LONG-SLEEVE)"/>
    <s v="United States"/>
    <s v="Romper Longer"/>
    <n v="4"/>
    <n v="17"/>
    <s v="Easter"/>
    <s v="3-6"/>
    <x v="1"/>
    <m/>
  </r>
  <r>
    <d v="2026-04-24T00:00:00"/>
    <s v="https://www.etsy.com/ca/listing/4477986889/daddys-little-mechanic-baby-romper?transaction_id=5051830675"/>
    <s v="dusty pink"/>
    <s v="Dusty Pink"/>
    <s v="3-6M(LONG-SLEEVE)"/>
    <s v="Canada"/>
    <s v="Romper Longer"/>
    <n v="4"/>
    <n v="17"/>
    <s v="Easter"/>
    <s v="3-6"/>
    <x v="8"/>
    <m/>
  </r>
  <r>
    <d v="2026-04-24T00:00:00"/>
    <s v="https://www.etsy.com/ca/listing/4476229576/daddys-future-trucking-buddy-baby-romper?transaction_id=5039498268"/>
    <s v="white"/>
    <s v="White"/>
    <s v=" 3-6M(SHORT-SLEEVE)"/>
    <s v="United States"/>
    <s v="Romper Short"/>
    <n v="4"/>
    <n v="17"/>
    <s v="Easter"/>
    <s v="3-6"/>
    <x v="69"/>
    <m/>
  </r>
  <r>
    <d v="2026-04-24T00:00:00"/>
    <s v="https://www.etsy.com/ca/listing/4488364374/is-it-too-soon-to-play-pickleball?transaction_id=5052404679"/>
    <s v="cream"/>
    <s v="Cream"/>
    <s v="0-3M(SHORT-SLEEVE)"/>
    <s v="United States"/>
    <s v="Romper Short"/>
    <n v="4"/>
    <n v="17"/>
    <s v="Easter"/>
    <s v="0-3"/>
    <x v="15"/>
    <m/>
  </r>
  <r>
    <d v="2026-04-25T00:00:00"/>
    <s v="https://www.etsy.com/ca/listing/4483717191/new-to-the-squad-embroidered-baby-romper?transaction_id=5040873354"/>
    <s v="cream"/>
    <s v="Cream"/>
    <s v="0-3M(LONG-SLEEVE)"/>
    <s v="United States"/>
    <s v="Romper Longer"/>
    <n v="4"/>
    <n v="17"/>
    <s v="Easter"/>
    <s v="0-3"/>
    <x v="2"/>
    <m/>
  </r>
  <r>
    <d v="2026-04-26T00:00:00"/>
    <s v="https://www.etsy.com/ca/listing/4470615480/apparently-i-like-f1-baby-romper-formula?transaction_id=5054391967"/>
    <s v="cream"/>
    <s v="Cream"/>
    <s v="6-12M(SHORT-SLEEVE)"/>
    <s v="United States"/>
    <s v="Romper Short"/>
    <n v="4"/>
    <n v="18"/>
    <s v="Easter"/>
    <s v="6-12"/>
    <x v="47"/>
    <m/>
  </r>
  <r>
    <d v="2026-04-27T00:00:00"/>
    <s v="https://www.etsy.com/ca/listing/4449573112/i-love-to-read-wine-labels-baby-romper?transaction_id=5042779888"/>
    <s v="cream"/>
    <s v="Cream"/>
    <s v="6-12M(LONG-SLEEVE)"/>
    <s v="United States"/>
    <s v="Romper Longer"/>
    <n v="4"/>
    <n v="18"/>
    <s v="Easter"/>
    <s v="6-12"/>
    <x v="17"/>
    <m/>
  </r>
  <r>
    <d v="2026-04-27T00:00:00"/>
    <s v="https://www.etsy.com/ca/listing/4490099186/daddys-future-skating-buddy-baby-romper?transaction_id=5043904240"/>
    <s v="cream"/>
    <s v="Cream"/>
    <s v="6-12M(SHORT-SLEEVE)"/>
    <s v="United States"/>
    <s v="Romper Short"/>
    <n v="4"/>
    <n v="18"/>
    <s v="Easter"/>
    <s v="6-12"/>
    <x v="47"/>
    <m/>
  </r>
  <r>
    <d v="2026-04-29T00:00:00"/>
    <s v="https://www.etsy.com/ca/listing/4470615480/apparently-i-like-f1-baby-romper-formula?transaction_id=5045372896"/>
    <s v="dusty pink"/>
    <s v="Dusty Pink"/>
    <s v="3-6M(LONG-SLEEVE)"/>
    <s v="United States"/>
    <s v="Romper Longer"/>
    <n v="4"/>
    <n v="18"/>
    <s v="Easter"/>
    <s v="3-6"/>
    <x v="8"/>
    <m/>
  </r>
  <r>
    <d v="2026-04-29T00:00:00"/>
    <s v="https://www.etsy.com/ca/listing/4470615480/apparently-i-like-f1-baby-romper-formula?transaction_id=5045877650"/>
    <s v="cream"/>
    <s v="Cream"/>
    <s v="3-6M(SHORT-SLEEVE)"/>
    <s v="United States"/>
    <s v="Romper Short"/>
    <n v="4"/>
    <n v="18"/>
    <s v="Easter"/>
    <s v="3-6"/>
    <x v="0"/>
    <m/>
  </r>
  <r>
    <d v="2026-05-01T00:00:00"/>
    <s v="https://www.etsy.com/ca/listing/4483717191/new-to-the-squad-embroidered-baby-romper?transaction_id=5049302690"/>
    <s v="cream"/>
    <s v="Cream"/>
    <s v="3-6M(LONG-SLEEVE)"/>
    <s v="United States"/>
    <s v="Romper Longer"/>
    <n v="5"/>
    <n v="18"/>
    <s v="MothersDay"/>
    <s v="3-6"/>
    <x v="1"/>
    <m/>
  </r>
  <r>
    <d v="2026-05-03T00:00:00"/>
    <s v="https://www.etsy.com/ca/listing/4470615480/apparently-i-like-f1-baby-romper-formula?transaction_id=5064410381"/>
    <s v=" caldet blue"/>
    <s v=" Caldet Blue"/>
    <s v="12-18M(SHORT-SLEEVE)"/>
    <s v="United States"/>
    <s v="Romper Short"/>
    <n v="5"/>
    <n v="19"/>
    <s v="MothersDay"/>
    <s v="12-18"/>
    <x v="72"/>
    <m/>
  </r>
  <r>
    <d v="2026-05-03T00:00:00"/>
    <s v="https://www.etsy.com/ca/listing/4470615480/apparently-i-like-f1-baby-romper-formula?transaction_id=5064410381"/>
    <s v=" caldet blue"/>
    <s v=" Caldet Blue"/>
    <s v="6-12M(LONG-SLEEVE)"/>
    <m/>
    <s v="Romper Longer"/>
    <n v="5"/>
    <n v="19"/>
    <s v="MothersDay"/>
    <s v="6-12"/>
    <x v="25"/>
    <m/>
  </r>
  <r>
    <d v="2026-05-04T00:00:00"/>
    <s v="https://www.etsy.com/ca/listing/4471171185/crawl-walk-golf-baby-romper-100-cotton?transaction_id=5053132478"/>
    <s v="sage green"/>
    <s v="Sage Green"/>
    <s v="6-12M(LONG-SLEEVE)"/>
    <s v="United States"/>
    <s v="Romper Longer"/>
    <n v="5"/>
    <n v="19"/>
    <s v="MothersDay"/>
    <s v="6-12"/>
    <x v="3"/>
    <m/>
  </r>
  <r>
    <d v="2026-05-05T00:00:00"/>
    <s v="https://www.etsy.com/ca/listing/4470615480/apparently-i-like-f1-baby-romper-formula?transaction_id=5067011323"/>
    <s v="cream"/>
    <s v="Cream"/>
    <s v="3-6M(SHORT-SLEEVE)"/>
    <s v="United States"/>
    <s v="Romper Short"/>
    <n v="5"/>
    <n v="19"/>
    <s v="MothersDay"/>
    <s v="3-6"/>
    <x v="0"/>
    <m/>
  </r>
  <r>
    <d v="2026-05-06T00:00:00"/>
    <s v="https://www.etsy.com/ca/listing/4470615480/apparently-i-like-f1-baby-romper-formula?transaction_id=5068179367"/>
    <s v="cream"/>
    <s v="Cream"/>
    <s v="0-3M(SHORT-SLEEVE)"/>
    <s v="United States"/>
    <s v="Romper Short"/>
    <n v="5"/>
    <n v="19"/>
    <s v="MothersDay"/>
    <s v="0-3"/>
    <x v="15"/>
    <m/>
  </r>
  <r>
    <d v="2026-05-13T00:00:00"/>
    <s v="https://www.etsy.com/ca/listing/4470615480/apparently-i-like-f1-baby-romper-formula?transaction_id=5064754984"/>
    <s v=" caldet blue"/>
    <s v=" Caldet Blue"/>
    <s v="3-6M(SHORT-SLEEVE)"/>
    <s v="United States"/>
    <s v="Romper Short"/>
    <n v="5"/>
    <n v="20"/>
    <s v="MothersDay"/>
    <s v="3-6"/>
    <x v="29"/>
    <m/>
  </r>
  <r>
    <d v="2026-05-13T00:00:00"/>
    <s v="https://www.etsy.com/ca/listing/4470615480/apparently-i-like-f1-baby-romper-formula?transaction_id=5068477926"/>
    <s v="caldet blue"/>
    <s v="Caldet Blue"/>
    <s v="3-6M(LONG-SLEEVE)"/>
    <n v="17058178558"/>
    <s v="Romper Longer"/>
    <n v="5"/>
    <n v="20"/>
    <s v="MothersDay"/>
    <s v="3-6"/>
    <x v="23"/>
    <m/>
  </r>
  <r>
    <d v="2026-05-13T00:00:00"/>
    <s v="https://www.etsy.com/ca/listing/4471171185/crawl-walk-golf-baby-romper-100-cotton?transaction_id=5068631560"/>
    <s v="caldet blue"/>
    <s v="Caldet Blue"/>
    <s v="3-6M(SHORT-SLEEVE)"/>
    <s v="United States"/>
    <s v="Romper Short"/>
    <n v="5"/>
    <n v="20"/>
    <s v="MothersDay"/>
    <s v="3-6"/>
    <x v="29"/>
    <m/>
  </r>
  <r>
    <d v="2026-05-23T00:00:00"/>
    <s v="https://www.etsy.com/ca/listing/4477990621/dirt-is-my-daddys-office-baby-romper?transaction_id=5076516924"/>
    <s v="watermelon"/>
    <s v="Watermelon"/>
    <s v="6-12M(SHORT-SLEEVE)"/>
    <s v="United States"/>
    <s v="Romper Short"/>
    <n v="5"/>
    <n v="21"/>
    <s v="MothersDay"/>
    <s v="6-12"/>
    <x v="76"/>
    <m/>
  </r>
  <r>
    <d v="2026-05-25T00:00:00"/>
    <s v="https://www.etsy.com/ca/listing/4470016481/milk-then-burpees-embroidered-baby?transaction_id=5091484591"/>
    <s v="cream"/>
    <s v="Cream"/>
    <s v="3-6M(LONG-SLEEVE)"/>
    <s v="United States"/>
    <s v="Romper Longer"/>
    <n v="5"/>
    <n v="22"/>
    <s v="MothersDay"/>
    <s v="3-6"/>
    <x v="1"/>
    <m/>
  </r>
  <r>
    <d v="2026-05-28T00:00:00"/>
    <s v="https://www.etsy.com/ca/listing/4510955407/born-to-ride-with-my-daddy-baby-romper?transaction_id=5093954663"/>
    <s v="cream"/>
    <s v="Cream"/>
    <s v="0-3M(SHORT-SLEEVE)"/>
    <s v="United States"/>
    <s v="Romper Short"/>
    <n v="5"/>
    <n v="22"/>
    <s v="MothersDay"/>
    <s v="0-3"/>
    <x v="15"/>
    <m/>
  </r>
  <r>
    <d v="2026-05-28T00:00:00"/>
    <s v="https://www.etsy.com/ca/listing/4483717191/new-to-the-squad-embroidered-baby-romper?transaction_id=5094140335"/>
    <s v=" dusty pink"/>
    <s v=" Dusty Pink"/>
    <s v="3-6M(LONG-SLEEVE)"/>
    <s v="United States"/>
    <s v="Romper Longer"/>
    <n v="5"/>
    <n v="22"/>
    <s v="MothersDay"/>
    <s v="3-6"/>
    <x v="8"/>
    <m/>
  </r>
  <r>
    <d v="2026-05-28T00:00:00"/>
    <s v="https://www.etsy.com/ca/listing/4490094884/daddys-future-skydiver-baby-romper-cute?transaction_id=5082685918"/>
    <s v="salmon"/>
    <s v="Salmon"/>
    <s v="0-3M(SHORT-SLEEVE)"/>
    <s v="United States"/>
    <s v="Romper Short"/>
    <n v="5"/>
    <n v="22"/>
    <s v="MothersDay"/>
    <s v="0-3"/>
    <x v="32"/>
    <m/>
  </r>
  <r>
    <d v="2026-06-01T00:00:00"/>
    <s v="https://www.etsy.com/ca/listing/4507540167/daddys-little-tennis-buddy-embroidered?transaction_id=5086436256"/>
    <s v="cream"/>
    <s v="Cream"/>
    <s v="6-12M(SHORT-SLEEVE)"/>
    <s v="United States"/>
    <s v="Romper Short"/>
    <n v="6"/>
    <n v="23"/>
    <s v="FathersDay"/>
    <s v="6-12"/>
    <x v="47"/>
    <m/>
  </r>
  <r>
    <d v="2026-06-01T00:00:00"/>
    <s v="https://www.etsy.com/ca/listing/4449570131/little-tiger-baby-romper-tiger-baby?transaction_id=5098520995"/>
    <s v="cream"/>
    <s v="Cream"/>
    <s v="6-12M(SHORT-SLEEVE)"/>
    <s v="United States"/>
    <s v="Romper Short"/>
    <n v="6"/>
    <n v="23"/>
    <s v="FathersDay"/>
    <s v="6-12"/>
    <x v="47"/>
    <m/>
  </r>
  <r>
    <d v="2026-06-02T00:00:00"/>
    <s v="https://www.etsy.com/ca/listing/4486218469/my-daddy-bowls-better-than-your-daddy?transaction_id=5088264566"/>
    <s v="caldet blue"/>
    <s v="Caldet Blue"/>
    <s v="6-12M(SHORT-SLEEVE)"/>
    <s v="United States"/>
    <s v="Romper Short"/>
    <n v="6"/>
    <n v="23"/>
    <s v="FathersDay"/>
    <s v="6-12"/>
    <x v="63"/>
    <m/>
  </r>
  <r>
    <d v="2026-06-03T00:00:00"/>
    <s v="https://www.etsy.com/ca/listing/4507540167/daddys-little-tennis-buddy-embroidered?transaction_id=5101174721"/>
    <s v=" forest green"/>
    <s v=" Forest Green"/>
    <s v="3-6M(LONG-SLEEVE)"/>
    <s v="United States"/>
    <s v="Romper Longer"/>
    <n v="6"/>
    <n v="23"/>
    <s v="FathersDay"/>
    <s v="3-6"/>
    <x v="4"/>
    <m/>
  </r>
  <r>
    <d v="2026-06-04T00:00:00"/>
    <s v="https://www.etsy.com/ca/listing/4486218469/my-daddy-bowls-better-than-your-daddy?transaction_id=5102836305"/>
    <s v="dusty pink"/>
    <s v="Dusty Pink"/>
    <s v="0-3M(LONG-SLEEVE)"/>
    <s v="United States"/>
    <s v="Romper Longer"/>
    <n v="6"/>
    <n v="23"/>
    <s v="FathersDay"/>
    <s v="0-3"/>
    <x v="45"/>
    <m/>
  </r>
  <r>
    <d v="2026-06-05T00:00:00"/>
    <s v="https://www.etsy.com/ca/listing/4507540167/daddys-little-tennis-buddy-embroidered?transaction_id=5092212498"/>
    <s v="cream"/>
    <s v="Cream"/>
    <s v="0-3M(LONG-SLEEVE)"/>
    <s v="United States"/>
    <s v="Romper Longer"/>
    <n v="6"/>
    <n v="23"/>
    <s v="FathersDay"/>
    <s v="0-3"/>
    <x v="2"/>
    <m/>
  </r>
  <r>
    <d v="2026-06-07T00:00:00"/>
    <s v="https://www.etsy.com/ca/listing/4516749130/custom-name-baby-embroidered-romper?transaction_id=5095300612"/>
    <s v="cream"/>
    <s v="Cream"/>
    <s v="6-12M(SHORT-SLEEVE)"/>
    <s v="United States"/>
    <s v="Romper Short"/>
    <n v="6"/>
    <n v="24"/>
    <s v="FathersDay"/>
    <s v="6-12"/>
    <x v="47"/>
    <m/>
  </r>
  <r>
    <d v="2026-06-07T00:00:00"/>
    <s v="https://www.etsy.com/ca/listing/4516748644/custom-name-baby-embroidered-romper?transaction_id=5095300610"/>
    <s v="cream"/>
    <s v="Cream"/>
    <s v="6-12M(SHORT-SLEEVE)"/>
    <m/>
    <s v="Romper Short"/>
    <n v="6"/>
    <n v="24"/>
    <s v="FathersDay"/>
    <s v="6-12"/>
    <x v="47"/>
    <m/>
  </r>
  <r>
    <d v="2026-06-08T00:00:00"/>
    <s v="https://www.etsy.com/ca/listing/4510955407/born-to-ride-with-my-daddy-baby-romper?transaction_id=5097181642"/>
    <s v=" watermelon"/>
    <s v=" Watermelon"/>
    <s v="6-12M(SHORT-SLEEVE)"/>
    <s v="United States"/>
    <s v="Romper Short"/>
    <n v="6"/>
    <n v="24"/>
    <s v="FathersDay"/>
    <s v="6-12"/>
    <x v="76"/>
    <m/>
  </r>
  <r>
    <d v="2026-06-09T00:00:00"/>
    <s v="https://www.etsy.com/ca/listing/4515633281/funny-cowboy-baby-romper-little-bitty?transaction_id=5098850826"/>
    <s v="caldet blue"/>
    <s v="Caldet Blue"/>
    <s v="0-3M(SHORT-SLEEVE)"/>
    <s v="United States"/>
    <s v="Romper Short"/>
    <n v="6"/>
    <n v="24"/>
    <s v="FathersDay"/>
    <s v="0-3"/>
    <x v="38"/>
    <m/>
  </r>
  <r>
    <d v="2026-06-10T00:00:00"/>
    <s v="https://www.etsy.com/ca/listing/4477996848/daddy-is-my-spark-baby-romper?transaction_id=5109864723"/>
    <s v="watermelon"/>
    <s v="Watermelon"/>
    <s v="0-3M(LONG-SLEEVE)"/>
    <s v="United States"/>
    <s v="Romper Longer"/>
    <n v="6"/>
    <n v="24"/>
    <s v="FathersDay"/>
    <s v="0-3"/>
    <x v="36"/>
    <m/>
  </r>
  <r>
    <d v="2026-06-10T00:00:00"/>
    <s v="https://www.etsy.com/ca/listing/4516747148/little-firecracker-baby-romper-patriotic?transaction_id=5110025873"/>
    <s v="white"/>
    <s v="White"/>
    <s v="6-12M(LONG-SLEEVE)"/>
    <s v="United States"/>
    <s v="Romper Longer"/>
    <n v="6"/>
    <n v="24"/>
    <s v="FathersDay"/>
    <s v="6-12"/>
    <x v="46"/>
    <m/>
  </r>
  <r>
    <d v="2026-06-12T00:00:00"/>
    <s v="https://www.etsy.com/ca/listing/4518303218/daddys-future-gaming-buddy-romper-gamer?transaction_id=5111482167"/>
    <s v="cream"/>
    <s v="Cream"/>
    <s v="6-12M(SHORT-SLEEVE)"/>
    <s v="United States"/>
    <s v="Romper Short"/>
    <n v="6"/>
    <n v="24"/>
    <s v="FathersDay"/>
    <s v="6-12"/>
    <x v="47"/>
    <m/>
  </r>
  <r>
    <d v="2026-06-12T00:00:00"/>
    <s v="https://www.etsy.com/ca/listing/4481642703/born-to-play-tennis-with-my-daddy-baby?transaction_id=5103329901"/>
    <s v="cream"/>
    <s v="Cream"/>
    <s v="0-3M(SHORT-SLEEVE)"/>
    <s v="United States"/>
    <s v="Romper Short"/>
    <n v="6"/>
    <n v="24"/>
    <s v="FathersDay"/>
    <s v="0-3"/>
    <x v="15"/>
    <m/>
  </r>
  <r>
    <d v="2026-06-13T00:00:00"/>
    <s v="https://www.etsy.com/ca/listing/4516747148/little-firecracker-baby-romper-patriotic?transaction_id=5102757632"/>
    <s v="cream"/>
    <s v="Cream"/>
    <s v="3-6M(SHORT-SLEEVE)"/>
    <s v="United States"/>
    <s v="Romper Short"/>
    <n v="6"/>
    <n v="24"/>
    <s v="FathersDay"/>
    <s v="3-6"/>
    <x v="0"/>
    <m/>
  </r>
  <r>
    <d v="2026-06-14T00:00:00"/>
    <s v="https://www.etsy.com/ca/listing/4470027308/embroidered-baby-romper-grandpas-little?transaction_id=5113860801"/>
    <s v="dusty pink"/>
    <s v="Dusty Pink"/>
    <s v="3-6M(SHORT-SLEEVE)"/>
    <s v="United States"/>
    <s v="Romper Short"/>
    <n v="6"/>
    <n v="25"/>
    <s v="FathersDay"/>
    <s v="3-6"/>
    <x v="31"/>
    <m/>
  </r>
  <r>
    <d v="2026-06-15T00:00:00"/>
    <s v="https://www.etsy.com/ca/listing/4518303218/daddys-future-gaming-buddy-romper-gamer?transaction_id=5106208132"/>
    <s v="cream"/>
    <s v="Cream"/>
    <s v="0-3M(LONG-SLEEVE)"/>
    <s v="United States"/>
    <s v="Romper Longer"/>
    <n v="6"/>
    <n v="25"/>
    <s v="FathersDay"/>
    <s v="0-3"/>
    <x v="2"/>
    <m/>
  </r>
  <r>
    <d v="2026-01-11T00:00:00"/>
    <s v="https://www.etsy.com/listing/4436476647/golf-baby-romper-embroidered-golf-theme?transaction_id=4923919551"/>
    <s v="white"/>
    <s v="White"/>
    <s v=" 18-24M(Long Sleeve)"/>
    <s v="United States"/>
    <s v="Romper Longer"/>
    <n v="1"/>
    <n v="3"/>
    <s v="NewYear"/>
    <s v="18-24"/>
    <x v="94"/>
    <m/>
  </r>
  <r>
    <d v="2026-01-14T00:00:00"/>
    <s v="https://www.etsy.com/listing/4432961851/my-daddy-plays-in-the-dirt-baby-romper?transaction_id=4913320884"/>
    <s v="dusty pink"/>
    <s v="Dusty Pink"/>
    <s v="0-3M(Long Sleeve)"/>
    <s v="United States"/>
    <s v="Romper Longer"/>
    <n v="1"/>
    <n v="3"/>
    <s v="NewYear"/>
    <s v="0-3"/>
    <x v="45"/>
    <m/>
  </r>
  <r>
    <d v="2026-06-12T00:00:00"/>
    <s v="https://www.etsy.com/listing/4432954535/my-other-car-seat-is-on-the-golf-cart?transaction_id=4931004395"/>
    <s v="salmon"/>
    <s v="Salmon"/>
    <s v="3-6M(Short Sleeve)"/>
    <s v="United States"/>
    <s v="Romper Short"/>
    <n v="6"/>
    <n v="24"/>
    <s v="FathersDay"/>
    <s v="3-6"/>
    <x v="50"/>
    <m/>
  </r>
  <r>
    <d v="2026-01-16T00:00:00"/>
    <s v="https://www.etsy.com/listing/4436466725/custom-name-sailboat-embroidered-romper?transaction_id=4932433079"/>
    <s v="white"/>
    <s v="White"/>
    <s v="3-6M(Short Sleeve)"/>
    <s v="United States"/>
    <s v="Romper Short"/>
    <n v="1"/>
    <n v="3"/>
    <s v="NewYear"/>
    <s v="3-6"/>
    <x v="69"/>
    <m/>
  </r>
  <r>
    <d v="2026-01-16T00:00:00"/>
    <s v="https://www.etsy.com/listing/4437040487/music-baby-romper-cant-wait-to-jam-with?transaction_id=4919854232"/>
    <s v="cream"/>
    <s v="Cream"/>
    <s v="3-6M(Short Sleeve)"/>
    <s v="United States"/>
    <s v="Romper Short"/>
    <n v="1"/>
    <n v="3"/>
    <s v="NewYear"/>
    <s v="3-6"/>
    <x v="0"/>
    <m/>
  </r>
  <r>
    <d v="2026-01-16T00:00:00"/>
    <s v="https://www.etsy.com/listing/4432961851/my-daddy-plays-in-the-dirt-baby-romper?transaction_id=4934970985"/>
    <s v="coffee"/>
    <s v="Coffee"/>
    <s v="3-6M(Long Sleeve)"/>
    <s v="United States"/>
    <s v="Romper Longer"/>
    <n v="1"/>
    <n v="3"/>
    <s v="NewYear"/>
    <s v="3-6"/>
    <x v="12"/>
    <m/>
  </r>
  <r>
    <d v="2026-01-21T00:00:00"/>
    <s v="https://www.etsy.com/listing/4442029176/embroidered-baby-romper-tennis-flower?transaction_id=4926660340"/>
    <s v="white"/>
    <s v="White"/>
    <s v="12-18M(Long Sleeve)"/>
    <s v="United States"/>
    <s v="Romper Longer"/>
    <n v="1"/>
    <n v="4"/>
    <s v="NewYear"/>
    <s v="12-18"/>
    <x v="73"/>
    <m/>
  </r>
  <r>
    <d v="2026-01-22T00:00:00"/>
    <s v="https://www.etsy.com/listing/4440230726/crawl-walk-snowmobile-baby-romper?transaction_id=4938989535"/>
    <s v="white"/>
    <s v="White"/>
    <s v="6-12M(Long Sleeve)"/>
    <s v="United States"/>
    <s v="Romper Longer"/>
    <n v="1"/>
    <n v="4"/>
    <s v="NewYear"/>
    <s v="6-12"/>
    <x v="46"/>
    <m/>
  </r>
  <r>
    <d v="2026-01-23T00:00:00"/>
    <s v="https://www.etsy.com/listing/4442026118/future-triathlete-baby-romper-swim-bike?transaction_id=4928835778"/>
    <s v="salmon"/>
    <s v="Salmon"/>
    <s v="0-3M(Short Sleeve)"/>
    <s v="United States"/>
    <s v="Romper Short"/>
    <n v="1"/>
    <n v="4"/>
    <s v="NewYear"/>
    <s v="0-3"/>
    <x v="32"/>
    <m/>
  </r>
  <r>
    <d v="2026-01-23T00:00:00"/>
    <s v="https://www.etsy.com/listing/4437022788/custom-name-embroidered-baby-romper-new?transaction_id=4940756781"/>
    <s v="dusty pink"/>
    <s v="Dusty Pink"/>
    <s v="0-3M(Short Sleeve)"/>
    <m/>
    <s v="Romper Short"/>
    <n v="1"/>
    <n v="4"/>
    <s v="NewYear"/>
    <s v="0-3"/>
    <x v="34"/>
    <m/>
  </r>
  <r>
    <d v="2026-01-26T00:00:00"/>
    <s v="https://www.etsy.com/listing/4438215259/flying-is-fun-embroidered-baby-romper?transaction_id=4942964849"/>
    <s v="dusty pink"/>
    <s v="Dusty Pink"/>
    <s v="3-6M(Short Sleeve)"/>
    <s v="United Kingdom"/>
    <s v="Romper Short"/>
    <n v="1"/>
    <n v="5"/>
    <s v="NewYear"/>
    <s v="3-6"/>
    <x v="31"/>
    <m/>
  </r>
  <r>
    <d v="2026-01-27T00:00:00"/>
    <s v="https://www.etsy.com/listing/4436958179/whaley-cute-embroidered-baby-romper-cute?transaction_id=4933574376"/>
    <s v="dusty pink"/>
    <s v="Dusty Pink"/>
    <s v="18-24M(Short Sleeve)"/>
    <s v="United States"/>
    <s v="Romper Short"/>
    <n v="1"/>
    <n v="5"/>
    <s v="NewYear"/>
    <s v="18-24"/>
    <x v="95"/>
    <m/>
  </r>
  <r>
    <d v="2026-01-28T00:00:00"/>
    <s v="https://www.etsy.com/listing/4432961851/my-daddy-plays-in-the-dirt-baby-romper?transaction_id=4946163151"/>
    <s v="salmon"/>
    <s v="Salmon"/>
    <s v="3-6M(Long Sleeve)"/>
    <s v="United States"/>
    <s v="Romper Longer"/>
    <n v="1"/>
    <n v="5"/>
    <s v="NewYear"/>
    <s v="3-6"/>
    <x v="49"/>
    <m/>
  </r>
  <r>
    <d v="2026-01-29T00:00:00"/>
    <s v="https://www.etsy.com/listing/4432968408/olive-you-embroidered-baby-romper-cute?transaction_id=4936731228"/>
    <s v="cream"/>
    <s v="Cream"/>
    <s v="12-18M(Long Sleeve)"/>
    <s v="United States"/>
    <s v="Romper Longer"/>
    <n v="1"/>
    <n v="5"/>
    <s v="NewYear"/>
    <s v="12-18"/>
    <x v="53"/>
    <m/>
  </r>
  <r>
    <d v="2026-01-29T00:00:00"/>
    <s v="https://www.etsy.com/listing/4437038588/soccer-baby-romper-future-goal-getter?transaction_id=4936703400"/>
    <s v="sage green"/>
    <s v="Sage Green"/>
    <s v="6-12M(Long Sleeve)"/>
    <s v="United States"/>
    <s v="Romper Longer"/>
    <n v="1"/>
    <n v="5"/>
    <s v="NewYear"/>
    <s v="6-12"/>
    <x v="3"/>
    <m/>
  </r>
  <r>
    <d v="2026-01-31T00:00:00"/>
    <s v="https://www.etsy.com/listing/4432968408/olive-you-embroidered-baby-romper-cute?transaction_id=4950322557"/>
    <s v="coffee"/>
    <s v="Coffee"/>
    <s v="0-3M(Long Sleeve)"/>
    <s v="United States"/>
    <s v="Romper Longer"/>
    <n v="1"/>
    <n v="5"/>
    <s v="NewYear"/>
    <s v="0-3"/>
    <x v="28"/>
    <m/>
  </r>
  <r>
    <d v="2026-02-04T00:00:00"/>
    <s v="https://www.etsy.com/listing/4436466725/custom-name-sailboat-embroidered-romper?transaction_id=4955706739"/>
    <s v="cream"/>
    <s v="Cream"/>
    <s v="6-12M(Long Sleeve)"/>
    <s v="United States"/>
    <s v="Romper Longer"/>
    <n v="2"/>
    <n v="6"/>
    <s v="Valentine"/>
    <s v="6-12"/>
    <x v="17"/>
    <m/>
  </r>
  <r>
    <d v="2026-02-05T00:00:00"/>
    <s v="https://www.etsy.com/listing/4440230726/crawl-walk-snowmobile-baby-romper?transaction_id=4945118032"/>
    <s v="white"/>
    <s v="White"/>
    <s v=" 6-12M(Long Sleeve)"/>
    <s v="United States"/>
    <s v="Romper Longer"/>
    <n v="2"/>
    <n v="6"/>
    <s v="Valentine"/>
    <s v="6-12"/>
    <x v="46"/>
    <m/>
  </r>
  <r>
    <d v="2026-02-05T00:00:00"/>
    <s v="https://www.etsy.com/listing/4437037794/basketball-baby-romper-little-slam-dunk?transaction_id=4945635468"/>
    <s v="dusty pink"/>
    <s v="Dusty Pink"/>
    <s v="0-3M(Short Sleeve)"/>
    <s v="United States"/>
    <s v="Romper Short"/>
    <n v="2"/>
    <n v="6"/>
    <s v="Valentine"/>
    <s v="0-3"/>
    <x v="34"/>
    <m/>
  </r>
  <r>
    <d v="2026-02-06T00:00:00"/>
    <s v="https://www.etsy.com/listing/4436470734/custom-name-rocking-horse-embroidered?transaction_id=4957266437"/>
    <s v="sage green"/>
    <s v="Sage Green"/>
    <s v="3-6M(Short Sleeve)"/>
    <s v="United States"/>
    <s v="Romper Short"/>
    <n v="2"/>
    <n v="6"/>
    <s v="Valentine"/>
    <s v="3-6"/>
    <x v="24"/>
    <m/>
  </r>
  <r>
    <d v="2026-02-06T00:00:00"/>
    <s v="https://www.etsy.com/listing/4440191236/pasta-baby-romper-embroidered-italian?transaction_id=4947377688"/>
    <s v="caldet blue"/>
    <s v="Caldet Blue"/>
    <s v="0-3M(Short Sleeve)"/>
    <s v="Australia"/>
    <s v="Romper Short"/>
    <n v="2"/>
    <n v="6"/>
    <s v="Valentine"/>
    <s v="0-3"/>
    <x v="38"/>
    <m/>
  </r>
  <r>
    <d v="2026-02-08T00:00:00"/>
    <s v="https://www.etsy.com/listing/4437038588/soccer-baby-romper-future-goal-getter?transaction_id=4961002289"/>
    <s v="dusty pink"/>
    <s v="Dusty Pink"/>
    <s v="6-12M(Short Sleeve)"/>
    <s v="United States"/>
    <s v="Romper Short"/>
    <n v="2"/>
    <n v="7"/>
    <s v="Valentine"/>
    <s v="6-12"/>
    <x v="35"/>
    <m/>
  </r>
  <r>
    <d v="2026-02-09T00:00:00"/>
    <s v="https://www.etsy.com/listing/4435900956/tiger-pride-baby-romper-cute-animal?transaction_id=4951539462"/>
    <s v="white"/>
    <s v="White"/>
    <s v="0-3M(Short Sleeve)"/>
    <s v="United States"/>
    <s v="Romper Short"/>
    <n v="2"/>
    <n v="7"/>
    <s v="Valentine"/>
    <s v="0-3"/>
    <x v="21"/>
    <m/>
  </r>
  <r>
    <d v="2026-02-09T00:00:00"/>
    <s v="https://www.etsy.com/listing/4432963344/little-sunshine-embroidered-baby-romper?transaction_id=4951570744"/>
    <s v="forest green"/>
    <s v="Forest Green"/>
    <s v="6-12M(Long Sleeve)"/>
    <s v="United Kingdom"/>
    <s v="Romper Longer"/>
    <n v="2"/>
    <n v="7"/>
    <s v="Valentine"/>
    <s v="6-12"/>
    <x v="30"/>
    <m/>
  </r>
  <r>
    <d v="2026-02-10T00:00:00"/>
    <s v="https://www.etsy.com/listing/4440204157/short-stack-baby-romper-embroidered?transaction_id=4952855058"/>
    <s v="texas orange"/>
    <s v="Texas Orange"/>
    <s v="3-6M(Long Sleeve)"/>
    <s v="United States"/>
    <s v="Romper Longer"/>
    <n v="2"/>
    <n v="7"/>
    <s v="Valentine"/>
    <s v="3-6"/>
    <x v="82"/>
    <m/>
  </r>
  <r>
    <d v="2026-02-13T00:00:00"/>
    <s v="https://www.etsy.com/listing/4430529160/hello-embroidered-baby-romper-minimal?transaction_id=4966743301"/>
    <s v="coffee"/>
    <s v="Coffee"/>
    <s v="3-6M(Short Sleeve)"/>
    <s v="United States"/>
    <s v="Romper Short"/>
    <n v="2"/>
    <n v="7"/>
    <s v="Valentine"/>
    <s v="3-6"/>
    <x v="18"/>
    <m/>
  </r>
  <r>
    <d v="2026-02-13T00:00:00"/>
    <s v="https://www.etsy.com/listing/4432961851/my-daddy-plays-in-the-dirt-baby-romper?transaction_id=4956690964"/>
    <s v="dusty pink"/>
    <s v="Dusty Pink"/>
    <s v="3-6M(Short Sleeve)"/>
    <s v="United States"/>
    <s v="Romper Short"/>
    <n v="2"/>
    <n v="7"/>
    <s v="Valentine"/>
    <s v="3-6"/>
    <x v="31"/>
    <m/>
  </r>
  <r>
    <d v="2026-02-14T00:00:00"/>
    <s v="https://www.etsy.com/listing/4432963818/here-comes-the-son-embroidered-baby?transaction_id=4968118643"/>
    <s v="sage green"/>
    <s v="Sage Green"/>
    <s v="0-3M(Long Sleeve)"/>
    <s v="United States"/>
    <s v="Romper Longer"/>
    <n v="2"/>
    <n v="7"/>
    <s v="Valentine"/>
    <s v="0-3"/>
    <x v="5"/>
    <m/>
  </r>
  <r>
    <d v="2026-02-18T00:00:00"/>
    <s v="https://www.etsy.com/listing/4437014789/born-to-play-basketball-baby-romper?transaction_id=4971947567"/>
    <s v="cream"/>
    <s v="Cream"/>
    <s v="0-3M(Long Sleeve)"/>
    <s v="United States"/>
    <s v="Romper Longer"/>
    <n v="2"/>
    <n v="8"/>
    <s v="Valentine"/>
    <s v="0-3"/>
    <x v="2"/>
    <m/>
  </r>
  <r>
    <d v="2026-02-21T00:00:00"/>
    <s v="https://www.etsy.com/listing/4432961851/my-daddy-plays-in-the-dirt-baby-romper?transaction_id=4965112512"/>
    <s v="mauve taupe"/>
    <s v="Mauve Taupe"/>
    <s v="6-12M(Long Sleeve)"/>
    <s v="United States"/>
    <s v="Romper Longer"/>
    <n v="2"/>
    <n v="8"/>
    <s v="Valentine"/>
    <s v="6-12"/>
    <x v="85"/>
    <m/>
  </r>
  <r>
    <d v="2026-02-25T00:00:00"/>
    <s v="https://www.etsy.com/listing/4436466725/custom-name-sailboat-embroidered-romper?transaction_id=4980395753"/>
    <s v="dusty pink"/>
    <s v="Dusty Pink"/>
    <s v="0-3M(Short Sleeve)"/>
    <s v="United States"/>
    <s v="Romper Short"/>
    <n v="2"/>
    <n v="9"/>
    <s v="Valentine"/>
    <s v="0-3"/>
    <x v="34"/>
    <m/>
  </r>
  <r>
    <d v="2026-02-25T00:00:00"/>
    <m/>
    <s v="dusty pink"/>
    <s v="Dusty Pink"/>
    <s v="18-24M(Short Sleeve)"/>
    <m/>
    <s v="Romper Short"/>
    <n v="2"/>
    <n v="9"/>
    <s v="Valentine"/>
    <s v="18-24"/>
    <x v="95"/>
    <m/>
  </r>
  <r>
    <d v="2026-02-28T00:00:00"/>
    <s v="https://www.etsy.com/listing/4432961851/my-daddy-plays-in-the-dirt-baby-romper?transaction_id=4974360398"/>
    <s v="dusty pink"/>
    <s v="Dusty Pink"/>
    <s v="6-12M(Long Sleeve)"/>
    <s v="United States"/>
    <s v="Romper Longer"/>
    <n v="2"/>
    <n v="9"/>
    <s v="Valentine"/>
    <s v="6-12"/>
    <x v="51"/>
    <m/>
  </r>
  <r>
    <d v="2026-03-17T00:00:00"/>
    <s v="https://www.etsy.com/listing/4436466725/custom-name-sailboat-embroidered-romper?transaction_id=5005373963"/>
    <s v="white"/>
    <s v="White"/>
    <s v="12-18M(Short Sleeve)"/>
    <s v="United States"/>
    <s v="Romper Short"/>
    <n v="3"/>
    <n v="12"/>
    <s v="Easter"/>
    <s v="12-18"/>
    <x v="87"/>
    <m/>
  </r>
  <r>
    <d v="2026-03-18T00:00:00"/>
    <s v="https://www.etsy.com/listing/4436466725/custom-name-sailboat-embroidered-romper?transaction_id=5005817105"/>
    <s v="sage green"/>
    <s v="Sage Green"/>
    <s v="3-6M(Long Sleeve)"/>
    <s v="United States"/>
    <s v="Romper Longer"/>
    <n v="3"/>
    <n v="12"/>
    <s v="Easter"/>
    <s v="3-6"/>
    <x v="7"/>
    <m/>
  </r>
  <r>
    <d v="2026-03-18T00:00:00"/>
    <s v="https://www.etsy.com/listing/4432968408/olive-you-embroidered-baby-romper-cute?transaction_id=5006239025"/>
    <s v="cream"/>
    <s v="Cream"/>
    <s v="6-12M(Short Sleeve)"/>
    <s v="United States"/>
    <s v="Romper Short"/>
    <n v="3"/>
    <n v="12"/>
    <s v="Easter"/>
    <s v="6-12"/>
    <x v="47"/>
    <m/>
  </r>
  <r>
    <d v="2026-03-19T00:00:00"/>
    <s v="https://www.etsy.com/listing/4435899921/clean-up-crew-baby-romper-cute-puppy?transaction_id=5007479309"/>
    <s v="texas orange"/>
    <s v="Texas Orange"/>
    <s v="6-12M(Long Sleeve)"/>
    <s v="United States"/>
    <s v="Romper Longer"/>
    <n v="3"/>
    <n v="12"/>
    <s v="Easter"/>
    <s v="6-12"/>
    <x v="61"/>
    <m/>
  </r>
  <r>
    <d v="2026-03-19T00:00:00"/>
    <s v="https://www.etsy.com/listing/4435899921/clean-up-crew-baby-romper-cute-puppy?transaction_id=4997522262"/>
    <s v="caldet blue"/>
    <s v="Caldet Blue"/>
    <s v="6-12M(Short Sleeve)"/>
    <m/>
    <s v="Romper Short"/>
    <n v="3"/>
    <n v="12"/>
    <s v="Easter"/>
    <s v="6-12"/>
    <x v="63"/>
    <m/>
  </r>
  <r>
    <d v="2026-03-20T00:00:00"/>
    <s v="https://www.etsy.com/listing/4432961851/my-daddy-plays-in-the-dirt-baby-romper?transaction_id=4998711516"/>
    <s v="dusty pink"/>
    <s v="Dusty Pink"/>
    <s v="3-6M(Short Sleeve)"/>
    <s v="United States"/>
    <s v="Romper Short"/>
    <n v="3"/>
    <n v="12"/>
    <s v="Easter"/>
    <s v="3-6"/>
    <x v="31"/>
    <m/>
  </r>
  <r>
    <d v="2026-03-27T00:00:00"/>
    <s v="https://www.etsy.com/listing/4432961851/my-daddy-plays-in-the-dirt-baby-romper?transaction_id=5006495198"/>
    <s v=" Texas Orange"/>
    <s v=" Texas Orange"/>
    <s v="0-3M(Short Sleeve)"/>
    <s v="United States"/>
    <s v="Romper Short"/>
    <n v="3"/>
    <n v="13"/>
    <s v="Easter"/>
    <s v="0-3"/>
    <x v="96"/>
    <m/>
  </r>
  <r>
    <d v="2026-03-27T00:00:00"/>
    <s v="https://www.etsy.com/listing/4436477682/custom-name-hot-air-balloon-embroidered?transaction_id=5007162768"/>
    <s v="white"/>
    <s v="White"/>
    <s v="12-18M(Long Sleeve)"/>
    <s v="United States"/>
    <s v="Romper Longer"/>
    <n v="3"/>
    <n v="13"/>
    <s v="Easter"/>
    <s v="12-18"/>
    <x v="73"/>
    <m/>
  </r>
  <r>
    <d v="2026-04-03T00:00:00"/>
    <s v="https://www.etsy.com/listing/4432961851/my-daddy-plays-in-the-dirt-baby-romper?transaction_id=5024840049"/>
    <s v="sage green"/>
    <s v="Sage Green"/>
    <s v="3-6M(Short Sleeve)"/>
    <s v="United States"/>
    <s v="Romper Short"/>
    <n v="4"/>
    <n v="14"/>
    <s v="Easter"/>
    <s v="3-6"/>
    <x v="24"/>
    <m/>
  </r>
  <r>
    <d v="2026-04-06T00:00:00"/>
    <s v="https://www.etsy.com/listing/4437034638/funny-bowling-baby-romper-its-in-my-dna?transaction_id=5018278062"/>
    <s v="salmon"/>
    <s v="Salmon"/>
    <s v="3-6M(Short Sleeve)"/>
    <s v="Canada"/>
    <s v="Romper Short"/>
    <n v="4"/>
    <n v="15"/>
    <s v="Easter"/>
    <s v="3-6"/>
    <x v="50"/>
    <m/>
  </r>
  <r>
    <d v="2026-04-10T00:00:00"/>
    <s v="https://www.etsy.com/listing/4477977946/apparently-i-like-f1-baby-romper-funny?transaction_id=50226121600"/>
    <s v="cream"/>
    <s v="Cream"/>
    <s v="12-18M(Short Sleeve)"/>
    <s v="United States"/>
    <s v="Romper Short"/>
    <n v="4"/>
    <n v="15"/>
    <s v="Easter"/>
    <s v="12-18"/>
    <x v="26"/>
    <m/>
  </r>
  <r>
    <d v="2026-04-10T00:00:00"/>
    <s v="https://www.etsy.com/listing/4477977946/apparently-i-like-f1-baby-romper-funny?transaction_id=5023178310"/>
    <s v="dusty pink"/>
    <s v="Dusty Pink"/>
    <s v="3-6M(Long Sleeve)"/>
    <s v="United Kingdom"/>
    <s v="Romper Longer"/>
    <n v="4"/>
    <n v="15"/>
    <s v="Easter"/>
    <s v="3-6"/>
    <x v="8"/>
    <m/>
  </r>
  <r>
    <d v="2026-04-10T00:00:00"/>
    <s v="https://www.etsy.com/listing/4436965790/daddys-future-riding-buddy-embroidered?transaction_id=5023195012"/>
    <s v="cream"/>
    <s v="Cream"/>
    <s v="0-3M(Long Sleeve)"/>
    <s v="United States"/>
    <s v="Romper Longer"/>
    <n v="4"/>
    <n v="15"/>
    <s v="Easter"/>
    <s v="0-3"/>
    <x v="2"/>
    <m/>
  </r>
  <r>
    <d v="2026-04-12T00:00:00"/>
    <s v="https://www.etsy.com/listing/4436476647/golf-baby-romper-embroidered-golf-theme?transaction_id=5035725219"/>
    <s v="white"/>
    <s v="White"/>
    <s v="18-24M(Short Sleeve)"/>
    <s v="United States"/>
    <s v="Romper Short"/>
    <n v="4"/>
    <n v="16"/>
    <s v="Easter"/>
    <s v="18-24"/>
    <x v="43"/>
    <m/>
  </r>
  <r>
    <d v="2026-04-12T00:00:00"/>
    <s v="https://www.etsy.com/listing/4476202378/daddys-sous-chef-baby-romper-funny?transaction_id=5025405440"/>
    <s v="dusty pink"/>
    <s v="Dusty Pink"/>
    <s v="3-6M(Long Sleeve)"/>
    <s v="United States"/>
    <s v="Romper Longer"/>
    <n v="4"/>
    <n v="16"/>
    <s v="Easter"/>
    <s v="3-6"/>
    <x v="8"/>
    <m/>
  </r>
  <r>
    <d v="2026-04-15T00:00:00"/>
    <s v="https://www.etsy.com/listing/4442028834/embroidered-baby-romper-happy-birdie?transaction_id=5039923681"/>
    <s v="dusty pink"/>
    <s v="Dusty Pink"/>
    <s v="12-18M(Long Sleeve)"/>
    <s v="United States"/>
    <s v="Romper Longer"/>
    <n v="4"/>
    <n v="16"/>
    <s v="Easter"/>
    <s v="12-18"/>
    <x v="75"/>
    <m/>
  </r>
  <r>
    <d v="2026-04-15T00:00:00"/>
    <s v="https://www.etsy.com/listing/4442020794/cute-little-stinker-baby-romper-funny?transaction_id=5029335016"/>
    <s v="cream"/>
    <s v="Cream"/>
    <s v="6-12M(Long Sleeve)"/>
    <s v="United States"/>
    <s v="Romper Longer"/>
    <n v="4"/>
    <n v="16"/>
    <s v="Easter"/>
    <s v="6-12"/>
    <x v="17"/>
    <m/>
  </r>
  <r>
    <d v="2026-04-16T00:00:00"/>
    <s v="https://www.etsy.com/listing/4477977946/apparently-i-like-f1-baby-romper-funny?transaction_id=5041667381"/>
    <s v="cream"/>
    <s v="Cream"/>
    <s v="3-6M(Short Sleeve)"/>
    <s v="United States"/>
    <s v="Romper Short"/>
    <n v="4"/>
    <n v="16"/>
    <s v="Easter"/>
    <s v="3-6"/>
    <x v="0"/>
    <m/>
  </r>
  <r>
    <d v="2026-04-16T00:00:00"/>
    <s v="https://www.etsy.com/listing/4432968408/olive-you-embroidered-baby-romper-cute?transaction_id=5030715540"/>
    <s v="dusty pink"/>
    <s v="Dusty Pink"/>
    <s v="12-18M(Short Sleeve)"/>
    <s v="United States"/>
    <s v="Romper Short"/>
    <n v="4"/>
    <n v="16"/>
    <s v="Easter"/>
    <s v="12-18"/>
    <x v="44"/>
    <m/>
  </r>
  <r>
    <d v="2026-04-17T00:00:00"/>
    <s v="https://www.etsy.com/listing/4440230726/crawl-walk-snowmobile-baby-romper?transaction_id=5042961751"/>
    <s v="white"/>
    <s v="White"/>
    <s v="6-12M(Long Sleeve)"/>
    <s v="United States"/>
    <s v="Romper Longer"/>
    <n v="4"/>
    <n v="16"/>
    <s v="Easter"/>
    <s v="6-12"/>
    <x v="46"/>
    <m/>
  </r>
  <r>
    <d v="2026-04-18T00:00:00"/>
    <s v="https://www.etsy.com/listing/4440191236/pasta-baby-romper-embroidered-italian?transaction_id=5032020246"/>
    <s v="white"/>
    <s v="White"/>
    <s v="0-3M(Short Sleeve)"/>
    <s v="Germany"/>
    <s v="Romper Short"/>
    <n v="4"/>
    <n v="16"/>
    <s v="Easter"/>
    <s v="0-3"/>
    <x v="21"/>
    <m/>
  </r>
  <r>
    <d v="2026-04-22T00:00:00"/>
    <s v="https://www.etsy.com/listing/4477977946/apparently-i-like-f1-baby-romper-funny?transaction_id=5049301857"/>
    <s v="texas orange"/>
    <s v="Texas Orange"/>
    <s v="3-6M(Long Sleeve)"/>
    <s v="United States"/>
    <s v="Romper Longer"/>
    <n v="4"/>
    <n v="17"/>
    <s v="Easter"/>
    <s v="3-6"/>
    <x v="82"/>
    <m/>
  </r>
  <r>
    <d v="2026-04-23T00:00:00"/>
    <s v="https://www.etsy.com/listing/4438216030/i-love-yoga-embroidered-baby-romper-cute?transaction_id=5051109485"/>
    <s v="white"/>
    <s v="White"/>
    <s v="6-12M(Long Sleeve)"/>
    <s v="United States"/>
    <s v="Romper Longer"/>
    <n v="4"/>
    <n v="17"/>
    <s v="Easter"/>
    <s v="6-12"/>
    <x v="46"/>
    <m/>
  </r>
  <r>
    <d v="2026-04-24T00:00:00"/>
    <s v="https://www.etsy.com/listing/4432968408/olive-you-embroidered-baby-romper-cute?transaction_id=5039752622"/>
    <s v=" watermelon"/>
    <s v=" Watermelon"/>
    <s v="6-12M(Long Sleeve)"/>
    <s v="United States"/>
    <s v="Romper Longer"/>
    <n v="4"/>
    <n v="17"/>
    <s v="Easter"/>
    <s v="6-12"/>
    <x v="33"/>
    <m/>
  </r>
  <r>
    <d v="2026-04-24T00:00:00"/>
    <s v="https://www.etsy.com/listing/4466858204/my-brand-of-formula-embroidered-baby?transaction_id=5040038614"/>
    <s v="cream"/>
    <s v="Cream"/>
    <s v="18-24M(Short Sleeve)"/>
    <s v="United States"/>
    <s v="Romper Short"/>
    <n v="4"/>
    <n v="17"/>
    <s v="Easter"/>
    <s v="18-24"/>
    <x v="16"/>
    <m/>
  </r>
  <r>
    <d v="2026-04-26T00:00:00"/>
    <s v="https://www.etsy.com/listing/4477977946/apparently-i-like-f1-baby-romper-funny?transaction_id=5055379081"/>
    <s v="sage green"/>
    <s v="Sage Green"/>
    <s v="6-12M(Long Sleeve)"/>
    <s v="United States"/>
    <s v="Romper Longer"/>
    <n v="4"/>
    <n v="18"/>
    <s v="Easter"/>
    <s v="6-12"/>
    <x v="3"/>
    <m/>
  </r>
  <r>
    <d v="2026-04-27T00:00:00"/>
    <s v="https://www.etsy.com/listing/4432961851/my-daddy-plays-in-the-dirt-baby-romper?transaction_id=5056330199"/>
    <s v="dusty pink"/>
    <s v="Dusty Pink"/>
    <s v="3-6M(Short Sleeve)"/>
    <s v="United States"/>
    <s v="Romper Short"/>
    <n v="4"/>
    <n v="18"/>
    <s v="Easter"/>
    <s v="3-6"/>
    <x v="31"/>
    <m/>
  </r>
  <r>
    <d v="2026-04-27T00:00:00"/>
    <s v="https://www.etsy.com/listing/4477977946/apparently-i-like-f1-baby-romper-funny?transaction_id=5062001809"/>
    <s v="cream"/>
    <s v="Cream"/>
    <s v="3-6M(Long Sleeve)"/>
    <s v="United States"/>
    <s v="Romper Longer"/>
    <n v="4"/>
    <n v="18"/>
    <s v="Easter"/>
    <s v="3-6"/>
    <x v="1"/>
    <m/>
  </r>
  <r>
    <d v="2026-05-13T00:00:00"/>
    <s v="https://www.etsy.com/listing/4477977946/apparently-i-like-f1-baby-romper-funny?transaction_id=5076305981"/>
    <s v="white"/>
    <s v="White"/>
    <s v="3-6M(Long Sleeve)"/>
    <s v="Australia"/>
    <s v="Romper Longer"/>
    <n v="5"/>
    <n v="20"/>
    <s v="MothersDay"/>
    <s v="3-6"/>
    <x v="70"/>
    <m/>
  </r>
  <r>
    <d v="2026-05-14T00:00:00"/>
    <s v="https://www.etsy.com/listing/4430532176/little-tiger-embroidered-baby-romper?transaction_id=5065975442"/>
    <s v="cream"/>
    <s v="Cream"/>
    <s v="0-3M(Long Sleeve)"/>
    <s v="United States"/>
    <s v="Romper Longer"/>
    <n v="5"/>
    <n v="20"/>
    <s v="MothersDay"/>
    <s v="0-3"/>
    <x v="2"/>
    <m/>
  </r>
  <r>
    <d v="2026-05-14T00:00:00"/>
    <s v="https://www.etsy.com/listing/4430529702/cool-as-a-penguin-embroidered-baby?transaction_id=5065975440"/>
    <s v="white"/>
    <s v="White"/>
    <s v="3-6M(Long Sleeve)"/>
    <m/>
    <s v="Romper Longer"/>
    <n v="5"/>
    <n v="20"/>
    <s v="MothersDay"/>
    <s v="3-6"/>
    <x v="70"/>
    <m/>
  </r>
  <r>
    <d v="2026-05-17T00:00:00"/>
    <s v="https://www.etsy.com/listing/4442025933/embroidered-baby-romper-player-3-has?transaction_id=5069406242"/>
    <s v="sage green"/>
    <s v="Sage Green"/>
    <s v="0-3M(Long Sleeve)"/>
    <s v="United States"/>
    <s v="Romper Longer"/>
    <n v="5"/>
    <n v="21"/>
    <s v="MothersDay"/>
    <s v="0-3"/>
    <x v="5"/>
    <m/>
  </r>
  <r>
    <d v="2026-05-18T00:00:00"/>
    <s v="https://www.etsy.com/listing/4499062845/custom-name-embroidered-romper-baby-gift?transaction_id=5082502647"/>
    <s v="caldet blue"/>
    <s v="Caldet Blue"/>
    <s v="0-3M(Short Sleeve)"/>
    <s v="United States"/>
    <s v="Romper Short"/>
    <n v="5"/>
    <n v="21"/>
    <s v="MothersDay"/>
    <s v="0-3"/>
    <x v="38"/>
    <m/>
  </r>
  <r>
    <d v="2026-05-19T00:00:00"/>
    <s v="https://www.etsy.com/listing/4432961851/my-daddy-plays-in-the-dirt-baby-romper?transaction_id=5070887878"/>
    <s v="sage green"/>
    <s v="Sage Green"/>
    <s v="3-6M(Long Sleeve)"/>
    <s v="United States"/>
    <s v="Romper Longer"/>
    <n v="5"/>
    <n v="21"/>
    <s v="MothersDay"/>
    <s v="3-6"/>
    <x v="7"/>
    <m/>
  </r>
  <r>
    <d v="2026-05-19T00:00:00"/>
    <s v="https://www.etsy.com/listing/4499062845/custom-name-embroidered-romper-baby-gift?transaction_id=5084428685"/>
    <s v="sage green"/>
    <s v="Sage Green"/>
    <s v="3-6M(Long Sleeve)"/>
    <s v="United States"/>
    <s v="Romper Longer"/>
    <n v="5"/>
    <n v="21"/>
    <s v="MothersDay"/>
    <s v="3-6"/>
    <x v="7"/>
    <m/>
  </r>
  <r>
    <d v="2026-05-24T00:00:00"/>
    <s v="https://www.etsy.com/listing/4442025933/embroidered-baby-romper-player-3-has?ls=r&amp;ref=related-2&amp;content_source=85be4b993b6f0396b102a41914204abd%253ALT2926146063257692f2dd099b1216fa34cf8a56be&amp;logging_key=85be4b993b6f0396b102a41914204abd%3ALT2926146063257692f2dd099b1216fa34cf8a56be"/>
    <s v="forest green"/>
    <s v="Forest Green"/>
    <s v="0-3M(Short Sleeve)"/>
    <s v="United States"/>
    <s v="Romper Short"/>
    <n v="5"/>
    <n v="22"/>
    <s v="MothersDay"/>
    <s v="0-3"/>
    <x v="52"/>
    <m/>
  </r>
  <r>
    <d v="2026-05-28T00:00:00"/>
    <s v="https://www.etsy.com/listing/4477345368/future-mvp-baby-romper-sports-baby?transaction_id=5082284846"/>
    <s v="white"/>
    <s v="White"/>
    <s v="3-6M(Short Sleeve)"/>
    <s v="The Netherlands"/>
    <s v="Romper Short"/>
    <n v="5"/>
    <n v="22"/>
    <s v="MothersDay"/>
    <s v="3-6"/>
    <x v="69"/>
    <m/>
  </r>
  <r>
    <d v="2026-05-28T00:00:00"/>
    <s v="https://www.etsy.com/listing/4435902216/baby-dragon-baby-romper-cute-dragon?transaction_id=5082285250"/>
    <s v=" watermelon"/>
    <s v=" Watermelon"/>
    <s v="3-6M(Short Sleeve)"/>
    <s v="United States"/>
    <s v="Romper Short"/>
    <n v="5"/>
    <n v="22"/>
    <s v="MothersDay"/>
    <s v="3-6"/>
    <x v="39"/>
    <m/>
  </r>
  <r>
    <d v="2026-05-29T00:00:00"/>
    <s v="https://www.etsy.com/listing/4432968408/olive-you-embroidered-baby-romper-cute?transaction_id=5083005390"/>
    <s v="dusty pink"/>
    <s v="Dusty Pink"/>
    <s v="3-6M(Short Sleeve)"/>
    <s v="Australia"/>
    <s v="Romper Short"/>
    <n v="5"/>
    <n v="22"/>
    <s v="MothersDay"/>
    <s v="3-6"/>
    <x v="31"/>
    <m/>
  </r>
  <r>
    <d v="2026-05-29T00:00:00"/>
    <s v="https://www.etsy.com/listing/4436970808/marathon-skills-loading-embroidered-baby?transaction_id=5083702354"/>
    <s v="mauve taupe"/>
    <s v="Mauve Taupe"/>
    <s v="3-6M(Long Sleeve)"/>
    <s v="United States"/>
    <s v="Romper Longer"/>
    <n v="5"/>
    <n v="22"/>
    <s v="MothersDay"/>
    <s v="3-6"/>
    <x v="10"/>
    <m/>
  </r>
  <r>
    <d v="2026-05-29T00:00:00"/>
    <s v="https://www.etsy.com/listing/4499062845/custom-name-embroidered-romper-baby-gift?transaction_id=5095848741"/>
    <s v="sage green"/>
    <s v="Sage Green"/>
    <s v="3-6M(Long Sleeve)"/>
    <s v="United States"/>
    <s v="Romper Longer"/>
    <n v="5"/>
    <n v="22"/>
    <s v="MothersDay"/>
    <s v="3-6"/>
    <x v="7"/>
    <m/>
  </r>
  <r>
    <d v="2026-06-01T00:00:00"/>
    <s v="https://www.etsy.com/listing/4499062845/custom-name-embroidered-romper-baby-gift?transaction_id=5096466201"/>
    <s v="cream"/>
    <s v="Cream"/>
    <s v="0-3M(Long Sleeve)"/>
    <s v="United States"/>
    <s v="Romper Longer"/>
    <n v="6"/>
    <n v="23"/>
    <s v="FathersDay"/>
    <s v="0-3"/>
    <x v="2"/>
    <m/>
  </r>
  <r>
    <d v="2026-06-01T00:00:00"/>
    <s v="https://www.etsy.com/listing/4440230726/crawl-walk-snowmobile-baby-romper?transaction_id=5096550531"/>
    <s v="white"/>
    <s v="White"/>
    <s v="0-3M(Long Sleeve)"/>
    <s v="United States"/>
    <s v="Romper Longer"/>
    <n v="6"/>
    <n v="23"/>
    <s v="FathersDay"/>
    <s v="0-3"/>
    <x v="54"/>
    <m/>
  </r>
  <r>
    <d v="2026-06-02T00:00:00"/>
    <s v="https://www.etsy.com/listing/4432961851/my-daddy-plays-in-the-dirt-baby-romper?transaction_id=5099808575"/>
    <s v="caldet blue"/>
    <s v="Caldet Blue"/>
    <s v="12-18M(Short Sleeve)"/>
    <s v="United States"/>
    <s v="Romper Short"/>
    <n v="6"/>
    <n v="23"/>
    <s v="FathersDay"/>
    <s v="12-18"/>
    <x v="72"/>
    <m/>
  </r>
  <r>
    <d v="2026-06-06T00:00:00"/>
    <s v="https://www.etsy.com/listing/4432968408/olive-you-embroidered-baby-romper-cute?transaction_id=5105144937"/>
    <s v=" dusty pink"/>
    <s v=" Dusty Pink"/>
    <s v="3-6M(Long Sleeve)"/>
    <s v="United States"/>
    <s v="Romper Longer"/>
    <n v="6"/>
    <n v="23"/>
    <s v="FathersDay"/>
    <s v="3-6"/>
    <x v="8"/>
    <m/>
  </r>
  <r>
    <d v="2026-06-07T00:00:00"/>
    <s v="https://www.etsy.com/listing/4442026118/future-triathlete-baby-romper-swim-bike?transaction_id=5105384063"/>
    <s v="white"/>
    <s v="White"/>
    <s v="3-6M(Short Sleeve)"/>
    <s v="France"/>
    <s v="Romper Short"/>
    <n v="6"/>
    <n v="24"/>
    <s v="FathersDay"/>
    <s v="3-6"/>
    <x v="69"/>
    <m/>
  </r>
  <r>
    <d v="2026-06-08T00:00:00"/>
    <s v="https://www.etsy.com/listing/4499062845/custom-name-embroidered-romper-baby-gift?transaction_id=5098057914"/>
    <s v=" dusty pink"/>
    <s v=" Dusty Pink"/>
    <s v="0-3M(Short Sleeve)"/>
    <s v="United States"/>
    <s v="Romper Short"/>
    <n v="6"/>
    <n v="24"/>
    <s v="FathersDay"/>
    <s v="0-3"/>
    <x v="34"/>
    <m/>
  </r>
  <r>
    <d v="2026-06-09T00:00:00"/>
    <s v="https://www.etsy.com/listing/4499062845/custom-name-embroidered-romper-baby-gift?transaction_id=5098057914"/>
    <s v="cream"/>
    <s v="Cream"/>
    <s v="0-3M(Short Sleeve)"/>
    <s v="United States"/>
    <s v="Romper Short"/>
    <n v="6"/>
    <n v="24"/>
    <s v="FathersDay"/>
    <s v="0-3"/>
    <x v="15"/>
    <m/>
  </r>
  <r>
    <d v="2026-06-09T00:00:00"/>
    <s v="https://www.etsy.com/listing/4499062845/custom-name-embroidered-romper-baby-gift?transaction_id=5098224510"/>
    <s v="cream"/>
    <s v="Cream"/>
    <s v="3-6M(Long Sleeve)"/>
    <s v="United States"/>
    <s v="Romper Longer"/>
    <n v="6"/>
    <n v="24"/>
    <s v="FathersDay"/>
    <s v="3-6"/>
    <x v="1"/>
    <m/>
  </r>
  <r>
    <d v="2026-06-10T00:00:00"/>
    <s v="https://www.etsy.com/listing/4499062845/custom-name-embroidered-romper-baby-gift?transaction_id=5109300833"/>
    <s v="caldet blue"/>
    <s v="Caldet Blue"/>
    <s v="0-3M(Long Sleeve)"/>
    <s v="United States"/>
    <s v="Romper Longer"/>
    <n v="6"/>
    <n v="24"/>
    <s v="FathersDay"/>
    <s v="0-3"/>
    <x v="9"/>
    <m/>
  </r>
  <r>
    <d v="2026-06-10T00:00:00"/>
    <s v="https://www.etsy.com/listing/4499062845/custom-name-embroidered-romper-baby-gift?transaction_id=5109300833"/>
    <s v="cream"/>
    <s v="Cream"/>
    <s v="3-6M(Long Sleeve)"/>
    <s v="United States"/>
    <s v="Romper Longer"/>
    <n v="6"/>
    <n v="24"/>
    <s v="FathersDay"/>
    <s v="3-6"/>
    <x v="1"/>
    <m/>
  </r>
  <r>
    <d v="2026-06-10T00:00:00"/>
    <s v="https://www.etsy.com/listing/4499062845/custom-name-embroidered-romper-baby-gift?transaction_id=5109300833"/>
    <s v="cream"/>
    <s v="Cream"/>
    <s v="3-6M(Long Sleeve)"/>
    <s v="United States"/>
    <s v="Romper Longer"/>
    <n v="6"/>
    <n v="24"/>
    <s v="FathersDay"/>
    <s v="3-6"/>
    <x v="1"/>
    <m/>
  </r>
  <r>
    <d v="2026-06-13T00:00:00"/>
    <s v="https://www.etsy.com/listing/4499062845/custom-name-embroidered-romper-baby-gift?transaction_id=5112430987"/>
    <s v="cream"/>
    <s v="Cream"/>
    <s v="3-6M(Long Sleeve)"/>
    <s v="Australia"/>
    <s v="Romper Longer"/>
    <n v="6"/>
    <n v="24"/>
    <s v="FathersDay"/>
    <s v="3-6"/>
    <x v="1"/>
    <m/>
  </r>
  <r>
    <d v="2026-06-13T00:00:00"/>
    <s v="https://www.etsy.com/listing/4499062845/custom-name-embroidered-romper-baby-gift?transaction_id=5103173990"/>
    <s v="white"/>
    <s v="White"/>
    <s v="0-3M(Long Sleeve)"/>
    <s v="United States"/>
    <s v="Romper Longer"/>
    <n v="6"/>
    <n v="24"/>
    <s v="FathersDay"/>
    <s v="0-3"/>
    <x v="54"/>
    <m/>
  </r>
  <r>
    <d v="2026-06-14T00:00:00"/>
    <s v="https://www.etsy.com/listing/4499062845/custom-name-embroidered-romper-baby-gift?transaction_id=5103173990"/>
    <s v="cream"/>
    <s v="Cream"/>
    <s v="0-3M(Long Sleeve)"/>
    <s v="United States"/>
    <s v="Romper Longer"/>
    <n v="6"/>
    <n v="25"/>
    <s v="FathersDay"/>
    <s v="0-3"/>
    <x v="2"/>
    <m/>
  </r>
  <r>
    <d v="2026-06-15T00:00:00"/>
    <s v="https://www.etsy.com/listing/4499062845/custom-name-embroidered-romper-baby-gift?transaction_id=5103173990"/>
    <s v="white"/>
    <s v="White"/>
    <s v="0-3M(Long Sleeve)"/>
    <s v="United States"/>
    <s v="Romper Longer"/>
    <n v="6"/>
    <n v="25"/>
    <s v="FathersDay"/>
    <s v="0-3"/>
    <x v="54"/>
    <m/>
  </r>
  <r>
    <d v="2026-01-28T00:00:00"/>
    <s v="https://www.etsy.com/listing/4444097981/daddys-tiny-striker-baby-romper-soccer?transaction_id=4946235259"/>
    <s v="coffee"/>
    <s v="Coffee"/>
    <s v="3-6M(Short Sleeve)"/>
    <s v="United States"/>
    <s v="Romper Short"/>
    <n v="1"/>
    <n v="5"/>
    <s v="NewYear"/>
    <s v="3-6"/>
    <x v="18"/>
    <m/>
  </r>
  <r>
    <d v="2026-01-30T00:00:00"/>
    <s v="https://www.etsy.com/listing/4444104554/its-in-my-dna-bowling-baby-romper?transaction_id=4937644612"/>
    <s v="watermelon"/>
    <s v="Watermelon"/>
    <s v="3-6M(Long Sleeve)"/>
    <s v="United States"/>
    <s v="Romper Longer"/>
    <n v="1"/>
    <n v="5"/>
    <s v="NewYear"/>
    <s v="3-6"/>
    <x v="20"/>
    <m/>
  </r>
  <r>
    <d v="2026-01-30T00:00:00"/>
    <m/>
    <s v="caldet blue"/>
    <s v="Caldet Blue"/>
    <s v="3-6M(Long Sleeve)"/>
    <m/>
    <s v="Romper Longer"/>
    <n v="1"/>
    <n v="5"/>
    <s v="NewYear"/>
    <s v="3-6"/>
    <x v="23"/>
    <m/>
  </r>
  <r>
    <d v="2026-01-30T00:00:00"/>
    <s v="https://www.etsy.com/listing/4444107682/little-slam-dunk-baby-romper-basketball?transaction_id=4937783962"/>
    <s v="coffee"/>
    <s v="Coffee"/>
    <s v="3-6M(Short Sleeve)"/>
    <s v="United States"/>
    <s v="Romper Short"/>
    <n v="1"/>
    <n v="5"/>
    <s v="NewYear"/>
    <s v="3-6"/>
    <x v="18"/>
    <m/>
  </r>
  <r>
    <d v="2026-01-31T00:00:00"/>
    <s v="https://www.etsy.com/listing/4444113376/tiny-touchdown-baby-romper-football?transaction_id=4950064005"/>
    <s v="white"/>
    <s v="White"/>
    <s v="3-6M(Long Sleeve)"/>
    <s v="Austria"/>
    <s v="Romper Longer"/>
    <n v="1"/>
    <n v="5"/>
    <s v="NewYear"/>
    <s v="3-6"/>
    <x v="70"/>
    <m/>
  </r>
  <r>
    <d v="2026-02-11T00:00:00"/>
    <s v="https://www.etsy.com/listing/4451626020/my-first-racing-season-embroidered-baby?transaction_id=4963741705"/>
    <s v="dusty pink"/>
    <s v="Dusty Pink"/>
    <s v="0-3M(Short Sleeve)"/>
    <s v="Germany"/>
    <s v="Romper Short"/>
    <n v="2"/>
    <n v="7"/>
    <s v="Valentine"/>
    <s v="0-3"/>
    <x v="34"/>
    <m/>
  </r>
  <r>
    <d v="2026-02-14T00:00:00"/>
    <s v="https://www.etsy.com/listing/4446342577/assistant-coach-embroidered-baby-romper?transaction_id=4967890543"/>
    <s v="white"/>
    <s v="White"/>
    <s v="3-6M(Short Sleeve)"/>
    <s v="Germany"/>
    <s v="Romper Short"/>
    <n v="2"/>
    <n v="7"/>
    <s v="Valentine"/>
    <s v="3-6"/>
    <x v="69"/>
    <m/>
  </r>
  <r>
    <d v="2026-02-15T00:00:00"/>
    <s v="https://www.etsy.com/listing/4444111218/born-to-play-basketball-baby-romper?transaction_id=4973720488"/>
    <s v="forest green"/>
    <s v="Forest Green"/>
    <s v="3-6M(Short Sleeve)"/>
    <s v="Germany"/>
    <s v="Romper Short"/>
    <n v="2"/>
    <n v="8"/>
    <s v="Valentine"/>
    <s v="3-6"/>
    <x v="6"/>
    <m/>
  </r>
  <r>
    <d v="2026-03-01T00:00:00"/>
    <s v="https://www.etsy.com/listing/4454899012/apparently-i-like-baseball-baby-romper?transaction_id=4975418242"/>
    <s v="cream"/>
    <s v="Cream"/>
    <s v="0-3M(Long Sleeve)"/>
    <s v="United States"/>
    <s v="Romper Longer"/>
    <n v="3"/>
    <n v="10"/>
    <s v="Easter"/>
    <s v="0-3"/>
    <x v="2"/>
    <m/>
  </r>
  <r>
    <d v="2026-03-02T00:00:00"/>
    <s v="https://www.etsy.com/listing/4446342577/assistant-coach-embroidered-baby-romper?transaction_id=4986576239"/>
    <s v="cream"/>
    <s v="Cream"/>
    <s v="6-12M(Short Sleeve)"/>
    <s v="United States"/>
    <s v="Romper Short"/>
    <n v="3"/>
    <n v="10"/>
    <s v="Easter"/>
    <s v="6-12"/>
    <x v="47"/>
    <m/>
  </r>
  <r>
    <d v="2026-03-02T00:00:00"/>
    <s v="https://www.etsy.com/listing/4448380248/see-you-on-the-court-baby-romper?transaction_id=4986999317"/>
    <s v="cream"/>
    <s v="Cream"/>
    <s v="0-3M(Short Sleeve)"/>
    <s v="United States"/>
    <s v="Romper Short"/>
    <n v="3"/>
    <n v="10"/>
    <s v="Easter"/>
    <s v="0-3"/>
    <x v="15"/>
    <m/>
  </r>
  <r>
    <d v="2026-03-04T00:00:00"/>
    <s v="https://www.etsy.com/listing/4451626020/my-first-racing-season-embroidered-baby?transaction_id=4989285119"/>
    <s v="coffee"/>
    <s v="Coffee"/>
    <s v="0-3M(Long Sleeve)"/>
    <s v="United States"/>
    <s v="Romper Longer"/>
    <n v="3"/>
    <n v="10"/>
    <s v="Easter"/>
    <s v="0-3"/>
    <x v="28"/>
    <m/>
  </r>
  <r>
    <d v="2026-03-05T00:00:00"/>
    <s v="https://www.etsy.com/listing/4451626020/my-first-racing-season-embroidered-baby?transaction_id=4990292723"/>
    <s v="coffee"/>
    <s v="Coffee"/>
    <s v="6-12M(Long Sleeve)"/>
    <s v="United States"/>
    <s v="Romper Longer"/>
    <n v="3"/>
    <n v="10"/>
    <s v="Easter"/>
    <s v="6-12"/>
    <x v="86"/>
    <m/>
  </r>
  <r>
    <d v="2026-03-05T00:00:00"/>
    <s v="https://www.etsy.com/listing/4461651558/custom-name-shamrock-embroidered-romper?transaction_id=4990588095"/>
    <s v="forest green"/>
    <s v="Forest Green"/>
    <s v="0-3M(Long Sleeve)"/>
    <s v="United States"/>
    <s v="Romper Longer"/>
    <n v="3"/>
    <n v="10"/>
    <s v="Easter"/>
    <s v="0-3"/>
    <x v="41"/>
    <m/>
  </r>
  <r>
    <d v="2026-03-05T00:00:00"/>
    <s v="https://www.etsy.com/listing/4461651558/custom-name-shamrock-embroidered-romper?transaction_id=4990588095"/>
    <s v="forest green"/>
    <s v="Forest Green"/>
    <s v="0-3M(Long Sleeve)"/>
    <m/>
    <s v="Romper Longer"/>
    <n v="3"/>
    <n v="10"/>
    <s v="Easter"/>
    <s v="0-3"/>
    <x v="41"/>
    <m/>
  </r>
  <r>
    <d v="2026-03-07T00:00:00"/>
    <s v="https://www.etsy.com/listing/4444096557/daddys-little-caddy-baby-romper-golf?transaction_id=4982207232"/>
    <s v="dusty pink"/>
    <s v="Dusty Pink"/>
    <s v="3-6M(Short Sleeve)"/>
    <s v="Australia"/>
    <s v="Romper Short"/>
    <n v="3"/>
    <n v="10"/>
    <s v="Easter"/>
    <s v="3-6"/>
    <x v="31"/>
    <m/>
  </r>
  <r>
    <d v="2026-03-11T00:00:00"/>
    <s v="https://www.etsy.com/listing/4444109928/beach-bum-in-training-baby-romper-summer?transaction_id=4988204482"/>
    <s v="cream"/>
    <s v="Cream"/>
    <s v="3-6M(Short Sleeve)"/>
    <s v="United States"/>
    <s v="Romper Short"/>
    <n v="3"/>
    <n v="11"/>
    <s v="Easter"/>
    <s v="3-6"/>
    <x v="0"/>
    <m/>
  </r>
  <r>
    <d v="2026-03-14T00:00:00"/>
    <s v="https://www.etsy.com/listing/4451626020/my-first-racing-season-embroidered-baby?transaction_id=4991427110"/>
    <s v="dusty pink"/>
    <s v="Dusty Pink"/>
    <s v="3-6M(Short Sleeve)"/>
    <s v="United States"/>
    <s v="Romper Short"/>
    <n v="3"/>
    <n v="11"/>
    <s v="Easter"/>
    <s v="3-6"/>
    <x v="31"/>
    <m/>
  </r>
  <r>
    <d v="2026-03-14T00:00:00"/>
    <s v="https://www.etsy.com/listing/4444107682/little-slam-dunk-baby-romper-basketball?transaction_id=4991598400"/>
    <s v="coffee"/>
    <s v="Coffee"/>
    <s v="6-12M(Long Sleeve)"/>
    <s v="United States"/>
    <s v="Romper Longer"/>
    <n v="3"/>
    <n v="11"/>
    <s v="Easter"/>
    <s v="6-12"/>
    <x v="86"/>
    <m/>
  </r>
  <r>
    <d v="2026-03-17T00:00:00"/>
    <s v="https://www.etsy.com/listing/4470578513/daddys-future-baseball-buddy-baby-romper?transaction_id=4995413404"/>
    <s v="sage green"/>
    <s v="Sage Green"/>
    <s v="6-12M(Long Sleeve)"/>
    <s v="United States"/>
    <s v="Romper Longer"/>
    <n v="3"/>
    <n v="12"/>
    <s v="Easter"/>
    <s v="6-12"/>
    <x v="3"/>
    <m/>
  </r>
  <r>
    <d v="2026-03-18T00:00:00"/>
    <s v="https://www.etsy.com/listing/4461645637/custom-name-cat-embroidered-romper?transaction_id=4996371878"/>
    <s v="cream"/>
    <s v="Cream"/>
    <s v="3-6M(Short Sleeve)"/>
    <s v="United States"/>
    <s v="Romper Short"/>
    <n v="3"/>
    <n v="12"/>
    <s v="Easter"/>
    <s v="3-6"/>
    <x v="0"/>
    <m/>
  </r>
  <r>
    <d v="2026-03-19T00:00:00"/>
    <s v="https://www.etsy.com/listing/4446342577/assistant-coach-embroidered-baby-romper?transaction_id=4996956544"/>
    <s v="white"/>
    <s v="White"/>
    <s v="3-6M(Short Sleeve)"/>
    <n v="22078831"/>
    <s v="Romper Short"/>
    <n v="3"/>
    <n v="12"/>
    <s v="Easter"/>
    <s v="3-6"/>
    <x v="69"/>
    <m/>
  </r>
  <r>
    <d v="2026-03-19T00:00:00"/>
    <s v="https://www.etsy.com/listing/4454899012/apparently-i-like-baseball-baby-romper?transaction_id=5006996189"/>
    <s v="cream"/>
    <s v="Cream"/>
    <s v="6-12M(Short Sleeve)"/>
    <s v="United States"/>
    <s v="Romper Short"/>
    <n v="3"/>
    <n v="12"/>
    <s v="Easter"/>
    <s v="6-12"/>
    <x v="47"/>
    <m/>
  </r>
  <r>
    <d v="2026-03-20T00:00:00"/>
    <s v="https://www.etsy.com/listing/4470582926/daddys-future-soccer-buddy-baby-romper?transaction_id=4998854574"/>
    <s v="caldet blue"/>
    <s v="Caldet Blue"/>
    <s v="12-18M(Short Sleeve)"/>
    <s v="United States"/>
    <s v="Romper Short"/>
    <n v="3"/>
    <n v="12"/>
    <s v="Easter"/>
    <s v="12-18"/>
    <x v="72"/>
    <m/>
  </r>
  <r>
    <d v="2026-03-21T00:00:00"/>
    <s v="https://www.etsy.com/listing/4469990179/crawl-walk-tennis-baby-romper-tennis?transaction_id=5000088562"/>
    <s v="white"/>
    <s v="White"/>
    <s v="3-6M(Long Sleeve)"/>
    <s v="United States"/>
    <s v="Romper Longer"/>
    <n v="3"/>
    <n v="12"/>
    <s v="Easter"/>
    <s v="3-6"/>
    <x v="70"/>
    <m/>
  </r>
  <r>
    <d v="2026-03-22T00:00:00"/>
    <s v="https://www.etsy.com/listing/4448380248/see-you-on-the-court-baby-romper?transaction_id=5010382655"/>
    <s v="white"/>
    <s v="White"/>
    <s v="3-6M(Short Sleeve)"/>
    <s v="United States"/>
    <s v="Romper Short"/>
    <n v="3"/>
    <n v="13"/>
    <s v="Easter"/>
    <s v="3-6"/>
    <x v="69"/>
    <m/>
  </r>
  <r>
    <d v="2026-03-23T00:00:00"/>
    <s v="https://www.etsy.com/listing/4467396310/little-racer-embroidered-baby-romper?transaction_id=5011787949"/>
    <s v="sage green"/>
    <s v="Sage Green"/>
    <s v=" 0-3M(Short Sleeve)"/>
    <s v="United States"/>
    <s v="Romper Short"/>
    <n v="3"/>
    <n v="13"/>
    <s v="Easter"/>
    <s v="0-3"/>
    <x v="13"/>
    <m/>
  </r>
  <r>
    <d v="2026-03-23T00:00:00"/>
    <s v="https://www.etsy.com/listing/4454899012/apparently-i-like-baseball-baby-romper?transaction_id=5015447162"/>
    <s v="cream"/>
    <s v="Cream"/>
    <s v="6-12M(Short Sleeve)"/>
    <s v="United States"/>
    <s v="Romper Short"/>
    <n v="3"/>
    <n v="13"/>
    <s v="Easter"/>
    <s v="6-12"/>
    <x v="47"/>
    <m/>
  </r>
  <r>
    <d v="2026-04-04T00:00:00"/>
    <s v="https://www.etsy.com/listing/4454899012/apparently-i-like-baseball-baby-romper?transaction_id=5015447162"/>
    <s v="cream"/>
    <s v="Cream"/>
    <s v="6-12M(Short Sleeve)"/>
    <s v="United States"/>
    <s v="Romper Short"/>
    <n v="4"/>
    <n v="14"/>
    <s v="Easter"/>
    <s v="6-12"/>
    <x v="47"/>
    <m/>
  </r>
  <r>
    <d v="2026-04-09T00:00:00"/>
    <s v="https://www.etsy.com/listing/4469990856/apparently-i-like-basketball-baby-romper?transaction_id=5032408273"/>
    <s v="white"/>
    <s v="White"/>
    <s v="3-6M(Short Sleeve)"/>
    <s v="United States"/>
    <s v="Romper Short"/>
    <n v="4"/>
    <n v="15"/>
    <s v="Easter"/>
    <s v="3-6"/>
    <x v="69"/>
    <m/>
  </r>
  <r>
    <d v="2026-04-11T00:00:00"/>
    <s v="https://www.etsy.com/listing/4469480573/daddys-little-digger-embroidered-baby?transaction_id=5024051254"/>
    <s v="dusty pink"/>
    <s v="Dusty Pink"/>
    <s v="3-6M(Long Sleeve)"/>
    <s v="United States"/>
    <s v="Romper Longer"/>
    <n v="4"/>
    <n v="15"/>
    <s v="Easter"/>
    <s v="3-6"/>
    <x v="8"/>
    <m/>
  </r>
  <r>
    <d v="2026-04-11T00:00:00"/>
    <s v="https://www.etsy.com/listing/4482243976/i-call-the-shots-baby-romper-funny?transaction_id=5034685549"/>
    <s v="white"/>
    <s v="White"/>
    <s v="6-12M(Short Sleeve)"/>
    <s v="United States"/>
    <s v="Romper Short"/>
    <n v="4"/>
    <n v="15"/>
    <s v="Easter"/>
    <s v="6-12"/>
    <x v="42"/>
    <m/>
  </r>
  <r>
    <d v="2026-04-11T00:00:00"/>
    <s v="https://www.etsy.com/listing/4444103023/crawl-walk-snowmobile-baby-romper-funny?transaction_id=5024368100"/>
    <s v="dusty pink"/>
    <s v="Dusty Pink"/>
    <s v="6-12M(Long Sleeve)"/>
    <s v="United States"/>
    <s v="Romper Longer"/>
    <n v="4"/>
    <n v="15"/>
    <s v="Easter"/>
    <s v="6-12"/>
    <x v="51"/>
    <m/>
  </r>
  <r>
    <d v="2026-04-12T00:00:00"/>
    <s v="https://www.etsy.com/listing/4461647435/daddys-little-co-pilot-baby-romper?transaction_id=5036488419"/>
    <s v="white"/>
    <s v="White"/>
    <s v="3-6M(Short Sleeve)"/>
    <s v="United States"/>
    <s v="Romper Short"/>
    <n v="4"/>
    <n v="16"/>
    <s v="Easter"/>
    <s v="3-6"/>
    <x v="69"/>
    <m/>
  </r>
  <r>
    <d v="2026-04-13T00:00:00"/>
    <s v="https://www.etsy.com/listing/4485588168/new-to-the-club-baby-romper-golf-baby?transaction_id=5037845985"/>
    <s v="white"/>
    <s v="White"/>
    <s v="0-3M(Short Sleeve)"/>
    <s v="United States"/>
    <s v="Romper Short"/>
    <n v="4"/>
    <n v="16"/>
    <s v="Easter"/>
    <s v="0-3"/>
    <x v="21"/>
    <m/>
  </r>
  <r>
    <d v="2026-04-14T00:00:00"/>
    <s v="https://www.etsy.com/listing/4485589345/the-littlest-hiking-club-member-baby?transaction_id=5027348540"/>
    <s v="white"/>
    <s v="White"/>
    <s v="3-6M(Short Sleeve)"/>
    <s v="Austria"/>
    <s v="Romper Short"/>
    <n v="4"/>
    <n v="16"/>
    <s v="Easter"/>
    <s v="3-6"/>
    <x v="69"/>
    <m/>
  </r>
  <r>
    <d v="2026-04-15T00:00:00"/>
    <s v="https://www.etsy.com/listing/4482244700/apparently-i-like-tennis-baby-romper?transaction_id=5028621088"/>
    <s v="coffee"/>
    <s v="Coffee"/>
    <s v="0-3M(Long Sleeve)"/>
    <s v="United States"/>
    <s v="Romper Longer"/>
    <n v="4"/>
    <n v="16"/>
    <s v="Easter"/>
    <s v="0-3"/>
    <x v="28"/>
    <m/>
  </r>
  <r>
    <d v="2026-04-15T00:00:00"/>
    <s v="https://www.etsy.com/listing/4482822167/born-to-golf-with-daddy-baby-romper-golf?transaction_id=5028624846"/>
    <s v="white"/>
    <s v="White"/>
    <s v="0-3M(Short Sleeve)"/>
    <s v="Australia"/>
    <s v="Romper Short"/>
    <n v="4"/>
    <n v="16"/>
    <s v="Easter"/>
    <s v="0-3"/>
    <x v="21"/>
    <m/>
  </r>
  <r>
    <d v="2026-04-15T00:00:00"/>
    <s v="https://www.etsy.com/listing/4468935508/tennis-queen-embroidered-baby-romper?transaction_id=5046577543"/>
    <s v="forest green"/>
    <s v="Forest Green"/>
    <s v="3-6M(Long Sleeve)"/>
    <s v="Switzerland"/>
    <s v="Romper Longer"/>
    <n v="4"/>
    <n v="16"/>
    <s v="Easter"/>
    <s v="3-6"/>
    <x v="4"/>
    <m/>
  </r>
  <r>
    <d v="2026-04-22T00:00:00"/>
    <s v="https://www.etsy.com/listing/4475336563/my-daddy-is-faster-than-your-daddy-baby?transaction_id=5049444417"/>
    <s v="dusty pink"/>
    <s v="Dusty Pink"/>
    <s v="6-12M(Short Sleeve)"/>
    <s v="United States"/>
    <s v="Romper Short"/>
    <n v="4"/>
    <n v="17"/>
    <s v="Easter"/>
    <s v="6-12"/>
    <x v="35"/>
    <m/>
  </r>
  <r>
    <d v="2026-04-25T00:00:00"/>
    <s v="https://www.etsy.com/listing/4461643687/daddys-future-lifting-buddy-embroidered?transaction_id=5053955335"/>
    <s v=" sage green"/>
    <s v=" Sage Green"/>
    <s v="0-3M(Short Sleeve)"/>
    <s v="United States"/>
    <s v="Romper Short"/>
    <n v="4"/>
    <n v="17"/>
    <s v="Easter"/>
    <s v="0-3"/>
    <x v="13"/>
    <m/>
  </r>
  <r>
    <d v="2026-04-28T00:00:00"/>
    <s v="https://www.etsy.com/listing/4489487943/daddys-soccer-buddy-baby-romper-funny?transaction_id=5057094793"/>
    <s v="cream"/>
    <s v="Cream"/>
    <s v="0-3M(Long Sleeve)"/>
    <s v="United States"/>
    <s v="Romper Longer"/>
    <n v="4"/>
    <n v="18"/>
    <s v="Easter"/>
    <s v="0-3"/>
    <x v="2"/>
    <m/>
  </r>
  <r>
    <d v="2026-04-30T00:00:00"/>
    <s v="https://www.etsy.com/listing/4481185031/apparently-i-like-soccer-baby-romper?transaction_id=5046748949"/>
    <s v="sage green"/>
    <s v="Sage Green"/>
    <s v="12-18M(Short Sleeve)"/>
    <s v="United States"/>
    <s v="Romper Short"/>
    <n v="4"/>
    <n v="18"/>
    <s v="Easter"/>
    <s v="12-18"/>
    <x v="74"/>
    <m/>
  </r>
  <r>
    <d v="2026-04-30T00:00:00"/>
    <s v="https://www.etsy.com/listing/4489487943/daddys-soccer-buddy-baby-romper-funny?transaction_id=5057094793"/>
    <s v="cream"/>
    <s v="Cream"/>
    <s v="0-3M(Long Sleeve)"/>
    <s v="United States"/>
    <s v="Romper Longer"/>
    <n v="4"/>
    <n v="18"/>
    <s v="Easter"/>
    <s v="0-3"/>
    <x v="2"/>
    <m/>
  </r>
  <r>
    <d v="2026-04-30T00:00:00"/>
    <s v="https://www.etsy.com/listing/4469988427/daddys-tennis-buddy-baby-romper-tennis?transaction_id=5058944843"/>
    <s v="dusty pink"/>
    <s v="Dusty Pink"/>
    <s v="6-12M(Long Sleeve)"/>
    <s v="United States"/>
    <s v="Romper Longer"/>
    <n v="4"/>
    <n v="18"/>
    <s v="Easter"/>
    <s v="6-12"/>
    <x v="51"/>
    <m/>
  </r>
  <r>
    <d v="2026-04-30T00:00:00"/>
    <s v="https://www.etsy.com/listing/4461643687/daddys-future-lifting-buddy-embroidered?transaction_id=5046811588"/>
    <s v="white"/>
    <s v="White"/>
    <s v="0-3M(Long Sleeve)"/>
    <s v="Germany"/>
    <s v="Romper Longer"/>
    <n v="4"/>
    <n v="18"/>
    <s v="Easter"/>
    <s v="0-3"/>
    <x v="54"/>
    <m/>
  </r>
  <r>
    <d v="2026-05-01T00:00:00"/>
    <s v="https://www.etsy.com/listing/4490501214/little-cycling-club-baby-romper-bicycle?transaction_id=5065323629"/>
    <s v="dusty pink"/>
    <s v="Dusty Pink"/>
    <s v="0-3M(Short Sleeve)"/>
    <s v="Germany"/>
    <s v="Romper Short"/>
    <n v="5"/>
    <n v="18"/>
    <s v="MothersDay"/>
    <s v="0-3"/>
    <x v="34"/>
    <m/>
  </r>
  <r>
    <d v="2026-05-07T00:00:00"/>
    <s v="https://www.etsy.com/listing/4475336563/my-daddy-is-faster-than-your-daddy-baby?transaction_id=5056677068"/>
    <s v="dusty pink"/>
    <s v="Dusty Pink"/>
    <s v=" 6-12M(Short Sleeve)"/>
    <s v="United States"/>
    <s v="Romper Short"/>
    <n v="5"/>
    <n v="19"/>
    <s v="MothersDay"/>
    <s v="6-12"/>
    <x v="35"/>
    <m/>
  </r>
  <r>
    <d v="2026-05-10T00:00:00"/>
    <s v="https://www.etsy.com/listing/4482244700/apparently-i-like-tennis-baby-romper?transaction_id=5073031741"/>
    <s v="forest green"/>
    <s v="Forest Green"/>
    <s v="3-6M(Long Sleeve)"/>
    <s v="Germany"/>
    <s v="Romper Longer"/>
    <n v="5"/>
    <n v="20"/>
    <s v="MothersDay"/>
    <s v="3-6"/>
    <x v="4"/>
    <m/>
  </r>
  <r>
    <d v="2026-05-10T00:00:00"/>
    <s v="https://www.etsy.com/listing/4489486323/daddys-running-buddy-baby-romper-funny?transaction_id=5060714182"/>
    <s v="sage green"/>
    <s v="Sage Green"/>
    <s v="6-12M(Short Sleeve)"/>
    <s v="Australia"/>
    <s v="Romper Short"/>
    <n v="5"/>
    <n v="20"/>
    <s v="MothersDay"/>
    <s v="6-12"/>
    <x v="19"/>
    <m/>
  </r>
  <r>
    <d v="2026-05-11T00:00:00"/>
    <s v="https://www.etsy.com/listing/4444093935/its-in-my-dna-baseball-baby-romper?transaction_id=5074856931"/>
    <s v="coffee"/>
    <s v="Coffee"/>
    <s v="12-18M(Short Sleeve)"/>
    <s v="United States"/>
    <s v="Romper Short"/>
    <n v="5"/>
    <n v="20"/>
    <s v="MothersDay"/>
    <s v="12-18"/>
    <x v="97"/>
    <m/>
  </r>
  <r>
    <d v="2026-05-13T00:00:00"/>
    <s v="https://www.etsy.com/listing/4489486323/daddys-running-buddy-baby-romper-funny?transaction_id=5076450535"/>
    <s v="forest green"/>
    <s v="Forest Green"/>
    <s v="0-3M(Long Sleeve)"/>
    <s v="United States"/>
    <s v="Romper Longer"/>
    <n v="5"/>
    <n v="20"/>
    <s v="MothersDay"/>
    <s v="0-3"/>
    <x v="41"/>
    <m/>
  </r>
  <r>
    <d v="2026-05-13T00:00:00"/>
    <s v="https://www.etsy.com/listing/4461643687/daddys-future-lifting-buddy-embroidered?transaction_id=5077348049"/>
    <s v="sage green"/>
    <s v="Sage Green"/>
    <s v="3-6M(Long Sleeve)"/>
    <s v="United States"/>
    <s v="Romper Longer"/>
    <n v="5"/>
    <n v="20"/>
    <s v="MothersDay"/>
    <s v="3-6"/>
    <x v="7"/>
    <m/>
  </r>
  <r>
    <d v="2026-05-14T00:00:00"/>
    <s v="https://www.etsy.com/listing/4492117324/red-hot-silly-peppers-baby-romper-funny"/>
    <s v="forest green"/>
    <s v="Forest Green"/>
    <s v="0-3M(Long Sleeve)"/>
    <s v="United Kingdom"/>
    <s v="Romper Longer"/>
    <n v="5"/>
    <n v="20"/>
    <s v="MothersDay"/>
    <s v="0-3"/>
    <x v="41"/>
    <m/>
  </r>
  <r>
    <d v="2026-05-14T00:00:00"/>
    <s v="https://www.etsy.com/listing/4489486323/daddys-running-buddy-baby-romper-funny"/>
    <s v="forest green"/>
    <s v="Forest Green"/>
    <s v="0-3M(Long Sleeve)"/>
    <s v="United States"/>
    <s v="Romper Longer"/>
    <n v="5"/>
    <n v="20"/>
    <s v="MothersDay"/>
    <s v="0-3"/>
    <x v="41"/>
    <m/>
  </r>
  <r>
    <d v="2026-05-16T00:00:00"/>
    <s v="https://www.etsy.com/listing/4477967584/daddys-future-lifting-partner-baby"/>
    <s v="sage green"/>
    <s v="Sage Green"/>
    <s v="3-6M(Short Sleeve)"/>
    <s v="Norway"/>
    <s v="Romper Short"/>
    <n v="5"/>
    <n v="20"/>
    <s v="MothersDay"/>
    <s v="3-6"/>
    <x v="24"/>
    <m/>
  </r>
  <r>
    <d v="2026-05-16T00:00:00"/>
    <s v="https://www.etsy.com/listing/4470584184/daddys-future-basketball-buddy-baby"/>
    <s v="sage green"/>
    <s v="Sage Green"/>
    <s v="3-6M(Short Sleeve)"/>
    <s v="United States"/>
    <s v="Romper Short"/>
    <n v="5"/>
    <n v="20"/>
    <s v="MothersDay"/>
    <s v="3-6"/>
    <x v="24"/>
    <m/>
  </r>
  <r>
    <d v="2026-05-16T00:00:00"/>
    <s v="https://www.etsy.com/listing/4482244700/apparently-i-like-tennis-baby-romper"/>
    <s v="sage green"/>
    <s v="Sage Green"/>
    <s v="3-6M(Short Sleeve)"/>
    <s v="United States"/>
    <s v="Romper Short"/>
    <n v="5"/>
    <n v="20"/>
    <s v="MothersDay"/>
    <s v="3-6"/>
    <x v="24"/>
    <m/>
  </r>
  <r>
    <d v="2026-05-17T00:00:00"/>
    <s v="https://www.etsy.com/listing/4490501214/little-cycling-club-baby-romper-bicycle"/>
    <s v="cream"/>
    <s v="Cream"/>
    <s v="3-6M(Short Sleeve)"/>
    <s v="United States"/>
    <s v="Romper Short"/>
    <n v="5"/>
    <n v="21"/>
    <s v="MothersDay"/>
    <s v="3-6"/>
    <x v="0"/>
    <m/>
  </r>
  <r>
    <d v="2026-05-17T00:00:00"/>
    <s v="https://www.etsy.com/listing/4504143517/daddys-lil-caddy-baby-romper-golf-baby?transaction_id=5081707209"/>
    <s v="watermelon"/>
    <s v="Watermelon"/>
    <s v="3-6M(Short Sleeve)"/>
    <s v="United States"/>
    <s v="Romper Short"/>
    <n v="5"/>
    <n v="21"/>
    <s v="MothersDay"/>
    <s v="3-6"/>
    <x v="39"/>
    <m/>
  </r>
  <r>
    <d v="2026-05-18T00:00:00"/>
    <s v="https://www.etsy.com/listing/4468938480/milk-then-burpees-baby-romper-funny-gym?transaction_id=5083460743"/>
    <s v=" caldet blue"/>
    <s v=" Caldet Blue"/>
    <s v="3-6M(Long Sleeve)"/>
    <s v="United States"/>
    <s v="Romper Longer"/>
    <n v="5"/>
    <n v="21"/>
    <s v="MothersDay"/>
    <s v="3-6"/>
    <x v="23"/>
    <m/>
  </r>
  <r>
    <d v="2026-05-20T00:00:00"/>
    <s v="https://www.etsy.com/listing/4482244700/apparently-i-like-tennis-baby-romper?transaction_id=5085199419"/>
    <s v="cream"/>
    <s v="Cream"/>
    <s v="0-3M(Long Sleeve)"/>
    <s v="United States"/>
    <s v="Romper Longer"/>
    <n v="5"/>
    <n v="21"/>
    <s v="MothersDay"/>
    <s v="0-3"/>
    <x v="2"/>
    <m/>
  </r>
  <r>
    <d v="2026-05-23T00:00:00"/>
    <s v="https://www.etsy.com/listing/4472714633/dont-mess-with-me-my-dad-is-a-biker-baby?transaction_id=5076122774"/>
    <s v="sage green"/>
    <s v="Sage Green"/>
    <s v="3-6M(Short Sleeve)"/>
    <s v="Switzerland"/>
    <s v="Romper Short"/>
    <n v="5"/>
    <n v="21"/>
    <s v="MothersDay"/>
    <s v="3-6"/>
    <x v="24"/>
    <m/>
  </r>
  <r>
    <d v="2026-05-24T00:00:00"/>
    <s v="https://www.etsy.com/listing/4472711941/mommys-future-lifting-partner-baby?transaction_id=5076795932"/>
    <s v="white"/>
    <s v="White"/>
    <s v="0-3M(Short Sleeve)"/>
    <s v="Canada"/>
    <s v="Romper Short"/>
    <n v="5"/>
    <n v="22"/>
    <s v="MothersDay"/>
    <s v="0-3"/>
    <x v="21"/>
    <m/>
  </r>
  <r>
    <d v="2026-05-26T00:00:00"/>
    <s v="https://www.etsy.com/listing/4467395398/shhh-im-watching-moto-gp-with-daddy?transaction_id=5091692683"/>
    <s v="cream"/>
    <s v="Cream"/>
    <s v="3-6M(Short Sleeve)"/>
    <s v="Australia"/>
    <s v="Romper Short"/>
    <n v="5"/>
    <n v="22"/>
    <s v="MothersDay"/>
    <s v="3-6"/>
    <x v="0"/>
    <m/>
  </r>
  <r>
    <d v="2026-05-28T00:00:00"/>
    <s v="https://www.etsy.com/listing/4482244700/apparently-i-like-tennis-baby-romper?transaction_id=5093792951"/>
    <s v="caldet blue"/>
    <s v="Caldet Blue"/>
    <s v="12-18M(Long Sleeve)"/>
    <s v="Canada"/>
    <s v="Romper Longer"/>
    <n v="5"/>
    <n v="22"/>
    <s v="MothersDay"/>
    <s v="12-18"/>
    <x v="60"/>
    <m/>
  </r>
  <r>
    <d v="2026-05-28T00:00:00"/>
    <s v="https://www.etsy.com/listing/4444716500/golf-baby-romper-with-embroidered-golf?transaction_id=5081702122"/>
    <s v="sage green"/>
    <s v="Sage Green"/>
    <s v="3-6M(Short Sleeve)"/>
    <s v="United Kingdom"/>
    <s v="Romper Short"/>
    <n v="5"/>
    <n v="22"/>
    <s v="MothersDay"/>
    <s v="3-6"/>
    <x v="24"/>
    <m/>
  </r>
  <r>
    <d v="2026-05-29T00:00:00"/>
    <s v="https://www.etsy.com/listing/4508230429/nap-milk-lift-repeat-embroidered-baby?transaction_id=5083079720"/>
    <s v="dusty pink"/>
    <s v="Dusty Pink"/>
    <s v="6-12M(Long Sleeve)"/>
    <s v="United States"/>
    <s v="Romper Longer"/>
    <n v="5"/>
    <n v="22"/>
    <s v="MothersDay"/>
    <s v="6-12"/>
    <x v="51"/>
    <m/>
  </r>
  <r>
    <d v="2026-05-29T00:00:00"/>
    <s v="https://www.etsy.com/listing/4480604492/new-to-the-club-tennis-baby-romper?transaction_id=5083674476"/>
    <s v="cream"/>
    <s v="Cream"/>
    <s v="3-6M(Short Sleeve)"/>
    <s v="United States"/>
    <s v="Romper Short"/>
    <n v="5"/>
    <n v="22"/>
    <s v="MothersDay"/>
    <s v="3-6"/>
    <x v="0"/>
    <m/>
  </r>
  <r>
    <d v="2026-06-01T00:00:00"/>
    <s v="https://www.etsy.com/listing/4488820349/little-muggle-baby-romper-funny-baby?transaction_id=5084934502"/>
    <s v="dusty pink"/>
    <s v="Dusty Pink"/>
    <s v="12-18M(Short Sleeve)"/>
    <s v="United States"/>
    <s v="Romper Short"/>
    <n v="6"/>
    <n v="23"/>
    <s v="FathersDay"/>
    <s v="12-18"/>
    <x v="44"/>
    <m/>
  </r>
  <r>
    <d v="2026-06-01T00:00:00"/>
    <s v="https://www.etsy.com/listing/4513106219/new-to-the-crew-embroidered-romper?transaction_id=5096916007"/>
    <s v="cream"/>
    <s v="Cream"/>
    <s v="0-3M(Long Sleeve)"/>
    <s v="Australia"/>
    <s v="Romper Longer"/>
    <n v="6"/>
    <n v="23"/>
    <s v="FathersDay"/>
    <s v="0-3"/>
    <x v="2"/>
    <m/>
  </r>
  <r>
    <d v="2026-06-01T00:00:00"/>
    <s v="https://www.etsy.com/listing/4512152650/custom-pet-photo-embroidered-romper?transaction_id=5085601432"/>
    <s v="dusty pink"/>
    <s v="Dusty Pink"/>
    <s v="6-12M(Long Sleeve)"/>
    <s v="Germany"/>
    <s v="Romper Longer"/>
    <n v="6"/>
    <n v="23"/>
    <s v="FathersDay"/>
    <s v="6-12"/>
    <x v="51"/>
    <m/>
  </r>
  <r>
    <d v="2026-06-01T00:00:00"/>
    <s v="https://www.etsy.com/listing/4513575160/i-love-you-from-my-head-to-ma-toes?transaction_id=5086499618"/>
    <s v="cream"/>
    <s v="Cream"/>
    <s v="3-6M(Long Sleeve)"/>
    <s v="United Kingdom"/>
    <s v="Romper Longer"/>
    <n v="6"/>
    <n v="23"/>
    <s v="FathersDay"/>
    <s v="3-6"/>
    <x v="1"/>
    <m/>
  </r>
  <r>
    <d v="2026-06-01T00:00:00"/>
    <s v="https://www.etsy.com/listing/4512152650/custom-pet-photo-embroidered-romper?transaction_id=5086862588"/>
    <s v="caldet blue"/>
    <s v="Caldet Blue"/>
    <s v="3-6M(Long Sleeve)"/>
    <s v="United States"/>
    <s v="Romper Longer"/>
    <n v="6"/>
    <n v="23"/>
    <s v="FathersDay"/>
    <s v="3-6"/>
    <x v="23"/>
    <m/>
  </r>
  <r>
    <d v="2026-06-02T00:00:00"/>
    <s v="https://www.etsy.com/listing/4508232934/daddys-tennis-partner-embroidered-baby?transaction_id=5087078406"/>
    <s v="white"/>
    <s v="White"/>
    <s v="3-6M(Short Sleeve)"/>
    <s v="France"/>
    <s v="Romper Short"/>
    <n v="6"/>
    <n v="23"/>
    <s v="FathersDay"/>
    <s v="3-6"/>
    <x v="69"/>
    <m/>
  </r>
  <r>
    <d v="2026-06-02T00:00:00"/>
    <s v="https://www.etsy.com/listing/4512152650/custom-pet-photo-embroidered-romper?transaction_id=5087403632"/>
    <s v="caldet blue"/>
    <s v="Caldet Blue"/>
    <s v="0-3M(Short Sleeve)"/>
    <s v="United States"/>
    <s v="Romper Short"/>
    <n v="6"/>
    <n v="23"/>
    <s v="FathersDay"/>
    <s v="0-3"/>
    <x v="38"/>
    <m/>
  </r>
  <r>
    <d v="2026-06-02T00:00:00"/>
    <s v="https://www.etsy.com/listing/4512154554/custom-dog-photo-embroidered-romper?transaction_id=5087403630"/>
    <s v="cream"/>
    <s v="Cream"/>
    <s v="0-3M(Short Sleeve)"/>
    <m/>
    <s v="Romper Short"/>
    <n v="6"/>
    <n v="23"/>
    <s v="FathersDay"/>
    <s v="0-3"/>
    <x v="15"/>
    <m/>
  </r>
  <r>
    <d v="2026-06-02T00:00:00"/>
    <s v="https://www.etsy.com/listing/4513106219/new-to-the-crew-embroidered-romper?transaction_id=5087488262"/>
    <s v="cream"/>
    <s v="Cream"/>
    <s v="0-3M(Long Sleeve)"/>
    <s v="United States"/>
    <s v="Romper Longer"/>
    <n v="6"/>
    <n v="23"/>
    <s v="FathersDay"/>
    <s v="0-3"/>
    <x v="2"/>
    <m/>
  </r>
  <r>
    <d v="2026-06-02T00:00:00"/>
    <s v="https://www.etsy.com/listing/4512150138/custom-name-4th-of-july-embroidered?transaction_id=5098744079"/>
    <s v="white"/>
    <s v="White"/>
    <s v="18-24M(Short Sleeve)"/>
    <s v="United States"/>
    <s v="Romper Short"/>
    <n v="6"/>
    <n v="23"/>
    <s v="FathersDay"/>
    <s v="18-24"/>
    <x v="43"/>
    <m/>
  </r>
  <r>
    <d v="2026-06-02T00:00:00"/>
    <s v="https://www.etsy.com/listing/4513581555/first-edition-published-2026-embroidered?transaction_id=5098905567"/>
    <s v="sage green"/>
    <s v="Sage Green"/>
    <s v="0-3M(Long Sleeve)"/>
    <s v="United States"/>
    <s v="Romper Longer"/>
    <n v="6"/>
    <n v="23"/>
    <s v="FathersDay"/>
    <s v="0-3"/>
    <x v="5"/>
    <m/>
  </r>
  <r>
    <d v="2026-06-02T00:00:00"/>
    <s v="https://www.etsy.com/listing/4468924347/daddys-basketball-buddy-embroidered-baby?transaction_id=5098914959"/>
    <s v="cream"/>
    <s v="Cream"/>
    <s v="3-6M(Long Sleeve)"/>
    <s v="United States"/>
    <s v="Romper Longer"/>
    <n v="6"/>
    <n v="23"/>
    <s v="FathersDay"/>
    <s v="3-6"/>
    <x v="1"/>
    <m/>
  </r>
  <r>
    <d v="2026-06-02T00:00:00"/>
    <s v="https://www.etsy.com/listing/4512678167/custom-golf-baby-embroidered-romper?transaction_id=5088215722"/>
    <s v="sage green"/>
    <s v="Sage Green"/>
    <s v="12-18M(Long Sleeve)"/>
    <s v="United States"/>
    <s v="Romper Longer"/>
    <n v="6"/>
    <n v="23"/>
    <s v="FathersDay"/>
    <s v="12-18"/>
    <x v="22"/>
    <m/>
  </r>
  <r>
    <d v="2026-06-03T00:00:00"/>
    <s v="https://www.etsy.com/listing/4461649232/daddys-co-captain-baby-romper-nautical?transaction_id=5099856555"/>
    <s v="dusty pink"/>
    <s v="Dusty Pink"/>
    <s v="3-6M(Short Sleeve)"/>
    <s v="United States"/>
    <s v="Romper Short"/>
    <n v="6"/>
    <n v="23"/>
    <s v="FathersDay"/>
    <s v="3-6"/>
    <x v="31"/>
    <m/>
  </r>
  <r>
    <d v="2026-06-03T00:00:00"/>
    <s v="https://www.etsy.com/listing/4513575160/i-love-you-from-my-head-to-ma-toes?transaction_id=5100151551"/>
    <s v="cream"/>
    <s v="Cream"/>
    <s v="6-12M(Long Sleeve)"/>
    <s v="United States"/>
    <s v="Romper Longer"/>
    <n v="6"/>
    <n v="23"/>
    <s v="FathersDay"/>
    <s v="6-12"/>
    <x v="17"/>
    <m/>
  </r>
  <r>
    <d v="2026-06-03T00:00:00"/>
    <s v="https://www.etsy.com/listing/4485588168/new-to-the-club-baby-romper-golf-baby?transaction_id=5100734733"/>
    <s v="white"/>
    <s v="White"/>
    <s v="3-6M(Long Sleeve)"/>
    <s v="Germany"/>
    <s v="Romper Longer"/>
    <n v="6"/>
    <n v="23"/>
    <s v="FathersDay"/>
    <s v="3-6"/>
    <x v="70"/>
    <m/>
  </r>
  <r>
    <d v="2026-06-03T00:00:00"/>
    <s v="https://www.etsy.com/listing/4512154554/custom-dog-photo-embroidered-romper?transaction_id=5089854282"/>
    <s v="sage green"/>
    <s v="Sage Green"/>
    <s v="0-3M(Long Sleeve)"/>
    <s v="United States"/>
    <s v="Romper Longer"/>
    <n v="6"/>
    <n v="23"/>
    <s v="FathersDay"/>
    <s v="0-3"/>
    <x v="5"/>
    <m/>
  </r>
  <r>
    <d v="2026-06-03T00:00:00"/>
    <s v="https://www.etsy.com/listing/4513589331/daddys-little-gaming-buddy-embroidered?transaction_id=5090065934"/>
    <s v="mauve taupe"/>
    <s v="Mauve Taupe"/>
    <s v="6-12M(Short Sleeve)"/>
    <s v="United States"/>
    <s v="Romper Short"/>
    <n v="6"/>
    <n v="23"/>
    <s v="FathersDay"/>
    <s v="6-12"/>
    <x v="98"/>
    <m/>
  </r>
  <r>
    <d v="2026-06-03T00:00:00"/>
    <s v="https://www.etsy.com/listing/4512678167/custom-golf-baby-embroidered-romper?transaction_id=5090583480"/>
    <s v="white"/>
    <s v="White"/>
    <s v="6-12M(Short Sleeve)"/>
    <s v="United States"/>
    <s v="Romper Short"/>
    <n v="6"/>
    <n v="23"/>
    <s v="FathersDay"/>
    <s v="6-12"/>
    <x v="42"/>
    <m/>
  </r>
  <r>
    <d v="2026-06-03T00:00:00"/>
    <s v="https://www.etsy.com/listing/4512154554/custom-dog-photo-embroidered-romper?transaction_id=5090625938"/>
    <s v="sage green"/>
    <s v="Sage Green"/>
    <s v="0-3M(Long Sleeve)"/>
    <s v="United States"/>
    <s v="Romper Longer"/>
    <n v="6"/>
    <n v="23"/>
    <s v="FathersDay"/>
    <s v="0-3"/>
    <x v="5"/>
    <m/>
  </r>
  <r>
    <d v="2026-06-04T00:00:00"/>
    <s v="https://www.etsy.com/listing/4512484234/little-shredder-club-embroidered-baby?transaction_id=5091366086"/>
    <s v=" forest green"/>
    <s v=" Forest Green"/>
    <s v="0-3M(Long Sleeve)"/>
    <s v="United States"/>
    <s v="Romper Longer"/>
    <n v="6"/>
    <n v="23"/>
    <s v="FathersDay"/>
    <s v="0-3"/>
    <x v="41"/>
    <m/>
  </r>
  <r>
    <d v="2026-06-04T00:00:00"/>
    <s v="https://www.etsy.com/listing/4512060972/custom-photo-embroidered-romper?transaction_id=5102728827"/>
    <s v="coffee"/>
    <s v="Coffee"/>
    <s v="12-18M(Short Sleeve)"/>
    <s v="France"/>
    <s v="Romper Short"/>
    <n v="6"/>
    <n v="23"/>
    <s v="FathersDay"/>
    <s v="12-18"/>
    <x v="97"/>
    <m/>
  </r>
  <r>
    <d v="2026-06-04T00:00:00"/>
    <s v="https://www.etsy.com/listing/4513585456/mommys-reading-buddy-embroidered-baby?transaction_id=5102739747"/>
    <s v="coffee"/>
    <s v="Coffee"/>
    <s v="3-6M(Long Sleeve)"/>
    <s v="United States"/>
    <s v="Romper Longer"/>
    <n v="6"/>
    <n v="23"/>
    <s v="FathersDay"/>
    <s v="3-6"/>
    <x v="12"/>
    <m/>
  </r>
  <r>
    <d v="2026-06-04T00:00:00"/>
    <s v="https://www.etsy.com/listing/4512060972/custom-photo-embroidered-romper?transaction_id=5092192290"/>
    <s v="cream"/>
    <s v="Cream"/>
    <s v="0-3M(Short Sleeve)"/>
    <s v="United States"/>
    <s v="Romper Short"/>
    <n v="6"/>
    <n v="23"/>
    <s v="FathersDay"/>
    <s v="0-3"/>
    <x v="15"/>
    <m/>
  </r>
  <r>
    <d v="2026-06-05T00:00:00"/>
    <s v="https://www.etsy.com/listing/4490501214/little-cycling-club-baby-romper-bicycle?transaction_id=5092609604"/>
    <s v="cream"/>
    <s v="Cream"/>
    <s v="0-3M(Short Sleeve)"/>
    <s v="United States"/>
    <s v="Romper Short"/>
    <n v="6"/>
    <n v="23"/>
    <s v="FathersDay"/>
    <s v="0-3"/>
    <x v="15"/>
    <m/>
  </r>
  <r>
    <d v="2026-06-05T00:00:00"/>
    <s v="https://www.etsy.com/listing/4513108125/new-to-the-hunting-crew-embroidered?transaction_id=5092822608"/>
    <s v="forest green"/>
    <s v="Forest Green"/>
    <s v="3-6M(Short Sleeve)"/>
    <s v="United States"/>
    <s v="Romper Short"/>
    <n v="6"/>
    <n v="23"/>
    <s v="FathersDay"/>
    <s v="3-6"/>
    <x v="6"/>
    <m/>
  </r>
  <r>
    <d v="2026-06-05T00:00:00"/>
    <s v="https://www.etsy.com/listing/4489486323/daddys-running-buddy-baby-romper-funny?transaction_id=5103663819"/>
    <s v="white"/>
    <s v="White"/>
    <s v="0-3M(Short Sleeve)"/>
    <s v="United States"/>
    <s v="Romper Short"/>
    <n v="6"/>
    <n v="23"/>
    <s v="FathersDay"/>
    <s v="0-3"/>
    <x v="21"/>
    <m/>
  </r>
  <r>
    <d v="2026-06-06T00:00:00"/>
    <s v="https://www.etsy.com/listing/4512145264/custom-dog-photo-embroidered-romper?transaction_id=5104290691"/>
    <s v="sage green"/>
    <s v="Sage Green"/>
    <s v="3-6M(Short Sleeve)"/>
    <s v="Australia"/>
    <s v="Romper Short"/>
    <n v="6"/>
    <n v="23"/>
    <s v="FathersDay"/>
    <s v="3-6"/>
    <x v="24"/>
    <m/>
  </r>
  <r>
    <d v="2026-06-06T00:00:00"/>
    <s v="https://www.etsy.com/listing/4514971670/daddys-copilot-baby-romper-pilot-baby?transaction_id=5104645899"/>
    <s v="white"/>
    <s v="White"/>
    <s v="0-3M(Short Sleeve)"/>
    <s v="United States"/>
    <s v="Romper Short"/>
    <n v="6"/>
    <n v="23"/>
    <s v="FathersDay"/>
    <s v="0-3"/>
    <x v="21"/>
    <m/>
  </r>
  <r>
    <d v="2026-06-06T00:00:00"/>
    <s v="https://www.etsy.com/listing/4513104471/new-to-the-fishing-crew-embroidered?transaction_id=5104645897"/>
    <s v="cream"/>
    <s v="Cream"/>
    <s v="3-6M(Short Sleeve)"/>
    <m/>
    <s v="Romper Short"/>
    <n v="6"/>
    <n v="23"/>
    <s v="FathersDay"/>
    <s v="3-6"/>
    <x v="0"/>
    <m/>
  </r>
  <r>
    <d v="2026-06-06T00:00:00"/>
    <s v="https://www.etsy.com/listing/4514972016/daddys-copilot-baby-romper-airplane?transaction_id=5094042168"/>
    <s v="white"/>
    <s v="White"/>
    <s v="3-6M(Long Sleeve"/>
    <m/>
    <s v="Romper Longer"/>
    <n v="6"/>
    <n v="23"/>
    <s v="FathersDay"/>
    <s v="3-6"/>
    <x v="70"/>
    <m/>
  </r>
  <r>
    <d v="2026-06-07T00:00:00"/>
    <s v="https://www.etsy.com/listing/4514972016/daddys-copilot-baby-romper-airplane?transaction_id=5105965591"/>
    <s v="cream"/>
    <s v="Cream"/>
    <s v="12-18M(Long Sleeve)"/>
    <s v="United States"/>
    <s v="Romper Longer"/>
    <n v="6"/>
    <n v="24"/>
    <s v="FathersDay"/>
    <s v="12-18"/>
    <x v="53"/>
    <m/>
  </r>
  <r>
    <d v="2026-06-07T00:00:00"/>
    <s v="https://www.etsy.com/listing/4516827753/new-to-the-hive-baby-bodysuit-bee-baby?transaction_id=5096011416"/>
    <s v="white"/>
    <s v="White"/>
    <s v="0-3M(Short Sleeve)"/>
    <s v="United States"/>
    <s v="Romper Short"/>
    <n v="6"/>
    <n v="24"/>
    <s v="FathersDay"/>
    <s v="0-3"/>
    <x v="21"/>
    <m/>
  </r>
  <r>
    <d v="2026-06-07T00:00:00"/>
    <s v="https://www.etsy.com/listing/4513100217/my-kind-of-formula-embroidered-romper?transaction_id=5106387293"/>
    <s v="dusty pink"/>
    <s v="Dusty Pink"/>
    <s v="0-3M(Short Sleeve)"/>
    <s v="United States"/>
    <s v="Romper Short"/>
    <n v="6"/>
    <n v="24"/>
    <s v="FathersDay"/>
    <s v="0-3"/>
    <x v="34"/>
    <m/>
  </r>
  <r>
    <d v="2026-06-08T00:00:00"/>
    <s v="https://www.etsy.com/listing/4516843071/cutest-by-par-baby-bodysuit-golf-baby?transaction_id=5106666007"/>
    <s v="white"/>
    <s v="White"/>
    <s v="6-12M(Short Sleeve)"/>
    <s v="United Kingdom"/>
    <s v="Romper Short"/>
    <n v="6"/>
    <n v="24"/>
    <s v="FathersDay"/>
    <s v="6-12"/>
    <x v="42"/>
    <m/>
  </r>
  <r>
    <d v="2026-06-08T00:00:00"/>
    <s v="https://www.etsy.com/listing/4511393612/tiny-tee-time-club-romper-golf-baby?transaction_id=5106666005"/>
    <s v="white"/>
    <s v="White"/>
    <s v="3-6M(Long Sleeve)"/>
    <m/>
    <s v="Romper Longer"/>
    <n v="6"/>
    <n v="24"/>
    <s v="FathersDay"/>
    <s v="3-6"/>
    <x v="70"/>
    <m/>
  </r>
  <r>
    <d v="2026-06-08T00:00:00"/>
    <s v="https://www.etsy.com/listing/4512152650/custom-pet-photo-embroidered-romper?transaction_id=5096564610"/>
    <s v="forest green"/>
    <s v="Forest Green"/>
    <s v="0-3M(Long Sleeve)"/>
    <s v="Germany"/>
    <s v="Romper Longer"/>
    <n v="6"/>
    <n v="24"/>
    <s v="FathersDay"/>
    <s v="0-3"/>
    <x v="41"/>
    <m/>
  </r>
  <r>
    <d v="2026-06-08T00:00:00"/>
    <s v="https://www.etsy.com/listing/4513585456/mommys-reading-buddy-embroidered-baby?transaction_id=5096813896"/>
    <s v="cream"/>
    <s v="Cream"/>
    <s v="0-3M(Long Sleeve)"/>
    <s v="United States"/>
    <s v="Romper Longer"/>
    <n v="6"/>
    <n v="24"/>
    <s v="FathersDay"/>
    <s v="0-3"/>
    <x v="2"/>
    <m/>
  </r>
  <r>
    <d v="2026-06-08T00:00:00"/>
    <s v="https://www.etsy.com/listing/4513575160/i-love-you-from-my-head-to-ma-toes?transaction_id=5097034812"/>
    <s v="cream"/>
    <s v="Cream"/>
    <s v="6-12M(Short Sleeve)"/>
    <s v="United States"/>
    <s v="Romper Short"/>
    <n v="6"/>
    <n v="24"/>
    <s v="FathersDay"/>
    <s v="6-12"/>
    <x v="47"/>
    <m/>
  </r>
  <r>
    <d v="2026-06-08T00:00:00"/>
    <s v="https://www.etsy.com/listing/4513100217/my-kind-of-formula-embroidered-romper?transaction_id=5107503845"/>
    <s v="cream"/>
    <s v="Cream"/>
    <s v="3-6M(Long Sleeve)"/>
    <s v="Canada"/>
    <s v="Romper Longer"/>
    <n v="6"/>
    <n v="24"/>
    <s v="FathersDay"/>
    <s v="3-6"/>
    <x v="1"/>
    <m/>
  </r>
  <r>
    <d v="2026-06-08T00:00:00"/>
    <s v="https://www.etsy.com/listing/4512484234/little-shredder-club-embroidered-baby?transaction_id=5097562804"/>
    <s v="dusty pink"/>
    <s v="Dusty Pink"/>
    <s v="3-6M(Short Sleeve)"/>
    <s v="United States"/>
    <s v="Romper Short"/>
    <n v="6"/>
    <n v="24"/>
    <s v="FathersDay"/>
    <s v="3-6"/>
    <x v="31"/>
    <m/>
  </r>
  <r>
    <d v="2026-06-09T00:00:00"/>
    <s v="https://www.etsy.com/listing/4513572207/spicy-like-my-mama-embroidered-baby?transaction_id=5107755925"/>
    <s v="cream"/>
    <s v="Cream"/>
    <s v="12-18M(Short Sleeve)"/>
    <s v="United Kingdom"/>
    <s v="Romper Short"/>
    <n v="6"/>
    <n v="24"/>
    <s v="FathersDay"/>
    <s v="12-18"/>
    <x v="26"/>
    <m/>
  </r>
  <r>
    <d v="2026-06-09T00:00:00"/>
    <s v="https://www.etsy.com/listing/4513585456/mommys-reading-buddy-embroidered-baby?transaction_id=5097769070"/>
    <s v="cream"/>
    <s v="Cream"/>
    <s v="0-3M(Short Sleeve)"/>
    <s v="Germany"/>
    <s v="Romper Short"/>
    <n v="6"/>
    <n v="24"/>
    <s v="FathersDay"/>
    <s v="0-3"/>
    <x v="15"/>
    <m/>
  </r>
  <r>
    <d v="2026-06-09T00:00:00"/>
    <s v="https://www.etsy.com/listing/4513104471/new-to-the-fishing-crew-embroidered?transaction_id=5107885381"/>
    <s v="white"/>
    <s v="White"/>
    <s v="0-3M(Short Sleeve)"/>
    <s v="Austria"/>
    <s v="Romper Short"/>
    <n v="6"/>
    <n v="24"/>
    <s v="FathersDay"/>
    <s v="0-3"/>
    <x v="21"/>
    <m/>
  </r>
  <r>
    <d v="2026-06-09T00:00:00"/>
    <s v="https://www.etsy.com/listing/4513104471/new-to-the-fishing-crew-embroidered?transaction_id=5107901427"/>
    <s v="cream"/>
    <s v="Cream"/>
    <s v="0-3M(Short Sleeve)"/>
    <s v="United States"/>
    <s v="Romper Short"/>
    <n v="6"/>
    <n v="24"/>
    <s v="FathersDay"/>
    <s v="0-3"/>
    <x v="15"/>
    <m/>
  </r>
  <r>
    <d v="2026-06-09T00:00:00"/>
    <s v="https://www.etsy.com/listing/4511393323/the-littlest-soccer-fan-romper-soccer?transaction_id=5097878500"/>
    <s v="dusty pink"/>
    <s v="Dusty Pink"/>
    <s v="0-3M(Short Sleeve)"/>
    <s v="United States"/>
    <s v="Romper Short"/>
    <n v="6"/>
    <n v="24"/>
    <s v="FathersDay"/>
    <s v="0-3"/>
    <x v="34"/>
    <m/>
  </r>
  <r>
    <d v="2026-06-09T00:00:00"/>
    <s v="https://www.etsy.com/listing/4512152650/custom-pet-photo-embroidered-romper?transaction_id=5098027806"/>
    <s v="sage green"/>
    <s v="Sage Green"/>
    <s v="3-6M(Long Sleeve)"/>
    <s v="United States"/>
    <s v="Romper Longer"/>
    <n v="6"/>
    <n v="24"/>
    <s v="FathersDay"/>
    <s v="3-6"/>
    <x v="7"/>
    <m/>
  </r>
  <r>
    <d v="2026-06-09T00:00:00"/>
    <s v="https://www.etsy.com/listing/4513104471/new-to-the-fishing-crew-embroidered?transaction_id=5108532299"/>
    <s v="cream"/>
    <s v="Cream"/>
    <s v="3-6M(Long Sleeve)"/>
    <s v="United States"/>
    <s v="Romper Longer"/>
    <n v="6"/>
    <n v="24"/>
    <s v="FathersDay"/>
    <s v="3-6"/>
    <x v="1"/>
    <m/>
  </r>
  <r>
    <d v="2026-06-09T00:00:00"/>
    <s v="https://www.etsy.com/listing/4513575160/i-love-you-from-my-head-to-ma-toes?transaction_id=5098593642"/>
    <s v="cream"/>
    <s v="Cream"/>
    <s v="3-6M(Short Sleeve)"/>
    <s v="United States"/>
    <s v="Romper Short"/>
    <n v="6"/>
    <n v="24"/>
    <s v="FathersDay"/>
    <s v="3-6"/>
    <x v="0"/>
    <m/>
  </r>
  <r>
    <d v="2026-06-10T00:00:00"/>
    <s v="https://www.etsy.com/listing/4515499602/little-cannoli-embroidered-baby-romper?transaction_id=5109454067"/>
    <s v="cream"/>
    <s v="Cream"/>
    <s v="0-3M(Short Sleeve)"/>
    <s v="Switzerland"/>
    <s v="Romper Short"/>
    <n v="6"/>
    <n v="24"/>
    <s v="FathersDay"/>
    <s v="0-3"/>
    <x v="15"/>
    <m/>
  </r>
  <r>
    <d v="2026-06-10T00:00:00"/>
    <s v="https://www.etsy.com/listing/4470575759/future-soccer-star-baby-romper-soccer?transaction_id=5109468183"/>
    <s v="sage green"/>
    <s v="Sage Green"/>
    <s v="3-6M(Long Sleeve)"/>
    <s v="United States"/>
    <s v="Romper Longer"/>
    <n v="6"/>
    <n v="24"/>
    <s v="FathersDay"/>
    <s v="3-6"/>
    <x v="7"/>
    <m/>
  </r>
  <r>
    <d v="2026-06-10T00:00:00"/>
    <s v="https://www.etsy.com/listing/4512152650/custom-pet-photo-embroidered-romper?transaction_id=5099652396"/>
    <s v="sage green"/>
    <s v="Sage Green"/>
    <s v="0-3M(Long Sleeve)"/>
    <s v="United States"/>
    <s v="Romper Longer"/>
    <n v="6"/>
    <n v="24"/>
    <s v="FathersDay"/>
    <s v="0-3"/>
    <x v="5"/>
    <m/>
  </r>
  <r>
    <d v="2026-06-10T00:00:00"/>
    <s v="https://www.etsy.com/listing/4512152650/custom-pet-photo-embroidered-romper?transaction_id=5099652396"/>
    <s v="cream"/>
    <s v="Cream"/>
    <s v="0-3M(Long Sleeve)"/>
    <m/>
    <s v="Romper Longer"/>
    <n v="6"/>
    <n v="24"/>
    <s v="FathersDay"/>
    <s v="0-3"/>
    <x v="2"/>
    <m/>
  </r>
  <r>
    <d v="2026-06-10T00:00:00"/>
    <s v="https://www.etsy.com/listing/4513106219/new-to-the-crew-embroidered-romper?transaction_id=5109898553"/>
    <s v="cream"/>
    <s v="Cream"/>
    <s v="6-12M(Long Sleeve)"/>
    <s v="United States"/>
    <s v="Romper Longer"/>
    <n v="6"/>
    <n v="24"/>
    <s v="FathersDay"/>
    <s v="6-12"/>
    <x v="17"/>
    <m/>
  </r>
  <r>
    <d v="2026-06-10T00:00:00"/>
    <s v="https://www.etsy.com/listing/4513104471/new-to-the-fishing-crew-embroidered?transaction_id=5100180204"/>
    <s v="sage green"/>
    <s v="Sage Green"/>
    <s v="0-3M(Long Sleeve)"/>
    <s v="United States"/>
    <s v="Romper Longer"/>
    <n v="6"/>
    <n v="24"/>
    <s v="FathersDay"/>
    <s v="0-3"/>
    <x v="5"/>
    <m/>
  </r>
  <r>
    <d v="2026-06-11T00:00:00"/>
    <s v="https://www.etsy.com/listing/4490501214/little-cycling-club-baby-romper-bicycle?transaction_id=5110118139"/>
    <s v="white"/>
    <s v="White"/>
    <s v="3-6M(Short Sleeve)"/>
    <s v="Germany"/>
    <s v="Romper Short"/>
    <n v="6"/>
    <n v="24"/>
    <s v="FathersDay"/>
    <s v="3-6"/>
    <x v="69"/>
    <m/>
  </r>
  <r>
    <d v="2026-06-11T00:00:00"/>
    <s v="https://www.etsy.com/listing/4513598780/born-to-ride-with-my-daddy-embroidered?transaction_id=5110204375"/>
    <s v="white"/>
    <s v="White"/>
    <s v="6-12M(Long Sleeve)"/>
    <s v="Germany"/>
    <s v="Romper Longer"/>
    <n v="6"/>
    <n v="24"/>
    <s v="FathersDay"/>
    <s v="6-12"/>
    <x v="46"/>
    <m/>
  </r>
  <r>
    <d v="2026-06-11T00:00:00"/>
    <s v="https://www.etsy.com/listing/4513578484/small-fry-embroidered-baby-bodysuit?transaction_id=5110225427"/>
    <s v="cream"/>
    <s v="Cream"/>
    <s v="0-3M(Short Sleeve)"/>
    <s v="Canada"/>
    <s v="Romper Short"/>
    <n v="6"/>
    <n v="24"/>
    <s v="FathersDay"/>
    <s v="0-3"/>
    <x v="15"/>
    <m/>
  </r>
  <r>
    <d v="2026-06-11T00:00:00"/>
    <s v="https://www.etsy.com/listing/4513104471/new-to-the-fishing-crew-embroidered?transaction_id=5100610714"/>
    <s v="cream"/>
    <s v="Cream"/>
    <s v="0-3M(Short Sleeve)"/>
    <s v="United States"/>
    <s v="Romper Short"/>
    <n v="6"/>
    <n v="24"/>
    <s v="FathersDay"/>
    <s v="0-3"/>
    <x v="15"/>
    <m/>
  </r>
  <r>
    <d v="2026-06-11T00:00:00"/>
    <s v="https://www.etsy.com/listing/4516843071/cutest-by-par-baby-bodysuit-golf-baby?transaction_id=5100855854"/>
    <s v="salmon"/>
    <s v="Salmon"/>
    <s v="3-6M(Short Sleeve)"/>
    <s v="Canada"/>
    <s v="Romper Short"/>
    <n v="6"/>
    <n v="24"/>
    <s v="FathersDay"/>
    <s v="3-6"/>
    <x v="50"/>
    <m/>
  </r>
  <r>
    <d v="2026-06-11T00:00:00"/>
    <s v="https://www.etsy.com/listing/4515617121/the-littlest-book-club-member?transaction_id=5101181150"/>
    <s v="dusty pink"/>
    <s v="Dusty Pink"/>
    <s v="3-6M(Long Sleeve)"/>
    <s v="United States"/>
    <s v="Romper Longer"/>
    <n v="6"/>
    <n v="24"/>
    <s v="FathersDay"/>
    <s v="3-6"/>
    <x v="8"/>
    <m/>
  </r>
  <r>
    <d v="2026-06-11T00:00:00"/>
    <s v="https://www.etsy.com/listing/4444097981/daddys-tiny-striker-baby-romper-soccer?transaction_id=5101207676"/>
    <s v="white"/>
    <s v="White"/>
    <s v="3-6M(Long Sleeve)"/>
    <s v="United States"/>
    <s v="Romper Longer"/>
    <n v="6"/>
    <n v="24"/>
    <s v="FathersDay"/>
    <s v="3-6"/>
    <x v="70"/>
    <m/>
  </r>
  <r>
    <d v="2026-06-11T00:00:00"/>
    <s v="https://www.etsy.com/listing/4472714633/dont-mess-with-me-my-dad-is-a-biker-baby?transaction_id=5110960965"/>
    <s v="dusty pink"/>
    <s v="Dusty Pink"/>
    <s v="3-6M(Long Sleeve)"/>
    <s v="Poland"/>
    <s v="Romper Longer"/>
    <n v="6"/>
    <n v="24"/>
    <s v="FathersDay"/>
    <s v="3-6"/>
    <x v="8"/>
    <m/>
  </r>
  <r>
    <d v="2026-06-11T00:00:00"/>
    <s v="https://www.etsy.com/listing/4513018518/little-road-warrior-baby-romper?transaction_id=5101232876"/>
    <s v="dusty pink"/>
    <s v="Dusty Pink"/>
    <s v="6-12M(Long Sleeve)"/>
    <m/>
    <s v="Romper Longer"/>
    <n v="6"/>
    <n v="24"/>
    <s v="FathersDay"/>
    <s v="6-12"/>
    <x v="51"/>
    <m/>
  </r>
  <r>
    <d v="2026-06-11T00:00:00"/>
    <s v="https://www.etsy.com/listing/4512152650/custom-pet-photo-embroidered-romper?transaction_id=5111024987"/>
    <s v="dusty pink"/>
    <s v="Dusty Pink"/>
    <s v="6-12M(Long Sleeve)"/>
    <s v="United States"/>
    <s v="Romper Longer"/>
    <n v="6"/>
    <n v="24"/>
    <s v="FathersDay"/>
    <s v="6-12"/>
    <x v="51"/>
    <m/>
  </r>
  <r>
    <d v="2026-06-11T00:00:00"/>
    <s v="https://www.etsy.com/listing/4513578484/small-fry-embroidered-baby-bodysuit?transaction_id=5111062631"/>
    <s v="white"/>
    <s v="White"/>
    <s v="6-12M(Short Sleeve)"/>
    <s v="United States"/>
    <s v="Romper Short"/>
    <n v="6"/>
    <n v="24"/>
    <s v="FathersDay"/>
    <s v="6-12"/>
    <x v="42"/>
    <m/>
  </r>
  <r>
    <d v="2026-06-11T00:00:00"/>
    <s v="https://www.etsy.com/listing/4516286907/newest-workout-buddy-embroidered-baby?transaction_id=5111069453"/>
    <s v="cream"/>
    <s v="Cream"/>
    <s v="0-3M(Short Sleeve)"/>
    <s v="United States"/>
    <s v="Romper Short"/>
    <n v="6"/>
    <n v="24"/>
    <s v="FathersDay"/>
    <s v="0-3"/>
    <x v="15"/>
    <m/>
  </r>
  <r>
    <d v="2026-06-11T00:00:00"/>
    <s v="https://www.etsy.com/listing/4518304165/the-best-miracles-take-a-little-time?transaction_id=5111161923"/>
    <s v="cream"/>
    <s v="Cream"/>
    <s v="0-3M(Long Sleeve)"/>
    <s v="United States"/>
    <s v="Romper Longer"/>
    <n v="6"/>
    <n v="24"/>
    <s v="FathersDay"/>
    <s v="0-3"/>
    <x v="2"/>
    <m/>
  </r>
  <r>
    <d v="2026-06-12T00:00:00"/>
    <s v="https://www.etsy.com/listing/4520537503/custom-baby-romper-personalized?transaction_id=5101635550"/>
    <s v="cream"/>
    <s v="Cream"/>
    <s v="12-18M(Long Sleeve)"/>
    <s v="Canada"/>
    <s v="Romper Longer"/>
    <n v="6"/>
    <n v="24"/>
    <s v="FathersDay"/>
    <s v="12-18"/>
    <x v="53"/>
    <m/>
  </r>
  <r>
    <d v="2026-06-12T00:00:00"/>
    <s v="https://www.etsy.com/listing/4512152650/custom-pet-photo-embroidered-romper?transaction_id=5101981938"/>
    <s v="sage green"/>
    <s v="Sage Green"/>
    <s v="3-6M(Long Sleeve)"/>
    <s v="United States"/>
    <s v="Romper Longer"/>
    <n v="6"/>
    <n v="24"/>
    <s v="FathersDay"/>
    <s v="3-6"/>
    <x v="7"/>
    <m/>
  </r>
  <r>
    <d v="2026-06-12T00:00:00"/>
    <s v="https://www.etsy.com/listing/4512152650/custom-pet-photo-embroidered-romper?transaction_id=5111674143"/>
    <s v="dusty pink"/>
    <s v="Dusty Pink"/>
    <s v="0-3M(Long Sleeve)"/>
    <s v="United States"/>
    <s v="Romper Longer"/>
    <n v="6"/>
    <n v="24"/>
    <s v="FathersDay"/>
    <s v="0-3"/>
    <x v="45"/>
    <m/>
  </r>
  <r>
    <d v="2026-04-01T00:00:00"/>
    <s v="https://www.etsy.com/listing/4441958494/future-triathlete-embroidered-baby?transaction_id=5012776498"/>
    <s v="Light Blue"/>
    <s v="Light Blue"/>
    <s v="3-6 Months"/>
    <s v="United States"/>
    <s v="Bodysuit"/>
    <n v="4"/>
    <n v="14"/>
    <s v="Easter"/>
    <s v="3-6"/>
    <x v="92"/>
    <m/>
  </r>
  <r>
    <d v="2026-04-02T00:00:00"/>
    <s v="https://www.etsy.com/listing/4395093129/newest-hunting-buddy-baby-bodysuit-duck?transaction_id=5024263783"/>
    <s v="cream"/>
    <s v="Cream"/>
    <s v="0-3 Months"/>
    <s v="United States"/>
    <s v="Bodysuit"/>
    <n v="4"/>
    <n v="14"/>
    <s v="Easter"/>
    <s v="0-3"/>
    <x v="89"/>
    <m/>
  </r>
  <r>
    <d v="2026-04-04T00:00:00"/>
    <s v="https://www.etsy.com/listing/4395649391/clever-little-fox-embroidered-baby?transaction_id=5016483278"/>
    <s v="Light Blue"/>
    <s v="Light Blue"/>
    <s v="3-6 Months"/>
    <s v="United States"/>
    <s v="Bodysuit"/>
    <n v="4"/>
    <n v="14"/>
    <s v="Easter"/>
    <s v="3-6"/>
    <x v="92"/>
    <m/>
  </r>
  <r>
    <d v="2026-04-07T00:00:00"/>
    <s v="https://www.etsy.com/listing/4432405734/sweet-like-honey-embroidered-baby?transaction_id=5029714867"/>
    <s v="cream"/>
    <s v="Cream"/>
    <s v="0-3 Months"/>
    <s v="United States"/>
    <s v="Bodysuit"/>
    <n v="4"/>
    <n v="15"/>
    <s v="Easter"/>
    <s v="0-3"/>
    <x v="89"/>
    <m/>
  </r>
  <r>
    <d v="2026-04-12T00:00:00"/>
    <s v="https://www.etsy.com/listing/4427449114/kinda-a-big-dill-baby-bodysuit-funny?transaction_id=5025876044"/>
    <s v="cream"/>
    <s v="Cream"/>
    <s v="0-3 Months"/>
    <s v="United States"/>
    <s v="Bodysuit"/>
    <n v="4"/>
    <n v="16"/>
    <s v="Easter"/>
    <s v="0-3"/>
    <x v="89"/>
    <m/>
  </r>
  <r>
    <d v="2026-04-13T00:00:00"/>
    <s v="https://www.etsy.com/listing/4441943477/crawl-walk-snowmobile-embroidered-baby?transaction_id=5026575732"/>
    <s v="Light Blue"/>
    <s v="Light Blue"/>
    <s v="3-6 Months"/>
    <s v="United States"/>
    <s v="Bodysuit"/>
    <n v="4"/>
    <n v="16"/>
    <s v="Easter"/>
    <s v="3-6"/>
    <x v="92"/>
    <m/>
  </r>
  <r>
    <d v="2026-04-15T00:00:00"/>
    <s v="https://www.etsy.com/listing/4396677612/daddys-future-lifting-buddy-bodysuit-new?transaction_id=5039488933"/>
    <s v="Light Pink"/>
    <s v="Light Pink"/>
    <s v="3-6 Months"/>
    <s v="Germany"/>
    <s v="Bodysuit"/>
    <n v="4"/>
    <n v="16"/>
    <s v="Easter"/>
    <s v="3-6"/>
    <x v="91"/>
    <m/>
  </r>
  <r>
    <d v="2026-04-15T00:00:00"/>
    <s v="https://www.etsy.com/listing/4418212637/born-to-snap-like-my-daddy-baby-bodysuit?transaction_id=5040017619"/>
    <s v="Light Blue"/>
    <s v="Light Blue"/>
    <s v="3-6 Months"/>
    <s v="United States"/>
    <s v="Bodysuit"/>
    <n v="4"/>
    <n v="16"/>
    <s v="Easter"/>
    <s v="3-6"/>
    <x v="92"/>
    <m/>
  </r>
  <r>
    <d v="2026-04-15T00:00:00"/>
    <s v="https://www.etsy.com/listing/4441940535/special-delivery-embroidered-baby?transaction_id=5029462650"/>
    <s v="cream"/>
    <s v="Cream"/>
    <s v="0-3 Months"/>
    <s v="United States"/>
    <s v="Bodysuit"/>
    <n v="4"/>
    <n v="16"/>
    <s v="Easter"/>
    <s v="0-3"/>
    <x v="89"/>
    <m/>
  </r>
  <r>
    <d v="2026-04-16T00:00:00"/>
    <s v="https://www.etsy.com/listing/4395094410/do-not-kiss-me-if-im-nacho-baby?transaction_id=5041607177"/>
    <s v="cream"/>
    <s v="Cream"/>
    <s v="0-3 Months"/>
    <s v="United States"/>
    <s v="Bodysuit"/>
    <n v="4"/>
    <n v="16"/>
    <s v="Easter"/>
    <s v="0-3"/>
    <x v="89"/>
    <m/>
  </r>
  <r>
    <d v="2026-04-17T00:00:00"/>
    <s v="https://www.etsy.com/listing/4396672241/hand-picked-for-earth-by-my-great?transaction_id=5042328507"/>
    <s v="Light Pink"/>
    <s v="Light Pink"/>
    <s v="0-3 Months"/>
    <s v="United States"/>
    <s v="Bodysuit"/>
    <n v="4"/>
    <n v="16"/>
    <s v="Easter"/>
    <s v="0-3"/>
    <x v="93"/>
    <m/>
  </r>
  <r>
    <d v="2026-04-17T00:00:00"/>
    <s v="https://www.etsy.com/listing/4440285195/i-love-yoga-embroidered-baby-bodysuit?transaction_id=5042667029"/>
    <s v="cream"/>
    <s v="Cream"/>
    <s v="3-6 Months"/>
    <s v="United States"/>
    <s v="Bodysuit"/>
    <n v="4"/>
    <n v="16"/>
    <s v="Easter"/>
    <s v="3-6"/>
    <x v="90"/>
    <m/>
  </r>
  <r>
    <d v="2026-04-20T00:00:00"/>
    <s v="https://www.etsy.com/listing/4395134075/cool-like-my-uncle-embroidered-baby?transaction_id=5047186051"/>
    <s v="Light Pink"/>
    <s v="Light Pink"/>
    <s v="0-3 Months"/>
    <s v="Australia"/>
    <s v="Bodysuit"/>
    <n v="4"/>
    <n v="17"/>
    <s v="Easter"/>
    <s v="0-3"/>
    <x v="93"/>
    <m/>
  </r>
  <r>
    <d v="2026-04-21T00:00:00"/>
    <s v="https://www.etsy.com/listing/4395094410/do-not-kiss-me-if-im-nacho-baby?transaction_id=5035713692"/>
    <s v="Light Pink"/>
    <s v="Light Pink"/>
    <s v="0-3 Months"/>
    <s v="United States"/>
    <s v="Bodysuit"/>
    <n v="4"/>
    <n v="17"/>
    <s v="Easter"/>
    <s v="0-3"/>
    <x v="93"/>
    <m/>
  </r>
  <r>
    <d v="2026-04-21T00:00:00"/>
    <s v="https://www.etsy.com/listing/4395099048/little-sweet-potato-embroidered-baby?transaction_id=5048447129"/>
    <s v="Light Blue"/>
    <s v="Light Blue"/>
    <s v="0-3 Months"/>
    <s v="United States"/>
    <s v="Bodysuit"/>
    <n v="4"/>
    <n v="17"/>
    <s v="Easter"/>
    <s v="0-3"/>
    <x v="88"/>
    <m/>
  </r>
  <r>
    <d v="2026-04-21T00:00:00"/>
    <s v="https://www.etsy.com/listing/4396672241/hand-picked-for-earth-by-my-great?transaction_id=5048510551"/>
    <s v="Light Pink"/>
    <s v="Light Pink"/>
    <s v="0-3 Months"/>
    <s v="United States"/>
    <s v="Bodysuit"/>
    <n v="4"/>
    <n v="17"/>
    <s v="Easter"/>
    <s v="0-3"/>
    <x v="93"/>
    <m/>
  </r>
  <r>
    <d v="2026-04-22T00:00:00"/>
    <s v="https://www.etsy.com/listing/4396671728/on-sundays-we-watch-with-daddy?transaction_id=5049013879"/>
    <s v="Light Pink"/>
    <s v="Light Pink"/>
    <s v="3-6 Months"/>
    <s v="Switzerland"/>
    <s v="Bodysuit"/>
    <n v="4"/>
    <n v="17"/>
    <s v="Easter"/>
    <s v="3-6"/>
    <x v="91"/>
    <m/>
  </r>
  <r>
    <d v="2026-04-23T00:00:00"/>
    <s v="https://www.etsy.com/listing/4488345640/future-triathlete-baby-bodysuit-swim?transaction_id=5051324909"/>
    <s v="cream"/>
    <s v="Cream"/>
    <s v="0-3 Months"/>
    <s v="United States"/>
    <s v="Bodysuit"/>
    <n v="4"/>
    <n v="17"/>
    <s v="Easter"/>
    <s v="0-3"/>
    <x v="89"/>
    <m/>
  </r>
  <r>
    <d v="2026-04-24T00:00:00"/>
    <s v="https://www.etsy.com/listing/4436931040/little-peanut-embroidered-baby-bodysuit?transaction_id=5052008001"/>
    <s v="cream"/>
    <s v="Cream"/>
    <s v="0-3 Months"/>
    <s v="The Netherlands"/>
    <s v="Bodysuit"/>
    <n v="4"/>
    <n v="17"/>
    <s v="Easter"/>
    <s v="0-3"/>
    <x v="89"/>
    <m/>
  </r>
  <r>
    <d v="2026-04-27T00:00:00"/>
    <s v="https://www.etsy.com/listing/4429565541/here-comes-the-son-baby-romper-cute?transaction_id=5043946714"/>
    <s v="cream"/>
    <s v="Cream"/>
    <s v="0-3 Months"/>
    <s v="United States"/>
    <s v="Bodysuit"/>
    <n v="4"/>
    <n v="18"/>
    <s v="Easter"/>
    <s v="0-3"/>
    <x v="89"/>
    <m/>
  </r>
  <r>
    <d v="2026-04-30T00:00:00"/>
    <s v="https://www.etsy.com/listing/4396138281/grandmas-little-ray-of-sunshine?transaction_id=5059746267"/>
    <s v="cream"/>
    <s v="Cream"/>
    <s v="3-6 Months"/>
    <s v="United States"/>
    <s v="Bodysuit"/>
    <n v="4"/>
    <n v="18"/>
    <s v="Easter"/>
    <s v="3-6"/>
    <x v="90"/>
    <m/>
  </r>
  <r>
    <d v="2026-04-30T00:00:00"/>
    <s v="https://www.etsy.com/listing/4418212637/born-to-snap-like-my-daddy-baby-bodysuit?transaction_id=5060606141"/>
    <s v="Light Blue"/>
    <s v="Light Blue"/>
    <s v="3-6 Months"/>
    <s v="United States"/>
    <s v="Bodysuit"/>
    <n v="4"/>
    <n v="18"/>
    <s v="Easter"/>
    <s v="3-6"/>
    <x v="92"/>
    <m/>
  </r>
  <r>
    <d v="2026-05-03T00:00:00"/>
    <s v="https://www.etsy.com/listing/4488346062/honk-honk-baby-bodysuit-funny-duck-car?transaction_id=5064239197"/>
    <s v="Light Blue"/>
    <s v="Light Blue"/>
    <s v="3-6 Months"/>
    <s v="United States"/>
    <s v="Bodysuit"/>
    <n v="5"/>
    <n v="19"/>
    <s v="MothersDay"/>
    <s v="3-6"/>
    <x v="92"/>
    <m/>
  </r>
  <r>
    <d v="2026-05-03T00:00:00"/>
    <s v="https://www.etsy.com/listing/4491435314/just-plane-cute-baby-bodysuit-airplane?transaction_id=5064335675"/>
    <s v="Light Blue"/>
    <s v="Light Blue"/>
    <s v="0-3 Months"/>
    <s v="United States"/>
    <s v="Bodysuit"/>
    <n v="5"/>
    <n v="19"/>
    <s v="MothersDay"/>
    <s v="0-3"/>
    <x v="88"/>
    <m/>
  </r>
  <r>
    <d v="2026-05-03T00:00:00"/>
    <s v="https://www.etsy.com/listing/4491435314/just-plane-cute-baby-bodysuit-airplane?transaction_id=5064335675"/>
    <s v="Light Pink"/>
    <s v="Light Pink"/>
    <s v="0-3 Months"/>
    <m/>
    <s v="Bodysuit"/>
    <n v="5"/>
    <n v="19"/>
    <s v="MothersDay"/>
    <s v="0-3"/>
    <x v="93"/>
    <m/>
  </r>
  <r>
    <d v="2026-05-04T00:00:00"/>
    <s v="https://www.etsy.com/listing/4488345640/future-triathlete-baby-bodysuit-swim?transaction_id=5053355894"/>
    <s v="cream"/>
    <s v="Cream"/>
    <s v="3-6 Months"/>
    <s v="United States"/>
    <s v="Bodysuit"/>
    <n v="5"/>
    <n v="19"/>
    <s v="MothersDay"/>
    <s v="3-6"/>
    <x v="90"/>
    <m/>
  </r>
  <r>
    <d v="2026-05-04T00:00:00"/>
    <s v="https://www.etsy.com/listing/4395078760/new-to-the-hunting-crew-baby-bodysuit?transaction_id=5053462096"/>
    <s v="Light Blue"/>
    <s v="Light Blue"/>
    <s v="3-6 Months"/>
    <s v="United States"/>
    <s v="Bodysuit"/>
    <n v="5"/>
    <n v="19"/>
    <s v="MothersDay"/>
    <s v="3-6"/>
    <x v="92"/>
    <m/>
  </r>
  <r>
    <d v="2026-05-06T00:00:00"/>
    <s v="https://www.etsy.com/listing/4493907972/book-lover-baby-bodysuit-shh-im-reading?transaction_id=5054223622"/>
    <s v="cream"/>
    <s v="Cream"/>
    <s v="3-6 Months"/>
    <s v="United States"/>
    <s v="Bodysuit"/>
    <n v="5"/>
    <n v="19"/>
    <s v="MothersDay"/>
    <s v="3-6"/>
    <x v="90"/>
    <m/>
  </r>
  <r>
    <d v="2026-05-06T00:00:00"/>
    <s v="https://www.etsy.com/listing/4396671728/on-sundays-we-watch-with-daddy?transaction_id=5055400370"/>
    <s v="Light Pink"/>
    <s v="Light Pink"/>
    <s v="0-3 Months"/>
    <s v="United States"/>
    <s v="Bodysuit"/>
    <n v="5"/>
    <n v="19"/>
    <s v="MothersDay"/>
    <s v="0-3"/>
    <x v="93"/>
    <m/>
  </r>
  <r>
    <d v="2026-05-11T00:00:00"/>
    <s v="https://www.etsy.com/listing/4396672648/pickle-baby-embroidered-baby-bodysuit?transaction_id=5061625354"/>
    <s v="Light Pink"/>
    <s v="Light Pink"/>
    <s v="3-6 Months"/>
    <s v="United States"/>
    <s v="Bodysuit"/>
    <n v="5"/>
    <n v="20"/>
    <s v="MothersDay"/>
    <s v="3-6"/>
    <x v="91"/>
    <m/>
  </r>
  <r>
    <d v="2026-05-12T00:00:00"/>
    <s v="https://www.etsy.com/listing/4395117964/daddys-co-pilot-embroidered-baby?transaction_id=5062535158"/>
    <s v="Light Blue"/>
    <s v="Light Blue"/>
    <s v="3-6 Months"/>
    <s v="United Kingdom"/>
    <s v="Bodysuit"/>
    <n v="5"/>
    <n v="20"/>
    <s v="MothersDay"/>
    <s v="3-6"/>
    <x v="92"/>
    <m/>
  </r>
  <r>
    <d v="2026-05-12T00:00:00"/>
    <s v="https://www.etsy.com/listing/4395653841/dont-make-me-call-grandma-embroidered?transaction_id=5062834816"/>
    <s v="cream"/>
    <s v="Cream"/>
    <s v="3-6 Months"/>
    <s v="United States"/>
    <s v="Bodysuit"/>
    <n v="5"/>
    <n v="20"/>
    <s v="MothersDay"/>
    <s v="3-6"/>
    <x v="90"/>
    <m/>
  </r>
  <r>
    <d v="2026-05-12T00:00:00"/>
    <s v="https://www.etsy.com/listing/4493907972/book-lover-baby-bodysuit-shh-im-reading?transaction_id=5075875843"/>
    <s v="cream"/>
    <s v="Cream"/>
    <s v="0-3 Months"/>
    <s v="United States"/>
    <s v="Bodysuit"/>
    <n v="5"/>
    <n v="20"/>
    <s v="MothersDay"/>
    <s v="0-3"/>
    <x v="89"/>
    <m/>
  </r>
  <r>
    <d v="2026-05-12T00:00:00"/>
    <s v="https://www.etsy.com/listing/4471165394/i-love-my-gigi-embroidered-baby-bodysuit?transaction_id=5075960083"/>
    <s v="Light Blue"/>
    <s v="Light Blue"/>
    <s v="3-6 Months"/>
    <s v="United States"/>
    <s v="Bodysuit"/>
    <n v="5"/>
    <n v="20"/>
    <s v="MothersDay"/>
    <s v="3-6"/>
    <x v="92"/>
    <m/>
  </r>
  <r>
    <d v="2026-05-18T00:00:00"/>
    <s v="https://www.etsy.com/listing/4421358682/born-to-play-basketball-like-my-daddy?transaction_id=5069459584"/>
    <s v="cream"/>
    <s v="Cream"/>
    <s v="3-6 Months"/>
    <s v="United States"/>
    <s v="Bodysuit"/>
    <n v="5"/>
    <n v="21"/>
    <s v="MothersDay"/>
    <s v="3-6"/>
    <x v="90"/>
    <m/>
  </r>
  <r>
    <d v="2026-05-18T00:00:00"/>
    <s v="https://www.etsy.com/listing/4436931040/little-peanut-embroidered-baby-bodysuit?transaction_id=5070350650"/>
    <s v="cream"/>
    <s v="Cream"/>
    <s v="0-3 Months"/>
    <s v="Australia"/>
    <s v="Bodysuit"/>
    <n v="5"/>
    <n v="21"/>
    <s v="MothersDay"/>
    <s v="0-3"/>
    <x v="89"/>
    <m/>
  </r>
  <r>
    <d v="2026-05-19T00:00:00"/>
    <s v="https://www.etsy.com/listing/4395656915/cute-little-raspberry-embroidered-baby?transaction_id=5084411025"/>
    <s v="Light Pink"/>
    <s v="Light Pink"/>
    <s v="0-3 Months"/>
    <s v="United Kingdom"/>
    <s v="Bodysuit"/>
    <n v="5"/>
    <n v="21"/>
    <s v="MothersDay"/>
    <s v="0-3"/>
    <x v="93"/>
    <m/>
  </r>
  <r>
    <d v="2026-05-23T00:00:00"/>
    <s v="https://www.etsy.com/listing/4491435314/just-plane-cute-baby-bodysuit-airplane?transaction_id=5089077467"/>
    <s v="Light Pink"/>
    <s v="Light Pink"/>
    <s v="3-6 Months"/>
    <s v="United States"/>
    <s v="Bodysuit"/>
    <n v="5"/>
    <n v="21"/>
    <s v="MothersDay"/>
    <s v="3-6"/>
    <x v="91"/>
    <m/>
  </r>
  <r>
    <d v="2026-05-24T00:00:00"/>
    <s v="https://www.etsy.com/listing/4491428109/halfling-baby-bodysuit-fantasy-baby?transaction_id=5090094865"/>
    <s v="cream"/>
    <s v="Cream"/>
    <s v="3-6 Months"/>
    <s v="United Kingdom"/>
    <s v="Bodysuit"/>
    <n v="5"/>
    <n v="22"/>
    <s v="MothersDay"/>
    <s v="3-6"/>
    <x v="90"/>
    <m/>
  </r>
  <r>
    <d v="2026-05-25T00:00:00"/>
    <s v="https://www.etsy.com/listing/4441951430/miso-cute-embroidered-baby-bodysuit-cute?transaction_id=5091220027"/>
    <s v="Light Pink"/>
    <s v="Light Pink"/>
    <s v="0-3 Months"/>
    <s v="The Netherlands"/>
    <s v="Bodysuit"/>
    <n v="5"/>
    <n v="22"/>
    <s v="MothersDay"/>
    <s v="0-3"/>
    <x v="93"/>
    <m/>
  </r>
  <r>
    <d v="2026-05-26T00:00:00"/>
    <s v="https://www.etsy.com/listing/4396677612/daddys-future-lifting-buddy-bodysuit-new?transaction_id=5092268245"/>
    <s v="Light Blue"/>
    <s v="Light Blue"/>
    <s v="0-3 Months"/>
    <s v="Australia"/>
    <s v="Bodysuit"/>
    <n v="5"/>
    <n v="22"/>
    <s v="MothersDay"/>
    <s v="0-3"/>
    <x v="88"/>
    <m/>
  </r>
  <r>
    <d v="2026-05-28T00:00:00"/>
    <s v="https://www.etsy.com/listing/4491428109/halfling-baby-bodysuit-fantasy-baby?transaction_id=5082133048"/>
    <s v="Light Pink"/>
    <s v="Light Pink"/>
    <s v="3-6 Months"/>
    <s v="United States"/>
    <s v="Bodysuit"/>
    <n v="5"/>
    <n v="22"/>
    <s v="MothersDay"/>
    <s v="3-6"/>
    <x v="91"/>
    <m/>
  </r>
  <r>
    <d v="2026-05-29T00:00:00"/>
    <s v="https://www.etsy.com/listing/4395094410/do-not-kiss-me-if-im-nacho-baby?transaction_id=5095096737"/>
    <s v="Light Pink"/>
    <s v="Light Pink"/>
    <s v="3-6 Months"/>
    <s v="United States"/>
    <s v="Bodysuit"/>
    <n v="5"/>
    <n v="22"/>
    <s v="MothersDay"/>
    <s v="3-6"/>
    <x v="91"/>
    <m/>
  </r>
  <r>
    <d v="2026-05-29T00:00:00"/>
    <s v="https://www.etsy.com/listing/4491428109/halfling-baby-bodysuit-fantasy-baby?transaction_id=5095421425"/>
    <s v="cream"/>
    <s v="Cream"/>
    <s v="0-3 Months"/>
    <s v="United States"/>
    <s v="Bodysuit"/>
    <n v="5"/>
    <n v="22"/>
    <s v="MothersDay"/>
    <s v="0-3"/>
    <x v="89"/>
    <m/>
  </r>
  <r>
    <d v="2026-05-29T00:00:00"/>
    <s v="https://www.etsy.com/listing/4512470752/i-have-the-best-ever-embroidered-baby?transaction_id=5095730577"/>
    <s v="Light Blue"/>
    <s v="Light Blue"/>
    <s v="3-6 Months"/>
    <s v="United States"/>
    <s v="Bodysuit"/>
    <n v="5"/>
    <n v="22"/>
    <s v="MothersDay"/>
    <s v="3-6"/>
    <x v="92"/>
    <m/>
  </r>
  <r>
    <d v="2026-06-01T00:00:00"/>
    <s v="https://www.etsy.com/listing/4395646009/cute-tomato-embroidered-baby-bodysuit?transaction_id=5084528844"/>
    <s v="Light Pink"/>
    <s v="Light Pink"/>
    <s v="0-3 Months"/>
    <s v="Switzerland"/>
    <s v="Bodysuit"/>
    <n v="6"/>
    <n v="23"/>
    <s v="FathersDay"/>
    <s v="0-3"/>
    <x v="93"/>
    <m/>
  </r>
  <r>
    <d v="2026-06-01T00:00:00"/>
    <s v="https://www.etsy.com/listing/4395646009/cute-tomato-embroidered-baby-bodysuit?transaction_id=5084528844"/>
    <s v="cream"/>
    <s v="Cream"/>
    <s v="3-6 Months"/>
    <m/>
    <s v="Bodysuit"/>
    <n v="6"/>
    <n v="23"/>
    <s v="FathersDay"/>
    <s v="3-6"/>
    <x v="90"/>
    <m/>
  </r>
  <r>
    <d v="2026-06-01T00:00:00"/>
    <s v="https://www.etsy.com/listing/4491428109/halfling-baby-bodysuit-fantasy-baby?transaction_id=5096758625"/>
    <s v="cream"/>
    <s v="Cream"/>
    <s v="3-6 Months"/>
    <s v="United States"/>
    <s v="Bodysuit"/>
    <n v="6"/>
    <n v="23"/>
    <s v="FathersDay"/>
    <s v="3-6"/>
    <x v="90"/>
    <m/>
  </r>
  <r>
    <d v="2026-06-01T00:00:00"/>
    <s v="https://www.etsy.com/listing/4491428109/halfling-baby-bodysuit-fantasy-baby?transaction_id=5085559956"/>
    <s v="cream"/>
    <s v="Cream"/>
    <s v="0-3 Months"/>
    <s v="Italy"/>
    <s v="Bodysuit"/>
    <n v="6"/>
    <n v="23"/>
    <s v="FathersDay"/>
    <s v="0-3"/>
    <x v="89"/>
    <m/>
  </r>
  <r>
    <d v="2026-04-01T00:00:00"/>
    <s v="https://www.etsy.com/listing/4404016464/player-3-has-entered-the-game?transaction_id=5012174054"/>
    <s v="Cream "/>
    <s v="Cream "/>
    <s v="3-6 Months"/>
    <s v="United States"/>
    <s v="Bodysuit"/>
    <n v="4"/>
    <n v="14"/>
    <s v="Easter"/>
    <s v="3-6"/>
    <x v="90"/>
    <m/>
  </r>
  <r>
    <d v="2026-04-01T00:00:00"/>
    <s v="https://www.etsy.com/listing/4444685673/daddys-soccer-buddy-baby-romper-custom?transaction_id=5022661137"/>
    <s v="Cream "/>
    <s v="Cream "/>
    <s v="0-3 Months"/>
    <s v="United States"/>
    <s v="Bodysuit"/>
    <n v="4"/>
    <n v="14"/>
    <s v="Easter"/>
    <s v="0-3"/>
    <x v="89"/>
    <m/>
  </r>
  <r>
    <d v="2026-04-01T00:00:00"/>
    <s v="thiết kế riêng"/>
    <s v="Light Pink "/>
    <s v="Light Pink "/>
    <s v="3-6 Months"/>
    <s v="United States"/>
    <s v="Bodysuit"/>
    <n v="4"/>
    <n v="14"/>
    <s v="Easter"/>
    <s v="3-6"/>
    <x v="91"/>
    <m/>
  </r>
  <r>
    <d v="2026-04-05T00:00:00"/>
    <s v="https://www.etsy.com/listing/4399230093/challah-at-your-boy-embroidered-baby?transaction_id=5027720615"/>
    <s v="cream"/>
    <s v="Cream"/>
    <s v="3-6 Months"/>
    <s v="United States"/>
    <s v="Bodysuit"/>
    <n v="4"/>
    <n v="15"/>
    <s v="Easter"/>
    <s v="3-6"/>
    <x v="90"/>
    <m/>
  </r>
  <r>
    <d v="2026-04-05T00:00:00"/>
    <s v="https://www.etsy.com/in-en/listing/4473259477/personalized-space-baby-romper-name?transaction_id=5018310718"/>
    <s v="Caldet blue "/>
    <s v="Caldet Blue "/>
    <s v="3-6 Months (Romper short)"/>
    <s v="United States"/>
    <s v="Romper Short"/>
    <n v="4"/>
    <n v="15"/>
    <s v="Easter"/>
    <s v="3-6"/>
    <x v="29"/>
    <m/>
  </r>
  <r>
    <d v="2026-04-05T00:00:00"/>
    <s v="https://www.etsy.com/in-en/listing/4474813381/daddys-fishing-buddy-baby-romper-custom?transaction_id=5018701850"/>
    <s v="Cream "/>
    <s v="Cream "/>
    <s v="0-3 Months(Romper long)"/>
    <s v="Canada"/>
    <s v="Romper Longer"/>
    <n v="4"/>
    <n v="15"/>
    <s v="Easter"/>
    <s v="0-3"/>
    <x v="2"/>
    <m/>
  </r>
  <r>
    <d v="2026-04-07T00:00:00"/>
    <s v="https://www.etsy.com/listing/4399231639/first-grandbaby-embroidered-baby-romper?transaction_id=5030134339"/>
    <s v="Light Blue"/>
    <s v="Light Blue"/>
    <s v="3-6 Months"/>
    <s v="United States"/>
    <s v="Bodysuit"/>
    <n v="4"/>
    <n v="15"/>
    <s v="Easter"/>
    <s v="3-6"/>
    <x v="92"/>
    <m/>
  </r>
  <r>
    <d v="2026-04-08T00:00:00"/>
    <s v="https://www.etsy.com/in-en/listing/4471244416/embroidered-baby-romper-future-carpenter?transaction_id=5030707503"/>
    <s v="Dusty pink "/>
    <s v="Dusty Pink "/>
    <s v="3-6 Months(Romper long)"/>
    <s v="Canada"/>
    <s v="Romper Longer"/>
    <n v="4"/>
    <n v="15"/>
    <s v="Easter"/>
    <s v="3-6"/>
    <x v="8"/>
    <m/>
  </r>
  <r>
    <d v="2026-04-08T00:00:00"/>
    <s v="https://www.etsy.com/listing/4430527392/daddys-little-apprentice-baby-romper?transaction_id=5030488947"/>
    <s v="Light Blue "/>
    <s v="Light Blue "/>
    <s v="3-6 Months"/>
    <s v="Australia"/>
    <s v="Bodysuit"/>
    <n v="4"/>
    <n v="15"/>
    <s v="Easter"/>
    <s v="3-6"/>
    <x v="92"/>
    <m/>
  </r>
  <r>
    <d v="2026-04-08T00:00:00"/>
    <s v="https://www.etsy.com/listing/4404024795/little-latke-embroidered-baby-romper?transaction_id=5021064882"/>
    <s v="Light Pink "/>
    <s v="Light Pink "/>
    <s v="0-3 Months"/>
    <s v="United States"/>
    <s v="Bodysuit"/>
    <n v="4"/>
    <n v="15"/>
    <s v="Easter"/>
    <s v="0-3"/>
    <x v="93"/>
    <m/>
  </r>
  <r>
    <d v="2026-04-10T00:00:00"/>
    <s v="Thiết kế riêng"/>
    <s v="White "/>
    <s v="White "/>
    <s v="12-18M (Romper Long)"/>
    <s v="Canada"/>
    <s v="Romper Longer"/>
    <n v="4"/>
    <n v="15"/>
    <s v="Easter"/>
    <s v="12-18"/>
    <x v="73"/>
    <m/>
  </r>
  <r>
    <d v="2026-04-10T00:00:00"/>
    <s v="https://www.etsy.com/listing/4426844514/future-drummer-like-daddy-baby-romper?transaction_id=5008282160"/>
    <s v="Light Blue "/>
    <s v="Light Blue "/>
    <s v="3-6 Months"/>
    <s v="United States"/>
    <s v="Bodysuit"/>
    <n v="4"/>
    <n v="15"/>
    <s v="Easter"/>
    <s v="3-6"/>
    <x v="92"/>
    <m/>
  </r>
  <r>
    <d v="2026-04-10T00:00:00"/>
    <s v="https://www.etsy.com/listing/4478436550/apparently-i-love-golf-bodysuit?transaction_id=5032625225"/>
    <s v="Light Pink "/>
    <s v="Light Pink "/>
    <s v="3-6 Months"/>
    <s v="United States"/>
    <s v="Bodysuit"/>
    <n v="4"/>
    <n v="15"/>
    <s v="Easter"/>
    <s v="3-6"/>
    <x v="91"/>
    <m/>
  </r>
  <r>
    <d v="2026-04-10T00:00:00"/>
    <s v="https://www.etsy.com/listing/4485710996/masters-2026-augusta-national-golf-club?transaction_id=5033304769"/>
    <s v="Forest Green "/>
    <s v="Forest Green "/>
    <s v="0-3 Months (romper long)"/>
    <s v="United States"/>
    <s v="Romper Longer"/>
    <n v="4"/>
    <n v="15"/>
    <s v="Easter"/>
    <s v="0-3"/>
    <x v="41"/>
    <m/>
  </r>
  <r>
    <d v="2026-04-10T00:00:00"/>
    <s v="https://www.etsy.com/listing/4485710996/masters-2026-augusta-national-golf-club?transaction_id=5033304769"/>
    <s v="Forest Green "/>
    <s v="Forest Green "/>
    <s v="0-3 Months (romper long)"/>
    <s v="United States"/>
    <s v="Romper Longer"/>
    <n v="4"/>
    <n v="15"/>
    <s v="Easter"/>
    <s v="0-3"/>
    <x v="41"/>
    <m/>
  </r>
  <r>
    <d v="2026-04-11T00:00:00"/>
    <s v="https://www.etsy.com/listing/4485710996/masters-2026-augusta-national-golf-club?transaction_id=5033304769"/>
    <s v="White "/>
    <s v="White "/>
    <s v="6-12M(romper short)"/>
    <s v="United States"/>
    <s v="Romper Short"/>
    <n v="4"/>
    <n v="15"/>
    <s v="Easter"/>
    <s v="6-12"/>
    <x v="42"/>
    <m/>
  </r>
  <r>
    <d v="2026-04-11T00:00:00"/>
    <s v="https://www.etsy.com/listing/4485710996/masters-2026-augusta-national-golf-club?transaction_id=5033304769"/>
    <s v="Cream "/>
    <s v="Cream "/>
    <s v="0-3 Months(romper long)"/>
    <s v="United States"/>
    <s v="Romper Longer"/>
    <n v="4"/>
    <n v="15"/>
    <s v="Easter"/>
    <s v="0-3"/>
    <x v="2"/>
    <m/>
  </r>
  <r>
    <d v="2026-04-11T00:00:00"/>
    <s v="https://www.etsy.com/listing/4485710996/masters-2026-augusta-national-golf-club?transaction_id=5033304769"/>
    <s v="cream"/>
    <s v="Cream"/>
    <s v="18-24M(Romper short-sleeve)"/>
    <s v="United States"/>
    <s v="Romper Short"/>
    <n v="4"/>
    <n v="15"/>
    <s v="Easter"/>
    <s v="18-24"/>
    <x v="16"/>
    <m/>
  </r>
  <r>
    <d v="2026-04-12T00:00:00"/>
    <s v="https://www.etsy.com/listing/4485710996/masters-2026-augusta-national-golf-club?transaction_id=5033304769"/>
    <s v="cream"/>
    <s v="Cream"/>
    <s v="0-3 Months (Romper Short-Sleeve)"/>
    <s v="United States"/>
    <s v="Romper Short"/>
    <n v="4"/>
    <n v="16"/>
    <s v="Easter"/>
    <s v="0-3"/>
    <x v="15"/>
    <m/>
  </r>
  <r>
    <d v="2026-04-12T00:00:00"/>
    <s v="https://www.etsy.com/listing/4481741792/little-bean-coffee-lover-embroidered?transaction_id=5026002806"/>
    <s v="Cream "/>
    <s v="Cream "/>
    <s v="0-3 Months"/>
    <s v="United States"/>
    <s v="Bodysuit"/>
    <n v="4"/>
    <n v="16"/>
    <s v="Easter"/>
    <s v="0-3"/>
    <x v="89"/>
    <m/>
  </r>
  <r>
    <d v="2026-03-24T00:00:00"/>
    <s v="https://www.etsy.com/listing/4426844514/future-drummer-like-daddy-baby-romper?transaction_id=5013354581"/>
    <s v="Cream "/>
    <s v="Cream "/>
    <s v="3-6 Months"/>
    <s v="Canada"/>
    <s v="Bodysuit"/>
    <n v="3"/>
    <n v="13"/>
    <s v="Easter"/>
    <s v="3-6"/>
    <x v="90"/>
    <m/>
  </r>
  <r>
    <d v="2026-04-13T00:00:00"/>
    <s v="https://www.etsy.com/listing/4473747526/custom-penguin-bodysuit-embroidered-baby?transaction_id=5037471835"/>
    <s v="sage green"/>
    <s v="Sage Green"/>
    <s v="6-12M(Romper short-sleeve)"/>
    <s v="United States"/>
    <s v="Romper Short"/>
    <n v="4"/>
    <n v="16"/>
    <s v="Easter"/>
    <s v="6-12"/>
    <x v="19"/>
    <m/>
  </r>
  <r>
    <d v="2026-04-14T00:00:00"/>
    <s v="https://www.etsy.com/listing/4485710996/masters-2026-augusta-national-golf-club?transaction_id=5037649377"/>
    <s v="Cream "/>
    <s v="Cream "/>
    <s v="12-18M( Romper short-sleeve)"/>
    <s v="United States"/>
    <s v="Romper Short"/>
    <n v="4"/>
    <n v="16"/>
    <s v="Easter"/>
    <s v="12-18"/>
    <x v="26"/>
    <m/>
  </r>
  <r>
    <d v="2026-04-15T00:00:00"/>
    <s v="https://www.etsy.com/listing/4485710996/masters-2026-augusta-national-golf-club?transaction_id=5038461767"/>
    <s v="sage green"/>
    <s v="Sage Green"/>
    <s v="0-3 Months(Romper Long-Sleeve)"/>
    <s v="United States"/>
    <s v="Romper Longer"/>
    <n v="4"/>
    <n v="16"/>
    <s v="Easter"/>
    <s v="0-3"/>
    <x v="5"/>
    <m/>
  </r>
  <r>
    <d v="2026-04-15T00:00:00"/>
    <s v="https://www.etsy.com/listing/4439748073/newest-member-of-the-pack-baby-romper?transaction_id=5039089261"/>
    <s v="Light Pink "/>
    <s v="Light Pink "/>
    <s v="0-3 Months"/>
    <s v="United States"/>
    <s v="Bodysuit"/>
    <n v="4"/>
    <n v="16"/>
    <s v="Easter"/>
    <s v="0-3"/>
    <x v="93"/>
    <m/>
  </r>
  <r>
    <d v="2026-04-15T00:00:00"/>
    <s v="https://www.etsy.com/listing/4439748073/newest-member-of-the-pack-baby-romper?transaction_id=5039089261"/>
    <s v="Light Blue"/>
    <s v="Light Blue"/>
    <s v="0-3 Months"/>
    <s v="United States"/>
    <s v="Bodysuit"/>
    <n v="4"/>
    <n v="16"/>
    <s v="Easter"/>
    <s v="0-3"/>
    <x v="88"/>
    <m/>
  </r>
  <r>
    <d v="2026-04-16T00:00:00"/>
    <s v="https://www.etsy.com/listing/4426850215/apparently-i-like-soccer-baby-romper?transaction_id=5029558760"/>
    <s v="Light Blue "/>
    <s v="Light Blue "/>
    <s v="0-3 Months"/>
    <s v="United States"/>
    <s v="Bodysuit"/>
    <n v="4"/>
    <n v="16"/>
    <s v="Easter"/>
    <s v="0-3"/>
    <x v="88"/>
    <m/>
  </r>
  <r>
    <d v="2026-04-17T00:00:00"/>
    <s v="https://www.etsy.com/listing/4444685673/daddys-soccer-buddy-baby-romper-custom?transaction_id=5042138271"/>
    <s v="Light Blue "/>
    <s v="Light Blue "/>
    <s v="0-3 Months"/>
    <s v="United States"/>
    <s v="Bodysuit"/>
    <n v="4"/>
    <n v="16"/>
    <s v="Easter"/>
    <s v="0-3"/>
    <x v="88"/>
    <m/>
  </r>
  <r>
    <d v="2026-04-17T00:00:00"/>
    <s v="Thiết kế riêng"/>
    <s v="Cream "/>
    <s v="Cream "/>
    <s v="0-3 Months"/>
    <s v="United States"/>
    <s v="Bodysuit"/>
    <n v="4"/>
    <n v="16"/>
    <s v="Easter"/>
    <s v="0-3"/>
    <x v="89"/>
    <m/>
  </r>
  <r>
    <d v="2026-04-18T00:00:00"/>
    <s v="https://www.etsy.com/listing/4478504584/golf-cart-flag-and-ball-golf-baby-romper?transaction_id=5031565304"/>
    <s v="Light Blue"/>
    <s v="Light Blue"/>
    <s v="0-3 Months"/>
    <s v="United States"/>
    <s v="Bodysuit"/>
    <n v="4"/>
    <n v="16"/>
    <s v="Easter"/>
    <s v="0-3"/>
    <x v="88"/>
    <m/>
  </r>
  <r>
    <d v="2026-04-19T00:00:00"/>
    <s v="https://www.etsy.com/listing/4473734263/custom-kangaroo-embroidered-baby-romper?transaction_id=5044615789"/>
    <s v="sage green"/>
    <s v="Sage Green"/>
    <s v="0-3 Months (Long-Sleeve)"/>
    <s v="United States"/>
    <s v="Romper Longer"/>
    <n v="4"/>
    <n v="17"/>
    <s v="Easter"/>
    <s v="0-3"/>
    <x v="5"/>
    <m/>
  </r>
  <r>
    <d v="2026-04-20T00:00:00"/>
    <m/>
    <s v="forest green"/>
    <s v="Forest Green"/>
    <s v="18-24M (short-sleeve)"/>
    <s v="United States"/>
    <s v="Romper Short"/>
    <n v="4"/>
    <n v="17"/>
    <s v="Easter"/>
    <s v="18-24"/>
    <x v="99"/>
    <m/>
  </r>
  <r>
    <d v="2026-04-20T00:00:00"/>
    <s v="https://www.etsy.com/listing/4485710996/masters-2026-augusta-national-golf-club?transaction_id=5047154851"/>
    <s v="white"/>
    <s v="White"/>
    <s v="3-6 Months(Short-Sleeve)"/>
    <s v="United States"/>
    <s v="Romper Short"/>
    <n v="4"/>
    <n v="17"/>
    <s v="Easter"/>
    <s v="3-6"/>
    <x v="69"/>
    <m/>
  </r>
  <r>
    <d v="2026-04-20T00:00:00"/>
    <s v="https://www.etsy.com/listing/4481744448/powered-by-milk-funny-racing-car?transaction_id=5034318018"/>
    <s v="cream"/>
    <s v="Cream"/>
    <s v="3-6 Months"/>
    <s v="United States"/>
    <s v="Bodysuit"/>
    <n v="4"/>
    <n v="17"/>
    <s v="Easter"/>
    <s v="3-6"/>
    <x v="90"/>
    <m/>
  </r>
  <r>
    <d v="2026-04-21T00:00:00"/>
    <s v="https://www.etsy.com/listing/4478434685/custom-golf-letter-w-name-bodysuit?transaction_id=5034550682"/>
    <s v="Light Blue"/>
    <s v="Light Blue"/>
    <s v="3-6 Months"/>
    <s v="United States"/>
    <s v="Bodysuit"/>
    <n v="4"/>
    <n v="17"/>
    <s v="Easter"/>
    <s v="3-6"/>
    <x v="92"/>
    <m/>
  </r>
  <r>
    <d v="2026-04-21T00:00:00"/>
    <s v="https://www.etsy.com/listing/4484967843/little-bean-coffee-lover-embroidered?transaction_id=5036289272"/>
    <s v="cream"/>
    <s v="Cream"/>
    <s v="0-3 Months(Long-Sleeve)"/>
    <s v="United Kingdom"/>
    <s v="Romper Longer"/>
    <n v="4"/>
    <n v="17"/>
    <s v="Easter"/>
    <s v="0-3"/>
    <x v="2"/>
    <m/>
  </r>
  <r>
    <d v="2026-04-22T00:00:00"/>
    <s v="https://www.etsy.com/listing/4447371932/daddys-tennis-buddy-embroidered-baby?transaction_id=5037054998"/>
    <s v="Cream "/>
    <s v="Cream "/>
    <s v="3-6 Months"/>
    <s v="Germany"/>
    <s v="Bodysuit"/>
    <n v="4"/>
    <n v="17"/>
    <s v="Easter"/>
    <s v="3-6"/>
    <x v="90"/>
    <m/>
  </r>
  <r>
    <d v="2026-04-22T00:00:00"/>
    <s v="https://www.etsy.com/listing/4478434685/custom-golf-letter-w-name-bodysuit?transaction_id=5037252204"/>
    <s v="Light Blue"/>
    <s v="Light Blue"/>
    <s v="3-6 Months"/>
    <s v="United States"/>
    <s v="Bodysuit"/>
    <n v="4"/>
    <n v="17"/>
    <s v="Easter"/>
    <s v="3-6"/>
    <x v="92"/>
    <m/>
  </r>
  <r>
    <d v="2026-04-22T00:00:00"/>
    <s v="https://www.etsy.com/listing/4480040494/little-beach-bum-embroidered-baby-romper?transaction_id=5049925631"/>
    <s v="caldet blue"/>
    <s v="Caldet Blue"/>
    <s v="3-6 Months(Long-Sleeve)"/>
    <s v="United States"/>
    <s v="Romper Longer"/>
    <n v="4"/>
    <n v="17"/>
    <s v="Easter"/>
    <s v="3-6"/>
    <x v="23"/>
    <m/>
  </r>
  <r>
    <d v="2026-04-23T00:00:00"/>
    <s v="https://www.etsy.com/listing/4484971607/newest-hunting-buddy-duck-embroidered?transaction_id=5037992372"/>
    <s v="cream"/>
    <s v="Cream"/>
    <s v="0-3 Months(Long-Sleeve)"/>
    <s v="United Kingdom"/>
    <s v="Romper Longer"/>
    <n v="4"/>
    <n v="17"/>
    <s v="Easter"/>
    <s v="0-3"/>
    <x v="2"/>
    <m/>
  </r>
  <r>
    <d v="2026-04-23T00:00:00"/>
    <m/>
    <s v=" Light Pink "/>
    <s v=" Light Pink "/>
    <s v="0-3 Months"/>
    <s v="United States"/>
    <s v="Bodysuit"/>
    <n v="4"/>
    <n v="17"/>
    <s v="Easter"/>
    <s v="0-3"/>
    <x v="93"/>
    <m/>
  </r>
  <r>
    <d v="2026-04-23T00:00:00"/>
    <s v="https://www.etsy.com/listing/4399231639/first-grandbaby-embroidered-baby-romper?transaction_id=5050711899"/>
    <s v="cream"/>
    <s v="Cream"/>
    <s v="0-3 Months"/>
    <s v="United States"/>
    <s v="Bodysuit"/>
    <n v="4"/>
    <n v="17"/>
    <s v="Easter"/>
    <s v="0-3"/>
    <x v="89"/>
    <m/>
  </r>
  <r>
    <d v="2026-04-24T00:00:00"/>
    <s v="https://www.etsy.com/listing/4480604537/cute-car-name-embroidered-baby-romper?transaction_id=5050791685"/>
    <s v="cream"/>
    <s v="Cream"/>
    <s v="6-12M (long-sleeve)"/>
    <s v="United States"/>
    <s v="Romper Longer"/>
    <n v="4"/>
    <n v="17"/>
    <s v="Easter"/>
    <s v="6-12"/>
    <x v="17"/>
    <m/>
  </r>
  <r>
    <d v="2026-04-24T00:00:00"/>
    <s v="https://www.etsy.com/listing/4473734263/custom-kangaroo-embroidered-baby-romper?transaction_id=5038433160"/>
    <s v="cream"/>
    <s v="Cream"/>
    <s v="12-18M(short-sleeve)"/>
    <s v="United States"/>
    <s v="Romper Short"/>
    <n v="4"/>
    <n v="17"/>
    <s v="Easter"/>
    <s v="12-18"/>
    <x v="26"/>
    <m/>
  </r>
  <r>
    <d v="2026-04-25T00:00:00"/>
    <s v="https://www.etsy.com/listing/4493249816/newest-hunting-buddy-embroidered-baby?transaction_id=5053999401"/>
    <s v=" Light Blue"/>
    <s v=" Light Blue"/>
    <s v="0-3 Months"/>
    <s v="United States"/>
    <s v="Bodysuit"/>
    <n v="4"/>
    <n v="17"/>
    <s v="Easter"/>
    <s v="0-3"/>
    <x v="88"/>
    <m/>
  </r>
  <r>
    <d v="2026-04-26T00:00:00"/>
    <s v="https://www.etsy.com/listing/4493262715/new-to-the-club-golf-embroidered-baby?transaction_id=5042373906"/>
    <s v="Salmon"/>
    <s v="Salmon"/>
    <s v="0-3 Months(Long-Sleeve)"/>
    <s v="United States"/>
    <s v="Romper Longer"/>
    <n v="4"/>
    <n v="18"/>
    <s v="Easter"/>
    <s v="0-3"/>
    <x v="84"/>
    <m/>
  </r>
  <r>
    <d v="2026-04-27T00:00:00"/>
    <s v="https://www.etsy.com/listing/4445858125/personalized-kangaroo-baby-romper-custom?transaction_id=5056318369"/>
    <s v="Sage green"/>
    <s v="Sage Green"/>
    <s v="0-3 Months(Long-Sleeve)"/>
    <s v="United States"/>
    <s v="Romper Longer"/>
    <n v="4"/>
    <n v="18"/>
    <s v="Easter"/>
    <s v="0-3"/>
    <x v="5"/>
    <m/>
  </r>
  <r>
    <d v="2026-04-28T00:00:00"/>
    <s v="https://www.etsy.com/listing/4426850215/apparently-i-like-soccer-baby-romper?transaction_id=5043481228"/>
    <s v="Cream "/>
    <s v="Cream "/>
    <s v="0-3 Months"/>
    <s v="United States"/>
    <s v="Bodysuit"/>
    <n v="4"/>
    <n v="18"/>
    <s v="Easter"/>
    <s v="0-3"/>
    <x v="89"/>
    <m/>
  </r>
  <r>
    <d v="2026-04-28T00:00:00"/>
    <s v="https://www.etsy.com/listing/4442577224/im-the-new-guy-embroidered-baby?transaction_id=5043700114"/>
    <s v=" Light Blue"/>
    <s v=" Light Blue"/>
    <s v="3-6 Months"/>
    <s v="United States"/>
    <s v="Bodysuit"/>
    <n v="4"/>
    <n v="18"/>
    <s v="Easter"/>
    <s v="3-6"/>
    <x v="92"/>
    <m/>
  </r>
  <r>
    <d v="2026-05-03T00:00:00"/>
    <s v="https://www.etsy.com/in-en/listing/4477320181/personalized-mouse-name-baby-romper?transaction_id=5046991818"/>
    <s v="Caldet blue"/>
    <s v="Caldet Blue"/>
    <s v="0-3 Months(short- sleeve)"/>
    <s v="United States"/>
    <s v="Romper Short"/>
    <n v="5"/>
    <n v="19"/>
    <s v="MothersDay"/>
    <s v="0-3"/>
    <x v="38"/>
    <m/>
  </r>
  <r>
    <d v="2026-04-29T00:00:00"/>
    <s v="https://www.etsy.com/listing/4489482442/custom-two-new-best-friend-embroidered?transaction_id=5058485517"/>
    <s v=" Light Blue "/>
    <s v=" Light Blue "/>
    <s v="0-3 Months"/>
    <s v="United States"/>
    <s v="Bodysuit"/>
    <n v="4"/>
    <n v="18"/>
    <s v="Easter"/>
    <s v="0-3"/>
    <x v="88"/>
    <m/>
  </r>
  <r>
    <d v="2026-04-30T00:00:00"/>
    <s v="https://www.etsy.com/listing/4475396971/future-barber-like-my-daddy-embroidered?transaction_id=5047850318"/>
    <s v="Caldet Blue"/>
    <s v="Caldet Blue"/>
    <s v="3-6 Months (Long-Sleeve)"/>
    <s v="United States"/>
    <s v="Romper Longer"/>
    <n v="4"/>
    <n v="18"/>
    <s v="Easter"/>
    <s v="3-6"/>
    <x v="23"/>
    <m/>
  </r>
  <r>
    <d v="2026-05-02T00:00:00"/>
    <s v="https://www.etsy.com/listing/4480598946/tennis-racket-ball-name-embroidered-baby?transaction_id=5050510506"/>
    <s v="Caldet Blue"/>
    <s v="Caldet Blue"/>
    <s v="3-6 Months(Long-Sleeve)"/>
    <s v="United States"/>
    <s v="Romper Longer"/>
    <n v="5"/>
    <n v="18"/>
    <s v="MothersDay"/>
    <s v="3-6"/>
    <x v="23"/>
    <m/>
  </r>
  <r>
    <d v="2026-05-03T00:00:00"/>
    <s v="https://www.etsy.com/listing/4481741792/little-bean-coffee-lover-embroidered?transaction_id=5064565183"/>
    <s v="Light Blue"/>
    <s v="Light Blue"/>
    <s v="0-3 Months"/>
    <s v="United States"/>
    <s v="Bodysuit"/>
    <n v="5"/>
    <n v="19"/>
    <s v="MothersDay"/>
    <s v="0-3"/>
    <x v="88"/>
    <m/>
  </r>
  <r>
    <d v="2026-05-02T00:00:00"/>
    <s v="https://www.etsy.com/listing/4485710996/masters-2026-augusta-national-golf-club?transaction_id=5062649795"/>
    <s v="Cream"/>
    <s v="Cream"/>
    <s v="3-6 Months(Long-Sleeve)"/>
    <s v="United States"/>
    <s v="Romper Longer"/>
    <n v="5"/>
    <n v="18"/>
    <s v="MothersDay"/>
    <s v="3-6"/>
    <x v="1"/>
    <m/>
  </r>
  <r>
    <d v="2026-05-03T00:00:00"/>
    <s v="https://www.etsy.com/listing/4485710996/masters-2026-augusta-national-golf-club?transaction_id=5063497185"/>
    <s v="Cream"/>
    <s v="Cream"/>
    <s v="3-6 Months(Long-Sleeve)"/>
    <s v="Spain"/>
    <s v="Romper Longer"/>
    <n v="5"/>
    <n v="19"/>
    <s v="MothersDay"/>
    <s v="3-6"/>
    <x v="1"/>
    <m/>
  </r>
  <r>
    <d v="2026-05-03T00:00:00"/>
    <s v="https://www.etsy.com/listing/4485708190/daddys-little-caddy-embroidered-baby?transaction_id=5064110813"/>
    <s v="Sage Green"/>
    <s v="Sage Green"/>
    <s v="0-3 Months(Short-Sleeve)"/>
    <s v="United States"/>
    <s v="Romper Short"/>
    <n v="5"/>
    <n v="19"/>
    <s v="MothersDay"/>
    <s v="0-3"/>
    <x v="13"/>
    <m/>
  </r>
  <r>
    <d v="2026-05-03T00:00:00"/>
    <s v="https://www.etsy.com/listing/4485708190/daddys-little-caddy-embroidered-baby?transaction_id=5064110813"/>
    <s v="Caldet Blue"/>
    <s v="Caldet Blue"/>
    <s v="0-3 Months(Short-Sleeve)"/>
    <s v="United States"/>
    <s v="Romper Short"/>
    <n v="5"/>
    <n v="19"/>
    <s v="MothersDay"/>
    <s v="0-3"/>
    <x v="38"/>
    <m/>
  </r>
  <r>
    <d v="2026-05-03T00:00:00"/>
    <s v="https://www.etsy.com/listing/4404016464/player-3-has-entered-the-game?transaction_id=5052362998"/>
    <s v="Light Blue "/>
    <s v="Light Blue "/>
    <s v="0-3 Months"/>
    <s v="United Kingdom"/>
    <s v="Bodysuit"/>
    <n v="5"/>
    <n v="19"/>
    <s v="MothersDay"/>
    <s v="0-3"/>
    <x v="88"/>
    <m/>
  </r>
  <r>
    <d v="2026-05-04T00:00:00"/>
    <s v="https://www.etsy.com/listing/4478512568/pack-my-diapers-im-going-racing-with?transaction_id=5064907725"/>
    <s v="Light Pink"/>
    <s v="Light Pink"/>
    <s v="3-6 Months"/>
    <s v="United States"/>
    <s v="Bodysuit"/>
    <n v="5"/>
    <n v="19"/>
    <s v="MothersDay"/>
    <s v="3-6"/>
    <x v="91"/>
    <m/>
  </r>
  <r>
    <d v="2026-05-04T00:00:00"/>
    <s v="https://www.etsy.com/listing/4426850215/apparently-i-like-soccer-baby-romper?transaction_id=5052494746"/>
    <s v="Cream "/>
    <s v="Cream "/>
    <s v="0-3 Months"/>
    <s v="Canada"/>
    <s v="Bodysuit"/>
    <n v="5"/>
    <n v="19"/>
    <s v="MothersDay"/>
    <s v="0-3"/>
    <x v="89"/>
    <m/>
  </r>
  <r>
    <d v="2026-05-04T00:00:00"/>
    <s v="https://www.etsy.com/listing/4480598946/tennis-racket-ball-name-embroidered-baby?transaction_id=5053377068"/>
    <s v="Cream"/>
    <s v="Cream"/>
    <s v="3-6 Months(Long-Sleeve)"/>
    <s v="United States"/>
    <s v="Romper Longer"/>
    <n v="5"/>
    <n v="19"/>
    <s v="MothersDay"/>
    <s v="3-6"/>
    <x v="1"/>
    <m/>
  </r>
  <r>
    <d v="2026-05-05T00:00:00"/>
    <s v="https://www.etsy.com/listing/4426850215/apparently-i-like-soccer-baby-romper?transaction_id=5053488376"/>
    <s v=" Light Blue"/>
    <s v=" Light Blue"/>
    <s v="3-6 Months"/>
    <s v="United States"/>
    <s v="Bodysuit"/>
    <n v="5"/>
    <n v="19"/>
    <s v="MothersDay"/>
    <s v="3-6"/>
    <x v="92"/>
    <m/>
  </r>
  <r>
    <d v="2026-05-05T00:00:00"/>
    <s v="https://www.etsy.com/listing/4485710996/masters-2026-augusta-national-golf-club?transaction_id=5066038837"/>
    <s v="White"/>
    <s v="White"/>
    <s v="3-6 Months(Long-Sleeve)"/>
    <s v="United States"/>
    <s v="Romper Longer"/>
    <n v="5"/>
    <n v="19"/>
    <s v="MothersDay"/>
    <s v="3-6"/>
    <x v="70"/>
    <m/>
  </r>
  <r>
    <d v="2026-05-05T00:00:00"/>
    <s v="https://www.etsy.com/listing/4485710161/apparently-i-like-running-embroidered?transaction_id=5053879736"/>
    <s v="Caldet Blue"/>
    <s v="Caldet Blue"/>
    <s v="3-6 Months(Short-Sleeve)"/>
    <s v="United Kingdom"/>
    <s v="Romper Short"/>
    <n v="5"/>
    <n v="19"/>
    <s v="MothersDay"/>
    <s v="3-6"/>
    <x v="29"/>
    <m/>
  </r>
  <r>
    <d v="2026-05-06T00:00:00"/>
    <s v="https://www.etsy.com/listing/4474310208/fearfully-wonderfully-made-bodysuit?transaction_id=5067902085"/>
    <s v="Cream"/>
    <s v="Cream"/>
    <s v="6-12M(short-sleeve)"/>
    <s v="United States"/>
    <s v="Romper Short"/>
    <n v="5"/>
    <n v="19"/>
    <s v="MothersDay"/>
    <s v="6-12"/>
    <x v="47"/>
    <m/>
  </r>
  <r>
    <d v="2026-05-07T00:00:00"/>
    <s v="https://www.etsy.com/listing/4477885980/sunshine-mood-embroidered-baby-romper?transaction_id=5055669056"/>
    <s v="Forest Green"/>
    <s v="Forest Green"/>
    <s v="3-6 Months(Long-Sleeve)"/>
    <s v="Germany"/>
    <s v="Romper Longer"/>
    <n v="5"/>
    <n v="19"/>
    <s v="MothersDay"/>
    <s v="3-6"/>
    <x v="4"/>
    <m/>
  </r>
  <r>
    <d v="2026-05-07T00:00:00"/>
    <s v="https://www.etsy.com/listing/4426850215/apparently-i-like-soccer-baby-romper?transaction_id=5055687122"/>
    <s v="Cream"/>
    <s v="Cream"/>
    <s v="3-6 Months"/>
    <s v="United States"/>
    <s v="Bodysuit"/>
    <n v="5"/>
    <n v="19"/>
    <s v="MothersDay"/>
    <s v="3-6"/>
    <x v="90"/>
    <m/>
  </r>
  <r>
    <d v="2026-05-07T00:00:00"/>
    <s v="https://www.etsy.com/listing/4480040494/little-beach-bum-embroidered-baby-romper?transaction_id=5055954030"/>
    <s v="White"/>
    <s v="White"/>
    <s v="6-12M (short-sleeve)"/>
    <s v="United States"/>
    <s v="Romper Short"/>
    <n v="5"/>
    <n v="19"/>
    <s v="MothersDay"/>
    <s v="6-12"/>
    <x v="42"/>
    <m/>
  </r>
  <r>
    <d v="2026-05-07T00:00:00"/>
    <s v="https://www.etsy.com/listing/4485710996/masters-2026-augusta-national-golf-club?transaction_id=5056167242"/>
    <s v="Cream"/>
    <s v="Cream"/>
    <s v="0-3 Months(Long-Sleeve)"/>
    <s v="United States"/>
    <s v="Romper Longer"/>
    <n v="5"/>
    <n v="19"/>
    <s v="MothersDay"/>
    <s v="0-3"/>
    <x v="2"/>
    <m/>
  </r>
  <r>
    <d v="2026-05-08T00:00:00"/>
    <s v="https://www.etsy.com/listing/4399219527/new-to-the-club-swimming-embroidered?transaction_id=5069610173"/>
    <s v=" Light Pink "/>
    <s v=" Light Pink "/>
    <s v="3-6 Months"/>
    <s v="United States"/>
    <s v="Bodysuit"/>
    <n v="5"/>
    <n v="19"/>
    <s v="MothersDay"/>
    <s v="3-6"/>
    <x v="91"/>
    <m/>
  </r>
  <r>
    <d v="2026-05-08T00:00:00"/>
    <s v="https://www.etsy.com/listing/4444686051/new-to-the-farm-baby-romper-custom?transaction_id=5070575969"/>
    <s v="Cream"/>
    <s v="Cream"/>
    <s v="0-3 Months"/>
    <s v="United States"/>
    <s v="Bodysuit"/>
    <n v="5"/>
    <n v="19"/>
    <s v="MothersDay"/>
    <s v="0-3"/>
    <x v="89"/>
    <m/>
  </r>
  <r>
    <d v="2026-05-08T00:00:00"/>
    <s v="https://www.etsy.com/listing/4500080239/daddys-future-lifting-partner-retro?transaction_id=5071745351"/>
    <s v="Light Pink"/>
    <s v="Light Pink"/>
    <s v="0-3 Months"/>
    <s v="United States"/>
    <s v="Bodysuit"/>
    <n v="5"/>
    <n v="19"/>
    <s v="MothersDay"/>
    <s v="0-3"/>
    <x v="93"/>
    <m/>
  </r>
  <r>
    <d v="2026-05-10T00:00:00"/>
    <s v="https://www.etsy.com/listing/4485710996/masters-2026-augusta-national-golf-club?transaction_id=5060306200"/>
    <s v="White"/>
    <s v="White"/>
    <s v="3-6 Months(Short-Sleeve)"/>
    <s v="United States"/>
    <s v="Romper Short"/>
    <n v="5"/>
    <n v="20"/>
    <s v="MothersDay"/>
    <s v="3-6"/>
    <x v="69"/>
    <m/>
  </r>
  <r>
    <d v="2026-04-29T00:00:00"/>
    <s v="https://www.etsy.com/listing/4489482442/custom-two-new-best-friend-embroidered?transaction_id=5058485517"/>
    <s v=" Light Blue"/>
    <s v=" Light Blue"/>
    <s v="0-3 Months"/>
    <s v="United States"/>
    <s v="Bodysuit"/>
    <n v="4"/>
    <n v="18"/>
    <s v="Easter"/>
    <s v="0-3"/>
    <x v="88"/>
    <m/>
  </r>
  <r>
    <d v="2026-05-10T00:00:00"/>
    <s v="https://www.etsy.com/listing/4399220288/apparently-i-like-golf-embroidered-baby?transaction_id=5074081653"/>
    <s v="Light Pink"/>
    <s v="Light Pink"/>
    <s v="3-6 Months"/>
    <s v="United States"/>
    <s v="Bodysuit"/>
    <n v="5"/>
    <n v="20"/>
    <s v="MothersDay"/>
    <s v="3-6"/>
    <x v="91"/>
    <m/>
  </r>
  <r>
    <d v="2026-05-11T00:00:00"/>
    <s v="https://www.etsy.com/listing/4477990547/apparently-i-like-golf-bodysuit?transaction_id=5074515685"/>
    <s v=" Light Blue"/>
    <s v=" Light Blue"/>
    <s v="0-3 Months"/>
    <s v="United States"/>
    <s v="Bodysuit"/>
    <n v="5"/>
    <n v="20"/>
    <s v="MothersDay"/>
    <s v="0-3"/>
    <x v="88"/>
    <m/>
  </r>
  <r>
    <d v="2026-05-11T00:00:00"/>
    <s v="https://www.etsy.com/listing/4493249816/newest-hunting-buddy-embroidered-baby?transaction_id=5074601545"/>
    <s v="Light Blue"/>
    <s v="Light Blue"/>
    <s v="0-3 Months"/>
    <s v="United States"/>
    <s v="Bodysuit"/>
    <n v="5"/>
    <n v="20"/>
    <s v="MothersDay"/>
    <s v="0-3"/>
    <x v="88"/>
    <m/>
  </r>
  <r>
    <d v="2026-05-11T00:00:00"/>
    <s v="https://www.etsy.com/listing/4493246651/im-proof-daddy-hunts-embroidered-baby?transaction_id=5074669179"/>
    <s v="Cream"/>
    <s v="Cream"/>
    <s v="0-3 Months"/>
    <s v="United States"/>
    <s v="Bodysuit"/>
    <n v="5"/>
    <n v="20"/>
    <s v="MothersDay"/>
    <s v="0-3"/>
    <x v="89"/>
    <m/>
  </r>
  <r>
    <d v="2026-05-12T00:00:00"/>
    <s v="https://www.etsy.com/listing/4478439582/new-to-the-club-bodysuit-embroidered?transaction_id=5062184894"/>
    <s v=" Light Blue"/>
    <s v=" Light Blue"/>
    <s v="3-6 Months"/>
    <s v="United States"/>
    <s v="Bodysuit"/>
    <n v="5"/>
    <n v="20"/>
    <s v="MothersDay"/>
    <s v="3-6"/>
    <x v="92"/>
    <m/>
  </r>
  <r>
    <d v="2026-05-12T00:00:00"/>
    <s v="https://www.etsy.com/listing/4493305337/daddys-hunting-buddy-embroidered-baby?transaction_id=5061739994"/>
    <s v="Sage Green"/>
    <s v="Sage Green"/>
    <s v="3-6 Months (Short-Sleeve)"/>
    <s v="United States"/>
    <s v="Romper Short"/>
    <n v="5"/>
    <n v="20"/>
    <s v="MothersDay"/>
    <s v="3-6"/>
    <x v="24"/>
    <m/>
  </r>
  <r>
    <d v="2026-05-13T00:00:00"/>
    <s v="https://www.etsy.com/listing/4399213134/new-to-the-club-bike-embroidered-baby?transaction_id=5075383551"/>
    <s v="Cream"/>
    <s v="Cream"/>
    <s v="3-6 Months"/>
    <s v="United States"/>
    <s v="Bodysuit"/>
    <n v="5"/>
    <n v="20"/>
    <s v="MothersDay"/>
    <s v="3-6"/>
    <x v="90"/>
    <m/>
  </r>
  <r>
    <d v="2026-05-13T00:00:00"/>
    <s v="https://www.etsy.com/listing/4480040494/little-beach-bum-embroidered-baby-romper?transaction_id=5075565515"/>
    <s v="Caldet Blue"/>
    <s v="Caldet Blue"/>
    <s v="6-12M(short-sleeve)"/>
    <s v="United States"/>
    <s v="Romper Short"/>
    <n v="5"/>
    <n v="20"/>
    <s v="MothersDay"/>
    <s v="6-12"/>
    <x v="63"/>
    <m/>
  </r>
  <r>
    <d v="2026-05-13T00:00:00"/>
    <s v="https://www.etsy.com/listing/4495400367/new-to-the-hunting-crew-duck-arrow?transaction_id=5076025859"/>
    <s v="Light Pink"/>
    <s v="Light Pink"/>
    <s v="0-3 Months"/>
    <s v="United States"/>
    <s v="Bodysuit"/>
    <n v="5"/>
    <n v="20"/>
    <s v="MothersDay"/>
    <s v="0-3"/>
    <x v="93"/>
    <m/>
  </r>
  <r>
    <d v="2026-05-13T00:00:00"/>
    <s v="https://www.etsy.com/listing/4474297353/daddys-coffee-date-bodysuit-embroidered?transaction_id=5076102865"/>
    <s v="Coffee"/>
    <s v="Coffee"/>
    <s v="0-3(short-sleeve)"/>
    <s v="United States"/>
    <s v="Romper Short"/>
    <n v="5"/>
    <n v="20"/>
    <s v="MothersDay"/>
    <s v="0-3"/>
    <x v="14"/>
    <m/>
  </r>
  <r>
    <d v="2026-05-13T00:00:00"/>
    <s v="https://www.etsy.com/listing/4490067659/daddys-little-caddy-embroidered-baby?transaction_id=5075349531"/>
    <s v="Cream"/>
    <s v="Cream"/>
    <s v="6-12M(short-sleeve)"/>
    <s v="Canada"/>
    <s v="Romper Short"/>
    <n v="5"/>
    <n v="20"/>
    <s v="MothersDay"/>
    <s v="6-12"/>
    <x v="47"/>
    <m/>
  </r>
  <r>
    <d v="2026-05-13T00:00:00"/>
    <s v="https://www.etsy.com/listing/4493305337/daddys-hunting-buddy-embroidered-baby?transaction_id=5076015525"/>
    <s v="Texas Orange"/>
    <s v="Texas Orange"/>
    <s v="0-3 Months(Long-Sleeve)"/>
    <s v="United States"/>
    <s v="Romper Longer"/>
    <n v="5"/>
    <n v="20"/>
    <s v="MothersDay"/>
    <s v="0-3"/>
    <x v="83"/>
    <m/>
  </r>
  <r>
    <d v="2026-05-14T00:00:00"/>
    <s v="https://www.etsy.com/listing/4500080239/daddys-future-lifting-partner-retro?transaction_id=5064477522"/>
    <s v="Light Blue "/>
    <s v="Light Blue "/>
    <s v="0-3 Months"/>
    <s v="United States"/>
    <s v="Bodysuit"/>
    <n v="5"/>
    <n v="20"/>
    <s v="MothersDay"/>
    <s v="0-3"/>
    <x v="88"/>
    <m/>
  </r>
  <r>
    <d v="2026-05-14T00:00:00"/>
    <s v="https://www.etsy.com/listing/4481749299/future-world-traveler-embroidered-baby?transaction_id=5065568336"/>
    <s v="Dusty Pink"/>
    <s v="Dusty Pink"/>
    <s v="0-3 Months(Long-Sleeve)"/>
    <s v="Canada"/>
    <s v="Romper Longer"/>
    <n v="5"/>
    <n v="20"/>
    <s v="MothersDay"/>
    <s v="0-3"/>
    <x v="45"/>
    <m/>
  </r>
  <r>
    <d v="2026-05-14T00:00:00"/>
    <s v="https://www.etsy.com/listing/4480040494/little-beach-bum-embroidered-baby-romper?transaction_id=5049925631"/>
    <s v="white"/>
    <s v="White"/>
    <s v="3-6 Months(Long-Sleeve)"/>
    <s v="United States"/>
    <s v="Romper Longer"/>
    <n v="5"/>
    <n v="20"/>
    <s v="MothersDay"/>
    <s v="3-6"/>
    <x v="70"/>
    <m/>
  </r>
  <r>
    <d v="2026-05-16T00:00:00"/>
    <s v="https://www.etsy.com/listing/4473734263/custom-kangaroo-embroidered-baby-romper?transaction_id=5080660909"/>
    <s v=" White "/>
    <s v=" White "/>
    <s v="6-12M (short-sleeve)"/>
    <s v="United States"/>
    <s v="Romper Short"/>
    <n v="5"/>
    <n v="20"/>
    <s v="MothersDay"/>
    <s v="6-12"/>
    <x v="42"/>
    <m/>
  </r>
  <r>
    <d v="2026-05-17T00:00:00"/>
    <s v="https://www.etsy.com/listing/4399213134/new-to-the-club-bike-embroidered-baby?transaction_id=5080844053"/>
    <s v="Cream "/>
    <s v="Cream "/>
    <s v="3-6 Months"/>
    <s v="Germany"/>
    <s v="Bodysuit"/>
    <n v="5"/>
    <n v="21"/>
    <s v="MothersDay"/>
    <s v="3-6"/>
    <x v="90"/>
    <m/>
  </r>
  <r>
    <d v="2026-05-17T00:00:00"/>
    <s v="https://www.etsy.com/listing/4473747526/custom-penguin-bodysuit-embroidered-baby?transaction_id=5081250215"/>
    <s v="Cream"/>
    <s v="Cream"/>
    <s v="3-6 Months(Short-Sleeve)"/>
    <s v="Switzerland"/>
    <s v="Romper Short"/>
    <n v="5"/>
    <n v="21"/>
    <s v="MothersDay"/>
    <s v="3-6"/>
    <x v="0"/>
    <m/>
  </r>
  <r>
    <d v="2026-05-17T00:00:00"/>
    <s v="https://www.etsy.com/listing/4485710161/apparently-i-like-running-embroidered?transaction_id=5081568415"/>
    <s v="Watermelon  "/>
    <s v="Watermelon  "/>
    <s v="18-24M (long-sleeve)"/>
    <s v="United States"/>
    <s v="Romper Longer"/>
    <n v="5"/>
    <n v="21"/>
    <s v="MothersDay"/>
    <s v="18-24"/>
    <x v="100"/>
    <m/>
  </r>
  <r>
    <d v="2026-05-17T00:00:00"/>
    <s v="https://www.etsy.com/listing/4493305337/daddys-hunting-buddy-embroidered-baby?transaction_id=5082831833"/>
    <s v=" Cream"/>
    <s v=" Cream"/>
    <s v="3-6 Month (Long-Sleeve)"/>
    <s v="United States"/>
    <s v="Romper Longer"/>
    <n v="5"/>
    <n v="21"/>
    <s v="MothersDay"/>
    <s v="3-6"/>
    <x v="1"/>
    <m/>
  </r>
  <r>
    <d v="2026-05-19T00:00:00"/>
    <s v="https://www.etsy.com/listing/4399231639/first-grandbaby-embroidered-baby-romper?transaction_id=5071207874"/>
    <s v="Cream "/>
    <s v="Cream "/>
    <s v="0-3 Months"/>
    <s v="United States"/>
    <s v="Bodysuit"/>
    <n v="5"/>
    <n v="21"/>
    <s v="MothersDay"/>
    <s v="0-3"/>
    <x v="89"/>
    <m/>
  </r>
  <r>
    <d v="2026-05-19T00:00:00"/>
    <s v="https://www.etsy.com/listing/4404016464/player-3-has-entered-the-game?transaction_id=5071442942"/>
    <s v="Light Blue"/>
    <s v="Light Blue"/>
    <s v="0-3 Months"/>
    <s v="United States"/>
    <s v="Bodysuit"/>
    <n v="5"/>
    <n v="21"/>
    <s v="MothersDay"/>
    <s v="0-3"/>
    <x v="88"/>
    <m/>
  </r>
  <r>
    <d v="2026-05-19T00:00:00"/>
    <s v="https://www.etsy.com/listing/4490494063/im-proof-that-my-dad-isnt-always-golfing?transaction_id=5084782699"/>
    <s v="Light Blue"/>
    <s v="Light Blue"/>
    <s v="3-6 Months"/>
    <s v="United States"/>
    <s v="Bodysuit"/>
    <n v="5"/>
    <n v="21"/>
    <s v="MothersDay"/>
    <s v="3-6"/>
    <x v="92"/>
    <m/>
  </r>
  <r>
    <d v="2026-05-19T00:00:00"/>
    <s v="https://www.etsy.com/listing/4493262715/new-to-the-club-golf-embroidered-baby?transaction_id=5084388325"/>
    <s v=" Caldet Blue"/>
    <s v=" Caldet Blue"/>
    <s v="0-3 Months(Long-Sleeve)"/>
    <s v="United States"/>
    <s v="Romper Longer"/>
    <n v="5"/>
    <n v="21"/>
    <s v="MothersDay"/>
    <s v="0-3"/>
    <x v="9"/>
    <m/>
  </r>
  <r>
    <d v="2026-05-19T00:00:00"/>
    <s v="https://www.etsy.com/listing/4493262715/new-to-the-club-golf-embroidered-baby?transaction_id=5071280368"/>
    <s v=" White"/>
    <s v=" White"/>
    <s v="0-3 Months (Long-Sleeve)"/>
    <s v="United States"/>
    <s v="Romper Longer"/>
    <n v="5"/>
    <n v="21"/>
    <s v="MothersDay"/>
    <s v="0-3"/>
    <x v="54"/>
    <m/>
  </r>
  <r>
    <d v="2026-05-20T00:00:00"/>
    <s v="https://www.etsy.com/listing/4447378305/opal-personalized-shell-embroidered-baby?transaction_id=5072089578"/>
    <s v="Light Blue"/>
    <s v="Light Blue"/>
    <s v="3-6 Months"/>
    <s v="United States"/>
    <s v="Bodysuit"/>
    <n v="5"/>
    <n v="21"/>
    <s v="MothersDay"/>
    <s v="3-6"/>
    <x v="92"/>
    <m/>
  </r>
  <r>
    <d v="2026-05-20T00:00:00"/>
    <s v="https://www.etsy.com/listing/4376404086/embroidered-lil-nugget-baby-bodysuit?transaction_id=5072891550"/>
    <s v="Cream  "/>
    <s v="Cream  "/>
    <s v="6-12M(long-sleeve) "/>
    <s v="United States"/>
    <s v="Romper Longer"/>
    <n v="5"/>
    <n v="21"/>
    <s v="MothersDay"/>
    <s v="6-12"/>
    <x v="17"/>
    <m/>
  </r>
  <r>
    <d v="2026-05-20T00:00:00"/>
    <s v="https://www.etsy.com/listing/4480040494/little-beach-bum-embroidered-baby-romper?transaction_id=5072894242"/>
    <s v="Caldet Blue"/>
    <s v="Caldet Blue"/>
    <s v="0-3 Months(Short-Sleeve)"/>
    <s v="United States"/>
    <s v="Romper Short"/>
    <n v="5"/>
    <n v="21"/>
    <s v="MothersDay"/>
    <s v="0-3"/>
    <x v="38"/>
    <m/>
  </r>
  <r>
    <d v="2026-05-20T00:00:00"/>
    <s v="https://www.etsy.com/listing/4485708190/daddys-little-caddy-embroidered-baby?transaction_id=5085952345"/>
    <s v=" Cream"/>
    <s v=" Cream"/>
    <s v="0-3 Months(Short-Sleeve)"/>
    <s v="United Kingdom"/>
    <s v="Romper Short"/>
    <n v="5"/>
    <n v="21"/>
    <s v="MothersDay"/>
    <s v="0-3"/>
    <x v="15"/>
    <m/>
  </r>
  <r>
    <d v="2026-05-22T00:00:00"/>
    <s v="https://www.etsy.com/listing/4495400367/new-to-the-hunting-crew-duck-arrow?transaction_id=5073049238"/>
    <s v="Light Pink"/>
    <s v="Light Pink"/>
    <s v="3-6 Months"/>
    <s v="Canada"/>
    <s v="Bodysuit"/>
    <n v="5"/>
    <n v="21"/>
    <s v="MothersDay"/>
    <s v="3-6"/>
    <x v="91"/>
    <m/>
  </r>
  <r>
    <d v="2026-05-21T00:00:00"/>
    <s v="https://www.etsy.com/listing/4399231639/first-grandbaby-embroidered-baby-romper?transaction_id=5073573486"/>
    <s v="Cream"/>
    <s v="Cream"/>
    <s v="0-3 Months"/>
    <s v="United States"/>
    <s v="Bodysuit"/>
    <n v="5"/>
    <n v="21"/>
    <s v="MothersDay"/>
    <s v="0-3"/>
    <x v="89"/>
    <m/>
  </r>
  <r>
    <d v="2026-05-21T00:00:00"/>
    <s v="https://www.etsy.com/listing/4500080239/daddys-future-lifting-partner-retro?transaction_id=5073951144"/>
    <s v=" Light Pink"/>
    <s v=" Light Pink"/>
    <s v="3-6 Months"/>
    <s v="United States"/>
    <s v="Bodysuit"/>
    <n v="5"/>
    <n v="21"/>
    <s v="MothersDay"/>
    <s v="3-6"/>
    <x v="91"/>
    <m/>
  </r>
  <r>
    <d v="2026-05-21T00:00:00"/>
    <s v="https://www.etsy.com/listing/4485708190/daddys-little-caddy-embroidered-baby?transaction_id=5086797207"/>
    <s v=" Sage Green"/>
    <s v=" Sage Green"/>
    <s v="0-3 Months (Short-Sleeve)"/>
    <s v="United States"/>
    <s v="Romper Short"/>
    <n v="5"/>
    <n v="21"/>
    <s v="MothersDay"/>
    <s v="0-3"/>
    <x v="13"/>
    <m/>
  </r>
  <r>
    <d v="2026-05-22T00:00:00"/>
    <s v="https://www.etsy.com/listing/4418854736/i-cant-wait-to-jam-with-daddy-piano?transaction_id=5088179937"/>
    <s v="Light Blue"/>
    <s v="Light Blue"/>
    <s v="0-3 Months"/>
    <s v="United States"/>
    <s v="Bodysuit"/>
    <n v="5"/>
    <n v="21"/>
    <s v="MothersDay"/>
    <s v="0-3"/>
    <x v="88"/>
    <m/>
  </r>
  <r>
    <d v="2026-05-22T00:00:00"/>
    <s v="https://www.etsy.com/listing/4503429855/custom-name-golf-embroidered-baby-romper?transaction_id=5074501022"/>
    <s v="Cream"/>
    <s v="Cream"/>
    <s v="3-6 Months (Long-Sleeve)"/>
    <s v="United States"/>
    <s v="Romper Longer"/>
    <n v="5"/>
    <n v="21"/>
    <s v="MothersDay"/>
    <s v="3-6"/>
    <x v="1"/>
    <m/>
  </r>
  <r>
    <d v="2026-05-23T00:00:00"/>
    <s v="https://www.etsy.com/listing/4507649485/apparently-i-like-soccer-embroidered?transaction_id=5089290437"/>
    <s v=" Dusty Pink"/>
    <s v=" Dusty Pink"/>
    <s v="0-3 Months(Short-Sleeve)"/>
    <s v="United States"/>
    <s v="Romper Short"/>
    <n v="5"/>
    <n v="21"/>
    <s v="MothersDay"/>
    <s v="0-3"/>
    <x v="34"/>
    <m/>
  </r>
  <r>
    <d v="2026-05-24T00:00:00"/>
    <s v="https://www.etsy.com/listing/4485710996/masters-2026-augusta-national-golf-club?transaction_id=5077126830"/>
    <s v=" White"/>
    <s v=" White"/>
    <s v="18-24M(short-sleeve)"/>
    <s v="United States"/>
    <s v="Romper Short"/>
    <n v="5"/>
    <n v="22"/>
    <s v="MothersDay"/>
    <s v="18-24"/>
    <x v="43"/>
    <m/>
  </r>
  <r>
    <d v="2026-05-24T00:00:00"/>
    <s v="https://www.etsy.com/listing/4500215026/newest-workout-buddy-kettlebell?transaction_id=5090244201"/>
    <s v="Cream"/>
    <s v="Cream"/>
    <s v="0-3 Months(Short-Sleeve)"/>
    <s v="United States"/>
    <s v="Romper Short"/>
    <n v="5"/>
    <n v="22"/>
    <s v="MothersDay"/>
    <s v="0-3"/>
    <x v="15"/>
    <m/>
  </r>
  <r>
    <d v="2026-05-23T00:00:00"/>
    <s v="https://www.etsy.com/listing/4508836983/race-car-embroidered-baby-bodysuit?transaction_id=5076093492"/>
    <s v=" Light Pink"/>
    <s v=" Light Pink"/>
    <s v="3-6 Months"/>
    <s v="United States"/>
    <s v="Bodysuit"/>
    <n v="5"/>
    <n v="21"/>
    <s v="MothersDay"/>
    <s v="3-6"/>
    <x v="91"/>
    <m/>
  </r>
  <r>
    <d v="2026-05-23T00:00:00"/>
    <s v="https://www.etsy.com/listing/4490490949/daddys-little-caddy-embroidered-baby?transaction_id=5089085089"/>
    <s v="Light Pink"/>
    <s v="Light Pink"/>
    <s v="3-6 Months"/>
    <s v="United States"/>
    <s v="Bodysuit"/>
    <n v="5"/>
    <n v="21"/>
    <s v="MothersDay"/>
    <s v="3-6"/>
    <x v="91"/>
    <m/>
  </r>
  <r>
    <d v="2026-05-24T00:00:00"/>
    <s v="https://www.etsy.com/listing/4475403120/future-drummer-like-daddy-embroidered?transaction_id=5076993930"/>
    <s v="Watermelon"/>
    <s v="Watermelon"/>
    <s v="3-6 Months(Long-Sleeve)"/>
    <s v="United States"/>
    <s v="Romper Longer"/>
    <n v="5"/>
    <n v="22"/>
    <s v="MothersDay"/>
    <s v="3-6"/>
    <x v="20"/>
    <m/>
  </r>
  <r>
    <d v="2026-05-24T00:00:00"/>
    <s v="https://www.etsy.com/listing/4507630409/tiny-agent-of-chaos-frog-embroidered?transaction_id=5077259176"/>
    <s v="Light Blue"/>
    <s v="Light Blue"/>
    <s v="0-3 Months"/>
    <s v="United States"/>
    <s v="Bodysuit"/>
    <n v="5"/>
    <n v="22"/>
    <s v="MothersDay"/>
    <s v="0-3"/>
    <x v="88"/>
    <m/>
  </r>
  <r>
    <d v="2026-05-25T00:00:00"/>
    <s v="https://www.etsy.com/listing/4507682211/crawl-walk-golf-embroidered-baby-romper?transaction_id=5078004690"/>
    <s v="Caldet Blue"/>
    <s v="Caldet Blue"/>
    <s v="3-6 Months(Long-Sleeve)"/>
    <s v="United States"/>
    <s v="Romper Longer"/>
    <n v="5"/>
    <n v="22"/>
    <s v="MothersDay"/>
    <s v="3-6"/>
    <x v="23"/>
    <m/>
  </r>
  <r>
    <d v="2026-05-26T00:00:00"/>
    <s v="https://www.etsy.com/listing/4509429762/my-aunt-says-im-perfect-just-like-her?transaction_id=5090858909"/>
    <s v=" Cream"/>
    <s v=" Cream"/>
    <s v="0-3 Months"/>
    <s v="United States"/>
    <s v="Bodysuit"/>
    <n v="5"/>
    <n v="22"/>
    <s v="MothersDay"/>
    <s v="0-3"/>
    <x v="89"/>
    <m/>
  </r>
  <r>
    <d v="2026-05-26T00:00:00"/>
    <s v="https://www.etsy.com/listing/4473734263/custom-kangaroo-embroidered-baby-romper?transaction_id=5091143355"/>
    <s v="White"/>
    <s v="White"/>
    <s v="3-6 Months (Long-Sleeve)"/>
    <s v="United States"/>
    <s v="Romper Longer"/>
    <n v="5"/>
    <n v="22"/>
    <s v="MothersDay"/>
    <s v="3-6"/>
    <x v="70"/>
    <m/>
  </r>
  <r>
    <d v="2026-05-26T00:00:00"/>
    <s v="https://www.etsy.com/listing/4481746930/custom-name-golf-club-bag-embroidered?transaction_id=5091354243"/>
    <s v=" Light Blue"/>
    <s v=" Light Blue"/>
    <s v="3-6 Months"/>
    <s v="United States"/>
    <s v="Bodysuit"/>
    <n v="5"/>
    <n v="22"/>
    <s v="MothersDay"/>
    <s v="3-6"/>
    <x v="92"/>
    <m/>
  </r>
  <r>
    <d v="2026-05-26T00:00:00"/>
    <s v="https://www.etsy.com/listing/4509425156/on-sundays-we-watch-football-with-daddy?transaction_id=5079253756"/>
    <s v=" Cream"/>
    <s v=" Cream"/>
    <s v="3-6 Months"/>
    <s v="Canada"/>
    <s v="Bodysuit"/>
    <n v="5"/>
    <n v="22"/>
    <s v="MothersDay"/>
    <s v="3-6"/>
    <x v="90"/>
    <m/>
  </r>
  <r>
    <d v="2026-05-27T00:00:00"/>
    <s v="https://www.etsy.com/listing/4408354290/born-to-run-with-dad-baby-romper-runner?transaction_id=5080019032"/>
    <s v=" Cream"/>
    <s v=" Cream"/>
    <s v="3-6 Months"/>
    <s v="United States"/>
    <s v="Bodysuit"/>
    <n v="5"/>
    <n v="22"/>
    <s v="MothersDay"/>
    <s v="3-6"/>
    <x v="90"/>
    <m/>
  </r>
  <r>
    <d v="2026-05-27T00:00:00"/>
    <s v="https://www.etsy.com/listing/4500096662/running-buddy-sneaker-embroidered-baby?transaction_id=5080186736"/>
    <s v=" Cream"/>
    <s v=" Cream"/>
    <s v="3-6 Months"/>
    <s v="United States"/>
    <s v="Bodysuit"/>
    <n v="5"/>
    <n v="22"/>
    <s v="MothersDay"/>
    <s v="3-6"/>
    <x v="90"/>
    <m/>
  </r>
  <r>
    <d v="2026-05-27T00:00:00"/>
    <s v="https://www.etsy.com/listing/4509437702/apparently-i-like-fishing-embroidered?transaction_id=5079593642"/>
    <s v="Dusty Pink"/>
    <s v="Dusty Pink"/>
    <s v="0-3 Months(Short-Sleeve)"/>
    <s v="United States"/>
    <s v="Romper Short"/>
    <n v="5"/>
    <n v="22"/>
    <s v="MothersDay"/>
    <s v="0-3"/>
    <x v="34"/>
    <m/>
  </r>
  <r>
    <d v="2026-05-27T00:00:00"/>
    <s v="https://www.etsy.com/listing/4399205076/new-to-the-hive-embroidered-baby-romper?transaction_id=5080881210"/>
    <s v="Cream"/>
    <s v="Cream"/>
    <s v="3-6 Months"/>
    <s v="United States"/>
    <s v="Bodysuit"/>
    <n v="5"/>
    <n v="22"/>
    <s v="MothersDay"/>
    <s v="3-6"/>
    <x v="90"/>
    <m/>
  </r>
  <r>
    <d v="2026-05-27T00:00:00"/>
    <s v="https://www.etsy.com/listing/4485710996/masters-2026-augusta-national-golf-club?transaction_id=5093096699"/>
    <s v=" Cream"/>
    <s v=" Cream"/>
    <s v="3-6 Months(Short-Sleeve)"/>
    <s v="United States"/>
    <s v="Romper Short"/>
    <n v="5"/>
    <n v="22"/>
    <s v="MothersDay"/>
    <s v="3-6"/>
    <x v="0"/>
    <m/>
  </r>
  <r>
    <d v="2026-05-28T00:00:00"/>
    <s v="https://www.etsy.com/listing/4480612102/golf-player-baby-girl-name-embroidered?transaction_id=5082110360&amp;dd_referrer="/>
    <s v=" Cream"/>
    <s v=" Cream"/>
    <s v="3-6 Months(Long-Sleeve)"/>
    <s v="Canada"/>
    <s v="Romper Longer"/>
    <n v="5"/>
    <n v="22"/>
    <s v="MothersDay"/>
    <s v="3-6"/>
    <x v="1"/>
    <m/>
  </r>
  <r>
    <d v="2026-05-29T00:00:00"/>
    <s v="https://www.etsy.com/listing/4477887740/new-best-friend-embroidered-baby-romper?transaction_id=5082111120"/>
    <s v="Sage Green"/>
    <s v="Sage Green"/>
    <s v="3-6 Months (Short-Sleeve)"/>
    <s v="United States"/>
    <s v="Romper Short"/>
    <n v="5"/>
    <n v="22"/>
    <s v="MothersDay"/>
    <s v="3-6"/>
    <x v="24"/>
    <m/>
  </r>
  <r>
    <d v="2026-05-29T00:00:00"/>
    <s v="https://www.etsy.com/listing/4473734263/custom-kangaroo-embroidered-baby-romper?transaction_id=5094265953"/>
    <s v=" Watermelon"/>
    <s v=" Watermelon"/>
    <s v="0-3 Months(Long-Sleeve)"/>
    <s v="United States"/>
    <s v="Romper Longer"/>
    <n v="5"/>
    <n v="22"/>
    <s v="MothersDay"/>
    <s v="0-3"/>
    <x v="36"/>
    <m/>
  </r>
  <r>
    <d v="2026-05-29T00:00:00"/>
    <s v="https://www.etsy.com/listing/4509960222/on-sundays-we-watch-football-with-daddy?transaction_id=5081874660"/>
    <s v="White"/>
    <s v="White"/>
    <s v="0-3 Months (Long-Sleeve)"/>
    <s v="United States"/>
    <s v="Romper Longer"/>
    <n v="5"/>
    <n v="22"/>
    <s v="MothersDay"/>
    <s v="0-3"/>
    <x v="54"/>
    <m/>
  </r>
  <r>
    <d v="2026-05-29T00:00:00"/>
    <s v="https://www.etsy.com/listing/4510951277/new-to-the-gang-embroidered-baby-romper?transaction_id=5094038609"/>
    <s v="Cream"/>
    <s v="Cream"/>
    <s v="12-18M(short-sleeve)"/>
    <s v="United States"/>
    <s v="Romper Short"/>
    <n v="5"/>
    <n v="22"/>
    <s v="MothersDay"/>
    <s v="12-18"/>
    <x v="26"/>
    <m/>
  </r>
  <r>
    <d v="2026-05-30T00:00:00"/>
    <s v="https://www.etsy.com/in-en/listing/4488317285/little-squirrel-embroidered-romper?transaction_id=5083546916"/>
    <s v="Dusty pink"/>
    <s v="Dusty Pink"/>
    <s v="3-6 Months(short- sleeve)"/>
    <s v="United States"/>
    <s v="Romper Short"/>
    <n v="5"/>
    <n v="22"/>
    <s v="MothersDay"/>
    <s v="3-6"/>
    <x v="31"/>
    <m/>
  </r>
  <r>
    <d v="2026-05-31T00:00:00"/>
    <s v="https://www.etsy.com/listing/4509960222/on-sundays-we-watch-football-with-daddy?transaction_id=5083273384"/>
    <s v=" Cream"/>
    <s v=" Cream"/>
    <s v="6-12M (long-sleeve)"/>
    <s v="United States"/>
    <s v="Romper Longer"/>
    <n v="5"/>
    <n v="23"/>
    <s v="MothersDay"/>
    <s v="6-12"/>
    <x v="17"/>
    <m/>
  </r>
  <r>
    <d v="2026-05-28T00:00:00"/>
    <s v="https://www.etsy.com/listing/4495406377/my-daddy-is-a-better-golfer-funny-golf?transaction_id=5082776812"/>
    <s v="Cream"/>
    <s v="Cream"/>
    <s v="3-6 Months"/>
    <s v="United States"/>
    <s v="Bodysuit"/>
    <n v="5"/>
    <n v="22"/>
    <s v="MothersDay"/>
    <s v="3-6"/>
    <x v="90"/>
    <m/>
  </r>
  <r>
    <d v="2026-05-29T00:00:00"/>
    <s v="https://www.etsy.com/listing/4474297353/daddys-coffee-date-bodysuit-embroidered?transaction_id=5083293586"/>
    <s v="Cream"/>
    <s v="Cream"/>
    <s v="3-6 Months (Long-Sleeve)"/>
    <s v="United Kingdom"/>
    <s v="Romper Longer"/>
    <n v="5"/>
    <n v="22"/>
    <s v="MothersDay"/>
    <s v="3-6"/>
    <x v="1"/>
    <m/>
  </r>
  <r>
    <d v="2026-05-29T00:00:00"/>
    <s v="https://www.etsy.com/listing/4500080239/daddys-future-lifting-partner-retro?transaction_id=5083461290"/>
    <s v="Light Pink"/>
    <s v="Light Pink"/>
    <s v="3-6 Months"/>
    <s v="United States"/>
    <s v="Bodysuit"/>
    <n v="5"/>
    <n v="22"/>
    <s v="MothersDay"/>
    <s v="3-6"/>
    <x v="91"/>
    <m/>
  </r>
  <r>
    <d v="2026-05-30T00:00:00"/>
    <s v="https://www.etsy.com/listing/4475396971/future-barber-like-my-daddy-embroidered?transaction_id=5084301098"/>
    <s v="Forest Green"/>
    <s v="Forest Green"/>
    <s v="6-12M (long-sleeve)"/>
    <s v="United Kingdom"/>
    <s v="Romper Longer"/>
    <n v="5"/>
    <n v="22"/>
    <s v="MothersDay"/>
    <s v="6-12"/>
    <x v="30"/>
    <m/>
  </r>
  <r>
    <d v="2026-05-30T00:00:00"/>
    <s v="https://www.etsy.com/listing/4480040494/little-beach-bum-embroidered-baby-romper?transaction_id=5096584091"/>
    <s v=" White"/>
    <s v=" White"/>
    <s v="6-12M(short-sleeve)"/>
    <s v="United States"/>
    <s v="Romper Short"/>
    <n v="5"/>
    <n v="22"/>
    <s v="MothersDay"/>
    <s v="6-12"/>
    <x v="42"/>
    <m/>
  </r>
  <r>
    <d v="2026-05-30T00:00:00"/>
    <s v="https://www.etsy.com/listing/4481741792/little-bean-coffee-lover-embroidered?transaction_id=5096873843"/>
    <s v=" Cream"/>
    <s v=" Cream"/>
    <s v="3-6 Months"/>
    <s v="United States"/>
    <s v="Bodysuit"/>
    <n v="5"/>
    <n v="22"/>
    <s v="MothersDay"/>
    <s v="3-6"/>
    <x v="90"/>
    <m/>
  </r>
  <r>
    <d v="2026-05-30T00:00:00"/>
    <s v="https://www.etsy.com/listing/4485710996/masters-2026-augusta-national-golf-club?transaction_id=5084357934"/>
    <s v=" Forest Green"/>
    <s v=" Forest Green"/>
    <s v="3-6 Months(Long-Sleeve)"/>
    <s v="United Kingdom"/>
    <s v="Romper Longer"/>
    <n v="5"/>
    <n v="22"/>
    <s v="MothersDay"/>
    <s v="3-6"/>
    <x v="4"/>
    <m/>
  </r>
  <r>
    <d v="2026-05-30T00:00:00"/>
    <s v="https://www.etsy.com/listing/4500215026/newest-workout-buddy-kettlebell?transaction_id=5085904998"/>
    <s v=" Dusty Pink"/>
    <s v=" Dusty Pink"/>
    <s v="0-3 Months(Long-Sleeve)"/>
    <s v="United States"/>
    <s v="Romper Longer"/>
    <n v="5"/>
    <n v="22"/>
    <s v="MothersDay"/>
    <s v="0-3"/>
    <x v="45"/>
    <m/>
  </r>
  <r>
    <d v="2026-06-01T00:00:00"/>
    <s v="https://www.etsy.com/listing/4509423661/born-to-play-like-my-daddy-embroidered?transaction_id=5098275233"/>
    <s v="Light Pink"/>
    <s v="Light Pink"/>
    <s v="3-6 Months"/>
    <s v="The Netherlands"/>
    <s v="Bodysuit"/>
    <n v="6"/>
    <n v="23"/>
    <s v="FathersDay"/>
    <s v="3-6"/>
    <x v="91"/>
    <m/>
  </r>
  <r>
    <d v="2026-06-01T00:00:00"/>
    <s v="https://www.etsy.com/listing/4510957011/new-to-the-crew-embroidered-baby-romper?transaction_id=5098515129"/>
    <s v="Caldet Blue"/>
    <s v="Caldet Blue"/>
    <s v="6-12M(short-Sleeve)"/>
    <s v="United Kingdom"/>
    <s v="Romper Short"/>
    <n v="6"/>
    <n v="23"/>
    <s v="FathersDay"/>
    <s v="6-12"/>
    <x v="63"/>
    <m/>
  </r>
  <r>
    <d v="2026-06-01T00:00:00"/>
    <s v="https://www.etsy.com/listing/4485710996/masters-2026-augusta-national-golf-club?transaction_id=5098981545"/>
    <s v="Cream"/>
    <s v="Cream"/>
    <s v="3-6 Months(short-Sleeve)"/>
    <s v="United States"/>
    <s v="Romper Short"/>
    <n v="6"/>
    <n v="23"/>
    <s v="FathersDay"/>
    <s v="3-6"/>
    <x v="0"/>
    <m/>
  </r>
  <r>
    <d v="2026-06-01T00:00:00"/>
    <s v="https://www.etsy.com/listing/4485710996/masters-2026-augusta-national-golf-club?transaction_id=5098981545"/>
    <s v="Sage Green"/>
    <s v="Sage Green"/>
    <s v="12-18M(short-sleeve)"/>
    <s v="United States"/>
    <s v="Romper Short"/>
    <n v="6"/>
    <n v="23"/>
    <s v="FathersDay"/>
    <s v="12-18"/>
    <x v="74"/>
    <m/>
  </r>
  <r>
    <d v="2026-06-02T00:00:00"/>
    <s v="https://www.etsy.com/listing/4513503284/daddys-future-pickleball-partner?transaction_id=5100012409&amp;dd_referrer="/>
    <s v="Cream"/>
    <s v="Cream"/>
    <s v="0-3 Months (Long-Sleeve)"/>
    <s v="United States"/>
    <s v="Romper Longer"/>
    <n v="6"/>
    <n v="23"/>
    <s v="FathersDay"/>
    <s v="0-3"/>
    <x v="2"/>
    <m/>
  </r>
  <r>
    <d v="2026-06-02T00:00:00"/>
    <s v="https://www.etsy.com/listing/4480040494/little-beach-bum-embroidered-baby-romper?transaction_id=5100226877"/>
    <s v="Cream"/>
    <s v="Cream"/>
    <s v="12-18M(short-sleeve)"/>
    <s v="United States"/>
    <s v="Romper Short"/>
    <n v="6"/>
    <n v="23"/>
    <s v="FathersDay"/>
    <s v="12-18"/>
    <x v="26"/>
    <m/>
  </r>
  <r>
    <d v="2026-06-02T00:00:00"/>
    <s v="https://www.etsy.com/listing/4399219527/new-to-the-club-swimming-embroidered?transaction_id=5100609789"/>
    <s v=" Cream "/>
    <s v=" Cream "/>
    <s v="0-3 Months"/>
    <s v="United States"/>
    <s v="Bodysuit"/>
    <n v="6"/>
    <n v="23"/>
    <s v="FathersDay"/>
    <s v="0-3"/>
    <x v="89"/>
    <m/>
  </r>
  <r>
    <d v="2026-06-02T00:00:00"/>
    <s v="https://www.etsy.com/listing/4509964052/born-to-ride-with-my-daddy-embroidered?transaction_id=5099876199"/>
    <s v="Cream"/>
    <s v="Cream"/>
    <s v="6-12M(short-sleeve)"/>
    <s v="France"/>
    <s v="Romper Short"/>
    <n v="6"/>
    <n v="23"/>
    <s v="FathersDay"/>
    <s v="6-12"/>
    <x v="47"/>
    <m/>
  </r>
  <r>
    <d v="2026-06-03T00:00:00"/>
    <s v="https://www.etsy.com/listing/4485710996/masters-2026-augusta-national-golf-club?transaction_id=5090072748"/>
    <s v=" Cream"/>
    <s v=" Cream"/>
    <s v="3-6 Months(Long-Sleeve)"/>
    <s v="United Kingdom"/>
    <s v="Romper Longer"/>
    <n v="6"/>
    <n v="23"/>
    <s v="FathersDay"/>
    <s v="3-6"/>
    <x v="1"/>
    <m/>
  </r>
  <r>
    <d v="2026-06-03T00:00:00"/>
    <s v="https://www.etsy.com/listing/4509437702/apparently-i-like-fishing-embroidered?transaction_id=5090124708"/>
    <s v="Sage Green"/>
    <s v="Sage Green"/>
    <s v="3-6 Months (Short-Sleeve)"/>
    <s v="Canada"/>
    <s v="Romper Short"/>
    <n v="6"/>
    <n v="23"/>
    <s v="FathersDay"/>
    <s v="3-6"/>
    <x v="24"/>
    <m/>
  </r>
  <r>
    <d v="2026-06-03T00:00:00"/>
    <s v="https://www.etsy.com/listing/4485708736/daddys-caddie-embroidered-baby-romper?transaction_id=5101488115"/>
    <s v=" Cream"/>
    <s v=" Cream"/>
    <s v="6-12M (long-sleeve)"/>
    <s v="United States"/>
    <s v="Romper Longer"/>
    <n v="6"/>
    <n v="23"/>
    <s v="FathersDay"/>
    <s v="6-12"/>
    <x v="17"/>
    <m/>
  </r>
  <r>
    <d v="2026-06-03T00:00:00"/>
    <s v="https://www.etsy.com/listing/4508847254/born-to-ride-with-my-daddy-embroidered?transaction_id=5089728392"/>
    <s v="Light Pink"/>
    <s v="Light Pink"/>
    <s v="0-3 Months"/>
    <s v="Switzerland"/>
    <s v="Bodysuit"/>
    <n v="6"/>
    <n v="23"/>
    <s v="FathersDay"/>
    <s v="0-3"/>
    <x v="93"/>
    <m/>
  </r>
  <r>
    <d v="2026-06-03T00:00:00"/>
    <s v="https://www.etsy.com/listing/4495406377/my-daddy-is-a-better-golfer-funny-golf?transaction_id=5090263702"/>
    <s v="  Light Pink"/>
    <s v="  Light Pink"/>
    <s v="0-3 Months"/>
    <s v="United Kingdom"/>
    <s v="Bodysuit"/>
    <n v="6"/>
    <n v="23"/>
    <s v="FathersDay"/>
    <s v="0-3"/>
    <x v="93"/>
    <m/>
  </r>
  <r>
    <d v="2026-06-04T00:00:00"/>
    <s v="https://www.etsy.com/listing/4495408355/theres-no-crying-in-baseball-embroidered?transaction_id=5091300322&amp;dd_referrer="/>
    <s v="Light Blue"/>
    <s v="Light Blue"/>
    <s v="3-6 Months"/>
    <s v="United States"/>
    <s v="Bodysuit"/>
    <n v="6"/>
    <n v="23"/>
    <s v="FathersDay"/>
    <s v="3-6"/>
    <x v="92"/>
    <m/>
  </r>
  <r>
    <d v="2026-06-04T00:00:00"/>
    <s v="https://www.etsy.com/listing/4481742824/newest-hunting-buddy-duck-embroidered?transaction_id=5091361218"/>
    <s v="Cream"/>
    <s v="Cream"/>
    <s v="3-6 Months"/>
    <s v="United States"/>
    <s v="Bodysuit"/>
    <n v="6"/>
    <n v="23"/>
    <s v="FathersDay"/>
    <s v="3-6"/>
    <x v="90"/>
    <m/>
  </r>
  <r>
    <d v="2026-06-04T00:00:00"/>
    <s v="https://www.etsy.com/listing/4509423661/born-to-play-like-my-daddy-embroidered?transaction_id=5102757449"/>
    <s v=" Cream"/>
    <s v=" Cream"/>
    <s v="3-6 Months"/>
    <s v="United States"/>
    <s v="Bodysuit"/>
    <n v="6"/>
    <n v="23"/>
    <s v="FathersDay"/>
    <s v="3-6"/>
    <x v="90"/>
    <m/>
  </r>
  <r>
    <d v="2026-06-04T00:00:00"/>
    <s v="https://www.etsy.com/listing/4513503284/daddys-future-pickleball-partner?transaction_id=5102812921"/>
    <s v=" Cream"/>
    <s v=" Cream"/>
    <s v="6-12M(long-sleeve)"/>
    <s v="United States"/>
    <s v="Romper Longer"/>
    <n v="6"/>
    <n v="23"/>
    <s v="FathersDay"/>
    <s v="6-12"/>
    <x v="17"/>
    <m/>
  </r>
  <r>
    <d v="2026-06-04T00:00:00"/>
    <s v="https://www.etsy.com/listing/4475403120/future-drummer-like-daddy-embroidered?transaction_id=5092132738"/>
    <s v="Dusty Pink"/>
    <s v="Dusty Pink"/>
    <s v="3-6 Months (Short-Sleeve)"/>
    <s v="The Netherlands"/>
    <s v="Romper Short"/>
    <n v="6"/>
    <n v="23"/>
    <s v="FathersDay"/>
    <s v="3-6"/>
    <x v="31"/>
    <m/>
  </r>
  <r>
    <d v="2026-06-04T00:00:00"/>
    <s v="https://www.etsy.com/listing/4493302667/newest-hunting-buddy-embroidered-baby?transaction_id=5102828319"/>
    <s v=" Dusty Pink"/>
    <s v=" Dusty Pink"/>
    <s v="6-12M(long-sleeve)"/>
    <s v="United States"/>
    <s v="Romper Longer"/>
    <n v="6"/>
    <n v="23"/>
    <s v="FathersDay"/>
    <s v="6-12"/>
    <x v="51"/>
    <m/>
  </r>
  <r>
    <d v="2026-06-05T00:00:00"/>
    <s v="https://www.etsy.com/listing/4508974153/daddys-co-pilot-embroidered-baby-romper?transaction_id=5104075369"/>
    <s v=" Dusty Pink"/>
    <s v=" Dusty Pink"/>
    <s v="0-3 Months (Long-Sleeve)"/>
    <s v="United States"/>
    <s v="Romper Longer"/>
    <n v="6"/>
    <n v="23"/>
    <s v="FathersDay"/>
    <s v="0-3"/>
    <x v="45"/>
    <m/>
  </r>
  <r>
    <d v="2026-06-05T00:00:00"/>
    <s v="https://www.etsy.com/listing/4495418873/daddys-little-caddy-golf-bag-embroidered?transaction_id=5093398666"/>
    <s v=" Cream"/>
    <s v=" Cream"/>
    <s v="0-3 Months(Long-Sleeve)"/>
    <s v="Australia"/>
    <s v="Romper Longer"/>
    <n v="6"/>
    <n v="23"/>
    <s v="FathersDay"/>
    <s v="0-3"/>
    <x v="2"/>
    <m/>
  </r>
  <r>
    <d v="2026-06-05T00:00:00"/>
    <s v="https://www.etsy.com/listing/4513503284/daddys-future-pickleball-partner?transaction_id=5103902419"/>
    <s v=" Cream"/>
    <s v=" Cream"/>
    <s v="6-12M (short-sleeve)"/>
    <s v="United States"/>
    <s v="Romper Short"/>
    <n v="6"/>
    <n v="23"/>
    <s v="FathersDay"/>
    <s v="6-12"/>
    <x v="47"/>
    <m/>
  </r>
  <r>
    <d v="2026-06-06T00:00:00"/>
    <s v="https://www.etsy.com/listing/4489465797/new-to-the-line-crew-embroidered-baby?transaction_id=5093880444"/>
    <s v="Light Pink"/>
    <s v="Light Pink"/>
    <s v="0-3 Months"/>
    <s v="United States"/>
    <s v="Bodysuit"/>
    <n v="6"/>
    <n v="23"/>
    <s v="FathersDay"/>
    <s v="0-3"/>
    <x v="93"/>
    <m/>
  </r>
  <r>
    <d v="2026-06-06T00:00:00"/>
    <s v="https://www.etsy.com/listing/4473734263/custom-kangaroo-embroidered-baby-romper?transaction_id=5093912284"/>
    <s v=" Cream "/>
    <s v=" Cream "/>
    <s v="3-6 Months (Short-Sleeve)"/>
    <s v="United States"/>
    <s v="Romper Short"/>
    <n v="6"/>
    <n v="23"/>
    <s v="FathersDay"/>
    <s v="3-6"/>
    <x v="0"/>
    <m/>
  </r>
  <r>
    <d v="2026-06-06T00:00:00"/>
    <s v="https://www.etsy.com/listing/4495406377/my-daddy-is-a-better-golfer-funny-golf?transaction_id=5105088585"/>
    <s v="Light Pink"/>
    <s v="Light Pink"/>
    <s v="3-6 Months"/>
    <s v="United States"/>
    <s v="Bodysuit"/>
    <n v="6"/>
    <n v="23"/>
    <s v="FathersDay"/>
    <s v="3-6"/>
    <x v="91"/>
    <m/>
  </r>
  <r>
    <d v="2026-06-06T00:00:00"/>
    <s v="https://www.etsy.com/listing/4478439582/new-to-the-club-bodysuit-embroidered?transaction_id=5106106717"/>
    <s v="Light Blue"/>
    <s v="Light Blue"/>
    <s v="0-3 Months"/>
    <s v="United States"/>
    <s v="Bodysuit"/>
    <n v="6"/>
    <n v="23"/>
    <s v="FathersDay"/>
    <s v="0-3"/>
    <x v="88"/>
    <m/>
  </r>
  <r>
    <d v="2026-06-07T00:00:00"/>
    <s v="https://www.etsy.com/listing/4475396317/custom-name-soccer-embroidered-baby?transaction_id=5106418857"/>
    <s v="Dusty PinK"/>
    <s v="Dusty Pink"/>
    <s v="3-6 Months(Short-Sleeve)"/>
    <s v="United States"/>
    <s v="Romper Short"/>
    <n v="6"/>
    <n v="24"/>
    <s v="FathersDay"/>
    <s v="3-6"/>
    <x v="31"/>
    <m/>
  </r>
  <r>
    <d v="2026-06-07T00:00:00"/>
    <s v="https://www.etsy.com/listing/4508958063/my-daddys-muscles-embroidered-baby?transaction_id=5095036218"/>
    <s v="Dusty Pink"/>
    <s v="Dusty Pink"/>
    <s v="0-3 Months(Short-Sleeve)"/>
    <s v="United Kingdom"/>
    <s v="Romper Short"/>
    <n v="6"/>
    <n v="24"/>
    <s v="FathersDay"/>
    <s v="0-3"/>
    <x v="34"/>
    <m/>
  </r>
  <r>
    <d v="2026-06-07T00:00:00"/>
    <s v="https://www.etsy.com/listing/4485708736/daddys-caddie-embroidered-baby-romper?transaction_id=5095353764"/>
    <s v=" Caldet Blue"/>
    <s v=" Caldet Blue"/>
    <s v="3-6 Months (Long-Sleeve)"/>
    <s v="United States"/>
    <s v="Romper Longer"/>
    <n v="6"/>
    <n v="24"/>
    <s v="FathersDay"/>
    <s v="3-6"/>
    <x v="23"/>
    <m/>
  </r>
  <r>
    <d v="2026-06-09T00:00:00"/>
    <s v="https://www.etsy.com/listing/4500089032/daddys-future-lifting-partner-barbell?transaction_id=5107862119"/>
    <s v="Light Pink"/>
    <s v="Light Pink"/>
    <s v="3-6 Months"/>
    <s v="United States"/>
    <s v="Bodysuit"/>
    <n v="6"/>
    <n v="24"/>
    <s v="FathersDay"/>
    <s v="3-6"/>
    <x v="91"/>
    <m/>
  </r>
  <r>
    <d v="2026-06-09T00:00:00"/>
    <s v="https://www.etsy.com/listing/4509421965/my-siblings-have-whiskers-embroidered?transaction_id=5097808076"/>
    <s v="Light Pink"/>
    <s v="Light Pink"/>
    <s v="3-6 Months"/>
    <s v="United States"/>
    <s v="Bodysuit"/>
    <n v="6"/>
    <n v="24"/>
    <s v="FathersDay"/>
    <s v="3-6"/>
    <x v="91"/>
    <m/>
  </r>
  <r>
    <d v="2026-06-09T00:00:00"/>
    <s v="https://www.etsy.com/listing/4490490949/daddys-little-caddy-embroidered-baby?transaction_id=5107904565"/>
    <s v="Light Pink"/>
    <s v="Light Pink"/>
    <s v="3-6 Months"/>
    <s v="United States"/>
    <s v="Bodysuit"/>
    <n v="6"/>
    <n v="24"/>
    <s v="FathersDay"/>
    <s v="3-6"/>
    <x v="91"/>
    <m/>
  </r>
  <r>
    <d v="2026-06-09T00:00:00"/>
    <s v="https://www.etsy.com/listing/4478504995/pack-my-diapers-im-going-racing?transaction_id=5109200033"/>
    <s v="Light Blue"/>
    <s v="Light Blue"/>
    <s v="3-6 Months"/>
    <s v="The Netherlands"/>
    <s v="Bodysuit"/>
    <n v="6"/>
    <n v="24"/>
    <s v="FathersDay"/>
    <s v="3-6"/>
    <x v="92"/>
    <m/>
  </r>
  <r>
    <d v="2026-06-10T00:00:00"/>
    <s v="https://www.etsy.com/listing/4481744448/powered-by-milk-funny-racing-car?transaction_id=5099279898"/>
    <s v="Cream"/>
    <s v="Cream"/>
    <s v="0-3 Months"/>
    <s v="The Netherlands"/>
    <s v="Bodysuit"/>
    <n v="6"/>
    <n v="24"/>
    <s v="FathersDay"/>
    <s v="0-3"/>
    <x v="89"/>
    <m/>
  </r>
  <r>
    <d v="2026-06-11T00:00:00"/>
    <s v="https://www.etsy.com/listing/4399222424/milk-then-burpees-embroidered-baby?transaction_id=5101335636"/>
    <s v="Cream"/>
    <s v="Cream"/>
    <s v="0-3 Months"/>
    <s v="United States"/>
    <s v="Bodysuit"/>
    <n v="6"/>
    <n v="24"/>
    <s v="FathersDay"/>
    <s v="0-3"/>
    <x v="89"/>
    <m/>
  </r>
  <r>
    <d v="2026-06-09T00:00:00"/>
    <s v="https://www.etsy.com/listing/4509960222/on-sundays-we-watch-football-with-daddy?transaction_id=5097908120"/>
    <s v="Dusty Pink"/>
    <s v="Dusty Pink"/>
    <s v="6-12M (long-sleeve)"/>
    <s v="United States"/>
    <s v="Romper Longer"/>
    <n v="6"/>
    <n v="24"/>
    <s v="FathersDay"/>
    <s v="6-12"/>
    <x v="51"/>
    <m/>
  </r>
  <r>
    <d v="2026-06-10T00:00:00"/>
    <s v="https://www.etsy.com/listing/4508974153/daddys-co-pilot-embroidered-baby-romper?transaction_id=5109605445"/>
    <s v=" Cream"/>
    <s v=" Cream"/>
    <s v="3-6 Months (Long-Sleeve)"/>
    <s v="United States"/>
    <s v="Romper Longer"/>
    <n v="6"/>
    <n v="24"/>
    <s v="FathersDay"/>
    <s v="3-6"/>
    <x v="1"/>
    <m/>
  </r>
  <r>
    <d v="2026-06-11T00:00:00"/>
    <s v="https://www.etsy.com/listing/4509961572/new-to-the-farm-embroidered-baby-romper?transaction_id=5109644383"/>
    <s v=" White"/>
    <s v=" White"/>
    <s v="3-6 Months (Long-Sleeve)"/>
    <s v="United States"/>
    <s v="Romper Longer"/>
    <n v="6"/>
    <n v="24"/>
    <s v="FathersDay"/>
    <s v="3-6"/>
    <x v="70"/>
    <m/>
  </r>
  <r>
    <d v="2026-06-11T00:00:00"/>
    <s v="https://www.etsy.com/listing/4500205537/mommys-little-workout-buddy-barbell?transaction_id=5100005216"/>
    <s v=" Sage Green"/>
    <s v=" Sage Green"/>
    <s v="6-12M (short-sleeve)"/>
    <s v="United States"/>
    <s v="Romper Short"/>
    <n v="6"/>
    <n v="24"/>
    <s v="FathersDay"/>
    <s v="6-12"/>
    <x v="19"/>
    <m/>
  </r>
  <r>
    <d v="2026-06-11T00:00:00"/>
    <s v="https://www.etsy.com/listing/4509963336/daddys-future-lifting-buddy-embroidered?transaction_id=5100005214"/>
    <s v="Caldet Blue"/>
    <s v="Caldet Blue"/>
    <s v="6-12M (short-sleeve)"/>
    <s v="United States"/>
    <s v="Romper Short"/>
    <n v="6"/>
    <n v="24"/>
    <s v="FathersDay"/>
    <s v="6-12"/>
    <x v="63"/>
    <m/>
  </r>
  <r>
    <d v="2026-06-11T00:00:00"/>
    <s v="https://www.etsy.com/listing/4495418873/daddys-little-caddy-golf-bag-embroidered?transaction_id=5101445220"/>
    <s v="Caldet Blue"/>
    <s v="Caldet Blue"/>
    <s v="12-18M (long-sleeve)"/>
    <s v="Canada"/>
    <s v="Romper Longer"/>
    <n v="6"/>
    <n v="24"/>
    <s v="FathersDay"/>
    <s v="12-18"/>
    <x v="60"/>
    <m/>
  </r>
  <r>
    <d v="2026-06-12T00:00:00"/>
    <s v="https://www.etsy.com/listing/4404016464/player-3-has-entered-the-game?transaction_id=5111720663&amp;dd_referrer="/>
    <s v=" Light Blue"/>
    <s v=" Light Blue"/>
    <s v="3-6 Months"/>
    <s v="United States"/>
    <s v="Bodysuit"/>
    <n v="6"/>
    <n v="24"/>
    <s v="FathersDay"/>
    <s v="3-6"/>
    <x v="92"/>
    <m/>
  </r>
  <r>
    <d v="2026-06-12T00:00:00"/>
    <s v="https://www.etsy.com/listing/4507031685/apparently-i-like-soccer-embroidered?transaction_id=5102116462"/>
    <s v=" Light Blue"/>
    <s v=" Light Blue"/>
    <s v="3-6 Months"/>
    <s v="United States"/>
    <s v="Bodysuit"/>
    <n v="6"/>
    <n v="24"/>
    <s v="FathersDay"/>
    <s v="3-6"/>
    <x v="92"/>
    <m/>
  </r>
  <r>
    <d v="2026-06-12T00:00:00"/>
    <s v="https://www.etsy.com/listing/4500221026/i-just-burpeed-funny-gym-quote?transaction_id=5112180389"/>
    <s v=" Dusty Pink"/>
    <s v=" Dusty Pink"/>
    <s v="6-12M (long-sleeve)"/>
    <s v="United States"/>
    <s v="Romper Longer"/>
    <n v="6"/>
    <n v="24"/>
    <s v="FathersDay"/>
    <s v="6-12"/>
    <x v="51"/>
    <m/>
  </r>
  <r>
    <d v="2026-06-14T00:00:00"/>
    <s v="https://www.etsy.com/listing/4508958063/my-daddys-muscles-embroidered-baby?transaction_id=5113478511"/>
    <s v=" Dusty Pink"/>
    <s v=" Dusty Pink"/>
    <s v="6-12M (long-sleeve)"/>
    <s v="United Kingdom"/>
    <s v="Romper Longer"/>
    <n v="6"/>
    <n v="25"/>
    <s v="FathersDay"/>
    <s v="6-12"/>
    <x v="51"/>
    <m/>
  </r>
  <r>
    <d v="2026-06-01T00:00:00"/>
    <s v="https://www.etsy.com/listing/4376404086/embroidered-lil-nugget-baby-bodysuit?transaction_id=5086125110"/>
    <s v="Cream"/>
    <s v="Cream"/>
    <s v="3-6 Months(Long)"/>
    <s v="United States"/>
    <s v="Romper Longer"/>
    <n v="6"/>
    <n v="23"/>
    <s v="FathersDay"/>
    <s v="3-6"/>
    <x v="1"/>
    <m/>
  </r>
  <r>
    <d v="2026-06-01T00:00:00"/>
    <s v="https://www.etsy.com/listing/4467378841/embroidered-is-it-too-soon-to-ask-for-a?transaction_id=5097568703"/>
    <s v=" Sage Green"/>
    <s v=" Sage Green"/>
    <s v="0-3 Months(Short)"/>
    <s v="United States"/>
    <s v="Romper Short"/>
    <n v="6"/>
    <n v="23"/>
    <s v="FathersDay"/>
    <s v="0-3"/>
    <x v="13"/>
    <m/>
  </r>
  <r>
    <d v="2026-06-01T00:00:00"/>
    <s v="https://www.etsy.com/listing/4376404086/embroidered-lil-nugget-baby-bodysuit?transaction_id=5086125110"/>
    <s v="Cream"/>
    <s v="Cream"/>
    <s v="0-3 Months(Short)"/>
    <s v="United States"/>
    <s v="Romper Short"/>
    <n v="6"/>
    <n v="23"/>
    <s v="FathersDay"/>
    <s v="0-3"/>
    <x v="15"/>
    <m/>
  </r>
  <r>
    <d v="2026-06-01T00:00:00"/>
    <s v="https://www.etsy.com/listing/4376404086/embroidered-lil-nugget-baby-bodysuit?transaction_id=5086125110"/>
    <s v="Cream"/>
    <s v="Cream"/>
    <s v="0-3 Months(Short)"/>
    <s v="United States"/>
    <s v="Romper Short"/>
    <n v="6"/>
    <n v="23"/>
    <s v="FathersDay"/>
    <s v="0-3"/>
    <x v="15"/>
    <m/>
  </r>
  <r>
    <d v="2026-06-01T00:00:00"/>
    <s v="https://www.etsy.com/listing/4376404086/embroidered-lil-nugget-baby-bodysuit?transaction_id=5086125110"/>
    <s v="Dusty Pink"/>
    <s v="Dusty Pink"/>
    <s v="6-12 Months(Short)"/>
    <s v="United States"/>
    <s v="Romper Short"/>
    <n v="6"/>
    <n v="23"/>
    <s v="FathersDay"/>
    <s v="6-12"/>
    <x v="35"/>
    <m/>
  </r>
  <r>
    <d v="2026-06-01T00:00:00"/>
    <s v="https://www.etsy.com/listing/4376404086/embroidered-lil-nugget-baby-bodysuit?transaction_id=5086125110"/>
    <s v="White"/>
    <s v="White"/>
    <s v="3-6 Months(Short)"/>
    <s v="United States"/>
    <s v="Romper Short"/>
    <n v="6"/>
    <n v="23"/>
    <s v="FathersDay"/>
    <s v="3-6"/>
    <x v="69"/>
    <m/>
  </r>
  <r>
    <d v="2026-06-01T00:00:00"/>
    <s v="https://www.etsy.com/listing/4376404086/embroidered-lil-nugget-baby-bodysuit?transaction_id=5086125110"/>
    <s v=" Cream "/>
    <s v=" Cream "/>
    <s v="3-6 Months(Long)"/>
    <s v="United States"/>
    <s v="Romper Longer"/>
    <n v="6"/>
    <n v="23"/>
    <s v="FathersDay"/>
    <s v="3-6"/>
    <x v="1"/>
    <m/>
  </r>
  <r>
    <d v="2026-06-01T00:00:00"/>
    <s v="https://www.etsy.com/listing/4476306471/pack-my-diapers-im-going-crime-fighting?transaction_id=5086606464"/>
    <s v="White"/>
    <s v="White"/>
    <s v="6-12 Months(Long)"/>
    <s v="United States"/>
    <s v="Romper Longer"/>
    <n v="6"/>
    <n v="23"/>
    <s v="FathersDay"/>
    <s v="6-12"/>
    <x v="46"/>
    <m/>
  </r>
  <r>
    <d v="2026-06-01T00:00:00"/>
    <s v="https://www.etsy.com/listing/4473845389/golf-player-outfit-embroidered-baby?transaction_id=5086773404"/>
    <s v=" sage green "/>
    <s v=" Sage Green "/>
    <s v="3-6 Months(Short)"/>
    <s v="United States"/>
    <s v="Romper Short"/>
    <n v="6"/>
    <n v="23"/>
    <s v="FathersDay"/>
    <s v="3-6"/>
    <x v="24"/>
    <m/>
  </r>
  <r>
    <d v="2026-06-01T00:00:00"/>
    <s v="https://www.etsy.com/listing/4507007670/daddys-co-pilot-embroidered-baby-romper?transaction_id=5086776132"/>
    <s v="Salmon "/>
    <s v="Salmon "/>
    <s v="0-3 Months(Long)"/>
    <s v="United States"/>
    <s v="Romper Longer"/>
    <n v="6"/>
    <n v="23"/>
    <s v="FathersDay"/>
    <s v="0-3"/>
    <x v="84"/>
    <m/>
  </r>
  <r>
    <d v="2026-06-01T00:00:00"/>
    <s v="https://www.etsy.com/listing/4376404086/embroidered-lil-nugget-baby-bodysuit?transaction_id=5098095891"/>
    <s v="Coffee "/>
    <s v="Coffee "/>
    <s v="0-3 Months(Short)"/>
    <s v="United States"/>
    <s v="Romper Short"/>
    <n v="6"/>
    <n v="23"/>
    <s v="FathersDay"/>
    <s v="0-3"/>
    <x v="14"/>
    <m/>
  </r>
  <r>
    <d v="2026-06-01T00:00:00"/>
    <s v="https://www.etsy.com/listing/4376404086/embroidered-lil-nugget-baby-bodysuit?transaction_id=5087326006"/>
    <s v="White "/>
    <s v="White "/>
    <s v="3-6 Months(Short)"/>
    <s v="United States"/>
    <s v="Romper Short"/>
    <n v="6"/>
    <n v="23"/>
    <s v="FathersDay"/>
    <s v="3-6"/>
    <x v="69"/>
    <m/>
  </r>
  <r>
    <d v="2026-06-01T00:00:00"/>
    <s v="https://www.etsy.com/listing/4473845389/golf-player-outfit-embroidered-baby?transaction_id=5087327936"/>
    <s v="Sage Green  "/>
    <s v="Sage Green  "/>
    <s v="6-12 Months(Short)"/>
    <s v="United States"/>
    <s v="Romper Short"/>
    <n v="6"/>
    <n v="23"/>
    <s v="FathersDay"/>
    <s v="6-12"/>
    <x v="19"/>
    <m/>
  </r>
  <r>
    <d v="2026-06-02T00:00:00"/>
    <s v="https://www.etsy.com/listing/4473845389/golf-player-outfit-embroidered-baby?transaction_id=5087327934"/>
    <s v="Forest Green  "/>
    <s v="Forest Green  "/>
    <s v="12-18 Months(Short)"/>
    <s v="United States"/>
    <s v="Romper Short"/>
    <n v="6"/>
    <n v="23"/>
    <s v="FathersDay"/>
    <s v="12-18"/>
    <x v="62"/>
    <m/>
  </r>
  <r>
    <d v="2026-06-01T00:00:00"/>
    <s v="https://www.etsy.com/listing/4321796572/i-love-my-custom-name-embroidered-romper?transaction_id=5098737081"/>
    <s v="Cream "/>
    <s v="Cream "/>
    <s v="0-3 Months(Long)"/>
    <s v="United States"/>
    <s v="Romper Longer"/>
    <n v="6"/>
    <n v="23"/>
    <s v="FathersDay"/>
    <s v="0-3"/>
    <x v="2"/>
    <m/>
  </r>
  <r>
    <d v="2026-06-01T00:00:00"/>
    <s v="https://www.etsy.com/listing/4376404086/embroidered-lil-nugget-baby-bodysuit?transaction_id=5098747169"/>
    <s v="Cream "/>
    <s v="Cream "/>
    <s v="12-18 Months(Short)"/>
    <s v="United States"/>
    <s v="Romper Short"/>
    <n v="6"/>
    <n v="23"/>
    <s v="FathersDay"/>
    <s v="12-18"/>
    <x v="26"/>
    <m/>
  </r>
  <r>
    <d v="2026-06-01T00:00:00"/>
    <s v="https://www.etsy.com/listing/4376404086/embroidered-lil-nugget-baby-bodysuit?transaction_id=5087887206"/>
    <s v="White "/>
    <s v="White "/>
    <s v="3-6 Months(Short)"/>
    <s v="United States"/>
    <s v="Romper Short"/>
    <n v="6"/>
    <n v="23"/>
    <s v="FathersDay"/>
    <s v="3-6"/>
    <x v="69"/>
    <m/>
  </r>
  <r>
    <d v="2026-06-01T00:00:00"/>
    <s v="https://www.etsy.com/listing/4376404086/embroidered-lil-nugget-baby-bodysuit?transaction_id=5087897166"/>
    <s v="Caldet Blue"/>
    <s v="Caldet Blue"/>
    <s v="6-12 Months(Long)"/>
    <s v="United States"/>
    <s v="Romper Longer"/>
    <n v="6"/>
    <n v="23"/>
    <s v="FathersDay"/>
    <s v="6-12"/>
    <x v="25"/>
    <m/>
  </r>
  <r>
    <d v="2026-06-01T00:00:00"/>
    <s v="https://www.etsy.com/listing/4376404086/embroidered-lil-nugget-baby-bodysuit?transaction_id=5087897166"/>
    <s v=" White"/>
    <s v=" White"/>
    <s v="3-6 Months(Long)"/>
    <s v="United States"/>
    <s v="Romper Longer"/>
    <n v="6"/>
    <n v="23"/>
    <s v="FathersDay"/>
    <s v="3-6"/>
    <x v="70"/>
    <m/>
  </r>
  <r>
    <d v="2026-06-01T00:00:00"/>
    <s v="https://www.etsy.com/listing/4376404086/embroidered-lil-nugget-baby-bodysuit?transaction_id=5087897166"/>
    <s v="Cream "/>
    <s v="Cream "/>
    <s v="18-24 Months(Short)"/>
    <s v="United States"/>
    <s v="Romper Short"/>
    <n v="6"/>
    <n v="23"/>
    <s v="FathersDay"/>
    <s v="18-24"/>
    <x v="16"/>
    <m/>
  </r>
  <r>
    <d v="2026-06-02T00:00:00"/>
    <s v="https://www.etsy.com/listing/4344211719/embroidered-i-like-fishing-baby-bodysuit?transaction_id=5099360289"/>
    <s v="Caldet Blue "/>
    <s v="Caldet Blue "/>
    <s v="0-3 Months(Short)"/>
    <s v="United States"/>
    <s v="Romper Short"/>
    <n v="6"/>
    <n v="23"/>
    <s v="FathersDay"/>
    <s v="0-3"/>
    <x v="38"/>
    <m/>
  </r>
  <r>
    <d v="2026-06-02T00:00:00"/>
    <s v="https://www.etsy.com/listing/4471265235/personalized-masters-golf-embroidered?transaction_id=5099369193"/>
    <s v=" Sage Green"/>
    <s v=" Sage Green"/>
    <s v="12-18 Months(Long)"/>
    <s v="United States"/>
    <s v="Romper Longer"/>
    <n v="6"/>
    <n v="23"/>
    <s v="FathersDay"/>
    <s v="12-18"/>
    <x v="22"/>
    <m/>
  </r>
  <r>
    <d v="2026-06-02T00:00:00"/>
    <s v="https://www.etsy.com/listing/4376404086/embroidered-lil-nugget-baby-bodysuit?transaction_id=5099454649"/>
    <s v="Cream "/>
    <s v="Cream "/>
    <s v="0-3 Months(Short)"/>
    <s v="United States"/>
    <s v="Romper Short"/>
    <n v="6"/>
    <n v="23"/>
    <s v="FathersDay"/>
    <s v="0-3"/>
    <x v="15"/>
    <m/>
  </r>
  <r>
    <d v="2026-06-02T00:00:00"/>
    <s v="https://www.etsy.com/listing/4507006418/mommys-little-nugget-embroidered-baby?transaction_id=5099541999"/>
    <s v=" Sage Green "/>
    <s v=" Sage Green "/>
    <s v="3-6 Months(Long)"/>
    <s v="United Kingdom"/>
    <s v="Romper Longer"/>
    <n v="6"/>
    <n v="23"/>
    <s v="FathersDay"/>
    <s v="3-6"/>
    <x v="7"/>
    <m/>
  </r>
  <r>
    <d v="2026-06-02T00:00:00"/>
    <s v="https://www.etsy.com/listing/4473844239/funny-f1-racing-quote-embroidered-baby?transaction_id=5088683626"/>
    <s v="Cream "/>
    <s v="Cream "/>
    <s v="0-3 Months(Long)"/>
    <s v="United States"/>
    <s v="Romper Longer"/>
    <n v="6"/>
    <n v="23"/>
    <s v="FathersDay"/>
    <s v="0-3"/>
    <x v="2"/>
    <m/>
  </r>
  <r>
    <d v="2026-06-02T00:00:00"/>
    <s v="https://www.etsy.com/listing/4376404086/embroidered-lil-nugget-baby-bodysuit?transaction_id=5088727320"/>
    <s v="Coffee "/>
    <s v="Coffee "/>
    <s v="3-6 Months(Long)"/>
    <s v="United States"/>
    <s v="Romper Longer"/>
    <n v="6"/>
    <n v="23"/>
    <s v="FathersDay"/>
    <s v="3-6"/>
    <x v="12"/>
    <m/>
  </r>
  <r>
    <d v="2026-06-02T00:00:00"/>
    <s v="https://www.etsy.com/listing/4376404086/embroidered-lil-nugget-baby-bodysuit?transaction_id=5088792058"/>
    <s v="Cream "/>
    <s v="Cream "/>
    <s v="6-12 Months(Short)"/>
    <s v="United States"/>
    <s v="Romper Short"/>
    <n v="6"/>
    <n v="23"/>
    <s v="FathersDay"/>
    <s v="6-12"/>
    <x v="47"/>
    <m/>
  </r>
  <r>
    <d v="2026-06-02T00:00:00"/>
    <s v="https://www.etsy.com/listing/4376404086/embroidered-lil-nugget-baby-bodysuit?transaction_id=5088802538"/>
    <s v="Cream "/>
    <s v="Cream "/>
    <s v="6-12 Months(Short)"/>
    <s v="United States"/>
    <s v="Romper Short"/>
    <n v="6"/>
    <n v="23"/>
    <s v="FathersDay"/>
    <s v="6-12"/>
    <x v="47"/>
    <m/>
  </r>
  <r>
    <d v="2026-06-02T00:00:00"/>
    <s v="https://www.etsy.com/listing/4507007670/daddys-co-pilot-embroidered-baby-romper?transaction_id=5100181201"/>
    <s v="Cream "/>
    <s v="Cream "/>
    <s v="3-6 Months(Long)"/>
    <s v="Germany"/>
    <s v="Romper Longer"/>
    <n v="6"/>
    <n v="23"/>
    <s v="FathersDay"/>
    <s v="3-6"/>
    <x v="1"/>
    <m/>
  </r>
  <r>
    <d v="2026-06-03T00:00:00"/>
    <s v="https://www.etsy.com/listing/4324713807/personalized-monkey-baby-romper?transaction_id=5100322373"/>
    <s v="Forest Green "/>
    <s v="Forest Green "/>
    <s v="3-6 Months(Long)"/>
    <s v="United States"/>
    <s v="Romper Longer"/>
    <n v="6"/>
    <n v="23"/>
    <s v="FathersDay"/>
    <s v="3-6"/>
    <x v="4"/>
    <m/>
  </r>
  <r>
    <d v="2026-06-03T00:00:00"/>
    <s v="https://www.etsy.com/listing/4376404086/embroidered-lil-nugget-baby-bodysuit?transaction_id=5089329718"/>
    <s v="Cream"/>
    <s v="Cream"/>
    <s v="3-6 Months(Long)"/>
    <s v="United States"/>
    <s v="Romper Longer"/>
    <n v="6"/>
    <n v="23"/>
    <s v="FathersDay"/>
    <s v="3-6"/>
    <x v="1"/>
    <m/>
  </r>
  <r>
    <d v="2026-06-03T00:00:00"/>
    <s v="https://www.etsy.com/listing/4324712022/embroidered-baby-romper-dont-make-me?transaction_id=5100463451"/>
    <s v="Dusty Pink"/>
    <s v="Dusty Pink"/>
    <s v="12-18 Months(Short)"/>
    <s v="United States"/>
    <s v="Romper Short"/>
    <n v="6"/>
    <n v="23"/>
    <s v="FathersDay"/>
    <s v="12-18"/>
    <x v="44"/>
    <m/>
  </r>
  <r>
    <d v="2026-06-03T00:00:00"/>
    <s v="https://www.etsy.com/listing/4376404086/embroidered-lil-nugget-baby-bodysuit?transaction_id=5100476737"/>
    <s v="Cream "/>
    <s v="Cream "/>
    <s v="0-3 Months(Short)"/>
    <s v="United States"/>
    <s v="Romper Short"/>
    <n v="6"/>
    <n v="23"/>
    <s v="FathersDay"/>
    <s v="0-3"/>
    <x v="15"/>
    <m/>
  </r>
  <r>
    <d v="2026-06-03T00:00:00"/>
    <s v="https://www.etsy.com/listing/4376404086/embroidered-lil-nugget-baby-bodysuit?transaction_id=5100487325"/>
    <s v="Cream"/>
    <s v="Cream"/>
    <s v="3-6 Months(Long)"/>
    <s v="Canada"/>
    <s v="Romper Longer"/>
    <n v="6"/>
    <n v="23"/>
    <s v="FathersDay"/>
    <s v="3-6"/>
    <x v="1"/>
    <m/>
  </r>
  <r>
    <d v="2026-06-03T00:00:00"/>
    <s v="https://www.etsy.com/listing/4376404086/embroidered-lil-nugget-baby-bodysuit?transaction_id=5089467386"/>
    <s v="Cream"/>
    <s v="Cream"/>
    <s v="3-6 Months(Short)"/>
    <s v="United States"/>
    <s v="Romper Short"/>
    <n v="6"/>
    <n v="23"/>
    <s v="FathersDay"/>
    <s v="3-6"/>
    <x v="0"/>
    <m/>
  </r>
  <r>
    <d v="2026-06-03T00:00:00"/>
    <s v="https://www.etsy.com/listing/4376404086/embroidered-lil-nugget-baby-bodysuit?transaction_id=5100581921"/>
    <s v="Cream"/>
    <s v="Cream"/>
    <s v="0-3 Months(Short)"/>
    <s v="United States"/>
    <s v="Romper Short"/>
    <n v="6"/>
    <n v="23"/>
    <s v="FathersDay"/>
    <s v="0-3"/>
    <x v="15"/>
    <m/>
  </r>
  <r>
    <d v="2026-06-03T00:00:00"/>
    <s v="https://www.etsy.com/listing/4474408150/nacho-baby-funny-quote-embroidered-baby?transaction_id=5100604935"/>
    <s v="Sage Green "/>
    <s v="Sage Green "/>
    <s v="3-6 Months(Long)"/>
    <s v="United States"/>
    <s v="Romper Longer"/>
    <n v="6"/>
    <n v="23"/>
    <s v="FathersDay"/>
    <s v="3-6"/>
    <x v="7"/>
    <m/>
  </r>
  <r>
    <d v="2026-06-03T00:00:00"/>
    <s v="https://www.etsy.com/listing/4321792231/first-grandbaby-romper-embroidered-baby?transaction_id=5100954765"/>
    <s v="Caldet Blue"/>
    <s v="Caldet Blue"/>
    <s v="6-12 Months(Long)"/>
    <s v="United States"/>
    <s v="Romper Longer"/>
    <n v="6"/>
    <n v="23"/>
    <s v="FathersDay"/>
    <s v="6-12"/>
    <x v="25"/>
    <m/>
  </r>
  <r>
    <d v="2026-06-03T00:00:00"/>
    <s v="https://www.etsy.com/listing/4321796572/i-love-my-custom-name-embroidered-romper?transaction_id=5100993523"/>
    <s v="Watermelon"/>
    <s v="Watermelon"/>
    <s v="3-6 Months(Short)"/>
    <s v="United States"/>
    <s v="Romper Short"/>
    <n v="6"/>
    <n v="23"/>
    <s v="FathersDay"/>
    <s v="3-6"/>
    <x v="39"/>
    <m/>
  </r>
  <r>
    <d v="2026-06-03T00:00:00"/>
    <s v="https://www.etsy.com/listing/4376404086/embroidered-lil-nugget-baby-bodysuit?transaction_id=5090030540"/>
    <s v="Cream "/>
    <s v="Cream "/>
    <s v="6-12 Months(Long)"/>
    <s v="United States"/>
    <s v="Romper Longer"/>
    <n v="6"/>
    <n v="23"/>
    <s v="FathersDay"/>
    <s v="6-12"/>
    <x v="17"/>
    <m/>
  </r>
  <r>
    <d v="2026-06-03T00:00:00"/>
    <s v="https://www.etsy.com/listing/4376404086/embroidered-lil-nugget-baby-bodysuit?transaction_id=5090092042"/>
    <s v="Cream "/>
    <s v="Cream "/>
    <s v="0-3 Months(Long)"/>
    <s v="United States"/>
    <s v="Romper Longer"/>
    <n v="6"/>
    <n v="23"/>
    <s v="FathersDay"/>
    <s v="0-3"/>
    <x v="2"/>
    <m/>
  </r>
  <r>
    <d v="2026-06-03T00:00:00"/>
    <s v="https://www.etsy.com/listing/4321796572/i-love-my-custom-name-embroidered-romper?transaction_id=5090153556"/>
    <s v="Caldet Blue"/>
    <s v="Caldet Blue"/>
    <s v="3-6 Months(Short)"/>
    <s v="United States"/>
    <s v="Romper Short"/>
    <n v="6"/>
    <n v="23"/>
    <s v="FathersDay"/>
    <s v="3-6"/>
    <x v="29"/>
    <m/>
  </r>
  <r>
    <d v="2026-06-03T00:00:00"/>
    <s v="https://www.etsy.com/listing/4465296416/embroidered-apparently-i-like-golf-baby?transaction_id=5101340891"/>
    <s v="White "/>
    <s v="White "/>
    <s v="0-3 Months(Long)"/>
    <s v="United States"/>
    <s v="Romper Longer"/>
    <n v="6"/>
    <n v="23"/>
    <s v="FathersDay"/>
    <s v="0-3"/>
    <x v="54"/>
    <m/>
  </r>
  <r>
    <d v="2026-06-04T00:00:00"/>
    <s v="https://www.etsy.com/listing/4321796572/i-love-my-custom-name-embroidered-romper?transaction_id=5090694452"/>
    <s v="Sage Green"/>
    <s v="Sage Green"/>
    <s v="6-12 Months(Long)"/>
    <s v="United States"/>
    <s v="Romper Longer"/>
    <n v="6"/>
    <n v="23"/>
    <s v="FathersDay"/>
    <s v="6-12"/>
    <x v="3"/>
    <m/>
  </r>
  <r>
    <d v="2026-06-04T00:00:00"/>
    <s v="https://www.etsy.com/listing/4376404086/embroidered-lil-nugget-baby-bodysuit?transaction_id=5090741694"/>
    <s v="Cream"/>
    <s v="Cream"/>
    <s v="3-6 Months(Short)"/>
    <s v="United States"/>
    <s v="Romper Short"/>
    <n v="6"/>
    <n v="23"/>
    <s v="FathersDay"/>
    <s v="3-6"/>
    <x v="0"/>
    <m/>
  </r>
  <r>
    <d v="2026-06-04T00:00:00"/>
    <s v="https://www.etsy.com/listing/4465286733/embroidered-new-to-the-fishing-crew-baby?transaction_id=5090748500"/>
    <s v="Sage Green"/>
    <s v="Sage Green"/>
    <s v="0-3 Months(Short)"/>
    <s v="United States"/>
    <s v="Romper Short"/>
    <n v="6"/>
    <n v="23"/>
    <s v="FathersDay"/>
    <s v="0-3"/>
    <x v="13"/>
    <m/>
  </r>
  <r>
    <d v="2026-06-04T00:00:00"/>
    <s v="https://www.etsy.com/listing/4507008272/new-to-the-crew-embroidered-baby-romper?transaction_id=5090787170"/>
    <s v="Cream"/>
    <s v="Cream"/>
    <s v="0-3 Months(Long)"/>
    <s v="United States"/>
    <s v="Romper Longer"/>
    <n v="6"/>
    <n v="23"/>
    <s v="FathersDay"/>
    <s v="0-3"/>
    <x v="2"/>
    <m/>
  </r>
  <r>
    <d v="2026-06-04T00:00:00"/>
    <s v="https://www.etsy.com/listing/4376404086/embroidered-lil-nugget-baby-bodysuit?transaction_id=5090828786"/>
    <s v="Cream"/>
    <s v="Cream"/>
    <s v="0-3 Months(Short)"/>
    <s v="United States"/>
    <s v="Romper Short"/>
    <n v="6"/>
    <n v="23"/>
    <s v="FathersDay"/>
    <s v="0-3"/>
    <x v="15"/>
    <m/>
  </r>
  <r>
    <d v="2026-06-04T00:00:00"/>
    <s v="https://www.etsy.com/listing/4476306917/pack-my-diaper-im-going-racing-dirt-bike?transaction_id=5102034711"/>
    <s v="Cream"/>
    <s v="Cream"/>
    <s v="3-6 Months(Short)"/>
    <s v="Australia"/>
    <s v="Romper Short"/>
    <n v="6"/>
    <n v="23"/>
    <s v="FathersDay"/>
    <s v="3-6"/>
    <x v="0"/>
    <m/>
  </r>
  <r>
    <d v="2026-06-04T00:00:00"/>
    <s v="https://www.etsy.com/listing/4376404086/embroidered-lil-nugget-baby-bodysuit?transaction_id=5091216036"/>
    <s v="White"/>
    <s v="White"/>
    <s v="6-12 Months(Short)"/>
    <s v="United States"/>
    <s v="Romper Short"/>
    <n v="6"/>
    <n v="23"/>
    <s v="FathersDay"/>
    <s v="6-12"/>
    <x v="42"/>
    <m/>
  </r>
  <r>
    <d v="2026-06-04T00:00:00"/>
    <s v="https://www.etsy.com/listing/4376404086/embroidered-lil-nugget-baby-bodysuit?transaction_id=5091666542"/>
    <s v="Cream"/>
    <s v="Cream"/>
    <s v="3-6 Months(Short)"/>
    <s v="United States"/>
    <s v="Romper Short"/>
    <n v="6"/>
    <n v="23"/>
    <s v="FathersDay"/>
    <s v="3-6"/>
    <x v="0"/>
    <m/>
  </r>
  <r>
    <d v="2026-06-04T00:00:00"/>
    <s v="https://www.etsy.com/listing/4376404086/embroidered-lil-nugget-baby-bodysuit?transaction_id=5091666542"/>
    <s v="Cream"/>
    <s v="Cream"/>
    <s v="3-6 Months(Short)"/>
    <s v="United States"/>
    <s v="Romper Short"/>
    <n v="6"/>
    <n v="23"/>
    <s v="FathersDay"/>
    <s v="3-6"/>
    <x v="0"/>
    <m/>
  </r>
  <r>
    <d v="2026-06-04T00:00:00"/>
    <s v="https://www.etsy.com/listing/4490553331/aww-shucks-embroidered-baby-romper-cute?transaction_id=5092023768"/>
    <s v="Cream "/>
    <s v="Cream "/>
    <s v="3-6 Months(Short)"/>
    <s v="United States"/>
    <s v="Romper Short"/>
    <n v="6"/>
    <n v="23"/>
    <s v="FathersDay"/>
    <s v="3-6"/>
    <x v="0"/>
    <m/>
  </r>
  <r>
    <d v="2026-06-04T00:00:00"/>
    <s v="https://www.etsy.com/listing/4347838451/custom-embroidered-nonnas-little?transaction_id=5092417092"/>
    <s v="Cream "/>
    <s v="Cream "/>
    <s v="0-3 Months(Short)"/>
    <s v="United States"/>
    <s v="Romper Short"/>
    <n v="6"/>
    <n v="23"/>
    <s v="FathersDay"/>
    <s v="0-3"/>
    <x v="15"/>
    <m/>
  </r>
  <r>
    <d v="2026-06-04T00:00:00"/>
    <s v="https://www.etsy.com/listing/4364069693/embroidered-cat-baby-romper-personalized?transaction_id=5092455656"/>
    <s v="Cream"/>
    <s v="Cream"/>
    <s v="3-6 Months(Long)"/>
    <s v="Australia"/>
    <s v="Romper Longer"/>
    <n v="6"/>
    <n v="23"/>
    <s v="FathersDay"/>
    <s v="3-6"/>
    <x v="1"/>
    <m/>
  </r>
  <r>
    <d v="2026-06-05T00:00:00"/>
    <s v="https://www.etsy.com/listing/4506997825/my-daddys-muscles-are-bigger-than-your?transaction_id=5092611088"/>
    <s v=" Dusty Pink"/>
    <s v=" Dusty Pink"/>
    <s v="6-12 Months(Long)"/>
    <s v="United States"/>
    <s v="Romper Longer"/>
    <n v="6"/>
    <n v="23"/>
    <s v="FathersDay"/>
    <s v="6-12"/>
    <x v="51"/>
    <m/>
  </r>
  <r>
    <d v="2026-06-05T00:00:00"/>
    <s v="https://www.etsy.com/listing/4321796572/i-love-my-custom-name-embroidered-romper?transaction_id=5103770179"/>
    <s v=" Mauve Taupe "/>
    <s v=" Mauve Taupe "/>
    <s v="0-3 Months(Long)"/>
    <s v="United States"/>
    <s v="Romper Longer"/>
    <n v="6"/>
    <n v="23"/>
    <s v="FathersDay"/>
    <s v="0-3"/>
    <x v="40"/>
    <m/>
  </r>
  <r>
    <d v="2026-06-05T00:00:00"/>
    <s v="https://www.etsy.com/listing/4376404086/embroidered-lil-nugget-baby-bodysuit?transaction_id=5103964801"/>
    <s v="Salmon "/>
    <s v="Salmon "/>
    <s v="0-3 Months(Short)"/>
    <s v="United States"/>
    <s v="Romper Short"/>
    <n v="6"/>
    <n v="23"/>
    <s v="FathersDay"/>
    <s v="0-3"/>
    <x v="32"/>
    <m/>
  </r>
  <r>
    <d v="2026-06-05T00:00:00"/>
    <s v="https://www.etsy.com/listing/4471168394/embroidered-baby-romper-custom-chihuahua?transaction_id=5093353336"/>
    <s v="Sage Green "/>
    <s v="Sage Green "/>
    <s v="3-6 Months(Short)"/>
    <s v="United States"/>
    <s v="Romper Short"/>
    <n v="6"/>
    <n v="23"/>
    <s v="FathersDay"/>
    <s v="3-6"/>
    <x v="24"/>
    <m/>
  </r>
  <r>
    <d v="2026-06-05T00:00:00"/>
    <s v="https://www.etsy.com/listing/4321796572/i-love-my-custom-name-embroidered-romper?transaction_id=5093547918"/>
    <s v=" Sage Green "/>
    <s v=" Sage Green "/>
    <s v="3-6 Months(Short)"/>
    <s v="United States"/>
    <s v="Romper Short"/>
    <n v="6"/>
    <n v="23"/>
    <s v="FathersDay"/>
    <s v="3-6"/>
    <x v="24"/>
    <m/>
  </r>
  <r>
    <d v="2026-06-05T00:00:00"/>
    <s v="https://www.etsy.com/listing/4344211719/embroidered-i-like-fishing-baby-bodysuit?transaction_id=5094326116"/>
    <s v="Mauve Taupe "/>
    <s v="Mauve Taupe "/>
    <s v="3-6 Months(Short)"/>
    <s v="United Kingdom"/>
    <s v="Romper Short"/>
    <n v="6"/>
    <n v="23"/>
    <s v="FathersDay"/>
    <s v="3-6"/>
    <x v="67"/>
    <m/>
  </r>
  <r>
    <d v="2026-06-05T00:00:00"/>
    <s v="https://www.etsy.com/listing/4336892730/funny-golf-baby-romper-apparently-i-like?transaction_id=5104917531"/>
    <s v="Cream"/>
    <s v="Cream"/>
    <s v="0-3 Months(Long)"/>
    <s v="Canada"/>
    <s v="Romper Longer"/>
    <n v="6"/>
    <n v="23"/>
    <s v="FathersDay"/>
    <s v="0-3"/>
    <x v="2"/>
    <m/>
  </r>
  <r>
    <d v="2026-06-05T00:00:00"/>
    <s v="https://www.etsy.com/listing/4507001437/outwit-outplay-outnap-embroidered-baby?transaction_id=5094508826"/>
    <s v="Caldet Blue"/>
    <s v="Caldet Blue"/>
    <s v="12-18 Months(Short)"/>
    <s v="United States"/>
    <s v="Romper Short"/>
    <n v="6"/>
    <n v="23"/>
    <s v="FathersDay"/>
    <s v="12-18"/>
    <x v="72"/>
    <m/>
  </r>
  <r>
    <d v="2026-06-06T00:00:00"/>
    <s v="https://www.etsy.com/listing/4376404086/embroidered-lil-nugget-baby-bodysuit?transaction_id=5105043929"/>
    <s v=" Cream"/>
    <s v=" Cream"/>
    <s v="3-6 Months(Long)"/>
    <s v="United States"/>
    <s v="Romper Longer"/>
    <n v="6"/>
    <n v="23"/>
    <s v="FathersDay"/>
    <s v="3-6"/>
    <x v="1"/>
    <m/>
  </r>
  <r>
    <d v="2026-06-06T00:00:00"/>
    <s v="https://www.etsy.com/listing/4376404086/embroidered-lil-nugget-baby-bodysuit?transaction_id=5105043929"/>
    <s v=" Cream"/>
    <s v=" Cream"/>
    <s v="3-6 Months(Long)"/>
    <s v="United States"/>
    <s v="Romper Longer"/>
    <n v="6"/>
    <n v="23"/>
    <s v="FathersDay"/>
    <s v="3-6"/>
    <x v="1"/>
    <m/>
  </r>
  <r>
    <d v="2026-06-06T00:00:00"/>
    <s v="https://www.etsy.com/listing/4376404086/embroidered-lil-nugget-baby-bodysuit?transaction_id=5105043929"/>
    <s v=" Cream"/>
    <s v=" Cream"/>
    <s v="3-6 Months(Short)"/>
    <s v="United States"/>
    <s v="Romper Short"/>
    <n v="6"/>
    <n v="23"/>
    <s v="FathersDay"/>
    <s v="3-6"/>
    <x v="0"/>
    <m/>
  </r>
  <r>
    <d v="2026-06-06T00:00:00"/>
    <s v="https://www.etsy.com/listing/4376404086/embroidered-lil-nugget-baby-bodysuit?transaction_id=5105043929"/>
    <s v=" White"/>
    <s v=" White"/>
    <s v="3-6 Months(Long)"/>
    <s v="United States"/>
    <s v="Romper Longer"/>
    <n v="6"/>
    <n v="23"/>
    <s v="FathersDay"/>
    <s v="3-6"/>
    <x v="70"/>
    <m/>
  </r>
  <r>
    <d v="2026-06-06T00:00:00"/>
    <s v="https://www.etsy.com/listing/4507005480/milk-then-burpees-embroidered-baby?transaction_id=5095143636"/>
    <s v="Cream"/>
    <s v="Cream"/>
    <s v="0-3 Months(Short)"/>
    <s v="France"/>
    <s v="Romper Short"/>
    <n v="6"/>
    <n v="23"/>
    <s v="FathersDay"/>
    <s v="0-3"/>
    <x v="15"/>
    <m/>
  </r>
  <r>
    <d v="2026-06-07T00:00:00"/>
    <s v="https://www.etsy.com/listing/4376404086/embroidered-lil-nugget-baby-bodysuit?transaction_id=5105567463"/>
    <s v=" White"/>
    <s v=" White"/>
    <s v="0-3 Months(Long)"/>
    <s v="United States"/>
    <s v="Romper Longer"/>
    <n v="6"/>
    <n v="24"/>
    <s v="FathersDay"/>
    <s v="0-3"/>
    <x v="54"/>
    <m/>
  </r>
  <r>
    <d v="2026-06-07T00:00:00"/>
    <s v="https://www.etsy.com/listing/4507007670/daddys-co-pilot-embroidered-baby-romper?transaction_id=5095179822"/>
    <s v=" Sage Green"/>
    <s v=" Sage Green"/>
    <s v="3-6 Months(Long)"/>
    <s v="United Kingdom"/>
    <s v="Romper Longer"/>
    <n v="6"/>
    <n v="24"/>
    <s v="FathersDay"/>
    <s v="3-6"/>
    <x v="7"/>
    <m/>
  </r>
  <r>
    <d v="2026-06-07T00:00:00"/>
    <s v="https://www.etsy.com/listing/4473845389/golf-player-outfit-embroidered-baby?transaction_id=5095327124"/>
    <s v="White"/>
    <s v="White"/>
    <s v="3-6 Months(Long)"/>
    <s v="United States"/>
    <s v="Romper Longer"/>
    <n v="6"/>
    <n v="24"/>
    <s v="FathersDay"/>
    <s v="3-6"/>
    <x v="70"/>
    <m/>
  </r>
  <r>
    <d v="2026-06-07T00:00:00"/>
    <s v="https://www.etsy.com/listing/4347838451/custom-embroidered-nonnas-little?transaction_id=5106124025"/>
    <s v=" Cream"/>
    <s v=" Cream"/>
    <s v="3-6 Months(Short)"/>
    <s v="United States"/>
    <s v="Romper Short"/>
    <n v="6"/>
    <n v="24"/>
    <s v="FathersDay"/>
    <s v="3-6"/>
    <x v="0"/>
    <m/>
  </r>
  <r>
    <d v="2026-06-07T00:00:00"/>
    <s v="https://www.etsy.com/listing/4471265235/personalized-masters-golf-embroidered?transaction_id=5096131110"/>
    <s v="Cream"/>
    <s v="Cream"/>
    <s v="6-12 Months(Long)"/>
    <s v="United States"/>
    <s v="Romper Longer"/>
    <n v="6"/>
    <n v="24"/>
    <s v="FathersDay"/>
    <s v="6-12"/>
    <x v="17"/>
    <m/>
  </r>
  <r>
    <d v="2026-06-07T00:00:00"/>
    <s v="https://www.etsy.com/listing/4324725992/personalized-embroidered-tennis-baby?transaction_id=5106563501"/>
    <s v=" Forest Green"/>
    <s v=" Forest Green"/>
    <s v="3-6 Months(Short)"/>
    <s v="Ireland"/>
    <s v="Romper Short"/>
    <n v="6"/>
    <n v="24"/>
    <s v="FathersDay"/>
    <s v="3-6"/>
    <x v="6"/>
    <m/>
  </r>
  <r>
    <d v="2026-06-08T00:00:00"/>
    <s v="https://www.etsy.com/listing/4473844239/funny-f1-racing-quote-embroidered-baby?transaction_id=5106698055"/>
    <s v=" Caldet Blue"/>
    <s v=" Caldet Blue"/>
    <s v="6-12 Months(Long)"/>
    <s v="United Kingdom"/>
    <s v="Romper Longer"/>
    <n v="6"/>
    <n v="24"/>
    <s v="FathersDay"/>
    <s v="6-12"/>
    <x v="25"/>
    <m/>
  </r>
  <r>
    <d v="2026-06-08T00:00:00"/>
    <s v="https://www.etsy.com/listing/4376404086/embroidered-lil-nugget-baby-bodysuit?transaction_id=5096502506"/>
    <s v=" Cream"/>
    <s v=" Cream"/>
    <s v="6-12 Months(Long)"/>
    <s v="United States"/>
    <s v="Romper Longer"/>
    <n v="6"/>
    <n v="24"/>
    <s v="FathersDay"/>
    <s v="6-12"/>
    <x v="17"/>
    <m/>
  </r>
  <r>
    <d v="2026-06-09T00:00:00"/>
    <s v="https://www.etsy.com/listing/4336892730/funny-golf-baby-romper-apparently-i-like?transaction_id=5106742557"/>
    <s v=" Cream"/>
    <s v=" Cream"/>
    <s v="6-12 Months(Long)"/>
    <s v="United States"/>
    <s v="Romper Longer"/>
    <n v="6"/>
    <n v="24"/>
    <s v="FathersDay"/>
    <s v="6-12"/>
    <x v="17"/>
    <m/>
  </r>
  <r>
    <d v="2026-06-09T00:00:00"/>
    <s v="https://www.etsy.com/listing/4473844239/funny-f1-racing-quote-embroidered-baby?transaction_id=5096866380"/>
    <s v="Cream"/>
    <s v="Cream"/>
    <s v="3-6 Months(Short)"/>
    <s v="United States"/>
    <s v="Romper Short"/>
    <n v="6"/>
    <n v="24"/>
    <s v="FathersDay"/>
    <s v="3-6"/>
    <x v="0"/>
    <m/>
  </r>
  <r>
    <d v="2026-06-09T00:00:00"/>
    <s v="https://www.etsy.com/listing/4507001437/outwit-outplay-outnap-embroidered-baby?transaction_id=5107196821"/>
    <s v=" Watermelon"/>
    <s v=" Watermelon"/>
    <s v="3-6 Months(Short)"/>
    <s v="United States"/>
    <s v="Romper Short"/>
    <n v="6"/>
    <n v="24"/>
    <s v="FathersDay"/>
    <s v="3-6"/>
    <x v="39"/>
    <m/>
  </r>
  <r>
    <d v="2026-06-09T00:00:00"/>
    <s v="https://www.etsy.com/listing/4509541505/new-to-the-crew-embroidered-baby-romper?transaction_id=5097824684"/>
    <s v=" White"/>
    <s v=" White"/>
    <s v="6-12 Months(Short)"/>
    <s v="United States"/>
    <s v="Romper Short"/>
    <n v="6"/>
    <n v="24"/>
    <s v="FathersDay"/>
    <s v="6-12"/>
    <x v="42"/>
    <m/>
  </r>
  <r>
    <d v="2026-06-09T00:00:00"/>
    <s v="https://www.etsy.com/listing/4376412221/embroidered-mustache-baby-romper-newborn?transaction_id=5098367084"/>
    <s v="Cream"/>
    <s v="Cream"/>
    <s v="3-6 Months(Short)"/>
    <s v="United States"/>
    <s v="Romper Short"/>
    <n v="6"/>
    <n v="24"/>
    <s v="FathersDay"/>
    <s v="3-6"/>
    <x v="0"/>
    <m/>
  </r>
  <r>
    <d v="2026-06-09T00:00:00"/>
    <s v="https://www.etsy.com/listing/4507007670/daddys-co-pilot-embroidered-baby-romper?transaction_id=5108625861"/>
    <s v=" Cream"/>
    <s v=" Cream"/>
    <s v="6-12 Months(Short)"/>
    <s v="United States"/>
    <s v="Romper Short"/>
    <n v="6"/>
    <n v="24"/>
    <s v="FathersDay"/>
    <s v="6-12"/>
    <x v="47"/>
    <m/>
  </r>
  <r>
    <d v="2026-06-10T00:00:00"/>
    <s v="https://www.etsy.com/listing/4507001437/outwit-outplay-outnap-embroidered-baby?transaction_id=5098843668"/>
    <s v="Cream"/>
    <s v="Cream"/>
    <s v="0-3 Months(Long)"/>
    <s v="United States"/>
    <s v="Romper Longer"/>
    <n v="6"/>
    <n v="24"/>
    <s v="FathersDay"/>
    <s v="0-3"/>
    <x v="2"/>
    <m/>
  </r>
  <r>
    <d v="2026-06-10T00:00:00"/>
    <s v="https://www.etsy.com/listing/4324712533/personalized-embroidered-chick-baby?transaction_id=5108969601"/>
    <s v=" Caldet Blue"/>
    <s v=" Caldet Blue"/>
    <s v="3-6 Months(Short)"/>
    <s v="France"/>
    <s v="Romper Short"/>
    <n v="6"/>
    <n v="24"/>
    <s v="FathersDay"/>
    <s v="3-6"/>
    <x v="29"/>
    <m/>
  </r>
  <r>
    <d v="2026-06-10T00:00:00"/>
    <s v="https://www.etsy.com/listing/4507006418/mommys-little-nugget-embroidered-baby?transaction_id=5108983961"/>
    <s v="  White"/>
    <s v="  White"/>
    <s v="0-3 Months(Long)"/>
    <s v="France"/>
    <s v="Romper Longer"/>
    <n v="6"/>
    <n v="24"/>
    <s v="FathersDay"/>
    <s v="0-3"/>
    <x v="54"/>
    <m/>
  </r>
  <r>
    <d v="2026-06-10T00:00:00"/>
    <s v="https://www.etsy.com/listing/4507007670/daddys-co-pilot-embroidered-baby-romper?transaction_id=5109001793"/>
    <s v="Coffee"/>
    <s v="Coffee"/>
    <s v="3-6 Months(Short)"/>
    <s v="Australia"/>
    <s v="Romper Short"/>
    <n v="6"/>
    <n v="24"/>
    <s v="FathersDay"/>
    <s v="3-6"/>
    <x v="18"/>
    <m/>
  </r>
  <r>
    <d v="2026-06-10T00:00:00"/>
    <s v="https://www.etsy.com/listing/4509540549/just-plane-cute-embroidered-baby-romper?transaction_id=5109001791"/>
    <s v="  Caldet Blue"/>
    <s v="  Caldet Blue"/>
    <s v="3-6 Months(Short)"/>
    <m/>
    <s v="Romper Short"/>
    <n v="6"/>
    <n v="24"/>
    <s v="FathersDay"/>
    <s v="3-6"/>
    <x v="29"/>
    <m/>
  </r>
  <r>
    <d v="2026-06-10T00:00:00"/>
    <s v="https://www.etsy.com/listing/4324724896/personalized-basketball-baby-romper?transaction_id=5109194943"/>
    <s v=" Cream"/>
    <s v=" Cream"/>
    <s v="3-6 Months(Short)"/>
    <s v="United States"/>
    <s v="Romper Short"/>
    <n v="6"/>
    <n v="24"/>
    <s v="FathersDay"/>
    <s v="3-6"/>
    <x v="0"/>
    <m/>
  </r>
  <r>
    <d v="2026-06-10T00:00:00"/>
    <s v="https://www.etsy.com/listing/4507001437/outwit-outplay-outnap-embroidered-baby?transaction_id=5099378636"/>
    <s v="Sage Green"/>
    <s v="Sage Green"/>
    <s v="12-18 Months(Short)"/>
    <s v="United States"/>
    <s v="Romper Short"/>
    <n v="6"/>
    <n v="24"/>
    <s v="FathersDay"/>
    <s v="12-18"/>
    <x v="74"/>
    <m/>
  </r>
  <r>
    <d v="2026-06-10T00:00:00"/>
    <s v="https://www.etsy.com/listing/4507001437/outwit-outplay-outnap-embroidered-baby?transaction_id=5099378634"/>
    <s v=" Sage Green"/>
    <s v=" Sage Green"/>
    <s v="3-6 Months(Short)"/>
    <m/>
    <s v="Romper Short"/>
    <n v="6"/>
    <n v="24"/>
    <s v="FathersDay"/>
    <s v="3-6"/>
    <x v="24"/>
    <m/>
  </r>
  <r>
    <d v="2026-06-11T00:00:00"/>
    <s v="https://www.etsy.com/listing/4376404086/embroidered-lil-nugget-baby-bodysuit?transaction_id=5099424752"/>
    <s v="  Cream"/>
    <s v="  Cream"/>
    <s v="3-6 Months(Short)"/>
    <s v="United States"/>
    <s v="Romper Short"/>
    <n v="6"/>
    <n v="24"/>
    <s v="FathersDay"/>
    <s v="3-6"/>
    <x v="0"/>
    <m/>
  </r>
  <r>
    <d v="2026-06-11T00:00:00"/>
    <s v="https://www.etsy.com/listing/4376404086/embroidered-lil-nugget-baby-bodysuit?transaction_id=5099444900"/>
    <s v="Cream"/>
    <s v="Cream"/>
    <s v="0-3 Months(Short)"/>
    <s v="United States"/>
    <s v="Romper Short"/>
    <n v="6"/>
    <n v="24"/>
    <s v="FathersDay"/>
    <s v="0-3"/>
    <x v="15"/>
    <m/>
  </r>
  <r>
    <d v="2026-06-11T00:00:00"/>
    <s v="https://www.etsy.com/listing/4376404086/embroidered-lil-nugget-baby-bodysuit?transaction_id=5109637109"/>
    <s v=" White"/>
    <s v=" White"/>
    <s v="0-3 Months(Long)"/>
    <s v="United States"/>
    <s v="Romper Longer"/>
    <n v="6"/>
    <n v="24"/>
    <s v="FathersDay"/>
    <s v="0-3"/>
    <x v="54"/>
    <m/>
  </r>
  <r>
    <d v="2026-06-11T00:00:00"/>
    <s v="https://www.etsy.com/listing/4324722790/custom-embroidered-whale-baby-romper?transaction_id=5109811243"/>
    <s v=" Dusty Pink"/>
    <s v=" Dusty Pink"/>
    <s v="6-12 Months(Long)"/>
    <s v="United States"/>
    <s v="Romper Longer"/>
    <n v="6"/>
    <n v="24"/>
    <s v="FathersDay"/>
    <s v="6-12"/>
    <x v="51"/>
    <m/>
  </r>
  <r>
    <d v="2026-06-11T00:00:00"/>
    <s v="https://www.etsy.com/listing/4344211719/embroidered-i-like-fishing-baby-bodysuit?transaction_id=5100020600"/>
    <s v=" Cream"/>
    <s v=" Cream"/>
    <s v="3-6 Months(Long)"/>
    <s v="United States"/>
    <s v="Romper Longer"/>
    <n v="6"/>
    <n v="24"/>
    <s v="FathersDay"/>
    <s v="3-6"/>
    <x v="1"/>
    <m/>
  </r>
  <r>
    <d v="2026-06-12T00:00:00"/>
    <s v="https://www.etsy.com/listing/4364059829/embroidered-baby-romper-funny-challah-at?transaction_id=5110737781"/>
    <s v=" Cream"/>
    <s v=" Cream"/>
    <s v="18-24 Months(Short)"/>
    <s v="United States"/>
    <s v="Romper Short"/>
    <n v="6"/>
    <n v="24"/>
    <s v="FathersDay"/>
    <s v="18-24"/>
    <x v="16"/>
    <m/>
  </r>
  <r>
    <d v="2026-06-12T00:00:00"/>
    <s v="https://www.etsy.com/listing/4376404086/embroidered-lil-nugget-baby-bodysuit?transaction_id=5101281040"/>
    <s v="Cream"/>
    <s v="Cream"/>
    <s v="6-12 Months(Short)"/>
    <s v="United States"/>
    <s v="Romper Short"/>
    <n v="6"/>
    <n v="24"/>
    <s v="FathersDay"/>
    <s v="6-12"/>
    <x v="47"/>
    <m/>
  </r>
  <r>
    <d v="2026-06-12T00:00:00"/>
    <s v="https://www.etsy.com/listing/4507007670/daddys-co-pilot-embroidered-baby-romper?transaction_id=5111011433"/>
    <s v=" Coffee"/>
    <s v=" Coffee"/>
    <s v="6-12 Months(Short)"/>
    <s v="United States"/>
    <s v="Romper Short"/>
    <n v="6"/>
    <n v="24"/>
    <s v="FathersDay"/>
    <s v="6-12"/>
    <x v="64"/>
    <m/>
  </r>
  <r>
    <d v="2026-06-11T00:00:00"/>
    <s v="https://www.etsy.com/listing/4347838451/custom-embroidered-nonnas-little?transaction_id=5101693398"/>
    <s v="Sage Green"/>
    <s v="Sage Green"/>
    <s v="6-12 Months(Short)"/>
    <s v="United States"/>
    <s v="Romper Short"/>
    <n v="6"/>
    <n v="24"/>
    <s v="FathersDay"/>
    <s v="6-12"/>
    <x v="19"/>
    <m/>
  </r>
  <r>
    <d v="2026-06-11T00:00:00"/>
    <s v="https://www.etsy.com/listing/4507005480/milk-then-burpees-embroidered-baby?transaction_id=5111427017"/>
    <s v="Sage Green"/>
    <s v="Sage Green"/>
    <s v="12-18 Months(Short)"/>
    <s v="Switzerland"/>
    <s v="Romper Short"/>
    <n v="6"/>
    <n v="24"/>
    <s v="FathersDay"/>
    <s v="12-18"/>
    <x v="74"/>
    <m/>
  </r>
  <r>
    <d v="2026-06-12T00:00:00"/>
    <s v="https://www.etsy.com/listing/4476308950/pack-my-diapers-im-going-racing?transaction_id=5111495983"/>
    <s v="Salmon"/>
    <s v="Salmon"/>
    <s v="3-6 Months(Long)"/>
    <s v="United States"/>
    <s v="Romper Longer"/>
    <n v="6"/>
    <n v="24"/>
    <s v="FathersDay"/>
    <s v="3-6"/>
    <x v="49"/>
    <m/>
  </r>
  <r>
    <d v="2026-06-12T00:00:00"/>
    <s v="https://www.etsy.com/listing/4346110995/funny-baby-romper-nacho-quote?transaction_id=5111696241"/>
    <s v="  Dusty Pink"/>
    <s v="  Dusty Pink"/>
    <s v="3-6 Months(Long)"/>
    <s v="United States"/>
    <s v="Romper Longer"/>
    <n v="6"/>
    <n v="24"/>
    <s v="FathersDay"/>
    <s v="3-6"/>
    <x v="8"/>
    <m/>
  </r>
  <r>
    <d v="2026-06-12T00:00:00"/>
    <s v="https://www.etsy.com/listing/4376404086/embroidered-lil-nugget-baby-bodysuit?transaction_id=5112078145"/>
    <s v="  White"/>
    <s v="  White"/>
    <s v="0-3 Months(Short)"/>
    <s v="United States"/>
    <s v="Romper Short"/>
    <n v="6"/>
    <n v="24"/>
    <s v="FathersDay"/>
    <s v="0-3"/>
    <x v="21"/>
    <m/>
  </r>
  <r>
    <d v="2026-06-12T00:00:00"/>
    <s v="https://www.etsy.com/listing/4376404086/embroidered-lil-nugget-baby-bodysuit?transaction_id=5112078145"/>
    <s v="Caldet Blue"/>
    <s v="Caldet Blue"/>
    <s v="3-6 Months(Long)"/>
    <s v="United States"/>
    <s v="Romper Longer"/>
    <n v="6"/>
    <n v="24"/>
    <s v="FathersDay"/>
    <s v="3-6"/>
    <x v="23"/>
    <m/>
  </r>
  <r>
    <d v="2026-06-13T00:00:00"/>
    <s v="https://www.etsy.com/listing/4465296416/embroidered-apparently-i-like-golf-baby?transaction_id=5112320495"/>
    <s v="  White"/>
    <s v="  White"/>
    <s v="0-3 Months(Long)"/>
    <s v="Australia"/>
    <s v="Romper Longer"/>
    <n v="6"/>
    <n v="24"/>
    <s v="FathersDay"/>
    <s v="0-3"/>
    <x v="54"/>
    <m/>
  </r>
  <r>
    <d v="2026-06-13T00:00:00"/>
    <s v="https://www.etsy.com/listing/4476297611/box-box-racing-car-embroidered-baby?transaction_id=5102931512"/>
    <s v=" Cream"/>
    <s v=" Cream"/>
    <s v="18-24 Months(Short)"/>
    <s v="France"/>
    <s v="Romper Short"/>
    <n v="6"/>
    <n v="24"/>
    <s v="FathersDay"/>
    <s v="18-24"/>
    <x v="16"/>
    <m/>
  </r>
  <r>
    <d v="2026-06-13T00:00:00"/>
    <s v="https://www.etsy.com/listing/4473845389/golf-player-outfit-embroidered-baby?transaction_id=5103227490"/>
    <s v="Caldet Blue"/>
    <s v="Caldet Blue"/>
    <s v="18-24 Months(Short)"/>
    <s v="United States"/>
    <s v="Romper Short"/>
    <n v="6"/>
    <n v="24"/>
    <s v="FathersDay"/>
    <s v="18-24"/>
    <x v="101"/>
    <m/>
  </r>
  <r>
    <d v="2026-06-13T00:00:00"/>
    <s v="https://www.etsy.com/listing/4476295581/the-littlest-book-club-member?transaction_id=5103252148"/>
    <s v=" Sage Green"/>
    <s v=" Sage Green"/>
    <s v="6-12 Months(Long)"/>
    <s v="Canada"/>
    <s v="Romper Longer"/>
    <n v="6"/>
    <n v="24"/>
    <s v="FathersDay"/>
    <s v="6-12"/>
    <x v="3"/>
    <m/>
  </r>
  <r>
    <d v="2026-06-14T00:00:00"/>
    <s v="https://www.etsy.com/listing/4465289107/embroidered-if-you-can-read-this-diaper?transaction_id=5104714346"/>
    <s v=" White"/>
    <s v=" White"/>
    <s v="3-6 Months(Long)"/>
    <s v="United States"/>
    <s v="Romper Longer"/>
    <n v="6"/>
    <n v="25"/>
    <s v="FathersDay"/>
    <s v="3-6"/>
    <x v="70"/>
    <m/>
  </r>
  <r>
    <d v="2026-06-15T00:00:00"/>
    <s v="https://www.etsy.com/listing/4509540549/just-plane-cute-embroidered-baby-romper?transaction_id=5114381087"/>
    <s v="Dusty Pink"/>
    <s v="Dusty Pink"/>
    <s v="0-3 Months(Long)"/>
    <s v="United States"/>
    <s v="Romper Longer"/>
    <n v="6"/>
    <n v="25"/>
    <s v="FathersDay"/>
    <s v="0-3"/>
    <x v="45"/>
    <m/>
  </r>
  <r>
    <d v="2026-06-15T00:00:00"/>
    <s v="https://www.etsy.com/listing/4376404086/embroidered-lil-nugget-baby-bodysuit?transaction_id=5105461122"/>
    <s v=" White"/>
    <s v=" White"/>
    <s v="0-3 Months(Long)"/>
    <s v="United States"/>
    <s v="Romper Longer"/>
    <n v="6"/>
    <n v="25"/>
    <s v="FathersDay"/>
    <s v="0-3"/>
    <x v="54"/>
    <m/>
  </r>
  <r>
    <d v="2026-06-15T00:00:00"/>
    <s v="https://www.etsy.com/listing/4347838451/custom-embroidered-nonnas-little?transaction_id=5114874233"/>
    <s v="Cream"/>
    <s v="Cream"/>
    <s v="12-18 Months(Short)"/>
    <s v="United States"/>
    <s v="Romper Short"/>
    <n v="6"/>
    <n v="25"/>
    <s v="FathersDay"/>
    <s v="12-18"/>
    <x v="26"/>
    <m/>
  </r>
  <r>
    <d v="2026-06-15T00:00:00"/>
    <s v="https://www.etsy.com/listing/4376404086/embroidered-lil-nugget-baby-bodysuit?transaction_id=5114937451"/>
    <s v="Cream"/>
    <s v="Cream"/>
    <s v="3-6 Months(Short)"/>
    <s v="United States"/>
    <s v="Romper Short"/>
    <n v="6"/>
    <n v="25"/>
    <s v="FathersDay"/>
    <s v="3-6"/>
    <x v="0"/>
    <m/>
  </r>
  <r>
    <d v="2026-06-15T00:00:00"/>
    <s v="https://www.etsy.com/listing/4507001437/outwit-outplay-outnap-embroidered-baby?transaction_id=5105816734"/>
    <s v="Caldet Blue"/>
    <s v="Caldet Blue"/>
    <s v="12-18 Months(Short)"/>
    <s v="United States"/>
    <s v="Romper Short"/>
    <n v="6"/>
    <n v="25"/>
    <s v="FathersDay"/>
    <s v="12-18"/>
    <x v="72"/>
    <m/>
  </r>
  <r>
    <d v="2026-06-16T00:00:00"/>
    <s v="https://www.etsy.com/listing/4364059829/embroidered-baby-romper-funny-challah-at?transaction_id=5106258260"/>
    <s v="  Cream"/>
    <s v="  Cream"/>
    <s v="3-6 Months(Short)"/>
    <s v="United States"/>
    <s v="Romper Short"/>
    <n v="6"/>
    <n v="25"/>
    <s v="FathersDay"/>
    <s v="3-6"/>
    <x v="0"/>
    <m/>
  </r>
  <r>
    <d v="2026-06-16T00:00:00"/>
    <s v="https://www.etsy.com/listing/4473845389/golf-player-outfit-embroidered-baby?transaction_id=5115462705"/>
    <s v=" Sage Green"/>
    <s v=" Sage Green"/>
    <s v="6-12 Months(Long)"/>
    <s v="United States"/>
    <s v="Romper Longer"/>
    <n v="6"/>
    <n v="25"/>
    <s v="FathersDay"/>
    <s v="6-12"/>
    <x v="3"/>
    <m/>
  </r>
  <r>
    <d v="2026-03-07T00:00:00"/>
    <s v="https://www.etsy.com/listing/4463233979/little-sister-baby-romper-custom-name?transaction_id=4992179403"/>
    <s v="Salmon "/>
    <s v="Salmon "/>
    <s v="0-3 Months(Long)"/>
    <s v="United States"/>
    <s v="Romper Longer"/>
    <n v="3"/>
    <n v="10"/>
    <s v="Easter"/>
    <s v="0-3"/>
    <x v="84"/>
    <m/>
  </r>
  <r>
    <d v="2026-03-09T00:00:00"/>
    <s v="https://www.etsy.com/listing/4463219999/little-sprout-baby-romper-custom-name?transaction_id=4981971934"/>
    <s v="Salmon"/>
    <s v="Salmon"/>
    <s v="6-12 Months(Short)"/>
    <s v="United States"/>
    <s v="Romper Short"/>
    <n v="3"/>
    <n v="11"/>
    <s v="Easter"/>
    <s v="6-12"/>
    <x v="102"/>
    <m/>
  </r>
  <r>
    <d v="2026-03-10T00:00:00"/>
    <s v="https://www.etsy.com/listing/4463237615/new-to-the-club-baby-romper-custom-name?transaction_id=4995186385"/>
    <s v="Dusty Pink"/>
    <s v="Dusty Pink"/>
    <s v="0-3 Months(Long)"/>
    <s v="United States"/>
    <s v="Romper Longer"/>
    <n v="3"/>
    <n v="11"/>
    <s v="Easter"/>
    <s v="0-3"/>
    <x v="45"/>
    <m/>
  </r>
  <r>
    <d v="2026-03-10T00:00:00"/>
    <s v="https://www.etsy.com/listing/4463237615/new-to-the-club-baby-romper-custom-name?transaction_id=4985456738"/>
    <s v="Cream"/>
    <s v="Cream"/>
    <s v="3-6 Months(Long)"/>
    <s v="United States"/>
    <s v="Romper Longer"/>
    <n v="3"/>
    <n v="11"/>
    <s v="Easter"/>
    <s v="3-6"/>
    <x v="1"/>
    <m/>
  </r>
  <r>
    <d v="2026-03-25T00:00:00"/>
    <s v="https://www.etsy.com/listing/4473230310/future-metalhead-baby-romper-custom-name?transaction_id=5012691249"/>
    <s v=" Salmon"/>
    <s v=" Salmon"/>
    <s v="3-6 Months(Short)"/>
    <s v="Germany"/>
    <s v="Romper Short"/>
    <n v="3"/>
    <n v="13"/>
    <s v="Easter"/>
    <s v="3-6"/>
    <x v="50"/>
    <m/>
  </r>
  <r>
    <d v="2026-03-25T00:00:00"/>
    <s v="https://www.etsy.com/listing/4473218593/everleigh-cherry-baby-romper-custom-name?transaction_id=5003007546"/>
    <s v=" White"/>
    <s v=" White"/>
    <s v="0-3 Months(Short)"/>
    <s v="United States"/>
    <s v="Romper Short"/>
    <n v="3"/>
    <n v="13"/>
    <s v="Easter"/>
    <s v="0-3"/>
    <x v="21"/>
    <m/>
  </r>
  <r>
    <d v="2026-04-06T00:00:00"/>
    <s v="https://www.etsy.com/listing/4481664154/sous-chef-baby-romper-personalized?transaction_id=5017535022"/>
    <s v="Cream"/>
    <s v="Cream"/>
    <s v="3-6 Months(Short)"/>
    <s v="United States"/>
    <s v="Romper Short"/>
    <n v="4"/>
    <n v="15"/>
    <s v="Easter"/>
    <s v="3-6"/>
    <x v="0"/>
    <m/>
  </r>
  <r>
    <d v="2026-04-08T00:00:00"/>
    <s v="https://www.etsy.com/listing/4481676592/thats-my-daddy-lineman-embroidered-baby?transaction_id=5029470559"/>
    <s v=" Sage Green"/>
    <s v=" Sage Green"/>
    <s v="6-12 Months(Short)"/>
    <s v="United States"/>
    <s v="Romper Short"/>
    <n v="4"/>
    <n v="15"/>
    <s v="Easter"/>
    <s v="6-12"/>
    <x v="19"/>
    <m/>
  </r>
  <r>
    <d v="2026-04-08T00:00:00"/>
    <s v="https://www.etsy.com/listing/4472704816/little-chili-baby-romper-custom-name?transaction_id=5020022998"/>
    <s v="Cream"/>
    <s v="Cream"/>
    <s v="6-12 Months(Long)"/>
    <s v="United States"/>
    <s v="Romper Longer"/>
    <n v="4"/>
    <n v="15"/>
    <s v="Easter"/>
    <s v="6-12"/>
    <x v="17"/>
    <m/>
  </r>
  <r>
    <d v="2026-04-13T00:00:00"/>
    <s v="https://www.etsy.com/listing/4481664154/sous-chef-baby-romper-personalized?transaction_id=5024315364"/>
    <s v="Dusty Pink"/>
    <s v="Dusty Pink"/>
    <s v="3-6 Months(Short)"/>
    <s v="United States"/>
    <s v="Romper Short"/>
    <n v="4"/>
    <n v="16"/>
    <s v="Easter"/>
    <s v="3-6"/>
    <x v="31"/>
    <m/>
  </r>
  <r>
    <d v="2026-04-13T00:00:00"/>
    <s v="https://www.etsy.com/listing/4463219999/little-sprout-baby-romper-custom-name?transaction_id=5025980940"/>
    <s v="Cream"/>
    <s v="Cream"/>
    <s v="0-3 Months(Long)"/>
    <s v="Australia"/>
    <s v="Romper Longer"/>
    <n v="4"/>
    <n v="16"/>
    <s v="Easter"/>
    <s v="0-3"/>
    <x v="2"/>
    <m/>
  </r>
  <r>
    <d v="2026-04-15T00:00:00"/>
    <s v="https://www.etsy.com/listing/4481649101/fitness-baby-romper-dumbbell?transaction_id=5039266033"/>
    <s v="Caldet Blue"/>
    <s v="Caldet Blue"/>
    <s v="12-18 Months(Short)"/>
    <s v="United States"/>
    <s v="Romper Short"/>
    <n v="4"/>
    <n v="16"/>
    <s v="Easter"/>
    <s v="12-18"/>
    <x v="72"/>
    <m/>
  </r>
  <r>
    <d v="2026-04-22T00:00:00"/>
    <s v="https://www.etsy.com/listing/4472718936/power-lifting-baby-romper-custom-name?transaction_id=5035703080"/>
    <s v="Forest Green"/>
    <s v="Forest Green"/>
    <s v="0-3 Months(Long)"/>
    <s v="Saudi Arabia"/>
    <s v="Romper Longer"/>
    <n v="4"/>
    <n v="17"/>
    <s v="Easter"/>
    <s v="0-3"/>
    <x v="41"/>
    <m/>
  </r>
  <r>
    <d v="2026-04-23T00:00:00"/>
    <s v="https://www.etsy.com/listing/4473244004/personalized-baby-romper-embroidered?transaction_id=5049466025"/>
    <s v="Cream"/>
    <s v="Cream"/>
    <s v="6-12 Months(Short)"/>
    <s v="United States"/>
    <s v="Romper Short"/>
    <n v="4"/>
    <n v="17"/>
    <s v="Easter"/>
    <s v="6-12"/>
    <x v="47"/>
    <m/>
  </r>
  <r>
    <d v="2026-05-03T00:00:00"/>
    <s v="https://www.etsy.com/listing/4473244004/personalized-baby-romper-embroidered?transaction_id=5061381751"/>
    <s v="White"/>
    <s v="White"/>
    <s v="12-18 Months(Short)"/>
    <s v="United States"/>
    <s v="Romper Short"/>
    <n v="5"/>
    <n v="19"/>
    <s v="MothersDay"/>
    <s v="12-18"/>
    <x v="87"/>
    <m/>
  </r>
  <r>
    <d v="2026-05-05T00:00:00"/>
    <s v="https://www.etsy.com/listing/4473246782/new-baby-romper-dog-paw-embroidered?transaction_id=5053101910"/>
    <s v="Coffee"/>
    <s v="Coffee"/>
    <s v="3-6 Months(Short)"/>
    <s v="United States"/>
    <s v="Romper Short"/>
    <n v="5"/>
    <n v="19"/>
    <s v="MothersDay"/>
    <s v="3-6"/>
    <x v="18"/>
    <m/>
  </r>
  <r>
    <d v="2026-05-12T00:00:00"/>
    <s v="https://www.etsy.com/listing/4473237491/embroidered-ocean-wave-baby-romper?transaction_id=5071531853"/>
    <s v="Caldet Blue"/>
    <s v="Caldet Blue"/>
    <s v="0-3 Months(Short)"/>
    <s v="Sweden"/>
    <s v="Romper Short"/>
    <n v="5"/>
    <n v="20"/>
    <s v="MothersDay"/>
    <s v="0-3"/>
    <x v="38"/>
    <m/>
  </r>
  <r>
    <d v="2026-05-14T00:00:00"/>
    <s v="https://www.etsy.com/listing/4473230310/future-metalhead-baby-romper-custom-name?transaction_id=5077162729"/>
    <s v="Sage Green"/>
    <s v="Sage Green"/>
    <s v="6-12 Months(Short)"/>
    <s v="United States"/>
    <s v="Romper Short"/>
    <n v="5"/>
    <n v="20"/>
    <s v="MothersDay"/>
    <s v="6-12"/>
    <x v="19"/>
    <m/>
  </r>
  <r>
    <d v="2026-05-14T00:00:00"/>
    <s v="https://www.etsy.com/listing/4481671705/relax-my-daddy-is-a-firefighter?transaction_id=5064884800"/>
    <s v="Cream"/>
    <s v="Cream"/>
    <s v="3-6 Months(Short)"/>
    <s v="United States"/>
    <s v="Romper Short"/>
    <n v="5"/>
    <n v="20"/>
    <s v="MothersDay"/>
    <s v="3-6"/>
    <x v="0"/>
    <m/>
  </r>
  <r>
    <d v="2026-05-15T00:00:00"/>
    <s v="https://www.etsy.com/listing/4472700822/sun-baby-romper-little-ray-of-sunshine?transaction_id=5077774187"/>
    <s v="White"/>
    <s v="White"/>
    <s v="0-3 Months(Short)"/>
    <s v="United Kingdom"/>
    <s v="Romper Short"/>
    <n v="5"/>
    <n v="20"/>
    <s v="MothersDay"/>
    <s v="0-3"/>
    <x v="21"/>
    <m/>
  </r>
  <r>
    <d v="2026-05-18T00:00:00"/>
    <s v="https://www.etsy.com/listing/4473244004/personalized-baby-romper-embroidered?transaction_id=5078858179"/>
    <s v="Cream"/>
    <s v="Cream"/>
    <s v="3-6 Months(Short)"/>
    <s v="United States"/>
    <s v="Romper Short"/>
    <n v="5"/>
    <n v="21"/>
    <s v="MothersDay"/>
    <s v="3-6"/>
    <x v="0"/>
    <m/>
  </r>
  <r>
    <d v="2026-05-21T00:00:00"/>
    <s v="https://www.etsy.com/listing/4463219999/little-sprout-baby-romper-custom-name?transaction_id=5072742920"/>
    <s v="Salmon"/>
    <s v="Salmon"/>
    <s v="0-3 Months(Long)"/>
    <s v="United States"/>
    <s v="Romper Longer"/>
    <n v="5"/>
    <n v="21"/>
    <s v="MothersDay"/>
    <s v="0-3"/>
    <x v="84"/>
    <m/>
  </r>
  <r>
    <d v="2026-05-25T00:00:00"/>
    <s v="https://www.etsy.com/listing/4481649101/fitness-baby-romper-dumbbell?transaction_id=5076241262"/>
    <s v="Sage Green"/>
    <s v="Sage Green"/>
    <s v="3-6 Months(Short)"/>
    <s v="United States"/>
    <s v="Romper Short"/>
    <n v="5"/>
    <n v="22"/>
    <s v="MothersDay"/>
    <s v="3-6"/>
    <x v="24"/>
    <m/>
  </r>
  <r>
    <d v="2026-05-26T00:00:00"/>
    <s v="https://www.etsy.com/listing/4481667912/relax-my-daddy-is-an-engineer?transaction_id=5080062458"/>
    <s v="Dusty Pink"/>
    <s v="Dusty Pink"/>
    <s v="3-6 Months(Short)"/>
    <s v="Australia"/>
    <s v="Romper Short"/>
    <n v="5"/>
    <n v="22"/>
    <s v="MothersDay"/>
    <s v="3-6"/>
    <x v="31"/>
    <m/>
  </r>
  <r>
    <d v="2026-05-30T00:00:00"/>
    <s v="https://www.etsy.com/listing/4502974746/milk-then-burpees-embroidered-baby?transaction_id=5083210526"/>
    <s v="Salmon"/>
    <s v="Salmon"/>
    <s v="3-6 Months(Short)"/>
    <s v="United Kingdom"/>
    <s v="Romper Short"/>
    <n v="5"/>
    <n v="22"/>
    <s v="MothersDay"/>
    <s v="3-6"/>
    <x v="50"/>
    <m/>
  </r>
  <r>
    <d v="2026-05-30T00:00:00"/>
    <s v="https://www.etsy.com/listing/4481649101/fitness-baby-romper-dumbbell?transaction_id=5083461276"/>
    <s v="Watermelon"/>
    <s v="Watermelon"/>
    <s v="12-18 Months(Long)"/>
    <s v="United States"/>
    <s v="Romper Longer"/>
    <n v="5"/>
    <n v="22"/>
    <s v="MothersDay"/>
    <s v="12-18"/>
    <x v="78"/>
    <m/>
  </r>
  <r>
    <d v="2026-06-01T00:00:00"/>
    <s v="https://www.etsy.com/listing/4513488423/big-cousin-club-embroidered-romper?transaction_id=5087847766"/>
    <s v="Coffee "/>
    <s v="Coffee "/>
    <s v="3-6 Months(Long)"/>
    <s v="United States"/>
    <s v="Romper Longer"/>
    <n v="6"/>
    <n v="23"/>
    <s v="FathersDay"/>
    <s v="3-6"/>
    <x v="12"/>
    <m/>
  </r>
  <r>
    <d v="2026-06-04T00:00:00"/>
    <s v="https://www.etsy.com/listing/4502978234/big-sister-daisy-embroidered-baby-romper?transaction_id=5100530377"/>
    <s v="Dusty Pink"/>
    <s v="Dusty Pink"/>
    <s v="12-18 Months(Short)"/>
    <s v="United States"/>
    <s v="Romper Short"/>
    <n v="6"/>
    <n v="23"/>
    <s v="FathersDay"/>
    <s v="12-18"/>
    <x v="44"/>
    <m/>
  </r>
  <r>
    <d v="2026-06-04T00:00:00"/>
    <s v="https://www.etsy.com/listing/4509959468/see-ya-later-excavator-embroidered-baby?transaction_id=5090599104"/>
    <s v="Cream"/>
    <s v="Cream"/>
    <s v="0-3 Months(Long)"/>
    <s v="United States"/>
    <s v="Romper Longer"/>
    <n v="6"/>
    <n v="23"/>
    <s v="FathersDay"/>
    <s v="0-3"/>
    <x v="2"/>
    <m/>
  </r>
  <r>
    <d v="2026-06-04T00:00:00"/>
    <s v="https://www.etsy.com/listing/4508824325/little-bean-embroidered-baby-romper?transaction_id=5101983327"/>
    <s v="Cream"/>
    <s v="Cream"/>
    <s v="0-3 Months(Short)"/>
    <s v="United Kingdom"/>
    <s v="Romper Short"/>
    <n v="6"/>
    <n v="23"/>
    <s v="FathersDay"/>
    <s v="0-3"/>
    <x v="15"/>
    <m/>
  </r>
  <r>
    <d v="2026-06-04T00:00:00"/>
    <s v="https://www.etsy.com/listing/4473244004/personalized-baby-romper-embroidered?transaction_id=5102016589"/>
    <s v="Cream"/>
    <s v="Cream"/>
    <s v="3-6 Months(Short)"/>
    <s v="United States"/>
    <s v="Romper Short"/>
    <n v="6"/>
    <n v="23"/>
    <s v="FathersDay"/>
    <s v="3-6"/>
    <x v="0"/>
    <m/>
  </r>
  <r>
    <d v="2026-06-11T00:00:00"/>
    <s v="https://www.etsy.com/listing/4496447374/new-to-the-tennis-club-baby-romper?transaction_id=5105392635"/>
    <s v=" Cream"/>
    <s v=" Cream"/>
    <s v="3-6 Months(Long)"/>
    <s v="The Netherlands"/>
    <s v="Romper Longer"/>
    <n v="6"/>
    <n v="24"/>
    <s v="FathersDay"/>
    <s v="3-6"/>
    <x v="1"/>
    <m/>
  </r>
  <r>
    <d v="2025-06-15T00:00:00"/>
    <s v="https://www.etsy.com/listing/4510937008/border-collie-embroidered-baby-romper?transaction_id=5103440720"/>
    <s v="Cream"/>
    <s v="Cream"/>
    <s v="6-12 Months(Short)"/>
    <s v="United States"/>
    <s v="Romper Short"/>
    <n v="6"/>
    <n v="25"/>
    <s v="FathersDay"/>
    <s v="6-12"/>
    <x v="47"/>
    <m/>
  </r>
  <r>
    <d v="2025-06-15T00:00:00"/>
    <s v="https://www.etsy.com/listing/4502978234/big-sister-daisy-embroidered-baby-romper?transaction_id=5103928810"/>
    <s v="Dusty Pink"/>
    <s v="Dusty Pink"/>
    <s v="12-18 Months(Short)"/>
    <s v="United States"/>
    <s v="Romper Short"/>
    <n v="6"/>
    <n v="25"/>
    <s v="FathersDay"/>
    <s v="12-18"/>
    <x v="44"/>
    <m/>
  </r>
  <r>
    <d v="2025-06-15T00:00:00"/>
    <s v="https://www.etsy.com/listing/4473244004/personalized-baby-romper-embroidered?transaction_id=5104695010"/>
    <s v="Dusty Pink"/>
    <s v="Dusty Pink"/>
    <s v="6-12 Months(Long)"/>
    <s v="United States"/>
    <s v="Romper Longer"/>
    <n v="6"/>
    <n v="25"/>
    <s v="FathersDay"/>
    <s v="6-12"/>
    <x v="51"/>
    <m/>
  </r>
  <r>
    <d v="2026-02-03T00:00:00"/>
    <s v="https://www.etsy.com/listing/4430068497/personalized-i-love-my-daddy-baby?transaction_id=4938323156"/>
    <s v="Light blue"/>
    <s v="Light Blue"/>
    <s v="3-6 Months"/>
    <s v="Germany"/>
    <s v="Bodysuit"/>
    <n v="2"/>
    <n v="6"/>
    <s v="Valentine"/>
    <s v="3-6"/>
    <x v="92"/>
    <m/>
  </r>
  <r>
    <d v="2026-02-03T00:00:00"/>
    <s v="https://www.etsy.com/listing/4437050812/little-miss-cute-moon-embroidered-baby?transaction_id=4952205013"/>
    <s v="Light pink"/>
    <s v="Light Pink"/>
    <s v="0-3 Months"/>
    <s v="Czech Republic"/>
    <s v="Bodysuit"/>
    <n v="2"/>
    <n v="6"/>
    <s v="Valentine"/>
    <s v="0-3"/>
    <x v="93"/>
    <m/>
  </r>
  <r>
    <d v="2026-02-04T00:00:00"/>
    <s v="https://www.etsy.com/listing/4437042961/little-miss-bright-star-embroidered-baby?transaction_id=4952205011"/>
    <s v="Light pink"/>
    <s v="Light Pink"/>
    <s v="0-3 Months"/>
    <s v="Czech Republic"/>
    <s v="Bodysuit"/>
    <n v="2"/>
    <n v="6"/>
    <s v="Valentine"/>
    <s v="0-3"/>
    <x v="93"/>
    <m/>
  </r>
  <r>
    <d v="2026-02-03T00:00:00"/>
    <s v="https://www.etsy.com/listing/4442468967/daddys-cricket-buddy-embroidered-baby?transaction_id=4954177903"/>
    <s v="Light blue"/>
    <s v="Light Blue"/>
    <s v="3-6 Months"/>
    <s v="Australia"/>
    <s v="Bodysuit"/>
    <n v="2"/>
    <n v="6"/>
    <s v="Valentine"/>
    <s v="3-6"/>
    <x v="92"/>
    <m/>
  </r>
  <r>
    <d v="2026-02-04T00:00:00"/>
    <s v="https://www.etsy.com/listing/4451158689/grandmas-little-ray-of-sunshine-bodysuit?transaction_id=4955434339"/>
    <s v="Cream"/>
    <s v="Cream"/>
    <s v="0-3 Months"/>
    <s v="United States"/>
    <s v="Bodysuit"/>
    <n v="2"/>
    <n v="6"/>
    <s v="Valentine"/>
    <s v="0-3"/>
    <x v="89"/>
    <m/>
  </r>
  <r>
    <d v="2026-02-04T00:00:00"/>
    <s v="https://www.etsy.com/listing/4429002267/personalized-poodle-embroidered-baby?transaction_id=4955006573"/>
    <s v="Light blue"/>
    <s v="Light Blue"/>
    <s v="0-3 Months"/>
    <s v="United States"/>
    <s v="Bodysuit"/>
    <n v="2"/>
    <n v="6"/>
    <s v="Valentine"/>
    <s v="0-3"/>
    <x v="88"/>
    <m/>
  </r>
  <r>
    <d v="2026-02-04T00:00:00"/>
    <s v="https://www.etsy.com/listing/4430837644/personalized-new-to-the-crew-baby?transaction_id=4945177054"/>
    <s v="Light pink"/>
    <s v="Light Pink"/>
    <s v="3-6 Months"/>
    <s v="United States"/>
    <s v="Bodysuit"/>
    <n v="2"/>
    <n v="6"/>
    <s v="Valentine"/>
    <s v="3-6"/>
    <x v="91"/>
    <m/>
  </r>
  <r>
    <d v="2026-02-06T00:00:00"/>
    <s v="https://www.etsy.com/listing/4430824034/funny-apparently-i-like-golf-baby?transaction_id=4957133491"/>
    <s v="Light blue"/>
    <s v="Light Blue"/>
    <s v="3-6 Months"/>
    <s v="France"/>
    <s v="Bodysuit"/>
    <n v="2"/>
    <n v="6"/>
    <s v="Valentine"/>
    <s v="3-6"/>
    <x v="92"/>
    <m/>
  </r>
  <r>
    <d v="2026-02-07T00:00:00"/>
    <s v="https://www.etsy.com/listing/4446342128/new-to-the-club-golf-embroidered-baby?transaction_id=4957133489"/>
    <s v="Cream"/>
    <s v="Cream"/>
    <s v="3-6 Months"/>
    <s v="France"/>
    <s v="Bodysuit"/>
    <n v="2"/>
    <n v="6"/>
    <s v="Valentine"/>
    <s v="3-6"/>
    <x v="90"/>
    <m/>
  </r>
  <r>
    <d v="2026-02-08T00:00:00"/>
    <s v="https://www.etsy.com/listing/4435908861/personalized-little-putter-golf?transaction_id=4946380992"/>
    <s v="Cream"/>
    <s v="Cream"/>
    <s v="3-6 Months"/>
    <s v="France"/>
    <s v="Bodysuit"/>
    <n v="2"/>
    <n v="7"/>
    <s v="Valentine"/>
    <s v="3-6"/>
    <x v="90"/>
    <m/>
  </r>
  <r>
    <d v="2026-02-06T00:00:00"/>
    <s v="https://www.etsy.com/listing/4436430931/personalized-new-to-the-crew-basketball?transaction_id=4957295819"/>
    <s v="Cream"/>
    <s v="Cream"/>
    <s v="3-6 Months"/>
    <s v="United States"/>
    <s v="Bodysuit"/>
    <n v="2"/>
    <n v="6"/>
    <s v="Valentine"/>
    <s v="3-6"/>
    <x v="90"/>
    <m/>
  </r>
  <r>
    <d v="2026-02-06T00:00:00"/>
    <s v="https://www.etsy.com/listing/4430821439/personalized-future-engineer-baby?transaction_id=4958277029"/>
    <s v="Light blue"/>
    <s v="Light Blue"/>
    <s v="3-6 Months"/>
    <s v="Norway"/>
    <s v="Bodysuit"/>
    <n v="2"/>
    <n v="6"/>
    <s v="Valentine"/>
    <s v="3-6"/>
    <x v="92"/>
    <m/>
  </r>
  <r>
    <d v="2026-02-06T00:00:00"/>
    <s v="https://www.etsy.com/listing/4437043955/new-to-the-crew-running-embroidered-baby?transaction_id=4958274797"/>
    <s v="Light blue"/>
    <s v="Light Blue"/>
    <s v="3-6 Months"/>
    <s v="Ireland"/>
    <s v="Bodysuit"/>
    <n v="2"/>
    <n v="6"/>
    <s v="Valentine"/>
    <s v="3-6"/>
    <x v="92"/>
    <m/>
  </r>
  <r>
    <d v="2026-02-12T00:00:00"/>
    <s v="https://www.etsy.com/listing/4437045794/new-to-the-crew-rowing-embroidered-baby?transaction_id=4965205721"/>
    <s v=" Light pink "/>
    <s v=" Light Pink "/>
    <s v="3-6 Months"/>
    <s v="United States"/>
    <s v="Bodysuit"/>
    <n v="2"/>
    <n v="7"/>
    <s v="Valentine"/>
    <s v="3-6"/>
    <x v="91"/>
    <m/>
  </r>
  <r>
    <d v="2026-02-16T00:00:00"/>
    <s v="https://www.etsy.com/listing/4441462107/hill-name-custom-train-embroidered-baby?transaction_id=4967500397"/>
    <s v="Light blue"/>
    <s v="Light Blue"/>
    <s v="0-3 Months"/>
    <s v="United States"/>
    <s v="Bodysuit"/>
    <n v="2"/>
    <n v="8"/>
    <s v="Valentine"/>
    <s v="0-3"/>
    <x v="88"/>
    <m/>
  </r>
  <r>
    <d v="2026-02-16T00:00:00"/>
    <s v="https://www.etsy.com/listing/4437034108/daddys-future-partner-tennis-embroidered?transaction_id=4969547331"/>
    <s v="Light blue"/>
    <s v="Light Blue"/>
    <s v="0-3 Months"/>
    <s v="Italy"/>
    <s v="Bodysuit"/>
    <n v="2"/>
    <n v="8"/>
    <s v="Valentine"/>
    <s v="0-3"/>
    <x v="88"/>
    <m/>
  </r>
  <r>
    <d v="2026-02-20T00:00:00"/>
    <s v="https://www.etsy.com/listing/4430824034/funny-apparently-i-like-golf-baby?transaction_id=4962620890"/>
    <s v=" Light blue "/>
    <s v=" Light Blue "/>
    <s v="3-6 Months"/>
    <s v="United States"/>
    <s v="Bodysuit"/>
    <n v="2"/>
    <n v="8"/>
    <s v="Valentine"/>
    <s v="3-6"/>
    <x v="92"/>
    <m/>
  </r>
  <r>
    <d v="2026-02-25T00:00:00"/>
    <s v="https://www.etsy.com/listing/4436430931/personalized-new-to-the-crew-basketball?transaction_id=4965722018"/>
    <s v="Light pink"/>
    <s v="Light Pink"/>
    <s v="0-3 Months"/>
    <s v="Australia"/>
    <s v="Bodysuit"/>
    <n v="2"/>
    <n v="9"/>
    <s v="Valentine"/>
    <s v="0-3"/>
    <x v="93"/>
    <m/>
  </r>
  <r>
    <d v="2026-02-25T00:00:00"/>
    <s v="https://www.etsy.com/listing/4429002267/personalized-poodle-embroidered-baby?transaction_id=4967413752"/>
    <s v="Light pink"/>
    <s v="Light Pink"/>
    <s v="0-3 Months"/>
    <s v="Japan"/>
    <s v="Bodysuit"/>
    <n v="2"/>
    <n v="9"/>
    <s v="Valentine"/>
    <s v="0-3"/>
    <x v="93"/>
    <m/>
  </r>
  <r>
    <d v="2026-02-26T00:00:00"/>
    <s v="https://www.etsy.com/listing/4452262758/future-artist-embroidered-baby?transaction_id=4970397168"/>
    <s v="Light pink"/>
    <s v="Light Pink"/>
    <s v="0-3 Months"/>
    <s v="United States"/>
    <s v="Bodysuit"/>
    <n v="2"/>
    <n v="9"/>
    <s v="Valentine"/>
    <s v="0-3"/>
    <x v="93"/>
    <m/>
  </r>
  <r>
    <d v="2026-03-02T00:00:00"/>
    <s v="https://www.etsy.com/listing/4430822725/personalized-little-cutie-baby-bodysuit?transaction_id=4973648794"/>
    <s v="Light pink"/>
    <s v="Light Pink"/>
    <s v="0-3 Months"/>
    <s v="United States"/>
    <s v="Bodysuit"/>
    <n v="3"/>
    <n v="10"/>
    <s v="Easter"/>
    <s v="0-3"/>
    <x v="93"/>
    <m/>
  </r>
  <r>
    <d v="2026-03-02T00:00:00"/>
    <s v="https://www.etsy.com/listing/4435908861/personalized-little-putter-golf?transaction_id=4974976348"/>
    <s v=" Light blue "/>
    <s v=" Light Blue "/>
    <s v="3-6 Months"/>
    <s v="United States"/>
    <s v="Bodysuit"/>
    <n v="3"/>
    <n v="10"/>
    <s v="Easter"/>
    <s v="3-6"/>
    <x v="92"/>
    <m/>
  </r>
  <r>
    <d v="2026-03-02T00:00:00"/>
    <s v="https://www.etsy.com/listing/4437043955/new-to-the-crew-running-embroidered-baby?transaction_id=4983483929"/>
    <s v=" Light blue"/>
    <s v=" Light Blue"/>
    <s v="3-6 Months"/>
    <s v="Australia"/>
    <s v="Bodysuit"/>
    <n v="3"/>
    <n v="10"/>
    <s v="Easter"/>
    <s v="3-6"/>
    <x v="92"/>
    <m/>
  </r>
  <r>
    <d v="2026-03-05T00:00:00"/>
    <s v="https://www.etsy.com/listing/4462705441/small-family-mushroom-embroidered-baby?transaction_id=4988543783"/>
    <s v="Cream"/>
    <s v="Cream"/>
    <s v="3-6 Months"/>
    <s v="United States"/>
    <s v="Bodysuit"/>
    <n v="3"/>
    <n v="10"/>
    <s v="Easter"/>
    <s v="3-6"/>
    <x v="90"/>
    <m/>
  </r>
  <r>
    <d v="2026-03-05T00:00:00"/>
    <s v="https://www.etsy.com/listing/4437045794/new-to-the-crew-rowing-embroidered-baby?transaction_id=4978891922"/>
    <s v="Light pink"/>
    <s v="Light Pink"/>
    <s v="3-6 Months"/>
    <s v="United Kingdom"/>
    <s v="Bodysuit"/>
    <n v="3"/>
    <n v="10"/>
    <s v="Easter"/>
    <s v="3-6"/>
    <x v="91"/>
    <m/>
  </r>
  <r>
    <d v="2026-03-05T00:00:00"/>
    <s v="https://www.etsy.com/listing/4430837644/personalized-new-to-the-crew-baby?transaction_id=4978050446"/>
    <s v=" Light blue"/>
    <s v=" Light Blue"/>
    <s v="0-3 Months"/>
    <s v="United States"/>
    <s v="Bodysuit"/>
    <n v="3"/>
    <n v="10"/>
    <s v="Easter"/>
    <s v="0-3"/>
    <x v="88"/>
    <m/>
  </r>
  <r>
    <d v="2026-03-05T00:00:00"/>
    <s v="https://www.etsy.com/listing/4430837644/personalized-new-to-the-crew-baby?transaction_id=4989281515"/>
    <s v="Light pink"/>
    <s v="Light Pink"/>
    <s v="0-3 Months"/>
    <s v="United States"/>
    <s v="Bodysuit"/>
    <n v="3"/>
    <n v="10"/>
    <s v="Easter"/>
    <s v="0-3"/>
    <x v="93"/>
    <m/>
  </r>
  <r>
    <d v="2026-03-10T00:00:00"/>
    <s v="https://www.etsy.com/listing/4430056949/personalized-going-home-to-meet-my-cats?transaction_id=4992857903"/>
    <s v=" Light blue"/>
    <s v=" Light Blue"/>
    <s v="0-3 Months"/>
    <s v="United States"/>
    <s v="Bodysuit"/>
    <n v="3"/>
    <n v="11"/>
    <s v="Easter"/>
    <s v="0-3"/>
    <x v="88"/>
    <m/>
  </r>
  <r>
    <d v="2026-03-10T00:00:00"/>
    <s v="https://www.etsy.com/listing/4430837644/personalized-new-to-the-crew-baby?transaction_id=4994963233"/>
    <s v="Light pink"/>
    <s v="Light Pink"/>
    <s v="3-6 Months"/>
    <s v="United Kingdom"/>
    <s v="Bodysuit"/>
    <n v="3"/>
    <n v="11"/>
    <s v="Easter"/>
    <s v="3-6"/>
    <x v="91"/>
    <m/>
  </r>
  <r>
    <d v="2026-03-12T00:00:00"/>
    <s v="https://www.etsy.com/listing/4465315655/ocean-wave-vibes-embroidered-baby?transaction_id=4998185333"/>
    <s v="Cream"/>
    <s v="Cream"/>
    <s v="3-6 Months"/>
    <s v="United States"/>
    <s v="Bodysuit"/>
    <n v="3"/>
    <n v="11"/>
    <s v="Easter"/>
    <s v="3-6"/>
    <x v="90"/>
    <m/>
  </r>
  <r>
    <d v="2026-03-13T00:00:00"/>
    <s v="https://www.etsy.com/listing/4465315598/embroidered-ocean-fish-custom-name-baby?transaction_id=4988434662"/>
    <s v=" Light blue"/>
    <s v=" Light Blue"/>
    <s v="3-6 Months"/>
    <s v="United States"/>
    <s v="Bodysuit"/>
    <n v="3"/>
    <n v="11"/>
    <s v="Easter"/>
    <s v="3-6"/>
    <x v="92"/>
    <m/>
  </r>
  <r>
    <d v="2026-03-16T00:00:00"/>
    <s v="https://www.etsy.com/listing/4465314295/i-have-crazy-aunts-funny-baby?transaction_id=4991591126"/>
    <s v=" Cream"/>
    <s v=" Cream"/>
    <s v="0-3 Months"/>
    <s v="United Kingdom"/>
    <s v="Bodysuit"/>
    <n v="3"/>
    <n v="12"/>
    <s v="Easter"/>
    <s v="0-3"/>
    <x v="89"/>
    <m/>
  </r>
  <r>
    <d v="2026-03-17T00:00:00"/>
    <s v="https://www.etsy.com/listing/4469502957/little-fruit-kiwi-embroidered-baby-cute?transaction_id=5003329451"/>
    <s v=" Cream"/>
    <s v=" Cream"/>
    <s v="3-6 Months"/>
    <s v="United Kingdom"/>
    <s v="Bodysuit"/>
    <n v="3"/>
    <n v="12"/>
    <s v="Easter"/>
    <s v="3-6"/>
    <x v="90"/>
    <m/>
  </r>
  <r>
    <d v="2026-03-17T00:00:00"/>
    <s v="https://www.etsy.com/listing/4462707332/daddys-future-golf-buddy-baby-bodysuit?transaction_id=5003526331"/>
    <s v=" Cream"/>
    <s v=" Cream"/>
    <s v="3-6 Months"/>
    <s v="Canada"/>
    <s v="Bodysuit"/>
    <n v="3"/>
    <n v="12"/>
    <s v="Easter"/>
    <s v="3-6"/>
    <x v="90"/>
    <m/>
  </r>
  <r>
    <d v="2026-03-18T00:00:00"/>
    <s v="https://www.etsy.com/listing/4429018238/personalized-eggplant-baby-bodysuit?transaction_id=4995557724"/>
    <s v="Light blue"/>
    <s v="Light Blue"/>
    <s v="3-6 Months"/>
    <s v="United States"/>
    <s v="Bodysuit"/>
    <n v="3"/>
    <n v="12"/>
    <s v="Easter"/>
    <s v="3-6"/>
    <x v="92"/>
    <m/>
  </r>
  <r>
    <d v="2026-03-18T00:00:00"/>
    <s v="https://www.etsy.com/listing/4469526782/thats-my-daddy-embroidered-baby-lineman?transaction_id=4995639752"/>
    <s v="Cream"/>
    <s v="Cream"/>
    <s v="3-6 Months"/>
    <s v="United States"/>
    <s v="Bodysuit"/>
    <n v="3"/>
    <n v="12"/>
    <s v="Easter"/>
    <s v="3-6"/>
    <x v="90"/>
    <m/>
  </r>
  <r>
    <d v="2026-03-18T00:00:00"/>
    <s v="https://www.etsy.com/listing/4462701746/awww-shucks-baby-bodysuit-custom-name?transaction_id=5005590527"/>
    <s v="Cream"/>
    <s v="Cream"/>
    <s v="3-6 Months"/>
    <s v="United States"/>
    <s v="Bodysuit"/>
    <n v="3"/>
    <n v="12"/>
    <s v="Easter"/>
    <s v="3-6"/>
    <x v="90"/>
    <m/>
  </r>
  <r>
    <d v="2026-03-19T00:00:00"/>
    <s v="https://www.etsy.com/listing/4439745806/personalized-h-is-for-helicopter?transaction_id=5006429605"/>
    <s v="Cream"/>
    <s v="Cream"/>
    <s v="3-6 Months"/>
    <s v="United States"/>
    <s v="Bodysuit"/>
    <n v="3"/>
    <n v="12"/>
    <s v="Easter"/>
    <s v="3-6"/>
    <x v="90"/>
    <m/>
  </r>
  <r>
    <d v="2026-03-20T00:00:00"/>
    <s v="https://www.etsy.com/listing/4430837644/personalized-new-to-the-crew-baby?transaction_id=5007107331"/>
    <s v="Light blue"/>
    <s v="Light Blue"/>
    <s v="3-6 Months"/>
    <s v="United States"/>
    <s v="Bodysuit"/>
    <n v="3"/>
    <n v="12"/>
    <s v="Easter"/>
    <s v="3-6"/>
    <x v="92"/>
    <m/>
  </r>
  <r>
    <d v="2026-03-24T00:00:00"/>
    <s v="https://www.etsy.com/listing/4430837644/personalized-new-to-the-crew-baby?transaction_id=5001270876"/>
    <s v="Cream"/>
    <s v="Cream"/>
    <s v="0-3 Months"/>
    <s v="United States"/>
    <s v="Bodysuit"/>
    <n v="3"/>
    <n v="13"/>
    <s v="Easter"/>
    <s v="0-3"/>
    <x v="89"/>
    <m/>
  </r>
  <r>
    <d v="2026-03-26T00:00:00"/>
    <s v="https://www.etsy.com/listing/4467339660/embroidered-daddys-boy-baby-bodysuit?transaction_id=5014359057"/>
    <s v="Cream"/>
    <s v="Cream"/>
    <s v="3-6 Months"/>
    <s v="United States"/>
    <s v="Bodysuit"/>
    <n v="3"/>
    <n v="13"/>
    <s v="Easter"/>
    <s v="3-6"/>
    <x v="90"/>
    <m/>
  </r>
  <r>
    <d v="2026-03-26T00:00:00"/>
    <s v="https://www.etsy.com/listing/4455959666/mamas-little-bestie-embroidered-baby?transaction_id=5005044684"/>
    <s v="Light blue"/>
    <s v="Light Blue"/>
    <s v="0-3 Months"/>
    <s v="Australia"/>
    <s v="Bodysuit"/>
    <n v="3"/>
    <n v="13"/>
    <s v="Easter"/>
    <s v="0-3"/>
    <x v="88"/>
    <m/>
  </r>
  <r>
    <d v="2026-03-28T00:00:00"/>
    <s v="https://www.etsy.com/listing/4430053091/personalized-daddys-little-game-day?transaction_id=5016946977"/>
    <s v="Light blue"/>
    <s v="Light Blue"/>
    <s v="0-3 Months"/>
    <s v="United States"/>
    <s v="Bodysuit"/>
    <n v="3"/>
    <n v="13"/>
    <s v="Easter"/>
    <s v="0-3"/>
    <x v="88"/>
    <m/>
  </r>
  <r>
    <d v="2026-03-28T00:00:00"/>
    <s v="https://www.etsy.com/listing/4469518643/mini-race-embroidered-baby-go-kart?transaction_id=5017324545"/>
    <s v="Light blue"/>
    <s v="Light Blue"/>
    <s v="3-6 Months"/>
    <s v="Italy"/>
    <s v="Bodysuit"/>
    <n v="3"/>
    <n v="13"/>
    <s v="Easter"/>
    <s v="3-6"/>
    <x v="92"/>
    <m/>
  </r>
  <r>
    <d v="2026-03-30T00:00:00"/>
    <s v="https://www.etsy.com/listing/4430076790/personalized-newest-hockey-fan-baby?transaction_id=5019104499"/>
    <s v="Light pink"/>
    <s v="Light Pink"/>
    <s v="3-6 Months"/>
    <s v="Canada"/>
    <s v="Bodysuit"/>
    <n v="3"/>
    <n v="14"/>
    <s v="Easter"/>
    <s v="3-6"/>
    <x v="91"/>
    <m/>
  </r>
  <r>
    <d v="2026-03-31T00:00:00"/>
    <s v="https://www.etsy.com/listing/4451151625/jack-personalized-golf-baby-bodysuit?transaction_id=5009887816"/>
    <s v="Light blue"/>
    <s v="Light Blue"/>
    <s v="3-6 Months"/>
    <s v="Canada"/>
    <s v="Bodysuit"/>
    <n v="3"/>
    <n v="14"/>
    <s v="Easter"/>
    <s v="3-6"/>
    <x v="92"/>
    <m/>
  </r>
  <r>
    <d v="2026-03-31T00:00:00"/>
    <s v="https://www.etsy.com/listing/4447913264/little-pierogi-embroidered-baby-custom?transaction_id=5009955734"/>
    <s v="Light blue"/>
    <s v="Light Blue"/>
    <s v="3-6 Months"/>
    <s v="United States"/>
    <s v="Bodysuit"/>
    <n v="3"/>
    <n v="14"/>
    <s v="Easter"/>
    <s v="3-6"/>
    <x v="92"/>
    <m/>
  </r>
  <r>
    <d v="2026-03-31T00:00:00"/>
    <s v="https://www.etsy.com/listing/4447913264/little-pierogi-embroidered-baby-custom?transaction_id=5009955734"/>
    <s v="Cream"/>
    <s v="Cream"/>
    <s v="3-6 Months"/>
    <s v="United States"/>
    <s v="Bodysuit"/>
    <n v="3"/>
    <n v="14"/>
    <s v="Easter"/>
    <s v="3-6"/>
    <x v="90"/>
    <m/>
  </r>
  <r>
    <d v="2026-03-31T00:00:00"/>
    <s v="https://www.etsy.com/listing/4477340823/little-bean-baby-bodysuit-embroidered?transaction_id=5019843937"/>
    <s v="Cream"/>
    <s v="Cream"/>
    <s v="0-3 Months"/>
    <s v="Slovakia"/>
    <s v="Bodysuit"/>
    <n v="3"/>
    <n v="14"/>
    <s v="Easter"/>
    <s v="0-3"/>
    <x v="89"/>
    <m/>
  </r>
  <r>
    <d v="2026-04-03T00:00:00"/>
    <s v="https://www.etsy.com/listing/4442483360/on-sundays-we-watch-with-daddy?transaction_id=5013790314"/>
    <s v="Cream"/>
    <s v="Cream"/>
    <s v="0-3 Months"/>
    <s v="United States"/>
    <s v="Bodysuit"/>
    <n v="4"/>
    <n v="14"/>
    <s v="Easter"/>
    <s v="0-3"/>
    <x v="89"/>
    <m/>
  </r>
  <r>
    <d v="2026-04-03T00:00:00"/>
    <s v="https://www.etsy.com/listing/4481662420/embroidered-daddys-girl-baby-handmade?transaction_id=5013437628"/>
    <s v="Cream"/>
    <s v="Cream"/>
    <s v="0-3 Months"/>
    <s v="United Kingdom"/>
    <s v="Bodysuit"/>
    <n v="4"/>
    <n v="14"/>
    <s v="Easter"/>
    <s v="0-3"/>
    <x v="89"/>
    <m/>
  </r>
  <r>
    <d v="2026-04-04T00:00:00"/>
    <s v="https://www.etsy.com/listing/4430837644/personalized-new-to-the-crew-baby?transaction_id=5024999045"/>
    <s v="Light pink"/>
    <s v="Light Pink"/>
    <s v="3-6 Months"/>
    <s v="Canada"/>
    <s v="Bodysuit"/>
    <n v="4"/>
    <n v="14"/>
    <s v="Easter"/>
    <s v="3-6"/>
    <x v="91"/>
    <m/>
  </r>
  <r>
    <d v="2026-04-06T00:00:00"/>
    <s v="https://www.etsy.com/listing/4469423916/personalized-tabby-cat-baby-custom-name?transaction_id=5015883146Time to eat fur, kid."/>
    <s v="Cream"/>
    <s v="Cream"/>
    <s v="0-3 Months"/>
    <s v="United States"/>
    <s v="Bodysuit"/>
    <n v="4"/>
    <n v="15"/>
    <s v="Easter"/>
    <s v="0-3"/>
    <x v="89"/>
    <m/>
  </r>
  <r>
    <d v="2026-04-08T00:00:00"/>
    <s v="https://www.etsy.com/listing/4453389627/new-to-the-cousin-crew-embroidered-baby?transaction_id=5019751994"/>
    <s v="Cream"/>
    <s v="Cream"/>
    <s v="0-3 Months"/>
    <s v="Canada"/>
    <s v="Bodysuit"/>
    <n v="4"/>
    <n v="15"/>
    <s v="Easter"/>
    <s v="0-3"/>
    <x v="89"/>
    <m/>
  </r>
  <r>
    <d v="2026-04-09T00:00:00"/>
    <s v="https://www.etsy.com/listing/4435898453/personalized-soccer-ball-with-cap?transaction_id=5031457881"/>
    <s v="Light blue"/>
    <s v="Light Blue"/>
    <s v="3-6 Months"/>
    <s v="United States"/>
    <s v="Bodysuit"/>
    <n v="4"/>
    <n v="15"/>
    <s v="Easter"/>
    <s v="3-6"/>
    <x v="92"/>
    <m/>
  </r>
  <r>
    <d v="2026-04-10T00:00:00"/>
    <s v="https://www.etsy.com/listing/4477341693/future-chef-baby-bodysuit-embroidered?transaction_id=5032069157"/>
    <s v="Light pink"/>
    <s v="Light Pink"/>
    <s v="3-6 Months"/>
    <s v="United States"/>
    <s v="Bodysuit"/>
    <n v="4"/>
    <n v="15"/>
    <s v="Easter"/>
    <s v="3-6"/>
    <x v="91"/>
    <m/>
  </r>
  <r>
    <d v="2026-04-10T00:00:00"/>
    <s v="https://www.etsy.com/listing/4437045794/new-to-the-crew-rowing-embroidered-baby?transaction_id=5021368222"/>
    <s v="Cream"/>
    <s v="Cream"/>
    <s v="3-6 Months"/>
    <s v="United States"/>
    <s v="Bodysuit"/>
    <n v="4"/>
    <n v="15"/>
    <s v="Easter"/>
    <s v="3-6"/>
    <x v="90"/>
    <m/>
  </r>
  <r>
    <d v="2026-04-10T00:00:00"/>
    <s v="https://www.etsy.com/listing/4469521573/future-airplane-pilot-embroidered-baby?transaction_id=5031799009"/>
    <s v="Light pink"/>
    <s v="Light Pink"/>
    <s v="3-6 Months"/>
    <s v="Slovakia"/>
    <s v="Bodysuit"/>
    <n v="4"/>
    <n v="15"/>
    <s v="Easter"/>
    <s v="3-6"/>
    <x v="91"/>
    <m/>
  </r>
  <r>
    <d v="2026-04-10T00:00:00"/>
    <s v="https://www.etsy.com/listing/4481677271/personalized-basketball-baby-bodysuit?transaction_id=5018132062"/>
    <s v="Light blue"/>
    <s v="Light Blue"/>
    <s v="0-3 Months"/>
    <s v="United States"/>
    <s v="Bodysuit"/>
    <n v="4"/>
    <n v="15"/>
    <s v="Easter"/>
    <s v="0-3"/>
    <x v="88"/>
    <m/>
  </r>
  <r>
    <d v="2026-04-13T00:00:00"/>
    <s v="https://www.etsy.com/listing/4455951257/answered-prayer-embroidered-baby?transaction_id=5035549639"/>
    <s v="Cream"/>
    <s v="Cream"/>
    <s v="3-6 Months"/>
    <s v="Canada"/>
    <s v="Bodysuit"/>
    <n v="4"/>
    <n v="16"/>
    <s v="Easter"/>
    <s v="3-6"/>
    <x v="90"/>
    <m/>
  </r>
  <r>
    <d v="2026-04-13T00:00:00"/>
    <s v="https://www.etsy.com/listing/4436440178/personalized-newest-baseball-fan?transaction_id=5033693891"/>
    <s v="Light blue"/>
    <s v="Light Blue"/>
    <s v="3-6 Months"/>
    <s v="United States"/>
    <s v="Bodysuit"/>
    <n v="4"/>
    <n v="16"/>
    <s v="Easter"/>
    <s v="3-6"/>
    <x v="92"/>
    <m/>
  </r>
  <r>
    <d v="2026-04-13T00:00:00"/>
    <s v="https://www.etsy.com/listing/4429015692/personalized-daddys-badminton-buddy?transaction_id=5024012578"/>
    <s v="Cream"/>
    <s v="Cream"/>
    <s v="3-6 Months"/>
    <s v="Canada"/>
    <s v="Bodysuit"/>
    <n v="4"/>
    <n v="16"/>
    <s v="Easter"/>
    <s v="3-6"/>
    <x v="90"/>
    <m/>
  </r>
  <r>
    <d v="2026-04-13T00:00:00"/>
    <s v="https://www.etsy.com/listing/4469507580/relax-my-daddys-an-engineer-embroidered?transaction_id=5036237881"/>
    <s v="Light blue"/>
    <s v="Light Blue"/>
    <s v="0-3 Months"/>
    <s v="United Kingdom"/>
    <s v="Bodysuit"/>
    <n v="4"/>
    <n v="16"/>
    <s v="Easter"/>
    <s v="0-3"/>
    <x v="88"/>
    <m/>
  </r>
  <r>
    <d v="2026-04-14T00:00:00"/>
    <s v="https://www.etsy.com/listing/4462703193/cool-beans-baby-bodysuit-custom-name?transaction_id=5023499408"/>
    <s v="Cream "/>
    <s v="Cream "/>
    <s v="3-6 Months"/>
    <s v="United States"/>
    <s v="Bodysuit"/>
    <n v="4"/>
    <n v="16"/>
    <s v="Easter"/>
    <s v="3-6"/>
    <x v="90"/>
    <m/>
  </r>
  <r>
    <d v="2026-04-18T00:00:00"/>
    <s v="https://www.etsy.com/listing/4462707332/daddys-future-golf-buddy-baby-bodysuit?transaction_id=5003526331"/>
    <s v="Cream"/>
    <s v="Cream"/>
    <s v="3-6 Months"/>
    <s v="Canada"/>
    <s v="Bodysuit"/>
    <n v="4"/>
    <n v="16"/>
    <s v="Easter"/>
    <s v="3-6"/>
    <x v="90"/>
    <m/>
  </r>
  <r>
    <d v="2026-04-20T00:00:00"/>
    <s v="https://www.etsy.com/listing/4451158689/grandmas-little-ray-of-sunshine-bodysuit?transaction_id=5033383592"/>
    <s v="Cream "/>
    <s v="Cream "/>
    <s v="0-3 Months"/>
    <s v="United States"/>
    <s v="Bodysuit"/>
    <n v="4"/>
    <n v="17"/>
    <s v="Easter"/>
    <s v="0-3"/>
    <x v="89"/>
    <m/>
  </r>
  <r>
    <d v="2026-04-22T00:00:00"/>
    <s v="https://www.etsy.com/listing/4486159440/personalized-monogram-baby?transaction_id=5035197766"/>
    <s v="Light blue"/>
    <s v="Light Blue"/>
    <s v="0-3 Months"/>
    <s v="United States"/>
    <s v="Bodysuit"/>
    <n v="4"/>
    <n v="17"/>
    <s v="Easter"/>
    <s v="0-3"/>
    <x v="88"/>
    <m/>
  </r>
  <r>
    <d v="2026-04-22T00:00:00"/>
    <s v="https://www.etsy.com/listing/4484965320/grandmas-future-bestie-baby?transaction_id=5048275511"/>
    <s v="Light pink"/>
    <s v="Light Pink"/>
    <s v="3-6 Months"/>
    <s v="United States"/>
    <s v="Bodysuit"/>
    <n v="4"/>
    <n v="17"/>
    <s v="Easter"/>
    <s v="3-6"/>
    <x v="91"/>
    <m/>
  </r>
  <r>
    <d v="2026-04-23T00:00:00"/>
    <s v="https://www.etsy.com/listing/4462707332/daddys-future-golf-buddy-baby-bodysuit?transaction_id=5049030855"/>
    <s v="Light blue "/>
    <s v="Light Blue "/>
    <s v="0-3 Months"/>
    <s v="Canada"/>
    <s v="Bodysuit"/>
    <n v="4"/>
    <n v="17"/>
    <s v="Easter"/>
    <s v="0-3"/>
    <x v="88"/>
    <m/>
  </r>
  <r>
    <d v="2026-04-27T00:00:00"/>
    <s v="https://www.etsy.com/listing/4430824034/funny-apparently-i-like-golf-baby?transaction_id=5054595699"/>
    <s v="Light blue "/>
    <s v="Light Blue "/>
    <s v="3-6 Months"/>
    <s v="United States"/>
    <s v="Bodysuit"/>
    <n v="4"/>
    <n v="18"/>
    <s v="Easter"/>
    <s v="3-6"/>
    <x v="92"/>
    <m/>
  </r>
  <r>
    <d v="2026-04-27T00:00:00"/>
    <s v="https://www.etsy.com/listing/4430837644/personalized-new-to-the-crew-baby?transaction_id=5040922214"/>
    <s v="Light blue"/>
    <s v="Light Blue"/>
    <s v="0-3 Months"/>
    <s v="United States"/>
    <s v="Bodysuit"/>
    <n v="4"/>
    <n v="18"/>
    <s v="Easter"/>
    <s v="0-3"/>
    <x v="88"/>
    <m/>
  </r>
  <r>
    <d v="2026-05-02T00:00:00"/>
    <s v="https://www.etsy.com/listing/4430837644/personalized-new-to-the-crew-baby?transaction_id=5045980734"/>
    <s v="Light blue"/>
    <s v="Light Blue"/>
    <s v="0-3 Months"/>
    <s v="United States"/>
    <s v="Bodysuit"/>
    <n v="5"/>
    <n v="18"/>
    <s v="MothersDay"/>
    <s v="0-3"/>
    <x v="88"/>
    <m/>
  </r>
  <r>
    <d v="2026-05-02T00:00:00"/>
    <s v="https://www.etsy.com/listing/4491489849/handpicked-for-earth-by-my-mimi-in?transaction_id=5059802481"/>
    <s v="Cream "/>
    <s v="Cream "/>
    <s v="0-3 Months"/>
    <s v="United States"/>
    <s v="Bodysuit"/>
    <n v="5"/>
    <n v="18"/>
    <s v="MothersDay"/>
    <s v="0-3"/>
    <x v="89"/>
    <m/>
  </r>
  <r>
    <d v="2026-05-04T00:00:00"/>
    <s v="https://www.etsy.com/listing/4429019252/personalized-badminton-baby-bodysuit?transaction_id=5062650773"/>
    <s v="Light pink"/>
    <s v="Light Pink"/>
    <s v="3-6 Months"/>
    <s v="Finland"/>
    <s v="Bodysuit"/>
    <n v="5"/>
    <n v="19"/>
    <s v="MothersDay"/>
    <s v="3-6"/>
    <x v="91"/>
    <m/>
  </r>
  <r>
    <d v="2026-05-06T00:00:00"/>
    <s v="https://www.etsy.com/listing/4469526782/thats-my-daddy-embroidered-baby-lineman?transaction_id=5067342233"/>
    <s v="Light pink "/>
    <s v="Light Pink "/>
    <s v="3-6 Months"/>
    <s v="United States"/>
    <s v="Bodysuit"/>
    <n v="5"/>
    <n v="19"/>
    <s v="MothersDay"/>
    <s v="3-6"/>
    <x v="91"/>
    <m/>
  </r>
  <r>
    <d v="2026-05-06T00:00:00"/>
    <s v="https://www.etsy.com/listing/4477382165/holy-blockamole-bodysuit-embroidered?transaction_id=5067388177"/>
    <s v="Light blue"/>
    <s v="Light Blue"/>
    <s v="3-6 Months"/>
    <s v="United States"/>
    <s v="Bodysuit"/>
    <n v="5"/>
    <n v="19"/>
    <s v="MothersDay"/>
    <s v="3-6"/>
    <x v="92"/>
    <m/>
  </r>
  <r>
    <d v="2026-05-07T00:00:00"/>
    <s v="https://www.etsy.com/listing/4430837644/personalized-new-to-the-crew-baby?transaction_id=5055711684"/>
    <s v="Light pink "/>
    <s v="Light Pink "/>
    <s v="3-6 Months"/>
    <s v="Canada"/>
    <s v="Bodysuit"/>
    <n v="5"/>
    <n v="19"/>
    <s v="MothersDay"/>
    <s v="3-6"/>
    <x v="91"/>
    <m/>
  </r>
  <r>
    <d v="2026-05-08T00:00:00"/>
    <s v="https://www.etsy.com/listing/4429012108/future-lifting-buddy-embroidered-baby?transaction_id=5068794219"/>
    <s v="Light pink"/>
    <s v="Light Pink"/>
    <s v="3-6 Months"/>
    <s v="New Zealand"/>
    <s v="Bodysuit"/>
    <n v="5"/>
    <n v="19"/>
    <s v="MothersDay"/>
    <s v="3-6"/>
    <x v="91"/>
    <m/>
  </r>
  <r>
    <d v="2026-05-12T00:00:00"/>
    <s v="https://www.etsy.com/listing/4430824034/funny-apparently-i-like-golf-baby?transaction_id=5062332512"/>
    <s v="Light blue "/>
    <s v="Light Blue "/>
    <s v="0-3 Months"/>
    <s v="United States"/>
    <s v="Bodysuit"/>
    <n v="5"/>
    <n v="20"/>
    <s v="MothersDay"/>
    <s v="0-3"/>
    <x v="88"/>
    <m/>
  </r>
  <r>
    <d v="2026-05-15T00:00:00"/>
    <s v="https://www.etsy.com/listing/4430076790/personalized-newest-hockey-fan-baby?transaction_id=5085944263"/>
    <s v="Cream "/>
    <s v="Cream "/>
    <s v="0-3 Months"/>
    <s v="United Kingdom"/>
    <s v="Bodysuit"/>
    <n v="5"/>
    <n v="20"/>
    <s v="MothersDay"/>
    <s v="0-3"/>
    <x v="89"/>
    <m/>
  </r>
  <r>
    <d v="2026-05-15T00:00:00"/>
    <s v="https://www.etsy.com/listing/4435880774/personalized-team-daddy-8-ball?transaction_id=5065546466"/>
    <s v="Light pink "/>
    <s v="Light Pink "/>
    <s v="3-6 Months"/>
    <s v="United States"/>
    <s v="Bodysuit"/>
    <n v="5"/>
    <n v="20"/>
    <s v="MothersDay"/>
    <s v="3-6"/>
    <x v="91"/>
    <m/>
  </r>
  <r>
    <d v="2026-05-18T00:00:00"/>
    <s v="https://www.etsy.com/listing/4462692655/sweety-berry-strawberry-embroidered-baby?transaction_id=5079352119"/>
    <s v="Light pink "/>
    <s v="Light Pink "/>
    <s v="3-6 Months"/>
    <s v="United States"/>
    <s v="Bodysuit"/>
    <n v="5"/>
    <n v="21"/>
    <s v="MothersDay"/>
    <s v="3-6"/>
    <x v="91"/>
    <m/>
  </r>
  <r>
    <d v="2026-05-18T00:00:00"/>
    <s v="https://www.etsy.com/listing/4504154416/apparently-i-like-soccer-embroidered?transaction_id=5068234106"/>
    <s v="Light blue "/>
    <s v="Light Blue "/>
    <s v="0-3 Months"/>
    <s v="Australia"/>
    <s v="Bodysuit"/>
    <n v="5"/>
    <n v="21"/>
    <s v="MothersDay"/>
    <s v="0-3"/>
    <x v="88"/>
    <m/>
  </r>
  <r>
    <d v="2026-05-18T00:00:00"/>
    <s v="https://www.etsy.com/listing/4462703193/cool-beans-baby-bodysuit-custom-name?transaction_id=5081332079"/>
    <s v="Cream "/>
    <s v="Cream "/>
    <s v="0-3 Months"/>
    <s v="Switzerland"/>
    <s v="Bodysuit"/>
    <n v="5"/>
    <n v="21"/>
    <s v="MothersDay"/>
    <s v="0-3"/>
    <x v="89"/>
    <m/>
  </r>
  <r>
    <d v="2026-05-21T00:00:00"/>
    <s v="https://www.etsy.com/listing/4430076790/personalized-newest-hockey-fan-baby?transaction_id=5085944263"/>
    <s v="Light pink"/>
    <s v="Light Pink"/>
    <s v="3-6 Months"/>
    <s v="United States"/>
    <s v="Bodysuit"/>
    <n v="5"/>
    <n v="21"/>
    <s v="MothersDay"/>
    <s v="3-6"/>
    <x v="91"/>
    <m/>
  </r>
  <r>
    <d v="2026-05-21T00:00:00"/>
    <s v="https://www.etsy.com/listing/4462702419/im-a-little-chili-baby-bodysuit-custom?transaction_id=5072500114"/>
    <s v="Light blue"/>
    <s v="Light Blue"/>
    <s v="0-3 Months"/>
    <s v="United States"/>
    <s v="Bodysuit"/>
    <n v="5"/>
    <n v="21"/>
    <s v="MothersDay"/>
    <s v="0-3"/>
    <x v="88"/>
    <m/>
  </r>
  <r>
    <d v="2026-05-21T00:00:00"/>
    <s v="https://www.etsy.com/listing/4451155301/sunflower-stethoscope-personalized?transaction_id=5085647523"/>
    <s v="Light pink "/>
    <s v="Light Pink "/>
    <s v="0-3 Months"/>
    <s v="United States"/>
    <s v="Bodysuit"/>
    <n v="5"/>
    <n v="21"/>
    <s v="MothersDay"/>
    <s v="0-3"/>
    <x v="93"/>
    <m/>
  </r>
  <r>
    <d v="2026-05-25T00:00:00"/>
    <s v="https://www.etsy.com/listing/4446334673/cute-platypus-name-embroidered-baby?transaction_id=5088945239&amp;dd_referrer="/>
    <s v="Light pink "/>
    <s v="Light Pink "/>
    <s v="0-3 Months"/>
    <s v="United States"/>
    <s v="Bodysuit"/>
    <n v="5"/>
    <n v="22"/>
    <s v="MothersDay"/>
    <s v="0-3"/>
    <x v="93"/>
    <m/>
  </r>
  <r>
    <d v="2026-05-25T00:00:00"/>
    <s v="https://www.etsy.com/listing/4455912856/personalized-little-squirrel-baby?transaction_id=5089683901"/>
    <s v="Cream"/>
    <s v="Cream"/>
    <s v="0-3 Months"/>
    <s v="The Netherlands"/>
    <s v="Bodysuit"/>
    <n v="5"/>
    <n v="22"/>
    <s v="MothersDay"/>
    <s v="0-3"/>
    <x v="89"/>
    <m/>
  </r>
  <r>
    <d v="2026-05-26T00:00:00"/>
    <s v="https://www.etsy.com/listing/4505389154/future-triathlete-embroidered-baby?transaction_id=5078870450"/>
    <s v="Light blue "/>
    <s v="Light Blue "/>
    <s v="3-6 Months"/>
    <s v="United States"/>
    <s v="Bodysuit"/>
    <n v="5"/>
    <n v="22"/>
    <s v="MothersDay"/>
    <s v="3-6"/>
    <x v="92"/>
    <m/>
  </r>
  <r>
    <d v="2026-05-26T00:00:00"/>
    <s v="https://www.etsy.com/listing/4452247143/custom-team-name-basketball-embroidered?transaction_id=5078244672"/>
    <s v="Cream "/>
    <s v="Cream "/>
    <s v="3-6 Months"/>
    <s v="France"/>
    <s v="Bodysuit"/>
    <n v="5"/>
    <n v="22"/>
    <s v="MothersDay"/>
    <s v="3-6"/>
    <x v="90"/>
    <m/>
  </r>
  <r>
    <d v="2026-05-27T00:00:00"/>
    <s v="https://www.etsy.com/listing/4430837644/personalized-new-to-the-crew-baby?transaction_id=5080256034"/>
    <s v="Light blue"/>
    <s v="Light Blue"/>
    <s v="0-3 Months"/>
    <s v="United States"/>
    <s v="Bodysuit"/>
    <n v="5"/>
    <n v="22"/>
    <s v="MothersDay"/>
    <s v="0-3"/>
    <x v="88"/>
    <m/>
  </r>
  <r>
    <d v="2026-06-02T00:00:00"/>
    <s v="https://www.etsy.com/listing/4446342128/new-to-the-club-golf-embroidered-baby?transaction_id=5099540899"/>
    <s v="Light blue"/>
    <s v="Light Blue"/>
    <s v="0-3 Months"/>
    <s v="United Kingdom"/>
    <s v="Bodysuit"/>
    <n v="6"/>
    <n v="23"/>
    <s v="FathersDay"/>
    <s v="0-3"/>
    <x v="88"/>
    <m/>
  </r>
  <r>
    <d v="2026-06-02T00:00:00"/>
    <s v="https://www.etsy.com/listing/4430837644/personalized-new-to-the-crew-baby?transaction_id=5088377204"/>
    <s v="Light blue"/>
    <s v="Light Blue"/>
    <s v="3-6 Months"/>
    <s v="United States"/>
    <s v="Bodysuit"/>
    <n v="6"/>
    <n v="23"/>
    <s v="FathersDay"/>
    <s v="3-6"/>
    <x v="92"/>
    <m/>
  </r>
  <r>
    <d v="2026-06-03T00:00:00"/>
    <s v="https://www.etsy.com/listing/4455903513/personalized-game-on-tennis-baby?transaction_id=5089832462"/>
    <s v="Light pink "/>
    <s v="Light Pink "/>
    <s v="3-6 Months"/>
    <s v="United States"/>
    <s v="Bodysuit"/>
    <n v="6"/>
    <n v="23"/>
    <s v="FathersDay"/>
    <s v="3-6"/>
    <x v="91"/>
    <m/>
  </r>
  <r>
    <d v="2026-06-04T00:00:00"/>
    <s v="https://www.etsy.com/listing/4462702419/im-a-little-chili-baby-bodysuit-custom?transaction_id=5091469258"/>
    <s v="Cream  "/>
    <s v="Cream  "/>
    <s v="0-3 Months"/>
    <s v="United States"/>
    <s v="Bodysuit"/>
    <n v="6"/>
    <n v="23"/>
    <s v="FathersDay"/>
    <s v="0-3"/>
    <x v="89"/>
    <m/>
  </r>
  <r>
    <d v="2026-06-05T00:00:00"/>
    <s v="https://www.etsy.com/listing/4513076790/daddys-co-pilot-embroidered-baby?transaction_id=5102597495"/>
    <s v="Cream"/>
    <s v="Cream"/>
    <s v="0-3 Months"/>
    <s v="United States"/>
    <s v="Bodysuit"/>
    <n v="6"/>
    <n v="23"/>
    <s v="FathersDay"/>
    <s v="0-3"/>
    <x v="89"/>
    <m/>
  </r>
  <r>
    <d v="2026-06-12T00:00:00"/>
    <s v="https://www.etsy.com/listing/4430824034/funny-apparently-i-like-golf-baby?transaction_id=5096548862"/>
    <s v="Light blue"/>
    <s v="Light Blue"/>
    <s v="0-3 Months"/>
    <s v="United States"/>
    <s v="Bodysuit"/>
    <n v="6"/>
    <n v="24"/>
    <s v="FathersDay"/>
    <s v="0-3"/>
    <x v="88"/>
    <m/>
  </r>
  <r>
    <d v="2026-06-12T00:00:00"/>
    <s v="https://www.etsy.com/listing/4429018238/personalized-eggplant-baby-bodysuit?transaction_id=5101597506"/>
    <s v="Light pink"/>
    <s v="Light Pink"/>
    <s v="3-6 Months"/>
    <s v="The Netherlands"/>
    <s v="Bodysuit"/>
    <n v="6"/>
    <n v="24"/>
    <s v="FathersDay"/>
    <s v="3-6"/>
    <x v="91"/>
    <m/>
  </r>
  <r>
    <d v="2025-09-01T00:00:00"/>
    <s v="https://www.etsy.com/listing/4350619954/personalized-tennis-baby-romper?transaction_id=4706374409"/>
    <s v="Cream"/>
    <s v="Cream"/>
    <s v="6-12M (short-sleeve)"/>
    <s v="United States"/>
    <s v="Romper Short"/>
    <n v="9"/>
    <n v="36"/>
    <s v="Normal"/>
    <s v="6-12"/>
    <x v="47"/>
    <m/>
  </r>
  <r>
    <d v="2025-09-02T00:00:00"/>
    <s v="https://www.etsy.com/listing/4346672208/soccer-baby-romper-born-to-play-like?transaction_id=4706862690"/>
    <s v="Cream"/>
    <s v="Cream"/>
    <s v="6-12M (short-sleeve)"/>
    <s v="United States"/>
    <s v="Romper Short"/>
    <n v="9"/>
    <n v="36"/>
    <s v="Normal"/>
    <s v="6-12"/>
    <x v="47"/>
    <m/>
  </r>
  <r>
    <d v="2025-09-03T00:00:00"/>
    <s v="https://www.etsy.com/listing/4350619954/personalized-tennis-baby-romper?transaction_id=4706374409"/>
    <s v="Cream"/>
    <s v="Cream"/>
    <s v=" 3-6M (long-sleeve)"/>
    <s v="United States"/>
    <s v="Romper Longer"/>
    <n v="9"/>
    <n v="36"/>
    <s v="Normal"/>
    <s v="3-6"/>
    <x v="1"/>
    <m/>
  </r>
  <r>
    <d v="2025-09-04T00:00:00"/>
    <s v="https://www.etsy.com/listing/4350639885/my-sibling-has-paws-baby-romper?transaction_id=4717672803"/>
    <s v="Watermelon"/>
    <s v="Watermelon"/>
    <s v=" 3-6M (long-sleeve)"/>
    <s v="United States"/>
    <s v="Romper Longer"/>
    <n v="9"/>
    <n v="36"/>
    <s v="Normal"/>
    <s v="3-6"/>
    <x v="20"/>
    <m/>
  </r>
  <r>
    <d v="2025-09-05T00:00:00"/>
    <s v="https://www.etsy.com/listing/4350639885/my-sibling-has-paws-baby-romper?transaction_id=4715472462"/>
    <s v="Sage Green"/>
    <s v="Sage Green"/>
    <s v=" 0-3M (long-sleeve)"/>
    <s v="United States"/>
    <s v="Romper Longer"/>
    <n v="9"/>
    <n v="36"/>
    <s v="Normal"/>
    <s v="0-3"/>
    <x v="5"/>
    <m/>
  </r>
  <r>
    <d v="2025-09-06T00:00:00"/>
    <s v="https://www.etsy.com/listing/4350637965/little-sister-baby-romper-embroidered?transaction_id=4762231907"/>
    <s v="Dusty Pink"/>
    <s v="Dusty Pink"/>
    <s v=" 0-3M (long-sleeve)"/>
    <s v="United States"/>
    <s v="Romper Longer"/>
    <n v="9"/>
    <n v="36"/>
    <s v="Normal"/>
    <s v="0-3"/>
    <x v="45"/>
    <m/>
  </r>
  <r>
    <d v="2025-09-07T00:00:00"/>
    <s v="https://www.etsy.com/listing/4346677879/golf-baby-romper-born-to-play-like-daddy?transaction_id=4764172907"/>
    <s v="Forest Green"/>
    <s v="Forest Green"/>
    <s v=" 0-3M (short-sleeve)"/>
    <s v="United States"/>
    <s v="Romper Short"/>
    <n v="9"/>
    <n v="37"/>
    <s v="Normal"/>
    <s v="0-3"/>
    <x v="52"/>
    <m/>
  </r>
  <r>
    <d v="2025-09-08T00:00:00"/>
    <s v="https://www.etsy.com/listing/4346669832/basketball-baby-romper-born-to-play-like?transaction_id=4761770000"/>
    <s v="Cream"/>
    <s v="Cream"/>
    <s v=" 0-3M (long-sleeve)"/>
    <s v="United States"/>
    <s v="Romper Longer"/>
    <n v="9"/>
    <n v="37"/>
    <s v="Normal"/>
    <s v="0-3"/>
    <x v="2"/>
    <m/>
  </r>
  <r>
    <d v="2025-09-09T00:00:00"/>
    <s v="https://www.etsy.com/listing/4346680175/tennis-baby-romper-born-to-play-like?transaction_id=4765995894"/>
    <s v="Mauve Taupe"/>
    <s v="Mauve Taupe"/>
    <s v=" 0-3M (long-sleeve)"/>
    <s v="United States"/>
    <s v="Romper Longer"/>
    <n v="9"/>
    <n v="37"/>
    <s v="Normal"/>
    <s v="0-3"/>
    <x v="40"/>
    <m/>
  </r>
  <r>
    <d v="2025-09-10T00:00:00"/>
    <s v="https://www.etsy.com/listing/4350619954/personalized-tennis-baby-romper?transaction_id=4769403094"/>
    <s v="Cream"/>
    <s v="Cream"/>
    <s v="12-18M (short-sleeve)"/>
    <s v="United States"/>
    <s v="Romper Short"/>
    <n v="9"/>
    <n v="37"/>
    <s v="Normal"/>
    <s v="12-18"/>
    <x v="26"/>
    <m/>
  </r>
  <r>
    <d v="2025-09-11T00:00:00"/>
    <s v="https://www.etsy.com/listing/4350631712/just-a-boy-who-loves-his-mama-baby?transaction_id=4777237928"/>
    <s v="Sage Green"/>
    <s v="Sage Green"/>
    <s v=" 0-3M (short-sleeve)"/>
    <s v="United States"/>
    <s v="Romper Short"/>
    <n v="9"/>
    <n v="37"/>
    <s v="Normal"/>
    <s v="0-3"/>
    <x v="13"/>
    <m/>
  </r>
  <r>
    <d v="2025-09-12T00:00:00"/>
    <s v="https://www.etsy.com/listing/4346680175/tennis-baby-romper-born-to-play-like?transaction_id=4788656287"/>
    <s v="Forest Green"/>
    <s v="Forest Green"/>
    <s v=" 6-12M (long-sleeve)"/>
    <s v="United States"/>
    <s v="Romper Longer"/>
    <n v="9"/>
    <n v="37"/>
    <s v="Normal"/>
    <s v="6-12"/>
    <x v="30"/>
    <m/>
  </r>
  <r>
    <d v="2025-09-13T00:00:00"/>
    <s v="https://www.etsy.com/listing/4350639885/my-sibling-has-paws-baby-romper?transaction_id=4793496430"/>
    <s v="Cream"/>
    <s v="Cream"/>
    <s v=" 3-6M (long-sleeve)"/>
    <s v="United States"/>
    <s v="Romper Longer"/>
    <n v="9"/>
    <n v="37"/>
    <s v="Normal"/>
    <s v="3-6"/>
    <x v="1"/>
    <m/>
  </r>
  <r>
    <d v="2025-09-14T00:00:00"/>
    <s v="https://www.etsy.com/listing/4346680175/tennis-baby-romper-born-to-play-like?transaction_id=4799218134"/>
    <s v="Cream"/>
    <s v="Cream"/>
    <s v=" 3-6M (long-sleeve)"/>
    <s v="United States"/>
    <s v="Romper Longer"/>
    <n v="9"/>
    <n v="38"/>
    <s v="Normal"/>
    <s v="3-6"/>
    <x v="1"/>
    <m/>
  </r>
  <r>
    <d v="2025-09-15T00:00:00"/>
    <s v="https://www.etsy.com/listing/4350639885/my-sibling-has-paws-baby-romper?transaction_id=4802172610"/>
    <s v="Watermelon"/>
    <s v="Watermelon"/>
    <s v=" 6-12M (long-sleeve)"/>
    <s v="United States"/>
    <s v="Romper Longer"/>
    <n v="9"/>
    <n v="38"/>
    <s v="Normal"/>
    <s v="6-12"/>
    <x v="33"/>
    <m/>
  </r>
  <r>
    <d v="2025-09-16T00:00:00"/>
    <s v="https://www.etsy.com/listing/4350619954/personalized-tennis-baby-romper?transaction_id=4809937745"/>
    <s v="Salmon"/>
    <s v="Salmon"/>
    <s v=" 0-3M (short-sleeve)"/>
    <s v="United States"/>
    <s v="Romper Short"/>
    <n v="9"/>
    <n v="38"/>
    <s v="Normal"/>
    <s v="0-3"/>
    <x v="32"/>
    <m/>
  </r>
  <r>
    <d v="2025-09-17T00:00:00"/>
    <s v="https://www.etsy.com/listing/4350619954/personalized-tennis-baby-romper?transaction_id=4819829891"/>
    <s v="Dusty Pink"/>
    <s v="Dusty Pink"/>
    <s v="12-18M (long-sleeve)"/>
    <s v="United States"/>
    <s v="Romper Longer"/>
    <n v="9"/>
    <n v="38"/>
    <s v="Normal"/>
    <s v="12-18"/>
    <x v="75"/>
    <m/>
  </r>
  <r>
    <d v="2025-09-18T00:00:00"/>
    <s v="https://www.etsy.com/listing/4350619954/personalized-tennis-baby-romper?transaction_id=4819829889"/>
    <s v="Cream"/>
    <s v="Cream"/>
    <s v="12-18M (short-sleeve)"/>
    <s v="United States"/>
    <s v="Romper Short"/>
    <n v="9"/>
    <n v="38"/>
    <s v="Normal"/>
    <s v="12-18"/>
    <x v="26"/>
    <m/>
  </r>
  <r>
    <d v="2025-09-19T00:00:00"/>
    <s v="https://www.etsy.com/listing/4350637965/little-sister-baby-romper-embroidered?transaction_id=4814968152"/>
    <s v="Dusty Pink"/>
    <s v="Dusty Pink"/>
    <s v="3-6M (short-sleeve)"/>
    <s v="United States"/>
    <s v="Romper Short"/>
    <n v="9"/>
    <n v="38"/>
    <s v="Normal"/>
    <s v="3-6"/>
    <x v="31"/>
    <m/>
  </r>
  <r>
    <d v="2025-09-20T00:00:00"/>
    <s v="https://www.etsy.com/listing/4346672208/soccer-baby-romper-born-to-play-like?transaction_id=4825756559"/>
    <s v="Dusty Pink"/>
    <s v="Dusty Pink"/>
    <s v="3-6M (short-sleeve)"/>
    <s v="United States"/>
    <s v="Romper Short"/>
    <n v="9"/>
    <n v="38"/>
    <s v="Normal"/>
    <s v="3-6"/>
    <x v="31"/>
    <m/>
  </r>
  <r>
    <d v="2025-09-21T00:00:00"/>
    <s v="https://www.etsy.com/listing/4346677169/volleyball-baby-romper-born-to-play-like?transaction_id=4819842568"/>
    <s v="Coffee"/>
    <s v="Coffee"/>
    <s v=" 6-12M (long-sleeve)"/>
    <s v="United States"/>
    <s v="Romper Longer"/>
    <n v="9"/>
    <n v="39"/>
    <s v="Normal"/>
    <s v="6-12"/>
    <x v="86"/>
    <m/>
  </r>
  <r>
    <d v="2025-09-22T00:00:00"/>
    <s v="https://www.etsy.com/listing/4346672208/soccer-baby-romper-born-to-play-like?transaction_id=4827678766"/>
    <s v="Cream"/>
    <s v="Cream"/>
    <s v="3-6M (short-sleeve)"/>
    <s v="United States"/>
    <s v="Romper Short"/>
    <n v="9"/>
    <n v="39"/>
    <s v="Normal"/>
    <s v="3-6"/>
    <x v="0"/>
    <m/>
  </r>
  <r>
    <d v="2025-09-23T00:00:00"/>
    <s v="https://www.etsy.com/listing/4350639885/my-sibling-has-paws-baby-romper?transaction_id=4840273513"/>
    <s v="Coffee"/>
    <s v="Coffee"/>
    <s v=" 3-6M (long-sleeve)"/>
    <s v="United States"/>
    <s v="Romper Longer"/>
    <n v="9"/>
    <n v="39"/>
    <s v="Normal"/>
    <s v="3-6"/>
    <x v="12"/>
    <m/>
  </r>
  <r>
    <d v="2025-09-24T00:00:00"/>
    <s v="https://www.etsy.com/listing/4350619954/personalized-tennis-baby-romper?transaction_id=4849209616"/>
    <s v="Forest Green"/>
    <s v="Forest Green"/>
    <s v="12-18M (long-sleeve)"/>
    <s v="United States"/>
    <s v="Romper Longer"/>
    <n v="9"/>
    <n v="39"/>
    <s v="Normal"/>
    <s v="12-18"/>
    <x v="37"/>
    <m/>
  </r>
  <r>
    <d v="2025-09-25T00:00:00"/>
    <s v="https://www.etsy.com/listing/4350619954/personalized-tennis-baby-romper?transaction_id=4857407512"/>
    <s v="Cream"/>
    <s v="Cream"/>
    <s v=" 3-6M (long-sleeve)"/>
    <s v="United States"/>
    <s v="Romper Longer"/>
    <n v="9"/>
    <n v="39"/>
    <s v="Normal"/>
    <s v="3-6"/>
    <x v="1"/>
    <m/>
  </r>
  <r>
    <d v="2025-09-26T00:00:00"/>
    <s v="https://www.etsy.com/listing/4346669832/basketball-baby-romper-born-to-play-like?transaction_id=4888290845"/>
    <s v="White"/>
    <s v="White"/>
    <s v=" 3-6M (long-sleeve)"/>
    <s v="United States"/>
    <s v="Romper Longer"/>
    <n v="9"/>
    <n v="39"/>
    <s v="Normal"/>
    <s v="3-6"/>
    <x v="70"/>
    <m/>
  </r>
  <r>
    <d v="2025-09-27T00:00:00"/>
    <s v="https://www.etsy.com/listing/4346677169/volleyball-baby-romper-born-to-play-like?transaction_id=4896774479"/>
    <s v="Cream"/>
    <s v="Cream"/>
    <s v=" 0-3M (short-sleeve)"/>
    <s v="United States"/>
    <s v="Romper Short"/>
    <n v="9"/>
    <n v="39"/>
    <s v="Normal"/>
    <s v="0-3"/>
    <x v="15"/>
    <m/>
  </r>
  <r>
    <d v="2025-09-28T00:00:00"/>
    <s v="https://www.etsy.com/listing/4346677169/volleyball-baby-romper-born-to-play-like?transaction_id=4911567440"/>
    <s v="Dusty Pink"/>
    <s v="Dusty Pink"/>
    <s v="6-12M (short-sleeve)"/>
    <s v="United States"/>
    <s v="Romper Short"/>
    <n v="9"/>
    <n v="40"/>
    <s v="Normal"/>
    <s v="6-12"/>
    <x v="35"/>
    <m/>
  </r>
  <r>
    <d v="2025-09-29T00:00:00"/>
    <s v="https://www.etsy.com/listing/4350619954/personalized-tennis-baby-romper?transaction_id=4954082307"/>
    <s v="Cream"/>
    <s v="Cream"/>
    <s v=" 3-6M (long-sleeve)"/>
    <s v="United States"/>
    <s v="Romper Longer"/>
    <n v="9"/>
    <n v="40"/>
    <s v="Normal"/>
    <s v="3-6"/>
    <x v="1"/>
    <m/>
  </r>
  <r>
    <d v="2025-05-01T00:00:00"/>
    <s v="https://www.etsy.com/listing/4318314926/little-prince-baby-romper-embroidered?ref=shop_home_active_1&amp;logging_key=6f5d653e9e799e8cd1e69f97b36830c767b2374d%3A4318314926"/>
    <s v="Caldet Blue"/>
    <s v="Caldet Blue"/>
    <s v="6-12M (short-sleeve)"/>
    <s v="United States_x000a_"/>
    <s v="Romper Short"/>
    <n v="5"/>
    <n v="18"/>
    <s v="MothersDay"/>
    <s v="6-12"/>
    <x v="63"/>
    <m/>
  </r>
  <r>
    <d v="2025-05-02T00:00:00"/>
    <s v="https://www.etsy.com/ca/listing/4315977993/personalized-baby-bodysuit-with-tiger?transaction_id=4648064701"/>
    <s v="Cream"/>
    <s v="Cream"/>
    <s v=" 3-6M (long-sleeve)"/>
    <s v="United States_x000a_"/>
    <s v="Romper Longer"/>
    <n v="5"/>
    <n v="18"/>
    <s v="MothersDay"/>
    <s v="3-6"/>
    <x v="1"/>
    <m/>
  </r>
  <r>
    <d v="2025-05-03T00:00:00"/>
    <s v="https://www.etsy.com/ca/listing/4325305509/born-to-birdie-baby-romper-embroidered?transaction_id=4650070797"/>
    <s v="Caldet Blue"/>
    <s v="Caldet Blue"/>
    <s v="18-24M (short-sleeve)"/>
    <s v="United States"/>
    <s v="Romper Short"/>
    <n v="5"/>
    <n v="18"/>
    <s v="MothersDay"/>
    <s v="18-24"/>
    <x v="101"/>
    <m/>
  </r>
  <r>
    <d v="2025-05-04T00:00:00"/>
    <s v="https://www.etsy.com/ca/listing/4330483435/little-bean-embroidered-baby-romper-cute?transaction_id=4659611637"/>
    <s v="Sage Green"/>
    <s v="Sage Green"/>
    <s v=" 0-3M (short-sleeve)"/>
    <s v="United States"/>
    <s v="Romper Short"/>
    <n v="5"/>
    <n v="19"/>
    <s v="MothersDay"/>
    <s v="0-3"/>
    <x v="13"/>
    <m/>
  </r>
  <r>
    <d v="2025-05-05T00:00:00"/>
    <s v="https://www.etsy.com/ca/listing/4330488178/new-to-the-club-embroidered-baby-romper?transaction_id=4662541897"/>
    <s v="Cream"/>
    <s v="Cream"/>
    <s v=" 0-3M (long-sleeve)"/>
    <s v="Canada"/>
    <s v="Romper Longer"/>
    <n v="5"/>
    <n v="19"/>
    <s v="MothersDay"/>
    <s v="0-3"/>
    <x v="2"/>
    <m/>
  </r>
  <r>
    <d v="2025-05-06T00:00:00"/>
    <s v="https://www.etsy.com/ca/listing/4330488178/new-to-the-club-embroidered-baby-romper?transaction_id=4663152577"/>
    <s v="Cream"/>
    <s v="Cream"/>
    <s v=" 0-3M (short-sleeve)"/>
    <s v="United Kingdom"/>
    <s v="Romper Short"/>
    <n v="5"/>
    <n v="19"/>
    <s v="MothersDay"/>
    <s v="0-3"/>
    <x v="15"/>
    <m/>
  </r>
  <r>
    <d v="2025-05-07T00:00:00"/>
    <s v="https://www.etsy.com/ca/listing/4330504400/born-to-play-like-my-daddy-baby-romper?transaction_id=4649139536"/>
    <s v="White"/>
    <s v="White"/>
    <s v=" 6-12M (long-sleeve)"/>
    <s v="Germany"/>
    <s v="Romper Longer"/>
    <n v="5"/>
    <n v="19"/>
    <s v="MothersDay"/>
    <s v="6-12"/>
    <x v="46"/>
    <m/>
  </r>
  <r>
    <d v="2025-05-08T00:00:00"/>
    <s v="https://www.etsy.com/ca/listing/4330504943/born-to-play-like-my-daddy-baby-romper?transaction_id=4649774246"/>
    <s v="White"/>
    <s v="White"/>
    <s v=" 3-6M (long-sleeve)"/>
    <s v="Hong Kong"/>
    <s v="Romper Longer"/>
    <n v="5"/>
    <n v="19"/>
    <s v="MothersDay"/>
    <s v="3-6"/>
    <x v="70"/>
    <m/>
  </r>
  <r>
    <d v="2025-05-09T00:00:00"/>
    <s v="https://www.etsy.com/ca/listing/4330489800/personalized-badminton-baby-romper?transaction_id=4667628827"/>
    <s v="Cream"/>
    <s v="Cream"/>
    <s v="3-6M (short-sleeve)"/>
    <s v="Australia"/>
    <s v="Romper Short"/>
    <n v="5"/>
    <n v="19"/>
    <s v="MothersDay"/>
    <s v="3-6"/>
    <x v="0"/>
    <m/>
  </r>
  <r>
    <d v="2025-05-10T00:00:00"/>
    <s v="https://www.etsy.com/ca/listing/4330488178/new-to-the-club-embroidered-baby-romper?transaction_id=4668463875"/>
    <s v="Cream"/>
    <s v="Cream"/>
    <s v=" 0-3M (long-sleeve)"/>
    <s v="United Kingdom"/>
    <s v="Romper Longer"/>
    <n v="5"/>
    <n v="19"/>
    <s v="MothersDay"/>
    <s v="0-3"/>
    <x v="2"/>
    <m/>
  </r>
  <r>
    <d v="2025-05-11T00:00:00"/>
    <s v="https://www.etsy.com/ca/listing/4330488178/new-to-the-club-embroidered-baby-romper?transaction_id=4652944818"/>
    <s v="Salmon"/>
    <s v="Salmon"/>
    <s v=" 0-3M (long-sleeve)"/>
    <s v="United States"/>
    <s v="Romper Longer"/>
    <n v="5"/>
    <n v="20"/>
    <s v="MothersDay"/>
    <s v="0-3"/>
    <x v="84"/>
    <m/>
  </r>
  <r>
    <d v="2025-05-12T00:00:00"/>
    <s v="https://www.etsy.com/ca/listing/4330504943/born-to-play-like-my-daddy-baby-romper?transaction_id=4654361252"/>
    <s v="Cream"/>
    <s v="Cream"/>
    <s v="3-6M (short-sleeve)"/>
    <s v="Germany"/>
    <s v="Romper Short"/>
    <n v="5"/>
    <n v="20"/>
    <s v="MothersDay"/>
    <s v="3-6"/>
    <x v="0"/>
    <m/>
  </r>
  <r>
    <d v="2025-05-13T00:00:00"/>
    <s v="https://www.etsy.com/ca/listing/4330504943/born-to-play-like-my-daddy-baby-romper?transaction_id=4654361252"/>
    <s v="Cream"/>
    <s v="Cream"/>
    <s v="3-6M (short-sleeve)"/>
    <s v="Germany"/>
    <s v="Romper Short"/>
    <n v="5"/>
    <n v="20"/>
    <s v="MothersDay"/>
    <s v="3-6"/>
    <x v="0"/>
    <m/>
  </r>
  <r>
    <d v="2025-05-14T00:00:00"/>
    <s v="https://www.etsy.com/ca/listing/4330488178/new-to-the-club-embroidered-baby-romper?transaction_id=4656023626"/>
    <s v="Cream"/>
    <s v="Cream"/>
    <s v=" 6-12M (long-sleeve)"/>
    <s v="United States"/>
    <s v="Romper Longer"/>
    <n v="5"/>
    <n v="20"/>
    <s v="MothersDay"/>
    <s v="6-12"/>
    <x v="17"/>
    <m/>
  </r>
  <r>
    <d v="2025-05-15T00:00:00"/>
    <s v="https://www.etsy.com/ca/listing/4330504943/born-to-play-like-my-daddy-baby-romper?transaction_id=4671551695"/>
    <s v="Caldet Blue"/>
    <s v="Caldet Blue"/>
    <s v=" 3-6M (long-sleeve)"/>
    <s v="United States"/>
    <s v="Romper Longer"/>
    <n v="5"/>
    <n v="20"/>
    <s v="MothersDay"/>
    <s v="3-6"/>
    <x v="23"/>
    <m/>
  </r>
  <r>
    <d v="2025-05-16T00:00:00"/>
    <s v="https://www.etsy.com/ca/listing/4330480699/little-prince-baby-romper-embroidered?transaction_id=4672031261"/>
    <s v="Cream"/>
    <s v="Cream"/>
    <s v=" 0-3M (short-sleeve)"/>
    <s v="United States"/>
    <s v="Romper Short"/>
    <n v="5"/>
    <n v="20"/>
    <s v="MothersDay"/>
    <s v="0-3"/>
    <x v="15"/>
    <m/>
  </r>
  <r>
    <d v="2025-05-17T00:00:00"/>
    <s v="https://www.etsy.com/ca/listing/4330499732/little-sunshine-embroidered-romper-cute?transaction_id=4656336322"/>
    <s v="Cream"/>
    <s v="Cream"/>
    <s v=" 0-3M (short-sleeve)"/>
    <s v="United Kingdom"/>
    <s v="Romper Short"/>
    <n v="5"/>
    <n v="20"/>
    <s v="MothersDay"/>
    <s v="0-3"/>
    <x v="15"/>
    <m/>
  </r>
  <r>
    <d v="2025-05-18T00:00:00"/>
    <s v="https://www.etsy.com/ca/listing/4330488178/new-to-the-club-embroidered-baby-romper?transaction_id=4657671288"/>
    <s v="Cream"/>
    <s v="Cream"/>
    <s v=" 0-3M (long-sleeve)"/>
    <s v="United States"/>
    <s v="Romper Longer"/>
    <n v="5"/>
    <n v="21"/>
    <s v="MothersDay"/>
    <s v="0-3"/>
    <x v="2"/>
    <m/>
  </r>
  <r>
    <d v="2025-05-19T00:00:00"/>
    <s v="https://www.etsy.com/ca/listing/4330488178/new-to-the-club-embroidered-baby-romper?transaction_id=4657962984"/>
    <s v="Cream"/>
    <s v="Cream"/>
    <s v=" 0-3M (short-sleeve)"/>
    <s v="United Kingdom"/>
    <s v="Romper Short"/>
    <n v="5"/>
    <n v="21"/>
    <s v="MothersDay"/>
    <s v="0-3"/>
    <x v="15"/>
    <m/>
  </r>
  <r>
    <d v="2025-05-20T00:00:00"/>
    <s v="https://www.etsy.com/ca/listing/4330488178/new-to-the-club-embroidered-baby-romper?transaction_id=4657962984"/>
    <s v="Cream"/>
    <s v="Cream"/>
    <s v=" 0-3M (short-sleeve)"/>
    <s v="United Kingdom"/>
    <s v="Romper Short"/>
    <n v="5"/>
    <n v="21"/>
    <s v="MothersDay"/>
    <s v="0-3"/>
    <x v="15"/>
    <m/>
  </r>
  <r>
    <d v="2025-05-21T00:00:00"/>
    <s v="https://www.etsy.com/ca/listing/4333134764/wizard-font-baby-romper-personalized?transaction_id=4659153918"/>
    <s v="Sage Green"/>
    <s v="Sage Green"/>
    <s v=" 0-3M (short-sleeve)"/>
    <s v="United States"/>
    <s v="Romper Short"/>
    <n v="5"/>
    <n v="21"/>
    <s v="MothersDay"/>
    <s v="0-3"/>
    <x v="13"/>
    <m/>
  </r>
  <r>
    <d v="2025-05-22T00:00:00"/>
    <s v="https://www.etsy.com/ca/listing/4330504943/born-to-play-like-my-daddy-baby-romper?transaction_id=4674058537"/>
    <s v="White"/>
    <s v="White"/>
    <s v="6-12M (short-sleeve)"/>
    <s v="Switzerland"/>
    <s v="Romper Short"/>
    <n v="5"/>
    <n v="21"/>
    <s v="MothersDay"/>
    <s v="6-12"/>
    <x v="42"/>
    <m/>
  </r>
  <r>
    <d v="2025-05-23T00:00:00"/>
    <s v="https://www.etsy.com/ca/listing/4333134764/wizard-font-baby-romper-personalized?transaction_id=4658878928"/>
    <s v="Cream"/>
    <s v="Cream"/>
    <s v="12-18M (long-sleeve)"/>
    <s v="United States"/>
    <s v="Romper Longer"/>
    <n v="5"/>
    <n v="21"/>
    <s v="MothersDay"/>
    <s v="12-18"/>
    <x v="53"/>
    <m/>
  </r>
  <r>
    <d v="2025-05-24T00:00:00"/>
    <s v="https://www.etsy.com/ca/listing/4330488178/new-to-the-club-embroidered-baby-romper?transaction_id=4658510778"/>
    <s v="Cream"/>
    <s v="Cream"/>
    <s v=" 0-3M (short-sleeve)"/>
    <s v="United Kingdom"/>
    <s v="Romper Short"/>
    <n v="5"/>
    <n v="21"/>
    <s v="MothersDay"/>
    <s v="0-3"/>
    <x v="15"/>
    <m/>
  </r>
  <r>
    <d v="2025-05-25T00:00:00"/>
    <s v="https://www.etsy.com/ca/listing/4330504400/born-to-play-like-my-daddy-baby-romper?transaction_id=4673636389"/>
    <s v="Cream"/>
    <s v="Cream"/>
    <s v=" 3-6M (long-sleeve)"/>
    <s v="Germany"/>
    <s v="Romper Longer"/>
    <n v="5"/>
    <n v="22"/>
    <s v="MothersDay"/>
    <s v="3-6"/>
    <x v="1"/>
    <m/>
  </r>
  <r>
    <d v="2025-05-26T00:00:00"/>
    <s v="https://www.etsy.com/ca/listing/4330483435/little-bean-embroidered-baby-romper-cute?transaction_id=4675271741"/>
    <s v="Cream"/>
    <s v="Cream"/>
    <s v=" 0-3M (long-sleeve)"/>
    <s v="United Kingdom"/>
    <s v="Romper Longer"/>
    <n v="5"/>
    <n v="22"/>
    <s v="MothersDay"/>
    <s v="0-3"/>
    <x v="2"/>
    <m/>
  </r>
  <r>
    <d v="2025-05-27T00:00:00"/>
    <s v="https://www.etsy.com/ca/listing/4330488178/new-to-the-club-embroidered-baby-romper?transaction_id=4675506931"/>
    <s v="Dusty Pink"/>
    <s v="Dusty Pink"/>
    <s v=" 0-3M (short-sleeve)"/>
    <s v="United States"/>
    <s v="Romper Short"/>
    <n v="5"/>
    <n v="22"/>
    <s v="MothersDay"/>
    <s v="0-3"/>
    <x v="34"/>
    <m/>
  </r>
  <r>
    <d v="2025-05-28T00:00:00"/>
    <s v="https://www.etsy.com/ca/listing/4336899579/personalized-basketball-baby-romper?transaction_id=4659614594"/>
    <s v="Cream"/>
    <s v="Cream"/>
    <s v=" 3-6M (long-sleeve)"/>
    <s v="United States"/>
    <s v="Romper Longer"/>
    <n v="5"/>
    <n v="22"/>
    <s v="MothersDay"/>
    <s v="3-6"/>
    <x v="1"/>
    <m/>
  </r>
  <r>
    <d v="2025-05-29T00:00:00"/>
    <s v="https://www.etsy.com/ca/listing/4330494075/little-sprout-baby-romper-embroidered?transaction_id=4675124059"/>
    <s v="Cream"/>
    <s v="Cream"/>
    <s v=" 0-3M (long-sleeve)"/>
    <s v="United Kingdom"/>
    <s v="Romper Longer"/>
    <n v="5"/>
    <n v="22"/>
    <s v="MothersDay"/>
    <s v="0-3"/>
    <x v="2"/>
    <m/>
  </r>
  <r>
    <d v="2025-05-30T00:00:00"/>
    <s v="https://www.etsy.com/ca/listing/4330504943/born-to-play-like-my-daddy-baby-romper?transaction_id=4676150837"/>
    <s v="Dusty Pink"/>
    <s v="Dusty Pink"/>
    <s v=" 0-3M (short-sleeve)"/>
    <s v="United Kingdom"/>
    <s v="Romper Short"/>
    <n v="5"/>
    <n v="22"/>
    <s v="MothersDay"/>
    <s v="0-3"/>
    <x v="34"/>
    <m/>
  </r>
  <r>
    <d v="2025-05-31T00:00:00"/>
    <s v="https://www.etsy.com/ca/listing/4333129905/personalized-pumpkin-baby-romper-fall?transaction_id=4661466548"/>
    <s v="Cream"/>
    <s v="Cream"/>
    <s v="3-6M (short-sleeve)"/>
    <s v="United States"/>
    <s v="Romper Short"/>
    <n v="5"/>
    <n v="22"/>
    <s v="MothersDay"/>
    <s v="3-6"/>
    <x v="0"/>
    <m/>
  </r>
  <r>
    <d v="2025-06-01T00:00:00"/>
    <s v="https://www.etsy.com/ca/listing/4333134764/wizard-font-baby-romper-personalized?transaction_id=4676923465"/>
    <s v="Caldet Blue"/>
    <s v="Caldet Blue"/>
    <s v="3-6M (short-sleeve)"/>
    <s v="United States"/>
    <s v="Romper Short"/>
    <n v="6"/>
    <n v="23"/>
    <s v="FathersDay"/>
    <s v="3-6"/>
    <x v="29"/>
    <m/>
  </r>
  <r>
    <d v="2025-06-02T00:00:00"/>
    <s v="https://www.etsy.com/ca/listing/4330488178/new-to-the-club-embroidered-baby-romper?transaction_id=4677109693"/>
    <s v="Cream"/>
    <s v="Cream"/>
    <s v=" 0-3M (short-sleeve)"/>
    <s v="Germany"/>
    <s v="Romper Short"/>
    <n v="6"/>
    <n v="23"/>
    <s v="FathersDay"/>
    <s v="0-3"/>
    <x v="15"/>
    <m/>
  </r>
  <r>
    <d v="2025-06-03T00:00:00"/>
    <s v="https://www.etsy.com/ca/listing/4330504943/born-to-play-like-my-daddy-baby-romper?transaction_id=4677401553"/>
    <s v="White"/>
    <s v="White"/>
    <s v=" 3-6M (long-sleeve)"/>
    <s v="Germany"/>
    <s v="Romper Longer"/>
    <n v="6"/>
    <n v="23"/>
    <s v="FathersDay"/>
    <s v="3-6"/>
    <x v="70"/>
    <m/>
  </r>
  <r>
    <d v="2025-06-04T00:00:00"/>
    <s v="https://www.etsy.com/ca/listing/4333134764/wizard-font-baby-romper-personalized?transaction_id=4662380754"/>
    <s v="Caldet Blue"/>
    <s v="Caldet Blue"/>
    <s v=" 0-3M (long-sleeve)"/>
    <s v="United States"/>
    <s v="Romper Longer"/>
    <n v="6"/>
    <n v="23"/>
    <s v="FathersDay"/>
    <s v="0-3"/>
    <x v="9"/>
    <m/>
  </r>
  <r>
    <d v="2025-06-05T00:00:00"/>
    <s v="https://www.etsy.com/ca/listing/4330483435/little-bean-embroidered-baby-romper-cute?transaction_id=4659611637"/>
    <s v="Sage Green"/>
    <s v="Sage Green"/>
    <s v=" 0-3M (short-sleeve)"/>
    <s v="United States"/>
    <s v="Romper Short"/>
    <n v="6"/>
    <n v="23"/>
    <s v="FathersDay"/>
    <s v="0-3"/>
    <x v="13"/>
    <m/>
  </r>
  <r>
    <d v="2025-06-06T00:00:00"/>
    <s v="https://www.etsy.com/ca/listing/4333135410/little-pumpkin-baby-romper-fall?transaction_id=4677962607"/>
    <s v="Cream"/>
    <s v="Cream"/>
    <s v=" 0-3M (long-sleeve)"/>
    <s v="Switzerland"/>
    <s v="Romper Longer"/>
    <n v="6"/>
    <n v="23"/>
    <s v="FathersDay"/>
    <s v="0-3"/>
    <x v="2"/>
    <m/>
  </r>
  <r>
    <d v="2025-06-07T00:00:00"/>
    <s v="https://www.etsy.com/ca/listing/4330504400/born-to-play-like-my-daddy-baby-romper?transaction_id=4662976286"/>
    <s v="Cream"/>
    <s v="Cream"/>
    <s v=" 0-3M (long-sleeve)"/>
    <s v="Germany"/>
    <s v="Romper Longer"/>
    <n v="6"/>
    <n v="23"/>
    <s v="FathersDay"/>
    <s v="0-3"/>
    <x v="2"/>
    <m/>
  </r>
  <r>
    <d v="2025-06-08T00:00:00"/>
    <s v="https://www.etsy.com/ca/listing/4336900156/personalized-soccer-baby-romper-daddys?transaction_id=4663211590"/>
    <s v="Sage Green"/>
    <s v="Sage Green"/>
    <s v=" 3-6M (long-sleeve)"/>
    <s v="Canada"/>
    <s v="Romper Longer"/>
    <n v="6"/>
    <n v="24"/>
    <s v="FathersDay"/>
    <s v="3-6"/>
    <x v="7"/>
    <m/>
  </r>
  <r>
    <d v="2025-06-09T00:00:00"/>
    <s v="https://www.etsy.com/ca/listing/4330488178/new-to-the-club-embroidered-baby-romper?transaction_id=4663215106"/>
    <s v="Cream"/>
    <s v="Cream"/>
    <s v=" 0-3M (short-sleeve)"/>
    <s v="United Kingdom"/>
    <s v="Romper Short"/>
    <n v="6"/>
    <n v="24"/>
    <s v="FathersDay"/>
    <s v="0-3"/>
    <x v="15"/>
    <m/>
  </r>
  <r>
    <d v="2025-06-10T00:00:00"/>
    <s v="https://www.etsy.com/ca/listing/4330488178/new-to-the-club-embroidered-baby-romper?transaction_id=4664495796"/>
    <s v="Sage Green"/>
    <s v="Sage Green"/>
    <s v=" 0-3M (short-sleeve)"/>
    <s v="United Kingdom"/>
    <s v="Romper Short"/>
    <n v="6"/>
    <n v="24"/>
    <s v="FathersDay"/>
    <s v="0-3"/>
    <x v="13"/>
    <m/>
  </r>
  <r>
    <d v="2025-06-11T00:00:00"/>
    <s v="https://www.etsy.com/ca/listing/4330504400/born-to-play-like-my-daddy-baby-romper?transaction_id=4679768087"/>
    <s v="Cream"/>
    <s v="Cream"/>
    <s v=" 0-3M (long-sleeve)"/>
    <s v="United States"/>
    <s v="Romper Longer"/>
    <n v="6"/>
    <n v="24"/>
    <s v="FathersDay"/>
    <s v="0-3"/>
    <x v="2"/>
    <m/>
  </r>
  <r>
    <d v="2025-06-12T00:00:00"/>
    <s v="https://www.etsy.com/ca/listing/4330504943/born-to-play-like-my-daddy-baby-romper?transaction_id=4664783316"/>
    <s v="Cream"/>
    <s v="Cream"/>
    <s v=" 3-6M (long-sleeve)"/>
    <s v="Austria"/>
    <s v="Romper Longer"/>
    <n v="6"/>
    <n v="24"/>
    <s v="FathersDay"/>
    <s v="3-6"/>
    <x v="1"/>
    <m/>
  </r>
  <r>
    <d v="2025-06-15T00:00:00"/>
    <s v="https://www.etsy.com/ca/listing/4333135410/little-pumpkin-baby-romper-fall?transaction_id=4679967069"/>
    <s v="Cream"/>
    <s v="Cream"/>
    <s v=" 0-3M (long-sleeve)"/>
    <s v="United States"/>
    <s v="Romper Longer"/>
    <n v="6"/>
    <n v="25"/>
    <s v="FathersDay"/>
    <s v="0-3"/>
    <x v="2"/>
    <m/>
  </r>
  <r>
    <d v="2025-06-16T00:00:00"/>
    <s v="https://www.etsy.com/ca/listing/4336900156/personalized-soccer-baby-romper-daddys?transaction_id=4664910306"/>
    <s v="Cream"/>
    <s v="Cream"/>
    <s v=" 3-6M (long-sleeve)"/>
    <s v="United States"/>
    <s v="Romper Longer"/>
    <n v="6"/>
    <n v="25"/>
    <s v="FathersDay"/>
    <s v="3-6"/>
    <x v="1"/>
    <m/>
  </r>
  <r>
    <d v="2025-06-17T00:00:00"/>
    <s v="https://www.etsy.com/ca/listing/4330488178/new-to-the-club-embroidered-baby-romper?transaction_id=4680131695"/>
    <s v="Forest Green"/>
    <s v="Forest Green"/>
    <s v=" 0-3M (long-sleeve)"/>
    <s v="United States"/>
    <s v="Romper Longer"/>
    <n v="6"/>
    <n v="25"/>
    <s v="FathersDay"/>
    <s v="0-3"/>
    <x v="41"/>
    <m/>
  </r>
  <r>
    <d v="2025-06-18T00:00:00"/>
    <s v="https://www.etsy.com/ca/listing/4333135410/little-pumpkin-baby-romper-fall?transaction_id=4680565121"/>
    <s v="Cream"/>
    <s v="Cream"/>
    <s v=" 3-6M (long-sleeve)"/>
    <s v="United States"/>
    <s v="Romper Longer"/>
    <n v="6"/>
    <n v="25"/>
    <s v="FathersDay"/>
    <s v="3-6"/>
    <x v="1"/>
    <m/>
  </r>
  <r>
    <d v="2025-06-20T00:00:00"/>
    <s v="https://www.etsy.com/ca/listing/4330504943/born-to-play-like-my-daddy-baby-romper?transaction_id=4680819881"/>
    <s v="Cream"/>
    <s v="Cream"/>
    <s v=" 6-12M (long-sleeve)"/>
    <s v="Germany"/>
    <s v="Romper Longer"/>
    <n v="6"/>
    <n v="25"/>
    <s v="FathersDay"/>
    <s v="6-12"/>
    <x v="17"/>
    <m/>
  </r>
  <r>
    <d v="2025-06-21T00:00:00"/>
    <s v="https://www.etsy.com/ca/listing/4333135410/little-pumpkin-baby-romper-fall?transaction_id=4680875391"/>
    <s v="Salmon"/>
    <s v="Salmon"/>
    <s v="12-18M (long-sleeve)"/>
    <s v="United States"/>
    <s v="Romper Longer"/>
    <n v="6"/>
    <n v="25"/>
    <s v="FathersDay"/>
    <s v="12-18"/>
    <x v="103"/>
    <m/>
  </r>
  <r>
    <d v="2025-06-22T00:00:00"/>
    <s v="https://www.etsy.com/ca/listing/4330488178/new-to-the-club-embroidered-baby-romper?transaction_id=4666080848"/>
    <s v="Cream"/>
    <s v="Cream"/>
    <s v=" 0-3M (long-sleeve)"/>
    <s v="United States"/>
    <s v="Romper Longer"/>
    <n v="6"/>
    <n v="26"/>
    <s v="FathersDay"/>
    <s v="0-3"/>
    <x v="2"/>
    <m/>
  </r>
  <r>
    <d v="2025-06-23T00:00:00"/>
    <s v="https://www.etsy.com/ca/listing/4330488178/new-to-the-club-embroidered-baby-romper?transaction_id=4681080427"/>
    <s v="Cream"/>
    <s v="Cream"/>
    <s v=" 0-3M (long-sleeve)"/>
    <s v="United Kingdom"/>
    <s v="Romper Longer"/>
    <n v="6"/>
    <n v="26"/>
    <s v="FathersDay"/>
    <s v="0-3"/>
    <x v="2"/>
    <m/>
  </r>
  <r>
    <d v="2025-06-24T00:00:00"/>
    <s v="https://www.etsy.com/ca/listing/4330480699/little-prince-baby-romper-embroidered?transaction_id=4666670884"/>
    <s v="Cream"/>
    <s v="Cream"/>
    <s v=" 6-12M (long-sleeve)"/>
    <s v="Mexico"/>
    <s v="Romper Longer"/>
    <n v="6"/>
    <n v="26"/>
    <s v="FathersDay"/>
    <s v="6-12"/>
    <x v="17"/>
    <m/>
  </r>
  <r>
    <d v="2025-06-25T00:00:00"/>
    <s v="https://www.etsy.com/ca/listing/4330488178/new-to-the-club-embroidered-baby-romper?transaction_id=4681773589"/>
    <s v="Cream"/>
    <s v="Cream"/>
    <s v=" 0-3M (short-sleeve)"/>
    <s v="United States"/>
    <s v="Romper Short"/>
    <n v="6"/>
    <n v="26"/>
    <s v="FathersDay"/>
    <s v="0-3"/>
    <x v="15"/>
    <m/>
  </r>
  <r>
    <d v="2025-06-26T00:00:00"/>
    <s v="https://www.etsy.com/ca/listing/4330492054/cutie-pie-embroidered-baby-outfit-with?transaction_id=4667109780"/>
    <s v="Watermelon"/>
    <s v="Watermelon"/>
    <s v="12-18M (long-sleeve)"/>
    <s v="United States"/>
    <s v="Romper Longer"/>
    <n v="6"/>
    <n v="26"/>
    <s v="FathersDay"/>
    <s v="12-18"/>
    <x v="78"/>
    <m/>
  </r>
  <r>
    <d v="2025-06-27T00:00:00"/>
    <s v="https://www.etsy.com/ca/listing/4330479964/personalized-fox-baby-bodysuit?transaction_id=4667228504"/>
    <s v="Cream"/>
    <s v="Cream"/>
    <s v=" 0-3M (long-sleeve)"/>
    <s v="United States"/>
    <s v="Romper Longer"/>
    <n v="6"/>
    <n v="26"/>
    <s v="FathersDay"/>
    <s v="0-3"/>
    <x v="2"/>
    <m/>
  </r>
  <r>
    <d v="2025-06-28T00:00:00"/>
    <s v="https://www.etsy.com/ca/listing/4330488178/new-to-the-club-embroidered-baby-romper?transaction_id=4667469914"/>
    <s v="Dusty Pink"/>
    <s v="Dusty Pink"/>
    <s v=" 0-3M (long-sleeve)"/>
    <s v="United States"/>
    <s v="Romper Longer"/>
    <n v="6"/>
    <n v="26"/>
    <s v="FathersDay"/>
    <s v="0-3"/>
    <x v="45"/>
    <m/>
  </r>
  <r>
    <d v="2025-06-29T00:00:00"/>
    <s v="https://www.etsy.com/ca/listing/4330488178/new-to-the-club-embroidered-baby-romper?transaction_id=4682374015"/>
    <s v="Cream"/>
    <s v="Cream"/>
    <s v=" 0-3M (long-sleeve)"/>
    <s v="United States"/>
    <s v="Romper Longer"/>
    <n v="6"/>
    <n v="27"/>
    <s v="FathersDay"/>
    <s v="0-3"/>
    <x v="2"/>
    <m/>
  </r>
  <r>
    <d v="2025-06-30T00:00:00"/>
    <s v="https://www.etsy.com/ca/listing/4330504400/born-to-play-like-my-daddy-baby-romper?transaction_id=4667873380"/>
    <s v="White"/>
    <s v="White"/>
    <s v=" 6-12M (long-sleeve)"/>
    <s v="Germany"/>
    <s v="Romper Longer"/>
    <n v="6"/>
    <n v="27"/>
    <s v="FathersDay"/>
    <s v="6-12"/>
    <x v="46"/>
    <m/>
  </r>
  <r>
    <d v="2025-07-01T00:00:00"/>
    <s v="https://www.etsy.com/ca/listing/4330480699/little-prince-baby-romper-embroidered?transaction_id=4668028980"/>
    <s v="Cream"/>
    <s v="Cream"/>
    <s v=" 0-3M (long-sleeve)"/>
    <s v="United States"/>
    <s v="Romper Longer"/>
    <n v="7"/>
    <n v="27"/>
    <s v="Summer"/>
    <s v="0-3"/>
    <x v="2"/>
    <m/>
  </r>
  <r>
    <d v="2025-07-02T00:00:00"/>
    <s v="https://www.etsy.com/ca/listing/4333135410/little-pumpkin-baby-romper-fall?transaction_id=4683203891"/>
    <s v="Dusty Pink"/>
    <s v="Dusty Pink"/>
    <s v="3-6M (short-sleeve)"/>
    <s v="United States"/>
    <s v="Romper Short"/>
    <n v="7"/>
    <n v="27"/>
    <s v="Summer"/>
    <s v="3-6"/>
    <x v="31"/>
    <m/>
  </r>
  <r>
    <d v="2025-07-03T00:00:00"/>
    <s v="https://www.etsy.com/ca/listing/4333135410/little-pumpkin-baby-romper-fall?transaction_id=4669181946"/>
    <s v="Coffee"/>
    <s v="Coffee"/>
    <s v="3-6M (short-sleeve)"/>
    <s v="United States"/>
    <s v="Romper Short"/>
    <n v="7"/>
    <n v="27"/>
    <s v="Summer"/>
    <s v="3-6"/>
    <x v="18"/>
    <m/>
  </r>
  <r>
    <d v="2025-07-04T00:00:00"/>
    <s v="https://www.etsy.com/ca/listing/4330488178/new-to-the-club-embroidered-baby-romper?transaction_id=4669270162"/>
    <s v="Cream"/>
    <s v="Cream"/>
    <s v=" 0-3M (short-sleeve)"/>
    <s v="United Kingdom"/>
    <s v="Romper Short"/>
    <n v="7"/>
    <n v="27"/>
    <s v="Summer"/>
    <s v="0-3"/>
    <x v="15"/>
    <m/>
  </r>
  <r>
    <d v="2025-07-05T00:00:00"/>
    <s v="https://www.etsy.com/ca/listing/4330488178/new-to-the-club-embroidered-baby-romper?transaction_id=4669430984"/>
    <s v="Cream"/>
    <s v="Cream"/>
    <s v=" 0-3M (short-sleeve)"/>
    <s v="United States"/>
    <s v="Romper Short"/>
    <n v="7"/>
    <n v="27"/>
    <s v="Summer"/>
    <s v="0-3"/>
    <x v="15"/>
    <m/>
  </r>
  <r>
    <d v="2025-07-06T00:00:00"/>
    <s v="https://www.etsy.com/ca/listing/4330488178/new-to-the-club-embroidered-baby-romper?transaction_id=4669435002"/>
    <s v="Cream"/>
    <s v="Cream"/>
    <s v=" 0-3M (long-sleeve)"/>
    <s v="United States"/>
    <s v="Romper Longer"/>
    <n v="7"/>
    <n v="28"/>
    <s v="Summer"/>
    <s v="0-3"/>
    <x v="2"/>
    <m/>
  </r>
  <r>
    <d v="2025-07-08T00:00:00"/>
    <s v="https://www.etsy.com/ca/listing/4330504943/born-to-play-like-my-daddy-baby-romper?transaction_id=4684296685"/>
    <s v="Cream"/>
    <s v="Cream"/>
    <s v=" 6-12M (long-sleeve)"/>
    <s v="Austria"/>
    <s v="Romper Longer"/>
    <n v="7"/>
    <n v="28"/>
    <s v="Summer"/>
    <s v="6-12"/>
    <x v="17"/>
    <m/>
  </r>
  <r>
    <d v="2025-07-09T00:00:00"/>
    <s v="https://www.etsy.com/ca/listing/4333131808/mamas-little-pumpkin-baby-romper-fall?transaction_id=4670199470"/>
    <s v="Cream"/>
    <s v="Cream"/>
    <s v=" 3-6M (long-sleeve)"/>
    <s v="United States"/>
    <s v="Romper Longer"/>
    <n v="7"/>
    <n v="28"/>
    <s v="Summer"/>
    <s v="3-6"/>
    <x v="1"/>
    <m/>
  </r>
  <r>
    <d v="2025-07-11T00:00:00"/>
    <s v="https://www.etsy.com/ca/listing/4330488178/new-to-the-club-embroidered-baby-romper?transaction_id=4684778079"/>
    <s v="Cream"/>
    <s v="Cream"/>
    <s v="3-6M (short-sleeve)"/>
    <s v="Canada"/>
    <s v="Romper Short"/>
    <n v="7"/>
    <n v="28"/>
    <s v="Summer"/>
    <s v="3-6"/>
    <x v="0"/>
    <m/>
  </r>
  <r>
    <d v="2025-07-12T00:00:00"/>
    <s v="https://www.etsy.com/ca/listing/4330504943/born-to-play-like-my-daddy-baby-romper?transaction_id=4684857767"/>
    <s v="Cream"/>
    <s v="Cream"/>
    <s v=" 0-3M (short-sleeve)"/>
    <s v="Germany"/>
    <s v="Romper Short"/>
    <n v="7"/>
    <n v="28"/>
    <s v="Summer"/>
    <s v="0-3"/>
    <x v="15"/>
    <m/>
  </r>
  <r>
    <d v="2025-07-13T00:00:00"/>
    <s v="https://www.etsy.com/ca/listing/4330504400/born-to-play-like-my-daddy-baby-romper?transaction_id=4684883969"/>
    <s v="Salmon"/>
    <s v="Salmon"/>
    <s v="12-18M (long-sleeve)"/>
    <s v="France"/>
    <s v="Romper Longer"/>
    <n v="7"/>
    <n v="29"/>
    <s v="Summer"/>
    <s v="12-18"/>
    <x v="103"/>
    <m/>
  </r>
  <r>
    <d v="2025-07-14T00:00:00"/>
    <s v="https://www.etsy.com/ca/listing/4330495722/born-to-birdie-baby-romper-embroidered?transaction_id=4671230506"/>
    <s v="Cream"/>
    <s v="Cream"/>
    <s v=" 3-6M (long-sleeve)"/>
    <s v="United Kingdom"/>
    <s v="Romper Longer"/>
    <n v="7"/>
    <n v="29"/>
    <s v="Summer"/>
    <s v="3-6"/>
    <x v="1"/>
    <m/>
  </r>
  <r>
    <d v="2025-07-15T00:00:00"/>
    <s v="https://www.etsy.com/ca/listing/4333135410/little-pumpkin-baby-romper-fall?transaction_id=4671348058"/>
    <s v="Cream"/>
    <s v="Cream"/>
    <s v=" 0-3M (short-sleeve)"/>
    <s v="United States"/>
    <s v="Romper Short"/>
    <n v="7"/>
    <n v="29"/>
    <s v="Summer"/>
    <s v="0-3"/>
    <x v="15"/>
    <m/>
  </r>
  <r>
    <d v="2025-07-16T00:00:00"/>
    <s v="https://www.etsy.com/ca/listing/4330488178/new-to-the-club-embroidered-baby-romper?transaction_id=4685753961"/>
    <s v="Cream"/>
    <s v="Cream"/>
    <s v=" 0-3M (long-sleeve)"/>
    <s v="United States"/>
    <s v="Romper Longer"/>
    <n v="7"/>
    <n v="29"/>
    <s v="Summer"/>
    <s v="0-3"/>
    <x v="2"/>
    <m/>
  </r>
  <r>
    <d v="2025-07-17T00:00:00"/>
    <s v="https://www.etsy.com/ca/listing/4330486464/crawl-walk-hunt-baby-romper-embroidered?transaction_id=4671511988"/>
    <s v="Cream"/>
    <s v="Cream"/>
    <s v="3-6M (short-sleeve)"/>
    <s v="Canada"/>
    <s v="Romper Short"/>
    <n v="7"/>
    <n v="29"/>
    <s v="Summer"/>
    <s v="3-6"/>
    <x v="0"/>
    <m/>
  </r>
  <r>
    <d v="2025-07-18T00:00:00"/>
    <s v="https://www.etsy.com/ca/listing/4330488178/new-to-the-club-embroidered-baby-romper?transaction_id=4671813296"/>
    <s v="Sage Green"/>
    <s v="Sage Green"/>
    <s v=" 3-6M (long-sleeve)"/>
    <s v="United States"/>
    <s v="Romper Longer"/>
    <n v="7"/>
    <n v="29"/>
    <s v="Summer"/>
    <s v="3-6"/>
    <x v="7"/>
    <m/>
  </r>
  <r>
    <d v="2025-07-19T00:00:00"/>
    <s v="https://www.etsy.com/ca/listing/4330504943/born-to-play-like-my-daddy-baby-romper?transaction_id=4686081083"/>
    <s v="Cream"/>
    <s v="Cream"/>
    <s v=" 0-3M (short-sleeve)"/>
    <s v="Germany"/>
    <s v="Romper Short"/>
    <n v="7"/>
    <n v="29"/>
    <s v="Summer"/>
    <s v="0-3"/>
    <x v="15"/>
    <m/>
  </r>
  <r>
    <d v="2025-07-20T00:00:00"/>
    <s v="https://www.etsy.com/ca/listing/4333135410/little-pumpkin-baby-romper-fall?transaction_id=4686244903"/>
    <s v="Dusty Pink"/>
    <s v="Dusty Pink"/>
    <s v="3-6M (short-sleeve)"/>
    <s v="United States"/>
    <s v="Romper Short"/>
    <n v="7"/>
    <n v="30"/>
    <s v="Summer"/>
    <s v="3-6"/>
    <x v="31"/>
    <m/>
  </r>
  <r>
    <d v="2025-07-21T00:00:00"/>
    <s v="https://www.etsy.com/ca/listing/4330483435/little-bean-embroidered-baby-romper-cute?transaction_id=4686935383"/>
    <s v="Cream"/>
    <s v="Cream"/>
    <s v=" 0-3M (long-sleeve)"/>
    <s v="Germany"/>
    <s v="Romper Longer"/>
    <n v="7"/>
    <n v="30"/>
    <s v="Summer"/>
    <s v="0-3"/>
    <x v="2"/>
    <m/>
  </r>
  <r>
    <d v="2025-07-22T00:00:00"/>
    <s v="https://www.etsy.com/ca/listing/4330488178/new-to-the-club-embroidered-baby-romper?transaction_id=4672865802"/>
    <s v="Cream"/>
    <s v="Cream"/>
    <s v="3-6M (short-sleeve)"/>
    <s v="United States"/>
    <s v="Romper Short"/>
    <n v="7"/>
    <n v="30"/>
    <s v="Summer"/>
    <s v="3-6"/>
    <x v="0"/>
    <m/>
  </r>
  <r>
    <d v="2025-07-23T00:00:00"/>
    <s v="https://www.etsy.com/ca/listing/4330504400/born-to-play-like-my-daddy-baby-romper?transaction_id=4673342016"/>
    <s v="Cream"/>
    <s v="Cream"/>
    <s v=" 3-6M (long-sleeve)"/>
    <s v="United Kingdom"/>
    <s v="Romper Longer"/>
    <n v="7"/>
    <n v="30"/>
    <s v="Summer"/>
    <s v="3-6"/>
    <x v="1"/>
    <m/>
  </r>
  <r>
    <d v="2025-07-24T00:00:00"/>
    <s v="https://www.etsy.com/ca/listing/4333135410/little-pumpkin-baby-romper-fall?transaction_id=4673387416"/>
    <s v="Texas Orange"/>
    <s v="Texas Orange"/>
    <s v=" 3-6M (long-sleeve)"/>
    <s v="United States"/>
    <s v="Romper Longer"/>
    <n v="7"/>
    <n v="30"/>
    <s v="Summer"/>
    <s v="3-6"/>
    <x v="82"/>
    <m/>
  </r>
  <r>
    <d v="2025-07-25T00:00:00"/>
    <s v="https://www.etsy.com/ca/listing/4333135410/little-pumpkin-baby-romper-fall?transaction_id=4673387417"/>
    <s v="Texas Orange"/>
    <s v="Texas Orange"/>
    <s v=" 6-12M (long-sleeve)"/>
    <s v="United States"/>
    <s v="Romper Longer"/>
    <n v="7"/>
    <n v="30"/>
    <s v="Summer"/>
    <s v="6-12"/>
    <x v="61"/>
    <m/>
  </r>
  <r>
    <d v="2025-07-26T00:00:00"/>
    <s v="https://www.etsy.com/ca/listing/4330488178/new-to-the-club-embroidered-baby-romper?transaction_id=4674097642"/>
    <s v="Cream"/>
    <s v="Cream"/>
    <s v=" 0-3M (short-sleeve)"/>
    <s v="United States"/>
    <s v="Romper Short"/>
    <n v="7"/>
    <n v="30"/>
    <s v="Summer"/>
    <s v="0-3"/>
    <x v="15"/>
    <m/>
  </r>
  <r>
    <d v="2025-07-27T00:00:00"/>
    <s v="https://www.etsy.com/ca/listing/4330488178/new-to-the-club-embroidered-baby-romper?transaction_id=4674480072"/>
    <s v="Salmon"/>
    <s v="Salmon"/>
    <s v=" 3-6M (long-sleeve)"/>
    <s v="The Netherlands"/>
    <s v="Romper Longer"/>
    <n v="7"/>
    <n v="31"/>
    <s v="Summer"/>
    <s v="3-6"/>
    <x v="49"/>
    <m/>
  </r>
  <r>
    <d v="2025-07-28T00:00:00"/>
    <s v="https://www.etsy.com/ca/listing/4333131808/mamas-little-pumpkin-baby-romper-fall?transaction_id=4688662327"/>
    <s v="Watermelon"/>
    <s v="Watermelon"/>
    <s v=" 0-3M (long-sleeve)"/>
    <s v="United States"/>
    <s v="Romper Longer"/>
    <n v="7"/>
    <n v="31"/>
    <s v="Summer"/>
    <s v="0-3"/>
    <x v="36"/>
    <m/>
  </r>
  <r>
    <d v="2025-07-29T00:00:00"/>
    <s v="https://www.etsy.com/ca/listing/4330485404/cat-face-embroidered-baby-romper-my?transaction_id=4675793040"/>
    <s v="Cream"/>
    <s v="Cream"/>
    <s v="3-6M (short-sleeve)"/>
    <s v="United Kingdom"/>
    <s v="Romper Short"/>
    <n v="7"/>
    <n v="31"/>
    <s v="Summer"/>
    <s v="3-6"/>
    <x v="0"/>
    <m/>
  </r>
  <r>
    <d v="2025-07-31T00:00:00"/>
    <s v="https://www.etsy.com/ca/listing/4330481826/bee-kind-baby-romper-embroidered-infant?transaction_id=4690071355"/>
    <s v="Watermelon"/>
    <s v="Watermelon"/>
    <s v="3-6M (short-sleeve)"/>
    <s v="United States"/>
    <s v="Romper Short"/>
    <n v="7"/>
    <n v="31"/>
    <s v="Summer"/>
    <s v="3-6"/>
    <x v="39"/>
    <m/>
  </r>
  <r>
    <d v="2025-08-01T00:00:00"/>
    <s v="https://www.etsy.com/ca/listing/4336907597/custom-running-baby-romper-daddys-future?transaction_id=4676434710"/>
    <s v="Caldet Blue"/>
    <s v="Caldet Blue"/>
    <s v=" 0-3M (short-sleeve)"/>
    <s v="Canada"/>
    <s v="Romper Short"/>
    <n v="8"/>
    <n v="31"/>
    <s v="Summer"/>
    <s v="0-3"/>
    <x v="38"/>
    <m/>
  </r>
  <r>
    <d v="2025-08-02T00:00:00"/>
    <s v="https://www.etsy.com/ca/listing/4330492054/cutie-pie-embroidered-baby-outfit-with?transaction_id=4691808081"/>
    <s v="Cream"/>
    <s v="Cream"/>
    <s v=" 6-12M (long-sleeve)"/>
    <s v="United States"/>
    <s v="Romper Longer"/>
    <n v="8"/>
    <n v="31"/>
    <s v="Summer"/>
    <s v="6-12"/>
    <x v="17"/>
    <m/>
  </r>
  <r>
    <d v="2025-08-03T00:00:00"/>
    <s v="https://www.etsy.com/ca/listing/4330488178/new-to-the-club-embroidered-baby-romper?transaction_id=4691987357"/>
    <s v="Cream"/>
    <s v="Cream"/>
    <s v=" 0-3M (long-sleeve)"/>
    <s v="United Kingdom"/>
    <s v="Romper Longer"/>
    <n v="8"/>
    <n v="32"/>
    <s v="Summer"/>
    <s v="0-3"/>
    <x v="2"/>
    <m/>
  </r>
  <r>
    <d v="2025-08-04T00:00:00"/>
    <s v="https://www.etsy.com/ca/listing/4330488178/new-to-the-club-embroidered-baby-romper?transaction_id=4693391593"/>
    <s v="Dusty Pink"/>
    <s v="Dusty Pink"/>
    <s v="3-6M (short-sleeve)"/>
    <s v="United States"/>
    <s v="Romper Short"/>
    <n v="8"/>
    <n v="32"/>
    <s v="Summer"/>
    <s v="3-6"/>
    <x v="31"/>
    <m/>
  </r>
  <r>
    <d v="2025-08-05T00:00:00"/>
    <s v="https://www.etsy.com/ca/listing/4330482502/mama-is-my-bestie-romper-embroidered?transaction_id=4693585207"/>
    <s v="Cream"/>
    <s v="Cream"/>
    <s v="18-24M (long-sleeve)"/>
    <s v="United States"/>
    <s v="Romper Longer"/>
    <n v="8"/>
    <n v="32"/>
    <s v="Summer"/>
    <s v="18-24"/>
    <x v="55"/>
    <m/>
  </r>
  <r>
    <d v="2025-08-06T00:00:00"/>
    <s v="https://www.etsy.com/ca/listing/4330485404/cat-face-embroidered-baby-romper-my?transaction_id=4680506698"/>
    <s v="Cream"/>
    <s v="Cream"/>
    <s v=" 0-3M (short-sleeve)"/>
    <s v="United States"/>
    <s v="Romper Short"/>
    <n v="8"/>
    <n v="32"/>
    <s v="Summer"/>
    <s v="0-3"/>
    <x v="15"/>
    <m/>
  </r>
  <r>
    <d v="2025-08-07T00:00:00"/>
    <s v="https://www.etsy.com/ca/listing/4330488178/new-to-the-club-embroidered-baby-romper?transaction_id=4693795163"/>
    <s v="White"/>
    <s v="White"/>
    <s v=" 0-3M (short-sleeve)"/>
    <s v="United Kingdom"/>
    <s v="Romper Short"/>
    <n v="8"/>
    <n v="32"/>
    <s v="Summer"/>
    <s v="0-3"/>
    <x v="21"/>
    <m/>
  </r>
  <r>
    <d v="2025-08-08T00:00:00"/>
    <s v="https://www.etsy.com/ca/listing/4343130134/funny-golf-baby-bodysuit-im-told-i-like?transaction_id=4693795161"/>
    <s v="White"/>
    <s v="White"/>
    <s v=" 0-3M (short-sleeve)"/>
    <m/>
    <s v="Romper Short"/>
    <n v="8"/>
    <n v="32"/>
    <s v="Summer"/>
    <s v="0-3"/>
    <x v="21"/>
    <m/>
  </r>
  <r>
    <d v="2025-08-09T00:00:00"/>
    <s v="https://www.etsy.com/ca/listing/4330488178/new-to-the-club-embroidered-baby-romper?transaction_id=4680766640"/>
    <s v="Cream"/>
    <s v="Cream"/>
    <s v="3-6M (short-sleeve)"/>
    <s v="United Kingdom"/>
    <s v="Romper Short"/>
    <n v="8"/>
    <n v="32"/>
    <s v="Summer"/>
    <s v="3-6"/>
    <x v="0"/>
    <m/>
  </r>
  <r>
    <d v="2025-08-10T00:00:00"/>
    <s v="https://www.etsy.com/ca/listing/4346126210/daddys-future-lifting-buddy-romper-baby?transaction_id=4681271582"/>
    <s v="Sage Green"/>
    <s v="Sage Green"/>
    <s v=" 0-3M (long-sleeve)"/>
    <s v="Germany"/>
    <s v="Romper Longer"/>
    <n v="8"/>
    <n v="33"/>
    <s v="Summer"/>
    <s v="0-3"/>
    <x v="5"/>
    <m/>
  </r>
  <r>
    <d v="2025-08-11T00:00:00"/>
    <s v="https://www.etsy.com/ca/listing/4336907597/custom-running-baby-romper-daddys-future?transaction_id=4694504845"/>
    <s v="Coffee"/>
    <s v="Coffee"/>
    <s v=" 6-12M (long-sleeve)"/>
    <s v="United States"/>
    <s v="Romper Longer"/>
    <n v="8"/>
    <n v="33"/>
    <s v="Summer"/>
    <s v="6-12"/>
    <x v="86"/>
    <m/>
  </r>
  <r>
    <d v="2025-08-12T00:00:00"/>
    <s v="https://www.etsy.com/ca/listing/4346129239/soccer-baby-romper-embroidered-daddy-and?transaction_id=4681784078"/>
    <s v="Dusty Pink"/>
    <s v="Dusty Pink"/>
    <s v=" 0-3M (long-sleeve)"/>
    <s v="United States"/>
    <s v="Romper Longer"/>
    <n v="8"/>
    <n v="33"/>
    <s v="Summer"/>
    <s v="0-3"/>
    <x v="45"/>
    <m/>
  </r>
  <r>
    <d v="2025-08-14T00:00:00"/>
    <s v="https://www.etsy.com/ca/listing/4344235495/new-kid-on-the-block-baby-bodysuit-funny?transaction_id=4696189625"/>
    <s v="Watermelon"/>
    <s v="Watermelon"/>
    <s v=" 0-3M (long-sleeve)"/>
    <s v="United States"/>
    <s v="Romper Longer"/>
    <n v="8"/>
    <n v="33"/>
    <s v="Summer"/>
    <s v="0-3"/>
    <x v="36"/>
    <m/>
  </r>
  <r>
    <d v="2025-08-15T00:00:00"/>
    <s v="https://www.etsy.com/ca/listing/4346126210/daddys-future-lifting-buddy-romper-baby?transaction_id=4696859319"/>
    <s v="Cream"/>
    <s v="Cream"/>
    <s v=" 3-6M (long-sleeve)"/>
    <s v="Germany"/>
    <s v="Romper Longer"/>
    <n v="8"/>
    <n v="33"/>
    <s v="Summer"/>
    <s v="3-6"/>
    <x v="1"/>
    <m/>
  </r>
  <r>
    <d v="2025-08-17T00:00:00"/>
    <s v="https://www.etsy.com/ca/listing/4346126210/daddys-future-lifting-buddy-romper-baby?transaction_id=4684639864"/>
    <s v="Salmon"/>
    <s v="Salmon"/>
    <s v=" 0-3M (long-sleeve)"/>
    <s v="Ireland"/>
    <s v="Romper Longer"/>
    <n v="8"/>
    <n v="34"/>
    <s v="Summer"/>
    <s v="0-3"/>
    <x v="84"/>
    <m/>
  </r>
  <r>
    <d v="2025-08-18T00:00:00"/>
    <s v="https://www.etsy.com/ca/listing/4330488178/new-to-the-club-embroidered-baby-romper?transaction_id=4697553633"/>
    <s v="Cream"/>
    <s v="Cream"/>
    <s v=" 0-3M (short-sleeve)"/>
    <s v="United States"/>
    <s v="Romper Short"/>
    <n v="8"/>
    <n v="34"/>
    <s v="Summer"/>
    <s v="0-3"/>
    <x v="15"/>
    <m/>
  </r>
  <r>
    <d v="2025-08-19T00:00:00"/>
    <s v="https://www.etsy.com/ca/listing/4330485404/cat-face-embroidered-baby-romper-my?transaction_id=4697704073"/>
    <s v="Caldet Blue"/>
    <s v="Caldet Blue"/>
    <s v=" 3-6M (long-sleeve)"/>
    <s v="United States"/>
    <s v="Romper Longer"/>
    <n v="8"/>
    <n v="34"/>
    <s v="Summer"/>
    <s v="3-6"/>
    <x v="23"/>
    <m/>
  </r>
  <r>
    <d v="2025-08-20T00:00:00"/>
    <s v="https://www.etsy.com/ca/listing/4330488178/new-to-the-club-embroidered-baby-romper?transaction_id=4685403854"/>
    <s v="Cream"/>
    <s v="Cream"/>
    <s v=" 3-6M (long-sleeve)"/>
    <s v="Belgium"/>
    <s v="Romper Longer"/>
    <n v="8"/>
    <n v="34"/>
    <s v="Summer"/>
    <s v="3-6"/>
    <x v="1"/>
    <m/>
  </r>
  <r>
    <d v="2025-08-21T00:00:00"/>
    <s v="https://www.etsy.com/ca/listing/4330486464/crawl-walk-hunt-baby-romper-embroidered?transaction_id=4698463279"/>
    <s v="Sage Green"/>
    <s v="Sage Green"/>
    <s v=" 3-6M (long-sleeve)"/>
    <s v="United Kingdom"/>
    <s v="Romper Longer"/>
    <n v="8"/>
    <n v="34"/>
    <s v="Summer"/>
    <s v="3-6"/>
    <x v="7"/>
    <m/>
  </r>
  <r>
    <d v="2025-08-22T00:00:00"/>
    <s v="https://www.etsy.com/ca/listing/4346126210/daddys-future-lifting-buddy-romper-baby?transaction_id=4686599774"/>
    <s v="Cream"/>
    <s v="Cream"/>
    <s v=" 0-3M (long-sleeve)"/>
    <s v="Belgium"/>
    <s v="Romper Longer"/>
    <n v="8"/>
    <n v="34"/>
    <s v="Summer"/>
    <s v="0-3"/>
    <x v="2"/>
    <m/>
  </r>
  <r>
    <d v="2025-08-23T00:00:00"/>
    <s v="https://www.etsy.com/ca/listing/4330504943/born-to-play-like-my-daddy-baby-romper?transaction_id=4687058592"/>
    <s v="Cream"/>
    <s v="Cream"/>
    <s v=" 3-6M (long-sleeve)"/>
    <s v="Germany"/>
    <s v="Romper Longer"/>
    <n v="8"/>
    <n v="34"/>
    <s v="Summer"/>
    <s v="3-6"/>
    <x v="1"/>
    <m/>
  </r>
  <r>
    <d v="2025-08-24T00:00:00"/>
    <s v="https://www.etsy.com/ca/listing/4347885967/gigis-bestie-baby-bodysuit-baby-shower?transaction_id=4687106886"/>
    <s v="Cream"/>
    <s v="Cream"/>
    <s v=" 3-6M (long-sleeve)"/>
    <s v="Canada"/>
    <s v="Romper Longer"/>
    <n v="8"/>
    <n v="35"/>
    <s v="Summer"/>
    <s v="3-6"/>
    <x v="1"/>
    <m/>
  </r>
  <r>
    <d v="2025-08-25T00:00:00"/>
    <s v="https://www.etsy.com/ca/listing/4330485404/cat-face-embroidered-baby-romper-my?transaction_id=4699560197"/>
    <s v="Cream"/>
    <s v="Cream"/>
    <s v=" 0-3M (long-sleeve)"/>
    <s v="United States"/>
    <s v="Romper Longer"/>
    <n v="8"/>
    <n v="35"/>
    <s v="Summer"/>
    <s v="0-3"/>
    <x v="2"/>
    <m/>
  </r>
  <r>
    <d v="2025-08-26T00:00:00"/>
    <s v="https://www.etsy.com/ca/listing/4330483435/little-bean-embroidered-baby-romper-cute?transaction_id=4687652182"/>
    <s v="Cream"/>
    <s v="Cream"/>
    <s v=" 0-3M (long-sleeve)"/>
    <s v="United States"/>
    <s v="Romper Longer"/>
    <n v="8"/>
    <n v="35"/>
    <s v="Summer"/>
    <s v="0-3"/>
    <x v="2"/>
    <m/>
  </r>
  <r>
    <d v="2025-08-27T00:00:00"/>
    <s v="https://www.etsy.com/ca/listing/4344235128/new-to-the-hive-baby-romper-embroidered?transaction_id=4688011900"/>
    <s v="Cream"/>
    <s v="Cream"/>
    <s v=" 3-6M (long-sleeve)"/>
    <s v="United Kingdom"/>
    <s v="Romper Longer"/>
    <n v="8"/>
    <n v="35"/>
    <s v="Summer"/>
    <s v="3-6"/>
    <x v="1"/>
    <m/>
  </r>
  <r>
    <d v="2025-08-28T00:00:00"/>
    <s v="https://www.etsy.com/ca/listing/4330495722/born-to-birdie-baby-romper-embroidered?transaction_id=4700062467"/>
    <s v="Cream"/>
    <s v="Cream"/>
    <s v=" 0-3M (long-sleeve)"/>
    <s v="Germany"/>
    <s v="Romper Longer"/>
    <n v="8"/>
    <n v="35"/>
    <s v="Summer"/>
    <s v="0-3"/>
    <x v="2"/>
    <m/>
  </r>
  <r>
    <d v="2025-08-29T00:00:00"/>
    <s v="https://www.etsy.com/ca/listing/4330492936/a-roar-able-dinosaur-baby-bodysuit-cute?transaction_id=4700687715"/>
    <s v="Dusty Pink"/>
    <s v="Dusty Pink"/>
    <s v=" 0-3M (long-sleeve)"/>
    <s v="United States"/>
    <s v="Romper Longer"/>
    <n v="8"/>
    <n v="35"/>
    <s v="Summer"/>
    <s v="0-3"/>
    <x v="45"/>
    <m/>
  </r>
  <r>
    <d v="2025-08-30T00:00:00"/>
    <s v="https://www.etsy.com/ca/listing/4330480699/little-prince-baby-romper-embroidered?transaction_id=4701054055"/>
    <s v="Cream"/>
    <s v="Cream"/>
    <s v=" 0-3M (short-sleeve)"/>
    <s v="United States"/>
    <s v="Romper Short"/>
    <n v="8"/>
    <n v="35"/>
    <s v="Summer"/>
    <s v="0-3"/>
    <x v="15"/>
    <m/>
  </r>
  <r>
    <d v="2025-08-31T00:00:00"/>
    <s v="https://www.etsy.com/ca/listing/4336907597/custom-running-baby-romper-daddys-future?transaction_id=4701568635"/>
    <s v="Cream"/>
    <s v="Cream"/>
    <s v="3-6M (short-sleeve)"/>
    <s v="Sweden"/>
    <s v="Romper Short"/>
    <n v="8"/>
    <n v="36"/>
    <s v="Summer"/>
    <s v="3-6"/>
    <x v="0"/>
    <m/>
  </r>
  <r>
    <d v="2025-09-01T00:00:00"/>
    <s v="https://www.etsy.com/ca/listing/4333134764/wizard-font-baby-romper-personalized?transaction_id=4702155211"/>
    <s v="Forest Green"/>
    <s v="Forest Green"/>
    <s v=" 3-6M (long-sleeve)"/>
    <s v="United States"/>
    <s v="Romper Longer"/>
    <n v="9"/>
    <n v="36"/>
    <s v="Normal"/>
    <s v="3-6"/>
    <x v="4"/>
    <m/>
  </r>
  <r>
    <d v="2025-09-02T00:00:00"/>
    <s v="https://www.etsy.com/ca/listing/4330478867/personalized-hippo-baby-bodysuit?transaction_id=4690630416"/>
    <s v="Caldet Blue"/>
    <s v="Caldet Blue"/>
    <s v=" 0-3M (long-sleeve)"/>
    <s v="Spain"/>
    <s v="Romper Longer"/>
    <n v="9"/>
    <n v="36"/>
    <s v="Normal"/>
    <s v="0-3"/>
    <x v="9"/>
    <m/>
  </r>
  <r>
    <d v="2025-09-03T00:00:00"/>
    <s v="https://www.etsy.com/ca/listing/4347265018/made-with-love-baby-romper-funny-baby?transaction_id=4690630414"/>
    <s v="Watermelon"/>
    <s v="Watermelon"/>
    <s v=" 0-3M (long-sleeve)"/>
    <s v="Spain"/>
    <s v="Romper Longer"/>
    <n v="9"/>
    <n v="36"/>
    <s v="Normal"/>
    <s v="0-3"/>
    <x v="36"/>
    <m/>
  </r>
  <r>
    <d v="2025-09-04T00:00:00"/>
    <s v="https://www.etsy.com/ca/listing/4330488178/new-to-the-club-embroidered-baby-romper?transaction_id=4691212138"/>
    <s v="Cream"/>
    <s v="Cream"/>
    <s v=" 6-12M (long-sleeve)"/>
    <s v="Canada"/>
    <s v="Romper Longer"/>
    <n v="9"/>
    <n v="36"/>
    <s v="Normal"/>
    <s v="6-12"/>
    <x v="17"/>
    <m/>
  </r>
  <r>
    <d v="2025-09-05T00:00:00"/>
    <s v="https://www.etsy.com/ca/listing/4330504943/born-to-play-like-my-daddy-baby-romper?transaction_id=4691410912"/>
    <s v="Cream"/>
    <s v="Cream"/>
    <s v="6-12M (short-sleeve)"/>
    <s v="Austria"/>
    <s v="Romper Short"/>
    <n v="9"/>
    <n v="36"/>
    <s v="Normal"/>
    <s v="6-12"/>
    <x v="47"/>
    <m/>
  </r>
  <r>
    <d v="2025-09-06T00:00:00"/>
    <s v="https://www.etsy.com/ca/listing/4347885967/gigis-bestie-baby-bodysuit-baby-shower?transaction_id=4691662478"/>
    <s v="Sage Green"/>
    <s v="Sage Green"/>
    <s v=" 3-6M (long-sleeve)"/>
    <s v="United States"/>
    <s v="Romper Longer"/>
    <n v="9"/>
    <n v="36"/>
    <s v="Normal"/>
    <s v="3-6"/>
    <x v="7"/>
    <m/>
  </r>
  <r>
    <d v="2025-09-07T00:00:00"/>
    <s v="https://www.etsy.com/ca/listing/4330478867/personalized-hippo-baby-bodysuit?transaction_id=4703692453"/>
    <s v="Forest Green"/>
    <s v="Forest Green"/>
    <s v=" 3-6M (long-sleeve)"/>
    <s v="France"/>
    <s v="Romper Longer"/>
    <n v="9"/>
    <n v="37"/>
    <s v="Normal"/>
    <s v="3-6"/>
    <x v="4"/>
    <m/>
  </r>
  <r>
    <d v="2025-09-08T00:00:00"/>
    <s v="https://www.etsy.com/ca/listing/4333129905/personalized-pumpkin-baby-romper-fall?transaction_id=4692842358"/>
    <s v="Coffee"/>
    <s v="Coffee"/>
    <s v=" 0-3M (short-sleeve)"/>
    <s v="United States"/>
    <s v="Romper Short"/>
    <n v="9"/>
    <n v="37"/>
    <s v="Normal"/>
    <s v="0-3"/>
    <x v="14"/>
    <m/>
  </r>
  <r>
    <d v="2025-09-09T00:00:00"/>
    <s v="https://www.etsy.com/ca/listing/4330488178/new-to-the-club-embroidered-baby-romper?transaction_id=4705825229"/>
    <s v="White"/>
    <s v="White"/>
    <s v=" 0-3M (short-sleeve)"/>
    <s v="United States"/>
    <s v="Romper Short"/>
    <n v="9"/>
    <n v="37"/>
    <s v="Normal"/>
    <s v="0-3"/>
    <x v="21"/>
    <m/>
  </r>
  <r>
    <d v="2025-09-10T00:00:00"/>
    <s v="https://www.etsy.com/ca/listing/4330480699/little-prince-baby-romper-embroidered?transaction_id=4694659208"/>
    <s v="Cream"/>
    <s v="Cream"/>
    <s v=" 0-3M (short-sleeve)"/>
    <s v="United States"/>
    <s v="Romper Short"/>
    <n v="9"/>
    <n v="37"/>
    <s v="Normal"/>
    <s v="0-3"/>
    <x v="15"/>
    <m/>
  </r>
  <r>
    <d v="2025-09-11T00:00:00"/>
    <s v="https://www.etsy.com/ca/listing/4333134764/wizard-font-baby-romper-personalized?transaction_id=4695135916"/>
    <s v="Cream"/>
    <s v="Cream"/>
    <s v=" 0-3M (short-sleeve)"/>
    <s v="United States"/>
    <s v="Romper Short"/>
    <n v="9"/>
    <n v="37"/>
    <s v="Normal"/>
    <s v="0-3"/>
    <x v="15"/>
    <m/>
  </r>
  <r>
    <d v="2025-09-12T00:00:00"/>
    <s v="https://www.etsy.com/ca/listing/4330485404/cat-face-embroidered-baby-romper-my?transaction_id=4706765723"/>
    <s v="Cream"/>
    <s v="Cream"/>
    <s v=" 0-3M (short-sleeve)"/>
    <s v="United States"/>
    <s v="Romper Short"/>
    <n v="9"/>
    <n v="37"/>
    <s v="Normal"/>
    <s v="0-3"/>
    <x v="15"/>
    <m/>
  </r>
  <r>
    <d v="2025-09-13T00:00:00"/>
    <s v="https://www.etsy.com/ca/listing/4347885967/gigis-bestie-baby-bodysuit-baby-shower?transaction_id=4696218022"/>
    <s v="Cream"/>
    <s v="Cream"/>
    <s v=" 0-3M (short-sleeve)"/>
    <s v="United States"/>
    <s v="Romper Short"/>
    <n v="9"/>
    <n v="37"/>
    <s v="Normal"/>
    <s v="0-3"/>
    <x v="15"/>
    <m/>
  </r>
  <r>
    <d v="2025-09-14T00:00:00"/>
    <s v="https://www.etsy.com/ca/listing/4330488178/new-to-the-club-embroidered-baby-romper?transaction_id=4696428320"/>
    <s v="Cream"/>
    <s v="Cream"/>
    <s v=" 0-3M (short-sleeve)"/>
    <s v="United States"/>
    <s v="Romper Short"/>
    <n v="9"/>
    <n v="38"/>
    <s v="Normal"/>
    <s v="0-3"/>
    <x v="15"/>
    <m/>
  </r>
  <r>
    <d v="2025-09-15T00:00:00"/>
    <s v="https://www.etsy.com/ca/listing/4330488178/new-to-the-club-embroidered-baby-romper?transaction_id=4708528751"/>
    <s v="Cream"/>
    <s v="Cream"/>
    <s v=" 0-3M (short-sleeve)"/>
    <s v="United States"/>
    <s v="Romper Short"/>
    <n v="9"/>
    <n v="38"/>
    <s v="Normal"/>
    <s v="0-3"/>
    <x v="15"/>
    <m/>
  </r>
  <r>
    <d v="2025-09-16T00:00:00"/>
    <s v="https://www.etsy.com/ca/listing/4330485404/cat-face-embroidered-baby-romper-my?transaction_id=4708782987"/>
    <s v="Dusty Pink"/>
    <s v="Dusty Pink"/>
    <s v=" 0-3M (short-sleeve)"/>
    <s v="United Kingdom"/>
    <s v="Romper Short"/>
    <n v="9"/>
    <n v="38"/>
    <s v="Normal"/>
    <s v="0-3"/>
    <x v="34"/>
    <m/>
  </r>
  <r>
    <d v="2025-09-17T00:00:00"/>
    <s v="https://www.etsy.com/ca/listing/4346126210/daddys-future-lifting-buddy-romper-baby?transaction_id=4709004943"/>
    <s v="Caldet Blue"/>
    <s v="Caldet Blue"/>
    <s v=" 0-3M (short-sleeve)"/>
    <s v="United States"/>
    <s v="Romper Short"/>
    <n v="9"/>
    <n v="38"/>
    <s v="Normal"/>
    <s v="0-3"/>
    <x v="38"/>
    <m/>
  </r>
  <r>
    <d v="2025-09-18T00:00:00"/>
    <s v="https://www.etsy.com/ca/listing/4330485404/cat-face-embroidered-baby-romper-my?transaction_id=4698322626"/>
    <s v="Sage Green"/>
    <s v="Sage Green"/>
    <s v=" 0-3M (short-sleeve)"/>
    <s v="United States"/>
    <s v="Romper Short"/>
    <n v="9"/>
    <n v="38"/>
    <s v="Normal"/>
    <s v="0-3"/>
    <x v="13"/>
    <m/>
  </r>
  <r>
    <d v="2025-09-19T00:00:00"/>
    <s v="https://www.etsy.com/ca/listing/4330488178/new-to-the-club-embroidered-baby-romper?transaction_id=4698591720"/>
    <s v="Cream"/>
    <s v="Cream"/>
    <s v=" 0-3M (short-sleeve)"/>
    <s v="United States"/>
    <s v="Romper Short"/>
    <n v="9"/>
    <n v="38"/>
    <s v="Normal"/>
    <s v="0-3"/>
    <x v="15"/>
    <m/>
  </r>
  <r>
    <d v="2025-09-20T00:00:00"/>
    <s v="https://www.etsy.com/ca/listing/4330483435/little-bean-embroidered-baby-romper-cute?transaction_id=4699126392"/>
    <s v="Cream"/>
    <s v="Cream"/>
    <s v=" 0-3M (short-sleeve)"/>
    <s v="United States"/>
    <s v="Romper Short"/>
    <n v="9"/>
    <n v="38"/>
    <s v="Normal"/>
    <s v="0-3"/>
    <x v="15"/>
    <m/>
  </r>
  <r>
    <d v="2025-09-21T00:00:00"/>
    <s v="https://www.etsy.com/ca/listing/4330485404/cat-face-embroidered-baby-romper-my?transaction_id=4710519141"/>
    <s v="Cream"/>
    <s v="Cream"/>
    <s v=" 0-3M (short-sleeve)"/>
    <s v="United States"/>
    <s v="Romper Short"/>
    <n v="9"/>
    <n v="39"/>
    <s v="Normal"/>
    <s v="0-3"/>
    <x v="15"/>
    <m/>
  </r>
  <r>
    <d v="2025-09-22T00:00:00"/>
    <s v="https://www.etsy.com/ca/listing/4330488178/new-to-the-club-embroidered-baby-romper?transaction_id=4710824013"/>
    <s v="Cream"/>
    <s v="Cream"/>
    <s v=" 0-3M (short-sleeve)"/>
    <s v="United States"/>
    <s v="Romper Short"/>
    <n v="9"/>
    <n v="39"/>
    <s v="Normal"/>
    <s v="0-3"/>
    <x v="15"/>
    <m/>
  </r>
  <r>
    <d v="2025-09-23T00:00:00"/>
    <s v="https://www.etsy.com/ca/listing/4330480699/little-prince-baby-romper-embroidered?transaction_id=4711382765"/>
    <s v="Texas Orange"/>
    <s v="Texas Orange"/>
    <s v=" 0-3M (short-sleeve)"/>
    <s v="United States"/>
    <s v="Romper Short"/>
    <n v="9"/>
    <n v="39"/>
    <s v="Normal"/>
    <s v="0-3"/>
    <x v="96"/>
    <m/>
  </r>
  <r>
    <d v="2025-09-24T00:00:00"/>
    <s v="https://www.etsy.com/ca/listing/4336899579/personalized-basketball-baby-romper?transaction_id=4701540940"/>
    <s v="Cream"/>
    <s v="Cream"/>
    <s v=" 0-3M (short-sleeve)"/>
    <s v="United States"/>
    <s v="Romper Short"/>
    <n v="9"/>
    <n v="39"/>
    <s v="Normal"/>
    <s v="0-3"/>
    <x v="15"/>
    <m/>
  </r>
  <r>
    <d v="2025-09-25T00:00:00"/>
    <s v="https://www.etsy.com/ca/listing/4347885967/gigis-bestie-baby-bodysuit-baby-shower?transaction_id=4702568368"/>
    <s v="Watermelon"/>
    <s v="Watermelon"/>
    <s v=" 0-3M (short-sleeve)"/>
    <s v="United States"/>
    <s v="Romper Short"/>
    <n v="9"/>
    <n v="39"/>
    <s v="Normal"/>
    <s v="0-3"/>
    <x v="65"/>
    <m/>
  </r>
  <r>
    <d v="2025-09-26T00:00:00"/>
    <s v="https://www.etsy.com/ca/listing/4336900156/personalized-soccer-baby-romper-daddys?transaction_id=4714293849"/>
    <s v="Cream"/>
    <s v="Cream"/>
    <s v=" 0-3M (short-sleeve)"/>
    <s v="United States"/>
    <s v="Romper Short"/>
    <n v="9"/>
    <n v="39"/>
    <s v="Normal"/>
    <s v="0-3"/>
    <x v="15"/>
    <m/>
  </r>
  <r>
    <d v="2025-09-27T00:00:00"/>
    <s v="https://www.etsy.com/ca/listing/4330504943/born-to-play-like-my-daddy-baby-romper?transaction_id=4714761471"/>
    <s v="Cream"/>
    <s v="Cream"/>
    <s v=" 0-3M (short-sleeve)"/>
    <s v="United States"/>
    <s v="Romper Short"/>
    <n v="9"/>
    <n v="39"/>
    <s v="Normal"/>
    <s v="0-3"/>
    <x v="15"/>
    <m/>
  </r>
  <r>
    <d v="2025-09-28T00:00:00"/>
    <s v="https://www.etsy.com/ca/listing/4336900156/personalized-soccer-baby-romper-daddys?transaction_id=4705376910"/>
    <s v="Caldet Blue"/>
    <s v="Caldet Blue"/>
    <s v=" 0-3M (short-sleeve)"/>
    <s v="United States"/>
    <s v="Romper Short"/>
    <n v="9"/>
    <n v="40"/>
    <s v="Normal"/>
    <s v="0-3"/>
    <x v="38"/>
    <m/>
  </r>
  <r>
    <d v="2025-09-29T00:00:00"/>
    <s v="https://www.etsy.com/ca/listing/4347885967/gigis-bestie-baby-bodysuit-baby-shower?transaction_id=4705446732"/>
    <s v="Cream"/>
    <s v="Cream"/>
    <s v=" 6-12M (long-sleeve)"/>
    <s v="United States"/>
    <s v="Romper Longer"/>
    <n v="9"/>
    <n v="40"/>
    <s v="Normal"/>
    <s v="6-12"/>
    <x v="17"/>
    <m/>
  </r>
  <r>
    <d v="2025-09-30T00:00:00"/>
    <s v="https://www.etsy.com/ca/listing/4330492054/cutie-pie-embroidered-baby-outfit-with?transaction_id=4716107289"/>
    <s v="Mauve Taupe"/>
    <s v="Mauve Taupe"/>
    <s v=" 0-3M (long-sleeve)"/>
    <s v="United States"/>
    <s v="Romper Longer"/>
    <n v="9"/>
    <n v="40"/>
    <s v="Normal"/>
    <s v="0-3"/>
    <x v="40"/>
    <m/>
  </r>
  <r>
    <d v="2025-10-01T00:00:00"/>
    <s v="https://www.etsy.com/ca/listing/4330488178/new-to-the-club-embroidered-baby-romper?transaction_id=4716226007"/>
    <s v="White"/>
    <s v="White"/>
    <s v="3-6M (short-sleeve)"/>
    <s v="United States"/>
    <s v="Romper Short"/>
    <n v="10"/>
    <n v="40"/>
    <s v="Halloween"/>
    <s v="3-6"/>
    <x v="69"/>
    <m/>
  </r>
  <r>
    <d v="2025-10-02T00:00:00"/>
    <s v="https://www.etsy.com/ca/listing/4333135410/little-pumpkin-baby-romper-fall?transaction_id=4716243711"/>
    <s v="Cream"/>
    <s v="Cream"/>
    <s v=" 6-12M (long-sleeve)"/>
    <s v="United States"/>
    <s v="Romper Longer"/>
    <n v="10"/>
    <n v="40"/>
    <s v="Halloween"/>
    <s v="6-12"/>
    <x v="17"/>
    <m/>
  </r>
  <r>
    <d v="2025-10-03T00:00:00"/>
    <s v="https://www.etsy.com/ca/listing/4330479964/personalized-fox-baby-bodysuit?transaction_id=4706809824"/>
    <s v="Coffee"/>
    <s v="Coffee"/>
    <s v=" 0-3M (long-sleeve)"/>
    <s v="United States"/>
    <s v="Romper Longer"/>
    <n v="10"/>
    <n v="40"/>
    <s v="Halloween"/>
    <s v="0-3"/>
    <x v="28"/>
    <m/>
  </r>
  <r>
    <d v="2025-10-04T00:00:00"/>
    <s v="https://www.etsy.com/ca/listing/4330488178/new-to-the-club-embroidered-baby-romper?transaction_id=4707355032"/>
    <s v="Caldet Blue"/>
    <s v="Caldet Blue"/>
    <s v=" 6-12M (long-sleeve)"/>
    <s v="United States"/>
    <s v="Romper Longer"/>
    <n v="10"/>
    <n v="40"/>
    <s v="Halloween"/>
    <s v="6-12"/>
    <x v="25"/>
    <m/>
  </r>
  <r>
    <d v="2025-10-05T00:00:00"/>
    <s v="https://www.etsy.com/ca/listing/4330488178/new-to-the-club-embroidered-baby-romper?transaction_id=4707721896"/>
    <s v="Cream"/>
    <s v="Cream"/>
    <s v=" 3-6M (long-sleeve)"/>
    <s v="United States"/>
    <s v="Romper Longer"/>
    <n v="10"/>
    <n v="41"/>
    <s v="Halloween"/>
    <s v="3-6"/>
    <x v="1"/>
    <m/>
  </r>
  <r>
    <d v="2025-10-06T00:00:00"/>
    <s v="https://www.etsy.com/ca/listing/4330485404/cat-face-embroidered-baby-romper-my?transaction_id=4718046297"/>
    <s v="Cream"/>
    <s v="Cream"/>
    <s v=" 3-6M (long-sleeve)"/>
    <s v="United States"/>
    <s v="Romper Longer"/>
    <n v="10"/>
    <n v="41"/>
    <s v="Halloween"/>
    <s v="3-6"/>
    <x v="1"/>
    <m/>
  </r>
  <r>
    <d v="2025-10-07T00:00:00"/>
    <s v="https://www.etsy.com/ca/listing/4330488178/new-to-the-club-embroidered-baby-romper?transaction_id=4708066012"/>
    <s v="Cream"/>
    <s v="Cream"/>
    <s v=" 3-6M (long-sleeve)"/>
    <s v="United States"/>
    <s v="Romper Longer"/>
    <n v="10"/>
    <n v="41"/>
    <s v="Halloween"/>
    <s v="3-6"/>
    <x v="1"/>
    <m/>
  </r>
  <r>
    <d v="2025-10-08T00:00:00"/>
    <s v="https://www.etsy.com/ca/listing/4347885967/gigis-bestie-baby-bodysuit-baby-shower?transaction_id=4708707652"/>
    <s v="Sage Green"/>
    <s v="Sage Green"/>
    <s v=" 6-12M (long-sleeve)"/>
    <s v="United States"/>
    <s v="Romper Longer"/>
    <n v="10"/>
    <n v="41"/>
    <s v="Halloween"/>
    <s v="6-12"/>
    <x v="3"/>
    <m/>
  </r>
  <r>
    <d v="2025-10-09T00:00:00"/>
    <s v="https://www.etsy.com/ca/listing/4330488178/new-to-the-club-embroidered-baby-romper?transaction_id=4709194364"/>
    <s v="Cream"/>
    <s v="Cream"/>
    <s v=" 0-3M (long-sleeve)"/>
    <s v="United States"/>
    <s v="Romper Longer"/>
    <n v="10"/>
    <n v="41"/>
    <s v="Halloween"/>
    <s v="0-3"/>
    <x v="2"/>
    <m/>
  </r>
  <r>
    <d v="2025-10-10T00:00:00"/>
    <s v="https://www.etsy.com/ca/listing/4330485404/cat-face-embroidered-baby-romper-my?transaction_id=4720284481"/>
    <s v="Cream"/>
    <s v="Cream"/>
    <s v="3-6M (short-sleeve)"/>
    <s v="United States"/>
    <s v="Romper Short"/>
    <n v="10"/>
    <n v="41"/>
    <s v="Halloween"/>
    <s v="3-6"/>
    <x v="0"/>
    <m/>
  </r>
  <r>
    <d v="2025-10-11T00:00:00"/>
    <s v="https://www.etsy.com/ca/listing/4330488178/new-to-the-club-embroidered-baby-romper?transaction_id=4721084755"/>
    <s v="White"/>
    <s v="White"/>
    <s v=" 0-3M (long-sleeve)"/>
    <s v="United States"/>
    <s v="Romper Longer"/>
    <n v="10"/>
    <n v="41"/>
    <s v="Halloween"/>
    <s v="0-3"/>
    <x v="54"/>
    <m/>
  </r>
  <r>
    <d v="2025-10-12T00:00:00"/>
    <s v="https://www.etsy.com/ca/listing/4352935112/custom-baby-romper-personalized-newborn?transaction_id=4711260624"/>
    <s v="Cream"/>
    <s v="Cream"/>
    <s v=" 0-3M (long-sleeve)"/>
    <s v="United States"/>
    <s v="Romper Longer"/>
    <n v="10"/>
    <n v="42"/>
    <s v="Halloween"/>
    <s v="0-3"/>
    <x v="2"/>
    <m/>
  </r>
  <r>
    <d v="2025-10-13T00:00:00"/>
    <s v="https://www.etsy.com/ca/listing/4343130134/funny-golf-baby-bodysuit-im-told-i-like?transaction_id=4711508060"/>
    <s v="Cream"/>
    <s v="Cream"/>
    <s v=" 6-12M (long-sleeve)"/>
    <s v="United States"/>
    <s v="Romper Longer"/>
    <n v="10"/>
    <n v="42"/>
    <s v="Halloween"/>
    <s v="6-12"/>
    <x v="17"/>
    <m/>
  </r>
  <r>
    <d v="2025-10-14T00:00:00"/>
    <s v="https://www.etsy.com/ca/listing/4330488178/new-to-the-club-embroidered-baby-romper?transaction_id=4721426705"/>
    <s v="Cream"/>
    <s v="Cream"/>
    <s v=" 0-3M (short-sleeve)"/>
    <s v="United States"/>
    <s v="Romper Short"/>
    <n v="10"/>
    <n v="42"/>
    <s v="Halloween"/>
    <s v="0-3"/>
    <x v="15"/>
    <m/>
  </r>
  <r>
    <d v="2025-10-15T00:00:00"/>
    <s v="https://www.etsy.com/ca/listing/4347260564/football-baby-romper-game-day-baby?transaction_id=4712091064"/>
    <s v="Cream"/>
    <s v="Cream"/>
    <s v=" 0-3M (long-sleeve)"/>
    <s v="United States"/>
    <s v="Romper Longer"/>
    <n v="10"/>
    <n v="42"/>
    <s v="Halloween"/>
    <s v="0-3"/>
    <x v="2"/>
    <m/>
  </r>
  <r>
    <d v="2025-10-16T00:00:00"/>
    <s v="https://www.etsy.com/ca/listing/4330495722/born-to-birdie-baby-romper-embroidered?transaction_id=4712966894"/>
    <s v="Cream"/>
    <s v="Cream"/>
    <s v=" 0-3M (long-sleeve)"/>
    <s v="United States"/>
    <s v="Romper Longer"/>
    <n v="10"/>
    <n v="42"/>
    <s v="Halloween"/>
    <s v="0-3"/>
    <x v="2"/>
    <m/>
  </r>
  <r>
    <d v="2025-10-17T00:00:00"/>
    <s v="https://www.etsy.com/ca/listing/4344239173/little-pumpkin-baby-romper-fall?transaction_id=4713646560"/>
    <s v="Cream"/>
    <s v="Cream"/>
    <s v=" 0-3M (long-sleeve)"/>
    <s v="United States"/>
    <s v="Romper Longer"/>
    <n v="10"/>
    <n v="42"/>
    <s v="Halloween"/>
    <s v="0-3"/>
    <x v="2"/>
    <m/>
  </r>
  <r>
    <d v="2025-10-18T00:00:00"/>
    <s v="https://www.etsy.com/ca/listing/4336907597/custom-running-baby-romper-daddys-future?transaction_id=4724415087"/>
    <s v="Caldet Blue"/>
    <s v="Caldet Blue"/>
    <s v=" 3-6M (long-sleeve)"/>
    <s v="United States"/>
    <s v="Romper Longer"/>
    <n v="10"/>
    <n v="42"/>
    <s v="Halloween"/>
    <s v="3-6"/>
    <x v="23"/>
    <m/>
  </r>
  <r>
    <d v="2025-10-19T00:00:00"/>
    <s v="https://www.etsy.com/ca/listing/4344239173/little-pumpkin-baby-romper-fall?transaction_id=4715074104"/>
    <s v="Cream"/>
    <s v="Cream"/>
    <s v=" 0-3M (long-sleeve)"/>
    <s v="United States"/>
    <s v="Romper Longer"/>
    <n v="10"/>
    <n v="43"/>
    <s v="Halloween"/>
    <s v="0-3"/>
    <x v="2"/>
    <m/>
  </r>
  <r>
    <d v="2025-10-20T00:00:00"/>
    <s v="https://www.etsy.com/ca/listing/4330488178/new-to-the-club-embroidered-baby-romper?transaction_id=4725500739"/>
    <s v="Sage Green"/>
    <s v="Sage Green"/>
    <s v=" 3-6M (long-sleeve)"/>
    <s v="United States"/>
    <s v="Romper Longer"/>
    <n v="10"/>
    <n v="43"/>
    <s v="Halloween"/>
    <s v="3-6"/>
    <x v="7"/>
    <m/>
  </r>
  <r>
    <d v="2025-06-02T00:00:00"/>
    <s v="https://www.etsy.com/ca/listing/4330488178/new-to-the-club-embroidered-baby-romper?transaction_id=4716057278"/>
    <s v="Cream"/>
    <s v="Cream"/>
    <s v=" 0-3M (long-sleeve)"/>
    <s v="United States"/>
    <s v="Romper Longer"/>
    <n v="6"/>
    <n v="23"/>
    <s v="FathersDay"/>
    <s v="0-3"/>
    <x v="2"/>
    <m/>
  </r>
  <r>
    <d v="2025-06-03T00:00:00"/>
    <s v="https://www.etsy.com/ca/listing/4344235128/new-to-the-hive-baby-romper-embroidered?transaction_id=4726741309"/>
    <s v="Cream"/>
    <s v="Cream"/>
    <s v=" 0-3M (long-sleeve)"/>
    <s v="United States"/>
    <s v="Romper Longer"/>
    <n v="6"/>
    <n v="23"/>
    <s v="FathersDay"/>
    <s v="0-3"/>
    <x v="2"/>
    <m/>
  </r>
  <r>
    <d v="2025-06-04T00:00:00"/>
    <s v="https://www.etsy.com/ca/listing/4346126210/daddys-future-lifting-buddy-romper-baby?transaction_id=4717010522"/>
    <s v="Cream"/>
    <s v="Cream"/>
    <s v=" 0-3M (long-sleeve)"/>
    <s v="United States"/>
    <s v="Romper Longer"/>
    <n v="6"/>
    <n v="23"/>
    <s v="FathersDay"/>
    <s v="0-3"/>
    <x v="2"/>
    <m/>
  </r>
  <r>
    <d v="2025-06-05T00:00:00"/>
    <s v="https://www.etsy.com/ca/listing/4330502784/born-to-play-like-my-daddy-baby-romper?transaction_id=4717400794"/>
    <s v="Cream"/>
    <s v="Cream"/>
    <s v=" 3-6M (long-sleeve)"/>
    <s v="United States"/>
    <s v="Romper Longer"/>
    <n v="6"/>
    <n v="23"/>
    <s v="FathersDay"/>
    <s v="3-6"/>
    <x v="1"/>
    <m/>
  </r>
  <r>
    <d v="2025-06-06T00:00:00"/>
    <s v="https://www.etsy.com/ca/listing/4330488178/new-to-the-club-embroidered-baby-romper?transaction_id=4728275669"/>
    <s v="Cream"/>
    <s v="Cream"/>
    <s v=" 3-6M (long-sleeve)"/>
    <s v="United States"/>
    <s v="Romper Longer"/>
    <n v="6"/>
    <n v="23"/>
    <s v="FathersDay"/>
    <s v="3-6"/>
    <x v="1"/>
    <m/>
  </r>
  <r>
    <d v="2025-06-07T00:00:00"/>
    <s v="https://www.etsy.com/ca/listing/4330485404/cat-face-embroidered-baby-romper-my?transaction_id=4728548465"/>
    <s v="Cream"/>
    <s v="Cream"/>
    <s v=" 3-6M (long-sleeve)"/>
    <s v="United States"/>
    <s v="Romper Longer"/>
    <n v="6"/>
    <n v="23"/>
    <s v="FathersDay"/>
    <s v="3-6"/>
    <x v="1"/>
    <m/>
  </r>
  <r>
    <d v="2025-06-08T00:00:00"/>
    <s v="https://www.etsy.com/ca/listing/4330485404/cat-face-embroidered-baby-romper-my?transaction_id=4728765645"/>
    <s v="Sage Green"/>
    <s v="Sage Green"/>
    <s v=" 3-6M (long-sleeve)"/>
    <s v="United States"/>
    <s v="Romper Longer"/>
    <n v="6"/>
    <n v="24"/>
    <s v="FathersDay"/>
    <s v="3-6"/>
    <x v="7"/>
    <m/>
  </r>
  <r>
    <d v="2025-06-09T00:00:00"/>
    <s v="https://www.etsy.com/ca/listing/4330488178/new-to-the-club-embroidered-baby-romper?transaction_id=4718829522"/>
    <s v="Salmon"/>
    <s v="Salmon"/>
    <s v=" 0-3M (long-sleeve)"/>
    <s v="United States"/>
    <s v="Romper Longer"/>
    <n v="6"/>
    <n v="24"/>
    <s v="FathersDay"/>
    <s v="0-3"/>
    <x v="84"/>
    <m/>
  </r>
  <r>
    <d v="2025-06-10T00:00:00"/>
    <s v="https://www.etsy.com/ca/listing/4330485404/cat-face-embroidered-baby-romper-my?transaction_id=4719162100"/>
    <s v="Cream"/>
    <s v="Cream"/>
    <s v=" 6-12M (long-sleeve)"/>
    <s v="United States"/>
    <s v="Romper Longer"/>
    <n v="6"/>
    <n v="24"/>
    <s v="FathersDay"/>
    <s v="6-12"/>
    <x v="17"/>
    <m/>
  </r>
  <r>
    <d v="2025-06-11T00:00:00"/>
    <s v="https://www.etsy.com/ca/listing/4330492054/cutie-pie-embroidered-baby-outfit-with?transaction_id=4729539663"/>
    <s v="Salmon"/>
    <s v="Salmon"/>
    <s v="12-18M (long-sleeve)"/>
    <s v="United States"/>
    <s v="Romper Longer"/>
    <n v="6"/>
    <n v="24"/>
    <s v="FathersDay"/>
    <s v="12-18"/>
    <x v="103"/>
    <m/>
  </r>
  <r>
    <d v="2025-06-12T00:00:00"/>
    <s v="https://www.etsy.com/ca/listing/4347260564/football-baby-romper-game-day-baby?transaction_id=4719602546"/>
    <s v="Cream"/>
    <s v="Cream"/>
    <s v=" 3-6M (long-sleeve)"/>
    <s v="United States"/>
    <s v="Romper Longer"/>
    <n v="6"/>
    <n v="24"/>
    <s v="FathersDay"/>
    <s v="3-6"/>
    <x v="1"/>
    <m/>
  </r>
  <r>
    <d v="2025-06-13T00:00:00"/>
    <s v="https://www.etsy.com/ca/listing/4343131516/pickleball-baby-bodysuit-pickle-baby?transaction_id=4730557805"/>
    <s v="Forest Green"/>
    <s v="Forest Green"/>
    <s v=" 3-6M (long-sleeve)"/>
    <s v="United States"/>
    <s v="Romper Longer"/>
    <n v="6"/>
    <n v="24"/>
    <s v="FathersDay"/>
    <s v="3-6"/>
    <x v="4"/>
    <m/>
  </r>
  <r>
    <d v="2025-06-14T00:00:00"/>
    <s v="https://www.etsy.com/ca/listing/4330485404/cat-face-embroidered-baby-romper-my?transaction_id=4730800635"/>
    <s v="Cream"/>
    <s v="Cream"/>
    <s v=" 0-3M (long-sleeve)"/>
    <s v="United States"/>
    <s v="Romper Longer"/>
    <n v="6"/>
    <n v="24"/>
    <s v="FathersDay"/>
    <s v="0-3"/>
    <x v="2"/>
    <m/>
  </r>
  <r>
    <d v="2025-06-15T00:00:00"/>
    <s v="https://www.etsy.com/ca/listing/4330504943/born-to-play-like-my-daddy-baby-romper?transaction_id=4731398031"/>
    <s v="Cream"/>
    <s v="Cream"/>
    <s v=" 0-3M (short-sleeve)"/>
    <s v="United States"/>
    <s v="Romper Short"/>
    <n v="6"/>
    <n v="25"/>
    <s v="FathersDay"/>
    <s v="0-3"/>
    <x v="15"/>
    <m/>
  </r>
  <r>
    <d v="2025-06-16T00:00:00"/>
    <s v="https://www.etsy.com/ca/listing/4330488178/new-to-the-club-embroidered-baby-romper?transaction_id=4731421255"/>
    <s v="Dusty Pink"/>
    <s v="Dusty Pink"/>
    <s v=" 3-6M (long-sleeve)"/>
    <m/>
    <s v="Romper Longer"/>
    <n v="6"/>
    <n v="25"/>
    <s v="FathersDay"/>
    <s v="3-6"/>
    <x v="8"/>
    <m/>
  </r>
  <r>
    <d v="2025-06-17T00:00:00"/>
    <s v="https://www.etsy.com/ca/listing/4330485404/cat-face-embroidered-baby-romper-my?transaction_id=4731674167"/>
    <s v="Watermelon"/>
    <s v="Watermelon"/>
    <s v="3-6M (short-sleeve)"/>
    <s v="United States"/>
    <s v="Romper Short"/>
    <n v="6"/>
    <n v="25"/>
    <s v="FathersDay"/>
    <s v="3-6"/>
    <x v="39"/>
    <m/>
  </r>
  <r>
    <d v="2025-06-18T00:00:00"/>
    <s v="https://www.etsy.com/ca/listing/4330485404/cat-face-embroidered-baby-romper-my?transaction_id=4732309845"/>
    <s v="Cream"/>
    <s v="Cream"/>
    <s v=" 0-3M (long-sleeve)"/>
    <s v="United States"/>
    <s v="Romper Longer"/>
    <n v="6"/>
    <n v="25"/>
    <s v="FathersDay"/>
    <s v="0-3"/>
    <x v="2"/>
    <m/>
  </r>
  <r>
    <d v="2025-06-19T00:00:00"/>
    <s v="https://www.etsy.com/ca/listing/4346126210/daddys-future-lifting-buddy-romper-baby?transaction_id=4734850159"/>
    <s v="Sage Green"/>
    <s v="Sage Green"/>
    <s v=" 0-3M (long-sleeve)"/>
    <s v="United States"/>
    <s v="Romper Longer"/>
    <n v="6"/>
    <n v="25"/>
    <s v="FathersDay"/>
    <s v="0-3"/>
    <x v="5"/>
    <m/>
  </r>
  <r>
    <d v="2025-06-20T00:00:00"/>
    <s v="https://www.etsy.com/ca/listing/4330485404/cat-face-embroidered-baby-romper-my?transaction_id=4724122758"/>
    <s v="Cream"/>
    <s v="Cream"/>
    <s v=" 3-6M (long-sleeve)"/>
    <s v="United States"/>
    <s v="Romper Longer"/>
    <n v="6"/>
    <n v="25"/>
    <s v="FathersDay"/>
    <s v="3-6"/>
    <x v="1"/>
    <m/>
  </r>
  <r>
    <d v="2025-06-21T00:00:00"/>
    <s v="https://www.etsy.com/ca/listing/4330485404/cat-face-embroidered-baby-romper-my?transaction_id=4724144604"/>
    <s v="Sage Green"/>
    <s v="Sage Green"/>
    <s v=" 3-6M (long-sleeve)"/>
    <s v="United States"/>
    <s v="Romper Longer"/>
    <n v="6"/>
    <n v="25"/>
    <s v="FathersDay"/>
    <s v="3-6"/>
    <x v="7"/>
    <m/>
  </r>
  <r>
    <d v="2025-06-22T00:00:00"/>
    <s v="https://www.etsy.com/ca/listing/4336907597/custom-running-baby-romper-daddys-future?transaction_id=4724182078"/>
    <s v="Watermelon"/>
    <s v="Watermelon"/>
    <s v="3-6M (short-sleeve)"/>
    <s v="United States"/>
    <s v="Romper Short"/>
    <n v="6"/>
    <n v="26"/>
    <s v="FathersDay"/>
    <s v="3-6"/>
    <x v="39"/>
    <m/>
  </r>
  <r>
    <d v="2025-06-23T00:00:00"/>
    <s v="https://www.etsy.com/ca/listing/4330485404/cat-face-embroidered-baby-romper-my?transaction_id=4735335509"/>
    <s v="Dusty Pink"/>
    <s v="Dusty Pink"/>
    <s v=" 0-3M (short-sleeve)"/>
    <s v="United States"/>
    <s v="Romper Short"/>
    <n v="6"/>
    <n v="26"/>
    <s v="FathersDay"/>
    <s v="0-3"/>
    <x v="34"/>
    <m/>
  </r>
  <r>
    <d v="2025-06-24T00:00:00"/>
    <s v="https://www.etsy.com/ca/listing/4330488178/new-to-the-club-embroidered-baby-romper?transaction_id=4736192207"/>
    <s v="White"/>
    <s v="White"/>
    <s v=" 3-6M (long-sleeve)"/>
    <s v="United States"/>
    <s v="Romper Longer"/>
    <n v="6"/>
    <n v="26"/>
    <s v="FathersDay"/>
    <s v="3-6"/>
    <x v="70"/>
    <m/>
  </r>
  <r>
    <d v="2025-06-25T00:00:00"/>
    <s v="https://www.etsy.com/ca/listing/4347260564/football-baby-romper-game-day-baby?transaction_id=4725488854"/>
    <s v="Cream"/>
    <s v="Cream"/>
    <s v=" 0-3M (long-sleeve)"/>
    <s v="United States"/>
    <s v="Romper Longer"/>
    <n v="6"/>
    <n v="26"/>
    <s v="FathersDay"/>
    <s v="0-3"/>
    <x v="2"/>
    <m/>
  </r>
  <r>
    <d v="2025-06-26T00:00:00"/>
    <s v="https://www.etsy.com/ca/listing/4330488178/new-to-the-club-embroidered-baby-romper?transaction_id=4725633012"/>
    <s v="Cream"/>
    <s v="Cream"/>
    <s v=" 0-3M (long-sleeve)"/>
    <s v="United States"/>
    <s v="Romper Longer"/>
    <n v="6"/>
    <n v="26"/>
    <s v="FathersDay"/>
    <s v="0-3"/>
    <x v="2"/>
    <m/>
  </r>
  <r>
    <d v="2025-06-27T00:00:00"/>
    <s v="https://www.etsy.com/ca/listing/4330485404/cat-face-embroidered-baby-romper-my?transaction_id=4726092968"/>
    <s v="Caldet Blue"/>
    <s v="Caldet Blue"/>
    <s v="3-6M (short-sleeve)"/>
    <s v="United States"/>
    <s v="Romper Short"/>
    <n v="6"/>
    <n v="26"/>
    <s v="FathersDay"/>
    <s v="3-6"/>
    <x v="29"/>
    <m/>
  </r>
  <r>
    <d v="2025-06-28T00:00:00"/>
    <s v="https://www.etsy.com/ca/listing/4330478867/personalized-hippo-baby-bodysuit?transaction_id=4726439578"/>
    <s v="Cream"/>
    <s v="Cream"/>
    <s v=" 0-3M (long-sleeve)"/>
    <s v="United States"/>
    <s v="Romper Longer"/>
    <n v="6"/>
    <n v="26"/>
    <s v="FathersDay"/>
    <s v="0-3"/>
    <x v="2"/>
    <m/>
  </r>
  <r>
    <d v="2025-06-29T00:00:00"/>
    <s v="https://www.etsy.com/ca/listing/4330504943/born-to-play-like-my-daddy-baby-romper?transaction_id=4737554703"/>
    <s v="Cream"/>
    <s v="Cream"/>
    <s v=" 0-3M (long-sleeve)"/>
    <s v="United States"/>
    <s v="Romper Longer"/>
    <n v="6"/>
    <n v="27"/>
    <s v="FathersDay"/>
    <s v="0-3"/>
    <x v="2"/>
    <m/>
  </r>
  <r>
    <d v="2025-06-30T00:00:00"/>
    <s v="https://www.etsy.com/ca/listing/4336907597/custom-running-baby-romper-daddys-future?transaction_id=4738334005"/>
    <s v="White"/>
    <s v="White"/>
    <s v=" 0-3M (short-sleeve)"/>
    <s v="United States"/>
    <s v="Romper Short"/>
    <n v="6"/>
    <n v="27"/>
    <s v="FathersDay"/>
    <s v="0-3"/>
    <x v="21"/>
    <m/>
  </r>
  <r>
    <d v="2025-07-01T00:00:00"/>
    <s v="https://www.etsy.com/ca/listing/4330485404/cat-face-embroidered-baby-romper-my?transaction_id=4738455053"/>
    <s v="Cream"/>
    <s v="Cream"/>
    <s v=" 0-3M (long-sleeve)"/>
    <s v="United States"/>
    <s v="Romper Longer"/>
    <n v="7"/>
    <n v="27"/>
    <s v="Summer"/>
    <s v="0-3"/>
    <x v="2"/>
    <m/>
  </r>
  <r>
    <d v="2025-07-02T00:00:00"/>
    <s v="https://www.etsy.com/ca/listing/4333134764/wizard-font-baby-romper-personalized?transaction_id=4727601538"/>
    <s v="Cream"/>
    <s v="Cream"/>
    <s v=" 0-3M (long-sleeve)"/>
    <s v="United States"/>
    <s v="Romper Longer"/>
    <n v="7"/>
    <n v="27"/>
    <s v="Summer"/>
    <s v="0-3"/>
    <x v="2"/>
    <m/>
  </r>
  <r>
    <d v="2025-07-03T00:00:00"/>
    <s v="https://www.etsy.com/ca/listing/4330485404/cat-face-embroidered-baby-romper-my?transaction_id=4728273438"/>
    <s v="Caldet Blue"/>
    <s v="Caldet Blue"/>
    <s v="3-6M (short-sleeve)"/>
    <s v="United States"/>
    <s v="Romper Short"/>
    <n v="7"/>
    <n v="27"/>
    <s v="Summer"/>
    <s v="3-6"/>
    <x v="29"/>
    <m/>
  </r>
  <r>
    <d v="2025-07-04T00:00:00"/>
    <s v="https://www.etsy.com/ca/listing/4336903235/personalized-tennis-baby-romper-daddys?transaction_id=4739653163"/>
    <s v="Cream"/>
    <s v="Cream"/>
    <s v=" 3-6M (long-sleeve)"/>
    <s v="United States"/>
    <s v="Romper Longer"/>
    <n v="7"/>
    <n v="27"/>
    <s v="Summer"/>
    <s v="3-6"/>
    <x v="1"/>
    <m/>
  </r>
  <r>
    <d v="2025-07-05T00:00:00"/>
    <s v="https://www.etsy.com/ca/listing/4344232490/freshly-brewed-baby-bodysuit-cute-coffee?transaction_id=4739795933"/>
    <s v="Cream"/>
    <s v="Cream"/>
    <s v="12-18M (long-sleeve)"/>
    <s v="United States"/>
    <s v="Romper Longer"/>
    <n v="7"/>
    <n v="27"/>
    <s v="Summer"/>
    <s v="12-18"/>
    <x v="53"/>
    <m/>
  </r>
  <r>
    <d v="2025-07-06T00:00:00"/>
    <s v="https://www.etsy.com/ca/listing/4344237213/mamas-coffee-date-baby-bodysuit-funny?transaction_id=4739795931"/>
    <s v="Mauve Taupe"/>
    <s v="Mauve Taupe"/>
    <s v="12-18M (long-sleeve)"/>
    <s v="United States"/>
    <s v="Romper Longer"/>
    <n v="7"/>
    <n v="28"/>
    <s v="Summer"/>
    <s v="12-18"/>
    <x v="104"/>
    <m/>
  </r>
  <r>
    <d v="2025-07-07T00:00:00"/>
    <s v="https://www.etsy.com/ca/listing/4347885744/turtley-awesome-baby-romper-turtle?transaction_id=4728825382"/>
    <s v="Caldet Blue"/>
    <s v="Caldet Blue"/>
    <s v="12-18M (long-sleeve)"/>
    <s v="United States"/>
    <s v="Romper Longer"/>
    <n v="7"/>
    <n v="28"/>
    <s v="Summer"/>
    <s v="12-18"/>
    <x v="60"/>
    <m/>
  </r>
  <r>
    <d v="2025-07-08T00:00:00"/>
    <s v="https://www.etsy.com/ca/listing/4344237213/mamas-coffee-date-baby-bodysuit-funny?transaction_id=4728825380"/>
    <s v="Sage Green"/>
    <s v="Sage Green"/>
    <s v="12-18M (long-sleeve)"/>
    <s v="United States"/>
    <s v="Romper Longer"/>
    <n v="7"/>
    <n v="28"/>
    <s v="Summer"/>
    <s v="12-18"/>
    <x v="22"/>
    <m/>
  </r>
  <r>
    <d v="2025-07-09T00:00:00"/>
    <s v="https://www.etsy.com/ca/listing/4352935112/custom-baby-romper-personalized-newborn?transaction_id=4739949575"/>
    <s v="Cream"/>
    <s v="Cream"/>
    <s v=" 0-3M (long-sleeve)"/>
    <s v="United States"/>
    <s v="Romper Longer"/>
    <n v="7"/>
    <n v="28"/>
    <s v="Summer"/>
    <s v="0-3"/>
    <x v="2"/>
    <m/>
  </r>
  <r>
    <d v="2025-07-10T00:00:00"/>
    <s v="https://www.etsy.com/ca/listing/4330504943/born-to-play-like-my-daddy-baby-romper?transaction_id=4740247833"/>
    <s v="Cream"/>
    <s v="Cream"/>
    <s v="6-12M (short-sleeve)"/>
    <s v="United States"/>
    <s v="Romper Short"/>
    <n v="7"/>
    <n v="28"/>
    <s v="Summer"/>
    <s v="6-12"/>
    <x v="47"/>
    <m/>
  </r>
  <r>
    <d v="2025-07-11T00:00:00"/>
    <s v="https://www.etsy.com/ca/listing/4333134764/wizard-font-baby-romper-personalized?transaction_id=47293017988"/>
    <s v="Caldet Blue"/>
    <s v="Caldet Blue"/>
    <s v=" 0-3M (long-sleeve)"/>
    <s v="United States"/>
    <s v="Romper Longer"/>
    <n v="7"/>
    <n v="28"/>
    <s v="Summer"/>
    <s v="0-3"/>
    <x v="9"/>
    <m/>
  </r>
  <r>
    <d v="2025-07-12T00:00:00"/>
    <s v="https://www.etsy.com/ca/listing/4330488178/new-to-the-club-embroidered-baby-romper?transaction_id=4740498811"/>
    <s v="Cream"/>
    <s v="Cream"/>
    <s v=" 3-6M (long-sleeve)"/>
    <s v="United States"/>
    <s v="Romper Longer"/>
    <n v="7"/>
    <n v="28"/>
    <s v="Summer"/>
    <s v="3-6"/>
    <x v="1"/>
    <m/>
  </r>
  <r>
    <d v="2025-07-13T00:00:00"/>
    <s v="https://www.etsy.com/ca/listing/4330504943/born-to-play-like-my-daddy-baby-romper?transaction_id=4741109053"/>
    <s v="Cream"/>
    <s v="Cream"/>
    <s v="3-6M (short-sleeve)"/>
    <s v="United States"/>
    <s v="Romper Short"/>
    <n v="7"/>
    <n v="29"/>
    <s v="Summer"/>
    <s v="3-6"/>
    <x v="0"/>
    <m/>
  </r>
  <r>
    <d v="2025-07-14T00:00:00"/>
    <s v="https://www.etsy.com/ca/listing/4330485404/cat-face-embroidered-baby-romper-my?transaction_id=4741265621"/>
    <s v="Salmon"/>
    <s v="Salmon"/>
    <s v="6-12M (short-sleeve)"/>
    <s v="United States"/>
    <s v="Romper Short"/>
    <n v="7"/>
    <n v="29"/>
    <s v="Summer"/>
    <s v="6-12"/>
    <x v="102"/>
    <m/>
  </r>
  <r>
    <d v="2025-07-15T00:00:00"/>
    <s v="https://www.etsy.com/ca/listing/4344235128/new-to-the-hive-baby-romper-embroidered?transaction_id=4730370306"/>
    <s v="Salmon"/>
    <s v="Salmon"/>
    <s v=" 0-3M (long-sleeve)"/>
    <s v="United States"/>
    <s v="Romper Longer"/>
    <n v="7"/>
    <n v="29"/>
    <s v="Summer"/>
    <s v="0-3"/>
    <x v="84"/>
    <m/>
  </r>
  <r>
    <d v="2025-07-16T00:00:00"/>
    <s v="https://www.etsy.com/ca/listing/4330485404/cat-face-embroidered-baby-romper-my?transaction_id=4741366103"/>
    <s v="Cream"/>
    <s v="Cream"/>
    <s v=" 3-6M (long-sleeve)"/>
    <s v="United States"/>
    <s v="Romper Longer"/>
    <n v="7"/>
    <n v="29"/>
    <s v="Summer"/>
    <s v="3-6"/>
    <x v="1"/>
    <m/>
  </r>
  <r>
    <d v="2025-07-17T00:00:00"/>
    <s v="https://www.etsy.com/ca/listing/4330485404/cat-face-embroidered-baby-romper-my?transaction_id=4741423091"/>
    <s v="Cream"/>
    <s v="Cream"/>
    <s v="3-6M (short-sleeve)"/>
    <s v="United States"/>
    <s v="Romper Short"/>
    <n v="7"/>
    <n v="29"/>
    <s v="Summer"/>
    <s v="3-6"/>
    <x v="0"/>
    <m/>
  </r>
  <r>
    <d v="2025-07-18T00:00:00"/>
    <s v="https://www.etsy.com/ca/listing/4330485404/cat-face-embroidered-baby-romper-my?transaction_id=4730486742"/>
    <s v="Dusty Pink"/>
    <s v="Dusty Pink"/>
    <s v=" 3-6M (long-sleeve)"/>
    <s v="United States"/>
    <s v="Romper Longer"/>
    <n v="7"/>
    <n v="29"/>
    <s v="Summer"/>
    <s v="3-6"/>
    <x v="8"/>
    <m/>
  </r>
  <r>
    <d v="2025-07-19T00:00:00"/>
    <s v="https://www.etsy.com/ca/listing/4346126210/daddys-future-lifting-buddy-romper-baby?transaction_id=4741659311"/>
    <s v="Coffee"/>
    <s v="Coffee"/>
    <s v=" 3-6M (long-sleeve)"/>
    <s v="United States"/>
    <s v="Romper Longer"/>
    <n v="7"/>
    <n v="29"/>
    <s v="Summer"/>
    <s v="3-6"/>
    <x v="12"/>
    <m/>
  </r>
  <r>
    <d v="2025-07-20T00:00:00"/>
    <s v="https://www.etsy.com/ca/listing/4333134764/wizard-font-baby-romper-personalized?transaction_id=4742562083"/>
    <s v="Cream"/>
    <s v="Cream"/>
    <s v=" 6-12M (long-sleeve)"/>
    <s v="United States"/>
    <s v="Romper Longer"/>
    <n v="7"/>
    <n v="30"/>
    <s v="Summer"/>
    <s v="6-12"/>
    <x v="17"/>
    <m/>
  </r>
  <r>
    <d v="2025-07-21T00:00:00"/>
    <s v="https://www.etsy.com/ca/listing/4330504943/born-to-play-like-my-daddy-baby-romper?transaction_id=4742679045"/>
    <s v="Cream"/>
    <s v="Cream"/>
    <s v=" 6-12M (long-sleeve)"/>
    <s v="United States"/>
    <s v="Romper Longer"/>
    <n v="7"/>
    <n v="30"/>
    <s v="Summer"/>
    <s v="6-12"/>
    <x v="17"/>
    <m/>
  </r>
  <r>
    <d v="2025-07-22T00:00:00"/>
    <s v="https://www.etsy.com/ca/listing/4330485404/cat-face-embroidered-baby-romper-my?transaction_id=4742843379"/>
    <s v="Cream"/>
    <s v="Cream"/>
    <s v="6-12M (short-sleeve)"/>
    <s v="United States"/>
    <s v="Romper Short"/>
    <n v="7"/>
    <n v="30"/>
    <s v="Summer"/>
    <s v="6-12"/>
    <x v="47"/>
    <m/>
  </r>
  <r>
    <d v="2025-07-23T00:00:00"/>
    <s v="https://www.etsy.com/ca/listing/4333134764/wizard-font-baby-romper-personalized?transaction_id=47435381299"/>
    <s v="Caldet Blue"/>
    <s v="Caldet Blue"/>
    <s v=" 0-3M (long-sleeve)"/>
    <s v="United States"/>
    <s v="Romper Longer"/>
    <n v="7"/>
    <n v="30"/>
    <s v="Summer"/>
    <s v="0-3"/>
    <x v="9"/>
    <m/>
  </r>
  <r>
    <d v="2025-07-24T00:00:00"/>
    <s v="https://www.etsy.com/ca/listing/4330488178/new-to-the-club-embroidered-baby-romper?transaction_id=4733079140"/>
    <s v="Cream"/>
    <s v="Cream"/>
    <s v=" 0-3M (long-sleeve)"/>
    <s v="United States"/>
    <s v="Romper Longer"/>
    <n v="7"/>
    <n v="30"/>
    <s v="Summer"/>
    <s v="0-3"/>
    <x v="2"/>
    <m/>
  </r>
  <r>
    <d v="2025-07-25T00:00:00"/>
    <s v="https://www.etsy.com/ca/listing/4330485404/cat-face-embroidered-baby-romper-my?transaction_id=4744178867"/>
    <s v="Cream"/>
    <s v="Cream"/>
    <s v="3-6M (short-sleeve)"/>
    <s v="United States"/>
    <s v="Romper Short"/>
    <n v="7"/>
    <n v="30"/>
    <s v="Summer"/>
    <s v="3-6"/>
    <x v="0"/>
    <m/>
  </r>
  <r>
    <d v="2025-07-26T00:00:00"/>
    <s v="https://www.etsy.com/ca/listing/4330488178/new-to-the-club-embroidered-baby-romper?transaction_id=4744726063"/>
    <s v="Cream"/>
    <s v="Cream"/>
    <s v="3-6M (short-sleeve)"/>
    <s v="United States"/>
    <s v="Romper Short"/>
    <n v="7"/>
    <n v="30"/>
    <s v="Summer"/>
    <s v="3-6"/>
    <x v="0"/>
    <m/>
  </r>
  <r>
    <d v="2025-07-27T00:00:00"/>
    <s v="https://www.etsy.com/ca/listing/4330488178/new-to-the-club-embroidered-baby-romper?transaction_id=4734032216"/>
    <s v="Cream"/>
    <s v="Cream"/>
    <s v=" 0-3M (long-sleeve)"/>
    <s v="United States"/>
    <s v="Romper Longer"/>
    <n v="7"/>
    <n v="31"/>
    <s v="Summer"/>
    <s v="0-3"/>
    <x v="2"/>
    <m/>
  </r>
  <r>
    <d v="2025-07-28T00:00:00"/>
    <s v="https://www.etsy.com/ca/listing/4343127890/funny-baby-bodysuit-daddys-best-shot?transaction_id=4744905523"/>
    <s v="Cream"/>
    <s v="Cream"/>
    <s v=" 0-3M (long-sleeve)"/>
    <s v="United States"/>
    <s v="Romper Longer"/>
    <n v="7"/>
    <n v="31"/>
    <s v="Summer"/>
    <s v="0-3"/>
    <x v="2"/>
    <m/>
  </r>
  <r>
    <d v="2025-07-29T00:00:00"/>
    <s v="https://www.etsy.com/ca/listing/4330479964/personalized-fox-baby-bodysuit?transaction_id=4744914049"/>
    <s v="Forest Green"/>
    <s v="Forest Green"/>
    <s v=" 6-12M (long-sleeve)"/>
    <s v="United States"/>
    <s v="Romper Longer"/>
    <n v="7"/>
    <n v="31"/>
    <s v="Summer"/>
    <s v="6-12"/>
    <x v="30"/>
    <m/>
  </r>
  <r>
    <d v="2025-07-30T00:00:00"/>
    <s v="https://www.etsy.com/ca/listing/4330488178/new-to-the-club-embroidered-baby-romper?transaction_id=4725500739"/>
    <s v="Cream"/>
    <s v="Cream"/>
    <s v=" 3-6M (long-sleeve)"/>
    <s v="United States"/>
    <s v="Romper Longer"/>
    <n v="7"/>
    <n v="31"/>
    <s v="Summer"/>
    <s v="3-6"/>
    <x v="1"/>
    <m/>
  </r>
  <r>
    <d v="2025-07-31T00:00:00"/>
    <s v="https://www.etsy.com/ca/listing/4351828361/i-may-be-small-but-im-the-boss-baby?transaction_id=4734579254"/>
    <s v="Cream"/>
    <s v="Cream"/>
    <s v=" 0-3M (short-sleeve)"/>
    <s v="United States"/>
    <s v="Romper Short"/>
    <n v="7"/>
    <n v="31"/>
    <s v="Summer"/>
    <s v="0-3"/>
    <x v="15"/>
    <m/>
  </r>
  <r>
    <d v="2025-08-01T00:00:00"/>
    <s v="https://www.etsy.com/ca/listing/4346126210/daddys-future-lifting-buddy-romper-baby?transaction_id=4745878719"/>
    <s v="Cream"/>
    <s v="Cream"/>
    <s v=" 3-6M (long-sleeve)"/>
    <s v="United States"/>
    <s v="Romper Longer"/>
    <n v="8"/>
    <n v="31"/>
    <s v="Summer"/>
    <s v="3-6"/>
    <x v="1"/>
    <m/>
  </r>
  <r>
    <d v="2025-08-02T00:00:00"/>
    <s v="https://www.etsy.com/ca/listing/4330485404/cat-face-embroidered-baby-romper-my?transaction_id=4735176312"/>
    <s v="Cream"/>
    <s v="Cream"/>
    <s v=" 3-6M (long-sleeve)"/>
    <s v="United States"/>
    <s v="Romper Longer"/>
    <n v="8"/>
    <n v="31"/>
    <s v="Summer"/>
    <s v="3-6"/>
    <x v="1"/>
    <m/>
  </r>
  <r>
    <d v="2025-08-03T00:00:00"/>
    <s v="https://www.etsy.com/ca/listing/4330488178/new-to-the-club-embroidered-baby-romper?transaction_id=4735259992"/>
    <s v="Cream"/>
    <s v="Cream"/>
    <s v=" 3-6M (long-sleeve)"/>
    <s v="United States"/>
    <s v="Romper Longer"/>
    <n v="8"/>
    <n v="32"/>
    <s v="Summer"/>
    <s v="3-6"/>
    <x v="1"/>
    <m/>
  </r>
  <r>
    <d v="2025-08-04T00:00:00"/>
    <s v="https://www.etsy.com/ca/listing/4330485404/cat-face-embroidered-baby-romper-my?transaction_id=4735363162"/>
    <s v="Dusty Pink"/>
    <s v="Dusty Pink"/>
    <s v=" 0-3M (long-sleeve)"/>
    <s v="United States"/>
    <s v="Romper Longer"/>
    <n v="8"/>
    <n v="32"/>
    <s v="Summer"/>
    <s v="0-3"/>
    <x v="45"/>
    <m/>
  </r>
  <r>
    <d v="2025-08-05T00:00:00"/>
    <s v="https://www.etsy.com/ca/listing/4330485404/cat-face-embroidered-baby-romper-my?transaction_id=4735363162"/>
    <s v="Forest Green"/>
    <s v="Forest Green"/>
    <s v=" 3-6M (long-sleeve)"/>
    <s v="United States"/>
    <s v="Romper Longer"/>
    <n v="8"/>
    <n v="32"/>
    <s v="Summer"/>
    <s v="3-6"/>
    <x v="4"/>
    <m/>
  </r>
  <r>
    <d v="2025-08-06T00:00:00"/>
    <s v="https://www.etsy.com/ca/listing/4330488178/new-to-the-club-embroidered-baby-romper?transaction_id=4746834159"/>
    <s v="Cream"/>
    <s v="Cream"/>
    <s v=" 0-3M (short-sleeve)"/>
    <s v="United States"/>
    <s v="Romper Short"/>
    <n v="8"/>
    <n v="32"/>
    <s v="Summer"/>
    <s v="0-3"/>
    <x v="15"/>
    <m/>
  </r>
  <r>
    <d v="2025-08-07T00:00:00"/>
    <s v="https://www.etsy.com/ca/listing/4347260564/football-baby-romper-game-day-baby?transaction_id=4736149260"/>
    <s v="Cream"/>
    <s v="Cream"/>
    <s v=" 0-3M (long-sleeve)"/>
    <s v="United States"/>
    <s v="Romper Longer"/>
    <n v="8"/>
    <n v="32"/>
    <s v="Summer"/>
    <s v="0-3"/>
    <x v="2"/>
    <m/>
  </r>
  <r>
    <d v="2025-08-08T00:00:00"/>
    <s v="https://www.etsy.com/ca/listing/4351832735/pretty-eyes-chubby-thighs-baby-romper?transaction_id=4747103845"/>
    <s v="Caldet Blue"/>
    <s v="Caldet Blue"/>
    <s v=" 6-12M (long-sleeve)"/>
    <s v="United States"/>
    <s v="Romper Longer"/>
    <n v="8"/>
    <n v="32"/>
    <s v="Summer"/>
    <s v="6-12"/>
    <x v="25"/>
    <m/>
  </r>
  <r>
    <d v="2025-08-09T00:00:00"/>
    <s v="https://www.etsy.com/ca/listing/4347890281/little-pumpkin-baby-romper-fall-baby?transaction_id=4747103843"/>
    <s v="Mauve Taupe"/>
    <s v="Mauve Taupe"/>
    <s v=" 6-12M (long-sleeve)"/>
    <s v="United States"/>
    <s v="Romper Longer"/>
    <n v="8"/>
    <n v="32"/>
    <s v="Summer"/>
    <s v="6-12"/>
    <x v="85"/>
    <m/>
  </r>
  <r>
    <d v="2025-08-10T00:00:00"/>
    <s v="https://www.etsy.com/ca/listing/4343130134/funny-golf-baby-bodysuit-im-told-i-like?transaction_id=4736174952"/>
    <s v="Dusty Pink"/>
    <s v="Dusty Pink"/>
    <s v=" 6-12M (long-sleeve)"/>
    <s v="United States"/>
    <s v="Romper Longer"/>
    <n v="8"/>
    <n v="33"/>
    <s v="Summer"/>
    <s v="6-12"/>
    <x v="51"/>
    <m/>
  </r>
  <r>
    <d v="2025-11-11T00:00:00"/>
    <s v="https://www.etsy.com/ca/listing/4330485404/cat-face-embroidered-baby-romper-my?transaction_id=4747240577"/>
    <s v="Cream"/>
    <s v="Cream"/>
    <s v=" 0-3M (long-sleeve)"/>
    <s v="United States"/>
    <s v="Romper Longer"/>
    <n v="11"/>
    <n v="46"/>
    <s v="Christmas"/>
    <s v="0-3"/>
    <x v="2"/>
    <m/>
  </r>
  <r>
    <d v="2025-11-12T00:00:00"/>
    <s v="https://www.etsy.com/ca/listing/4330485404/cat-face-embroidered-baby-romper-my?transaction_id=4748190737"/>
    <s v="Cream"/>
    <s v="Cream"/>
    <s v=" 6-12M (long-sleeve)"/>
    <s v="United States"/>
    <s v="Romper Longer"/>
    <n v="11"/>
    <n v="46"/>
    <s v="Christmas"/>
    <s v="6-12"/>
    <x v="17"/>
    <m/>
  </r>
  <r>
    <d v="2025-11-13T00:00:00"/>
    <s v="https://www.etsy.com/ca/listing/4346126210/daddys-future-lifting-buddy-romper-baby?transaction_id=4737423808"/>
    <s v="Cream"/>
    <s v="Cream"/>
    <s v=" 6-12M (long-sleeve)"/>
    <s v="United States"/>
    <s v="Romper Longer"/>
    <n v="11"/>
    <n v="46"/>
    <s v="Christmas"/>
    <s v="6-12"/>
    <x v="17"/>
    <m/>
  </r>
  <r>
    <d v="2025-11-14T00:00:00"/>
    <s v="https://www.etsy.com/ca/listing/4330495722/born-to-birdie-baby-romper-embroidered?transaction_id=4737448014"/>
    <s v="Forest Green"/>
    <s v="Forest Green"/>
    <s v=" 0-3M (long-sleeve)"/>
    <s v="United States"/>
    <s v="Romper Longer"/>
    <n v="11"/>
    <n v="46"/>
    <s v="Christmas"/>
    <s v="0-3"/>
    <x v="41"/>
    <m/>
  </r>
  <r>
    <d v="2025-11-15T00:00:00"/>
    <s v="https://www.etsy.com/ca/listing/4330504943/born-to-play-like-my-daddy-baby-romper?transaction_id=4737522240"/>
    <s v="Cream"/>
    <s v="Cream"/>
    <s v=" 0-3M (long-sleeve)"/>
    <s v="United States"/>
    <s v="Romper Longer"/>
    <n v="11"/>
    <n v="46"/>
    <s v="Christmas"/>
    <s v="0-3"/>
    <x v="2"/>
    <m/>
  </r>
  <r>
    <d v="2025-11-16T00:00:00"/>
    <s v="https://www.etsy.com/ca/listing/4347885967/gigis-bestie-baby-bodysuit-baby-shower?transaction_id=4738152312"/>
    <s v="Watermelon"/>
    <s v="Watermelon"/>
    <s v=" 3-6M (long-sleeve)"/>
    <s v="United States"/>
    <s v="Romper Longer"/>
    <n v="11"/>
    <n v="47"/>
    <s v="Christmas"/>
    <s v="3-6"/>
    <x v="20"/>
    <m/>
  </r>
  <r>
    <d v="2025-11-17T00:00:00"/>
    <s v="https://www.etsy.com/ca/listing/4330485404/cat-face-embroidered-baby-romper-my?transaction_id=4738243648"/>
    <s v="Cream"/>
    <s v="Cream"/>
    <s v=" 0-3M (long-sleeve)"/>
    <s v="United States"/>
    <s v="Romper Longer"/>
    <n v="11"/>
    <n v="47"/>
    <s v="Christmas"/>
    <s v="0-3"/>
    <x v="2"/>
    <m/>
  </r>
  <r>
    <d v="2025-11-18T00:00:00"/>
    <s v="https://www.etsy.com/ca/listing/4333134764/wizard-font-baby-romper-personalized?transaction_id=4738292264"/>
    <s v="Forest Green"/>
    <s v="Forest Green"/>
    <s v="12-18M (long-sleeve)"/>
    <s v="United States"/>
    <s v="Romper Longer"/>
    <n v="11"/>
    <n v="47"/>
    <s v="Christmas"/>
    <s v="12-18"/>
    <x v="37"/>
    <m/>
  </r>
  <r>
    <d v="2025-11-19T00:00:00"/>
    <s v="https://www.etsy.com/ca/listing/4344239173/little-pumpkin-baby-romper-fall?transaction_id=4738529150"/>
    <s v="Cream"/>
    <s v="Cream"/>
    <s v="3-6M (short-sleeve)"/>
    <s v="United States"/>
    <s v="Romper Short"/>
    <n v="11"/>
    <n v="47"/>
    <s v="Christmas"/>
    <s v="3-6"/>
    <x v="0"/>
    <m/>
  </r>
  <r>
    <d v="2025-11-20T00:00:00"/>
    <s v="https://www.etsy.com/ca/listing/4330504943/born-to-play-like-my-daddy-baby-romper?transaction_id=4749714751"/>
    <s v="Cream"/>
    <s v="Cream"/>
    <s v=" 6-12M (long-sleeve)"/>
    <s v="United States"/>
    <s v="Romper Longer"/>
    <n v="11"/>
    <n v="47"/>
    <s v="Christmas"/>
    <s v="6-12"/>
    <x v="17"/>
    <m/>
  </r>
  <r>
    <d v="2025-11-21T00:00:00"/>
    <s v="https://www.etsy.com/ca/listing/4330477824/personalized-baby-bodysuit-with?transaction_id=4738824442"/>
    <s v="Cream"/>
    <s v="Cream"/>
    <s v=" 3-6M (long-sleeve)"/>
    <s v="United States"/>
    <s v="Romper Longer"/>
    <n v="11"/>
    <n v="47"/>
    <s v="Christmas"/>
    <s v="3-6"/>
    <x v="1"/>
    <m/>
  </r>
  <r>
    <d v="2025-11-22T00:00:00"/>
    <s v="https://www.etsy.com/ca/listing/4330485404/cat-face-embroidered-baby-romper-my?transaction_id=4739617230"/>
    <s v="Sage Green"/>
    <s v="Sage Green"/>
    <s v="6-12M (short-sleeve)"/>
    <s v="United States"/>
    <s v="Romper Short"/>
    <n v="11"/>
    <n v="47"/>
    <s v="Christmas"/>
    <s v="6-12"/>
    <x v="19"/>
    <m/>
  </r>
  <r>
    <d v="2025-11-23T00:00:00"/>
    <s v="https://www.etsy.com/ca/listing/4333134764/wizard-font-baby-romper-personalized?transaction_id=4740746026"/>
    <s v="Coffee"/>
    <s v="Coffee"/>
    <s v="12-18M (short-sleeve)"/>
    <s v="United States"/>
    <s v="Romper Short"/>
    <n v="11"/>
    <n v="48"/>
    <s v="Christmas"/>
    <s v="12-18"/>
    <x v="97"/>
    <m/>
  </r>
  <r>
    <d v="2025-11-24T00:00:00"/>
    <s v="https://www.etsy.com/ca/listing/4369764524/embroidered-snowman-baby-romper?transaction_id=4740766156"/>
    <s v="White"/>
    <s v="White"/>
    <s v=" 6-12M (long-sleeve)"/>
    <s v="United States"/>
    <s v="Romper Longer"/>
    <n v="11"/>
    <n v="48"/>
    <s v="Christmas"/>
    <s v="6-12"/>
    <x v="46"/>
    <m/>
  </r>
  <r>
    <d v="2025-11-25T00:00:00"/>
    <s v="https://www.etsy.com/ca/listing/4372357398/personalized-hunting-baby-romper-custom?transaction_id=4740914372"/>
    <s v="Forest Green"/>
    <s v="Forest Green"/>
    <s v=" 0-3M (long-sleeve)"/>
    <s v="United States"/>
    <s v="Romper Longer"/>
    <n v="11"/>
    <n v="48"/>
    <s v="Christmas"/>
    <s v="0-3"/>
    <x v="41"/>
    <m/>
  </r>
  <r>
    <d v="2025-11-26T00:00:00"/>
    <s v="https://www.etsy.com/ca/listing/4347260564/football-baby-romper-game-day-baby?transaction_id=4752536225"/>
    <s v="Cream"/>
    <s v="Cream"/>
    <s v=" 0-3M (long-sleeve)"/>
    <s v="United States"/>
    <s v="Romper Longer"/>
    <n v="11"/>
    <n v="48"/>
    <s v="Christmas"/>
    <s v="0-3"/>
    <x v="2"/>
    <m/>
  </r>
  <r>
    <d v="2025-11-27T00:00:00"/>
    <s v="https://www.etsy.com/ca/listing/4330504943/born-to-play-like-my-daddy-baby-romper?transaction_id=4742308982"/>
    <s v="Cream"/>
    <s v="Cream"/>
    <s v="6-12M (short-sleeve)"/>
    <s v="United States"/>
    <s v="Romper Short"/>
    <n v="11"/>
    <n v="48"/>
    <s v="Christmas"/>
    <s v="6-12"/>
    <x v="47"/>
    <m/>
  </r>
  <r>
    <d v="2025-11-28T00:00:00"/>
    <s v="https://www.etsy.com/ca/listing/4330504943/born-to-play-like-my-daddy-baby-romper?transaction_id=4753374241"/>
    <s v="Cream"/>
    <s v="Cream"/>
    <s v=" 0-3M (short-sleeve)"/>
    <s v="United States"/>
    <s v="Romper Short"/>
    <n v="11"/>
    <n v="48"/>
    <s v="Christmas"/>
    <s v="0-3"/>
    <x v="15"/>
    <m/>
  </r>
  <r>
    <d v="2025-11-29T00:00:00"/>
    <s v="https://www.etsy.com/ca/listing/4372355391/personalized-pumpkin-baby-romper?transaction_id=4753648309"/>
    <s v="Coffee"/>
    <s v="Coffee"/>
    <s v=" 6-12M (long-sleeve)"/>
    <s v="United States"/>
    <s v="Romper Longer"/>
    <n v="11"/>
    <n v="48"/>
    <s v="Christmas"/>
    <s v="6-12"/>
    <x v="86"/>
    <m/>
  </r>
  <r>
    <d v="2025-11-30T00:00:00"/>
    <s v="https://www.etsy.com/ca/listing/4330488178/new-to-the-club-embroidered-baby-romper?transaction_id=4743006774"/>
    <s v="Cream"/>
    <s v="Cream"/>
    <s v=" 3-6M (long-sleeve)"/>
    <s v="United States"/>
    <s v="Romper Longer"/>
    <n v="11"/>
    <n v="49"/>
    <s v="Christmas"/>
    <s v="3-6"/>
    <x v="1"/>
    <m/>
  </r>
  <r>
    <d v="2025-12-01T00:00:00"/>
    <s v="https://www.etsy.com/ca/listing/4369781522/crawl-walk-putt-baby-romper-funny-golf?transaction_id=4754230157"/>
    <s v="Coffee"/>
    <s v="Coffee"/>
    <s v="3-6M (short-sleeve)"/>
    <s v="United States"/>
    <s v="Romper Short"/>
    <n v="12"/>
    <n v="49"/>
    <s v="Christmas"/>
    <s v="3-6"/>
    <x v="18"/>
    <m/>
  </r>
  <r>
    <d v="2025-12-02T00:00:00"/>
    <s v="https://www.etsy.com/ca/listing/4346126210/daddys-future-lifting-buddy-romper-baby?transaction_id=4754275913"/>
    <s v="Caldet Blue"/>
    <s v="Caldet Blue"/>
    <s v=" 3-6M (long-sleeve)"/>
    <s v="United States"/>
    <s v="Romper Longer"/>
    <n v="12"/>
    <n v="49"/>
    <s v="Christmas"/>
    <s v="3-6"/>
    <x v="23"/>
    <m/>
  </r>
  <r>
    <d v="2025-12-03T00:00:00"/>
    <s v="https://www.etsy.com/ca/listing/4330492936/a-roar-able-dinosaur-baby-bodysuit-cute?transaction_id=47"/>
    <s v="Caldet Blue"/>
    <s v="Caldet Blue"/>
    <s v=" 0-3M (long-sleeve)"/>
    <s v="United States"/>
    <s v="Romper Longer"/>
    <n v="12"/>
    <n v="49"/>
    <s v="Christmas"/>
    <s v="0-3"/>
    <x v="9"/>
    <m/>
  </r>
  <r>
    <d v="2025-12-04T00:00:00"/>
    <s v="https://www.etsy.com/ca/listing/4330485404/cat-face-embroidered-baby-romper-my?transaction_id=4743983092"/>
    <s v="Cream"/>
    <s v="Cream"/>
    <s v=" 0-3M (short-sleeve)"/>
    <s v="United States"/>
    <s v="Romper Short"/>
    <n v="12"/>
    <n v="49"/>
    <s v="Christmas"/>
    <s v="0-3"/>
    <x v="15"/>
    <m/>
  </r>
  <r>
    <d v="2025-12-05T00:00:00"/>
    <s v="https://www.etsy.com/ca/listing/4347260564/football-baby-romper-game-day-baby?transaction_id=4744104096"/>
    <s v="Cream"/>
    <s v="Cream"/>
    <s v=" 0-3M (long-sleeve)"/>
    <s v="United States"/>
    <s v="Romper Longer"/>
    <n v="12"/>
    <n v="49"/>
    <s v="Christmas"/>
    <s v="0-3"/>
    <x v="2"/>
    <m/>
  </r>
  <r>
    <d v="2025-12-06T00:00:00"/>
    <s v="https://www.etsy.com/ca/listing/4369781522/crawl-walk-putt-baby-romper-funny-golf?transaction_id=4756371993"/>
    <s v="Watermelon"/>
    <s v="Watermelon"/>
    <s v=" 0-3M (long-sleeve)"/>
    <s v="United States"/>
    <s v="Romper Longer"/>
    <n v="12"/>
    <n v="49"/>
    <s v="Christmas"/>
    <s v="0-3"/>
    <x v="36"/>
    <m/>
  </r>
  <r>
    <d v="2025-12-07T00:00:00"/>
    <s v="https://www.etsy.com/ca/listing/4344239173/little-pumpkin-baby-romper-fall?transaction_id=4756381983"/>
    <s v="Sage Green"/>
    <s v="Sage Green"/>
    <s v=" 6-12M (long-sleeve)"/>
    <s v="United States"/>
    <s v="Romper Longer"/>
    <n v="12"/>
    <n v="50"/>
    <s v="Christmas"/>
    <s v="6-12"/>
    <x v="3"/>
    <m/>
  </r>
  <r>
    <d v="2025-12-08T00:00:00"/>
    <s v="https://www.etsy.com/ca/listing/4333129905/personalized-pumpkin-baby-romper-fall?transaction_id=4756381981"/>
    <s v="Cream"/>
    <s v="Cream"/>
    <s v=" 6-12M (long-sleeve)"/>
    <s v="United States"/>
    <s v="Romper Longer"/>
    <n v="12"/>
    <n v="50"/>
    <s v="Christmas"/>
    <s v="6-12"/>
    <x v="17"/>
    <m/>
  </r>
  <r>
    <d v="2025-12-09T00:00:00"/>
    <s v="https://www.etsy.com/ca/listing/4372352286/silly-goose-baby-romper-funny-infant?transaction_id=4756592481"/>
    <s v="Texas Orange"/>
    <s v="Texas Orange"/>
    <s v=" 0-3M (short-sleeve)"/>
    <s v="United States"/>
    <s v="Romper Short"/>
    <n v="12"/>
    <n v="50"/>
    <s v="Christmas"/>
    <s v="0-3"/>
    <x v="96"/>
    <m/>
  </r>
  <r>
    <d v="2025-12-10T00:00:00"/>
    <s v="https://www.etsy.com/ca/listing/4333134764/wizard-font-baby-romper-personalized?transaction_id=4756629787"/>
    <s v="Forest Green"/>
    <s v="Forest Green"/>
    <s v=" 3-6M (long-sleeve)"/>
    <s v="United States"/>
    <s v="Romper Longer"/>
    <n v="12"/>
    <n v="50"/>
    <s v="Christmas"/>
    <s v="3-6"/>
    <x v="4"/>
    <m/>
  </r>
  <r>
    <d v="2025-12-11T00:00:00"/>
    <s v="https://www.etsy.com/ca/listing/4346126111/promoted-to-big-brother-romper?transaction_id=4756633233"/>
    <s v="Caldet Blue"/>
    <s v="Caldet Blue"/>
    <s v="6-12M (short-sleeve)"/>
    <s v="United States"/>
    <s v="Romper Short"/>
    <n v="12"/>
    <n v="50"/>
    <s v="Christmas"/>
    <s v="6-12"/>
    <x v="63"/>
    <m/>
  </r>
  <r>
    <d v="2025-12-12T00:00:00"/>
    <s v="https://www.etsy.com/ca/listing/4347260564/football-baby-romper-game-day-baby?transaction_id=4746178452"/>
    <s v="Cream"/>
    <s v="Cream"/>
    <s v=" 3-6M (long-sleeve)"/>
    <s v="United States"/>
    <s v="Romper Longer"/>
    <n v="12"/>
    <n v="50"/>
    <s v="Christmas"/>
    <s v="3-6"/>
    <x v="1"/>
    <m/>
  </r>
  <r>
    <d v="2025-12-13T00:00:00"/>
    <s v="https://www.etsy.com/ca/listing/4333134764/wizard-font-baby-romper-personalized"/>
    <s v="Cream"/>
    <s v="Cream"/>
    <s v=" 6-12M (long-sleeve)"/>
    <s v="United States"/>
    <s v="Romper Longer"/>
    <n v="12"/>
    <n v="50"/>
    <s v="Christmas"/>
    <s v="6-12"/>
    <x v="17"/>
    <m/>
  </r>
  <r>
    <d v="2025-12-14T00:00:00"/>
    <s v="https://www.etsy.com/ca/listing/4352935112/custom-baby-romper-personalized-newborn?transaction_id=4746497004"/>
    <s v="Cream"/>
    <s v="Cream"/>
    <s v=" 3-6M (long-sleeve)"/>
    <s v="United States"/>
    <s v="Romper Longer"/>
    <n v="12"/>
    <n v="51"/>
    <s v="Christmas"/>
    <s v="3-6"/>
    <x v="1"/>
    <m/>
  </r>
  <r>
    <d v="2025-12-15T00:00:00"/>
    <s v="https://www.etsy.com/ca/listing/4347270531/hangry-baby-romper-funny-bottle-gauge?transaction_id=4757040373"/>
    <s v="Sage Green"/>
    <s v="Sage Green"/>
    <s v=" 3-6M (long-sleeve)"/>
    <s v="United States"/>
    <s v="Romper Longer"/>
    <n v="12"/>
    <n v="51"/>
    <s v="Christmas"/>
    <s v="3-6"/>
    <x v="7"/>
    <m/>
  </r>
  <r>
    <d v="2025-12-16T00:00:00"/>
    <s v="https://www.etsy.com/ca/listing/4330485404/cat-face-embroidered-baby-romper-my?transaction_id=4757052549"/>
    <s v="Texas Orange"/>
    <s v="Texas Orange"/>
    <s v=" 3-6M (long-sleeve)"/>
    <s v="United States"/>
    <s v="Romper Longer"/>
    <n v="12"/>
    <n v="51"/>
    <s v="Christmas"/>
    <s v="3-6"/>
    <x v="82"/>
    <m/>
  </r>
  <r>
    <d v="2025-12-17T00:00:00"/>
    <s v="https://www.etsy.com/ca/listing/4330486464/crawl-walk-hunt-baby-romper-embroidered?transaction_id=4757169225"/>
    <s v="Sage Green"/>
    <s v="Sage Green"/>
    <s v=" 3-6M (long-sleeve)"/>
    <s v="United States"/>
    <s v="Romper Longer"/>
    <n v="12"/>
    <n v="51"/>
    <s v="Christmas"/>
    <s v="3-6"/>
    <x v="7"/>
    <m/>
  </r>
  <r>
    <d v="2025-12-18T00:00:00"/>
    <s v="https://www.etsy.com/ca/listing/4346126210/daddys-future-lifting-buddy-romper-baby?transaction_id=4747070832"/>
    <s v="Dusty Pink"/>
    <s v="Dusty Pink"/>
    <s v=" 0-3M (short-sleeve)"/>
    <s v="United States"/>
    <s v="Romper Short"/>
    <n v="12"/>
    <n v="51"/>
    <s v="Christmas"/>
    <s v="0-3"/>
    <x v="34"/>
    <m/>
  </r>
  <r>
    <d v="2025-12-19T00:00:00"/>
    <s v="https://www.etsy.com/ca/listing/4346126210/daddys-future-lifting-buddy-romper-baby?transaction_id=4757685809"/>
    <s v="Cream"/>
    <s v="Cream"/>
    <s v=" 0-3M (long-sleeve)"/>
    <s v="United States"/>
    <s v="Romper Longer"/>
    <n v="12"/>
    <n v="51"/>
    <s v="Christmas"/>
    <s v="0-3"/>
    <x v="2"/>
    <m/>
  </r>
  <r>
    <d v="2025-12-20T00:00:00"/>
    <s v="https://www.etsy.com/ca/listing/4330482502/mama-is-my-bestie-romper-embroidered?transaction_id=4757787031"/>
    <s v="Salmon"/>
    <s v="Salmon"/>
    <s v="12-18M (long-sleeve)"/>
    <s v="United States"/>
    <s v="Romper Longer"/>
    <n v="12"/>
    <n v="51"/>
    <s v="Christmas"/>
    <s v="12-18"/>
    <x v="103"/>
    <m/>
  </r>
  <r>
    <d v="2025-12-21T00:00:00"/>
    <s v="https://www.etsy.com/ca/listing/4330492054/cutie-pie-embroidered-baby-outfit-with?transaction_id=4757910877"/>
    <s v="Dusty Pink"/>
    <s v="Dusty Pink"/>
    <s v="12-18M (long-sleeve)"/>
    <s v="United States"/>
    <s v="Romper Longer"/>
    <n v="12"/>
    <n v="52"/>
    <s v="Christmas"/>
    <s v="12-18"/>
    <x v="75"/>
    <m/>
  </r>
  <r>
    <d v="2025-12-22T00:00:00"/>
    <s v="https://www.etsy.com/ca/listing/4330485404/cat-face-embroidered-baby-romper-my?transaction_id=4747569764"/>
    <s v="Cream"/>
    <s v="Cream"/>
    <s v=" 0-3M (long-sleeve)"/>
    <s v="United States"/>
    <s v="Romper Longer"/>
    <n v="12"/>
    <n v="52"/>
    <s v="Christmas"/>
    <s v="0-3"/>
    <x v="2"/>
    <m/>
  </r>
  <r>
    <d v="2025-12-23T00:00:00"/>
    <s v="https://www.etsy.com/ca/listing/4330480699/little-prince-baby-romper-embroidered?transaction_id=4758904297"/>
    <s v="White"/>
    <s v="White"/>
    <s v=" 3-6M (long-sleeve)"/>
    <s v="United States"/>
    <s v="Romper Longer"/>
    <n v="12"/>
    <n v="52"/>
    <s v="Christmas"/>
    <s v="3-6"/>
    <x v="70"/>
    <m/>
  </r>
  <r>
    <d v="2025-12-24T00:00:00"/>
    <s v="https://www.etsy.com/ca/listing/4330488178/new-to-the-club-embroidered-baby-romper?transaction_id=4748293914"/>
    <s v="Cream"/>
    <s v="Cream"/>
    <s v=" 0-3M (short-sleeve)"/>
    <s v="United States"/>
    <s v="Romper Short"/>
    <n v="12"/>
    <n v="52"/>
    <s v="Christmas"/>
    <s v="0-3"/>
    <x v="15"/>
    <m/>
  </r>
  <r>
    <d v="2025-12-25T00:00:00"/>
    <s v="https://www.etsy.com/ca/listing/4330488178/new-to-the-club-embroidered-baby-romper?transaction_id=4759057905"/>
    <s v="Cream"/>
    <s v="Cream"/>
    <s v=" 0-3M (short-sleeve)"/>
    <s v="United States"/>
    <s v="Romper Short"/>
    <n v="12"/>
    <n v="52"/>
    <s v="Christmas"/>
    <s v="0-3"/>
    <x v="15"/>
    <m/>
  </r>
  <r>
    <d v="2025-12-26T00:00:00"/>
    <s v="https://www.etsy.com/ca/listing/4347893451/little-snuggle-bug-baby-romper-ladybug?transaction_id=4748721594"/>
    <s v="Dusty Pink"/>
    <s v="Dusty Pink"/>
    <s v=" 0-3M (long-sleeve)"/>
    <s v="United States"/>
    <s v="Romper Longer"/>
    <n v="12"/>
    <n v="52"/>
    <s v="Christmas"/>
    <s v="0-3"/>
    <x v="45"/>
    <m/>
  </r>
  <r>
    <d v="2025-12-27T00:00:00"/>
    <s v="https://www.etsy.com/ca/listing/4333134764/wizard-font-baby-romper-personalized?transaction_id=4759660065"/>
    <s v="Coffee"/>
    <s v="Coffee"/>
    <s v=" 3-6M (long-sleeve)"/>
    <s v="United States"/>
    <s v="Romper Longer"/>
    <n v="12"/>
    <n v="52"/>
    <s v="Christmas"/>
    <s v="3-6"/>
    <x v="12"/>
    <m/>
  </r>
  <r>
    <d v="2025-12-28T00:00:00"/>
    <s v="https://www.etsy.com/ca/listing/4333134764/wizard-font-baby-romper-personalized?transaction_id=4749051208"/>
    <s v="Caldet Blue"/>
    <s v="Caldet Blue"/>
    <s v=" 0-3M (long-sleeve)"/>
    <s v="United States"/>
    <s v="Romper Longer"/>
    <n v="12"/>
    <n v="53"/>
    <s v="Christmas"/>
    <s v="0-3"/>
    <x v="9"/>
    <m/>
  </r>
  <r>
    <d v="2025-12-29T00:00:00"/>
    <s v="https://www.etsy.com/ca/listing/4330504943/born-to-play-like-my-daddy-baby-romper?transaction_id=4749788468"/>
    <s v="Cream"/>
    <s v="Cream"/>
    <s v=" 0-3M (short-sleeve)"/>
    <s v="United States"/>
    <s v="Romper Short"/>
    <n v="12"/>
    <n v="53"/>
    <s v="Christmas"/>
    <s v="0-3"/>
    <x v="15"/>
    <m/>
  </r>
  <r>
    <d v="2025-12-30T00:00:00"/>
    <s v="https://www.etsy.com/ca/listing/4330504155/born-to-play-like-my-daddy-baby-romper?transaction_id=4760563765"/>
    <s v="Cream"/>
    <s v="Cream"/>
    <s v=" 0-3M (short-sleeve)"/>
    <s v="United States"/>
    <s v="Romper Short"/>
    <n v="12"/>
    <n v="53"/>
    <s v="Christmas"/>
    <s v="0-3"/>
    <x v="15"/>
    <m/>
  </r>
  <r>
    <d v="2025-12-31T00:00:00"/>
    <s v="https://www.etsy.com/ca/listing/4344239173/little-pumpkin-baby-romper-fall?transaction_id=4760809939"/>
    <s v="Cream"/>
    <s v="Cream"/>
    <s v=" 0-3M (short-sleeve)"/>
    <s v="United States"/>
    <s v="Romper Short"/>
    <n v="12"/>
    <n v="53"/>
    <s v="Christmas"/>
    <s v="0-3"/>
    <x v="15"/>
    <m/>
  </r>
  <r>
    <d v="2026-01-01T00:00:00"/>
    <s v="https://www.etsy.com/ca/listing/4371125103/personalized-dog-baby-bodysuit-custom?transaction_id=4760992175"/>
    <s v="Forest Green"/>
    <s v="Forest Green"/>
    <s v=" 0-3M (long-sleeve)"/>
    <s v="United States"/>
    <s v="Romper Longer"/>
    <n v="1"/>
    <n v="1"/>
    <s v="NewYear"/>
    <s v="0-3"/>
    <x v="41"/>
    <m/>
  </r>
  <r>
    <d v="2026-01-02T00:00:00"/>
    <s v="https://www.etsy.com/ca/listing/4330500656/born-to-care-like-my-mommy-baby-romper?transaction_id=4750972816"/>
    <s v="Mauve Taupe"/>
    <s v="Mauve Taupe"/>
    <s v="6-12M (short-sleeve)"/>
    <s v="United States"/>
    <s v="Romper Short"/>
    <n v="1"/>
    <n v="1"/>
    <s v="NewYear"/>
    <s v="6-12"/>
    <x v="98"/>
    <m/>
  </r>
  <r>
    <d v="2026-01-03T00:00:00"/>
    <s v="https://www.etsy.com/ca/listing/4369781522/crawl-walk-putt-baby-romper-funny-golf?transaction_id=4751014436"/>
    <s v="Forest Green"/>
    <s v="Forest Green"/>
    <s v=" 0-3M (long-sleeve)"/>
    <s v="United States"/>
    <s v="Romper Longer"/>
    <n v="1"/>
    <n v="1"/>
    <s v="NewYear"/>
    <s v="0-3"/>
    <x v="41"/>
    <m/>
  </r>
  <r>
    <d v="2026-01-04T00:00:00"/>
    <s v="https://www.etsy.com/ca/listing/4346126111/promoted-to-big-brother-romper?transaction_id=4761703283"/>
    <s v="Coffee"/>
    <s v="Coffee"/>
    <s v="18-24M (long-sleeve)"/>
    <s v="United States"/>
    <s v="Romper Longer"/>
    <n v="1"/>
    <n v="2"/>
    <s v="NewYear"/>
    <s v="18-24"/>
    <x v="80"/>
    <m/>
  </r>
  <r>
    <d v="2026-01-05T00:00:00"/>
    <s v="https://www.etsy.com/ca/listing/4344232490/freshly-brewed-baby-bodysuit-cute-coffee?transaction_id=4761859981"/>
    <s v="Cream"/>
    <s v="Cream"/>
    <s v="3-6M (short-sleeve)"/>
    <s v="United States"/>
    <s v="Romper Short"/>
    <n v="1"/>
    <n v="2"/>
    <s v="NewYear"/>
    <s v="3-6"/>
    <x v="0"/>
    <m/>
  </r>
  <r>
    <d v="2026-01-06T00:00:00"/>
    <s v="https://www.etsy.com/ca/listing/4344237213/mamas-coffee-date-baby-bodysuit-funny?transaction_id=47"/>
    <s v="Cream"/>
    <s v="Cream"/>
    <s v="3-6M (short-sleeve)"/>
    <s v="United States"/>
    <s v="Romper Short"/>
    <n v="1"/>
    <n v="2"/>
    <s v="NewYear"/>
    <s v="3-6"/>
    <x v="0"/>
    <m/>
  </r>
  <r>
    <d v="2026-01-07T00:00:00"/>
    <s v="https://www.etsy.com/ca/listing/4330483435/little-bean-embroidered-baby-romper-cute?transaction_id=4751229074"/>
    <s v="Cream"/>
    <s v="Cream"/>
    <s v="3-6M (short-sleeve)"/>
    <s v="United States"/>
    <s v="Romper Short"/>
    <n v="1"/>
    <n v="2"/>
    <s v="NewYear"/>
    <s v="3-6"/>
    <x v="0"/>
    <m/>
  </r>
  <r>
    <d v="2026-01-08T00:00:00"/>
    <s v="https://www.etsy.com/ca/listing/4376392339/funny-baby-romper-my-brand-of-formula?transaction_id=4762747497"/>
    <s v="Cream"/>
    <s v="Cream"/>
    <s v=" 6-12M (long-sleeve)"/>
    <s v="United States"/>
    <s v="Romper Longer"/>
    <n v="1"/>
    <n v="2"/>
    <s v="NewYear"/>
    <s v="6-12"/>
    <x v="17"/>
    <m/>
  </r>
  <r>
    <d v="2026-01-09T00:00:00"/>
    <s v="https://www.etsy.com/ca/listing/4330488178/new-to-the-club-embroidered-baby-romper?transaction_id=4763177643"/>
    <s v="Cream"/>
    <s v="Cream"/>
    <s v="6-12M (short-sleeve)"/>
    <s v="United States"/>
    <s v="Romper Short"/>
    <n v="1"/>
    <n v="2"/>
    <s v="NewYear"/>
    <s v="6-12"/>
    <x v="47"/>
    <m/>
  </r>
  <r>
    <d v="2026-01-10T00:00:00"/>
    <s v="https://www.etsy.com/ca/listing/4346124431/small-and-spicy-baby-romper-embroidered?transaction_id=4752823574"/>
    <s v="Dusty Pink"/>
    <s v="Dusty Pink"/>
    <s v=" 0-3M (long-sleeve)"/>
    <s v="United States"/>
    <s v="Romper Longer"/>
    <n v="1"/>
    <n v="2"/>
    <s v="NewYear"/>
    <s v="0-3"/>
    <x v="45"/>
    <m/>
  </r>
  <r>
    <d v="2026-01-11T00:00:00"/>
    <s v="https://www.etsy.com/ca/listing/4330502784/born-to-play-like-my-daddy-baby-romper?transaction_id=4753060314"/>
    <s v="Sage Green"/>
    <s v="Sage Green"/>
    <s v=" 3-6M (long-sleeve)"/>
    <s v="United States"/>
    <s v="Romper Longer"/>
    <n v="1"/>
    <n v="3"/>
    <s v="NewYear"/>
    <s v="3-6"/>
    <x v="7"/>
    <m/>
  </r>
  <r>
    <d v="2026-01-12T00:00:00"/>
    <s v="https://www.etsy.com/ca/listing/4347885967/gigis-bestie-baby-bodysuit-baby-shower?transaction_id=4753306060"/>
    <s v="Cream"/>
    <s v="Cream"/>
    <s v=" 0-3M (long-sleeve)"/>
    <s v="United States"/>
    <s v="Romper Longer"/>
    <n v="1"/>
    <n v="3"/>
    <s v="NewYear"/>
    <s v="0-3"/>
    <x v="2"/>
    <m/>
  </r>
  <r>
    <d v="2026-01-13T00:00:00"/>
    <s v="https://www.etsy.com/ca/listing/4333134764/wizard-font-baby-romper-personalized?transaction_id=4753606622"/>
    <s v="Cream"/>
    <s v="Cream"/>
    <s v=" 3-6M (long-sleeve)"/>
    <s v="United States"/>
    <s v="Romper Longer"/>
    <n v="1"/>
    <n v="3"/>
    <s v="NewYear"/>
    <s v="3-6"/>
    <x v="1"/>
    <m/>
  </r>
  <r>
    <d v="2026-01-14T00:00:00"/>
    <s v="https://www.etsy.com/ca/listing/4369781522/crawl-walk-putt-baby-romper-funny-golf?transaction_id=4764365197"/>
    <s v="Sage Green"/>
    <s v="Sage Green"/>
    <s v=" 0-3M (long-sleeve)"/>
    <s v="United States"/>
    <s v="Romper Longer"/>
    <n v="1"/>
    <n v="3"/>
    <s v="NewYear"/>
    <s v="0-3"/>
    <x v="5"/>
    <m/>
  </r>
  <r>
    <d v="2026-01-15T00:00:00"/>
    <s v="https://www.etsy.com/ca/listing/4333134764/wizard-font-baby-romper-personalized?transaction_id=4754107930"/>
    <s v="Coffee"/>
    <s v="Coffee"/>
    <s v=" 0-3M (long-sleeve)"/>
    <s v="United States"/>
    <s v="Romper Longer"/>
    <n v="1"/>
    <n v="3"/>
    <s v="NewYear"/>
    <s v="0-3"/>
    <x v="28"/>
    <m/>
  </r>
  <r>
    <d v="2026-01-16T00:00:00"/>
    <s v="https://www.etsy.com/ca/listing/4371125103/personalized-dog-baby-bodysuit-custom?transaction_id=4754387044"/>
    <s v="Watermelon"/>
    <s v="Watermelon"/>
    <s v=" 3-6M (long-sleeve)"/>
    <s v="United States"/>
    <s v="Romper Longer"/>
    <n v="1"/>
    <n v="3"/>
    <s v="NewYear"/>
    <s v="3-6"/>
    <x v="20"/>
    <m/>
  </r>
  <r>
    <d v="2026-01-17T00:00:00"/>
    <s v="https://www.etsy.com/ca/listing/4351829723/i-stole-everyones-heart-baby-romper?transaction_id=4765154843"/>
    <s v="Cream"/>
    <s v="Cream"/>
    <s v="3-6M (short-sleeve)"/>
    <s v="United States"/>
    <s v="Romper Short"/>
    <n v="1"/>
    <n v="3"/>
    <s v="NewYear"/>
    <s v="3-6"/>
    <x v="0"/>
    <m/>
  </r>
  <r>
    <d v="2026-01-18T00:00:00"/>
    <s v="https://www.etsy.com/ca/listing/4330477824/personalized-baby-bodysuit-with?transaction_id=4765597191"/>
    <s v="Coffee"/>
    <s v="Coffee"/>
    <s v=" 6-12M (long-sleeve)"/>
    <s v="United States"/>
    <s v="Romper Longer"/>
    <n v="1"/>
    <n v="4"/>
    <s v="NewYear"/>
    <s v="6-12"/>
    <x v="86"/>
    <m/>
  </r>
  <r>
    <d v="2026-01-19T00:00:00"/>
    <s v="https://www.etsy.com/ca/listing/4344239173/little-pumpkin-baby-romper-fall?transaction_id=4765623387"/>
    <s v="Cream"/>
    <s v="Cream"/>
    <s v=" 0-3M (long-sleeve)"/>
    <s v="United States"/>
    <s v="Romper Longer"/>
    <n v="1"/>
    <n v="4"/>
    <s v="NewYear"/>
    <s v="0-3"/>
    <x v="2"/>
    <m/>
  </r>
  <r>
    <d v="2026-01-20T00:00:00"/>
    <s v="https://www.etsy.com/ca/listing/4344235128/new-to-the-hive-baby-romper-embroidered?transaction_id=4755491874"/>
    <s v="Cream"/>
    <s v="Cream"/>
    <s v=" 3-6M (long-sleeve)"/>
    <s v="United States"/>
    <s v="Romper Longer"/>
    <n v="1"/>
    <n v="4"/>
    <s v="NewYear"/>
    <s v="3-6"/>
    <x v="1"/>
    <m/>
  </r>
  <r>
    <d v="2026-01-21T00:00:00"/>
    <s v="https://www.etsy.com/ca/listing/4376392339/funny-baby-romper-my-brand-of-formula?transaction_id=4765961759"/>
    <s v="White"/>
    <s v="White"/>
    <s v=" 3-6M (long-sleeve)"/>
    <s v="United States"/>
    <s v="Romper Longer"/>
    <n v="1"/>
    <n v="4"/>
    <s v="NewYear"/>
    <s v="3-6"/>
    <x v="70"/>
    <m/>
  </r>
  <r>
    <d v="2026-01-22T00:00:00"/>
    <s v="https://www.etsy.com/ca/listing/4336899579/personalized-basketball-baby-romper?transaction_id=4766150721"/>
    <s v="Cream"/>
    <s v="Cream"/>
    <s v=" 0-3M (long-sleeve)"/>
    <s v="United States"/>
    <s v="Romper Longer"/>
    <n v="1"/>
    <n v="4"/>
    <s v="NewYear"/>
    <s v="0-3"/>
    <x v="2"/>
    <m/>
  </r>
  <r>
    <d v="2026-01-23T00:00:00"/>
    <s v="https://www.etsy.com/ca/listing/4372352286/silly-goose-baby-romper-funny-infant?transaction_id=4766191571"/>
    <s v="Mauve Taupe"/>
    <s v="Mauve Taupe"/>
    <s v="3-6M (short-sleeve)"/>
    <s v="United States"/>
    <s v="Romper Short"/>
    <n v="1"/>
    <n v="4"/>
    <s v="NewYear"/>
    <s v="3-6"/>
    <x v="67"/>
    <m/>
  </r>
  <r>
    <d v="2026-01-24T00:00:00"/>
    <s v="https://www.etsy.com/ca/listing/4371125103/personalized-dog-baby-bodysuit-custom?transaction_id=4755787464"/>
    <s v="Cream"/>
    <s v="Cream"/>
    <s v="3-6M (short-sleeve)"/>
    <s v="United States"/>
    <s v="Romper Short"/>
    <n v="1"/>
    <n v="4"/>
    <s v="NewYear"/>
    <s v="3-6"/>
    <x v="0"/>
    <m/>
  </r>
  <r>
    <d v="2026-01-25T00:00:00"/>
    <s v="https://www.etsy.com/ca/listing/4379195696/the-life-of-a-babygirl-embroidered?transaction_id=4755787462"/>
    <s v="Dusty Pink"/>
    <s v="Dusty Pink"/>
    <s v=" 0-3M (long-sleeve)"/>
    <s v="United States"/>
    <s v="Romper Longer"/>
    <n v="1"/>
    <n v="5"/>
    <s v="NewYear"/>
    <s v="0-3"/>
    <x v="45"/>
    <m/>
  </r>
  <r>
    <d v="2026-01-26T00:00:00"/>
    <s v="https://www.etsy.com/ca/listing/4330480699/little-prince-baby-romper-embroidered?transaction_id=4756110936"/>
    <s v="Cream"/>
    <s v="Cream"/>
    <s v=" 6-12M (long-sleeve)"/>
    <s v="United States"/>
    <s v="Romper Longer"/>
    <n v="1"/>
    <n v="5"/>
    <s v="NewYear"/>
    <s v="6-12"/>
    <x v="17"/>
    <m/>
  </r>
  <r>
    <d v="2026-01-27T00:00:00"/>
    <s v="https://www.etsy.com/ca/listing/4333135410/little-pumpkin-baby-romper-fall?transaction_id=4756250846"/>
    <s v="Cream"/>
    <s v="Cream"/>
    <s v=" 0-3M (long-sleeve)"/>
    <s v="United States"/>
    <s v="Romper Longer"/>
    <n v="1"/>
    <n v="5"/>
    <s v="NewYear"/>
    <s v="0-3"/>
    <x v="2"/>
    <m/>
  </r>
  <r>
    <d v="2026-01-28T00:00:00"/>
    <s v="https://www.etsy.com/ca/listing/4376392339/funny-baby-romper-my-brand-of-formula?transaction_id=4766728283"/>
    <s v="Cream"/>
    <s v="Cream"/>
    <s v="3-6M (short-sleeve)"/>
    <s v="United States"/>
    <s v="Romper Short"/>
    <n v="1"/>
    <n v="5"/>
    <s v="NewYear"/>
    <s v="3-6"/>
    <x v="0"/>
    <m/>
  </r>
  <r>
    <d v="2026-01-29T00:00:00"/>
    <s v="https://www.etsy.com/ca/listing/4376389783/player-2-baby-romper-gamer-baby-outfit?transaction_id=4766891077"/>
    <s v="Dusty Pink"/>
    <s v="Dusty Pink"/>
    <s v="3-6M (short-sleeve)"/>
    <s v="United States"/>
    <s v="Romper Short"/>
    <n v="1"/>
    <n v="5"/>
    <s v="NewYear"/>
    <s v="3-6"/>
    <x v="31"/>
    <m/>
  </r>
  <r>
    <d v="2026-01-30T00:00:00"/>
    <s v="https://www.etsy.com/ca/listing/4371125103/personalized-dog-baby-bodysuit-custom?transaction_id=4767393821"/>
    <s v="White"/>
    <s v="White"/>
    <s v=" 0-3M (short-sleeve)"/>
    <s v="United States"/>
    <s v="Romper Short"/>
    <n v="1"/>
    <n v="5"/>
    <s v="NewYear"/>
    <s v="0-3"/>
    <x v="21"/>
    <m/>
  </r>
  <r>
    <d v="2026-01-31T00:00:00"/>
    <s v="https://www.etsy.com/ca/listing/4379188978/littlest-firehouse-embroidered-romper?transaction_id=4757258450"/>
    <s v="Watermelon"/>
    <s v="Watermelon"/>
    <s v=" 0-3M (long-sleeve)"/>
    <s v="United States"/>
    <s v="Romper Longer"/>
    <n v="1"/>
    <n v="5"/>
    <s v="NewYear"/>
    <s v="0-3"/>
    <x v="36"/>
    <m/>
  </r>
  <r>
    <d v="2026-02-01T00:00:00"/>
    <s v="https://www.etsy.com/ca/listing/4330480699/little-prince-baby-romper-embroidered?transaction_id=4767648169"/>
    <s v="White"/>
    <s v="White"/>
    <s v=" 0-3M (long-sleeve)"/>
    <s v="United States"/>
    <s v="Romper Longer"/>
    <n v="2"/>
    <n v="6"/>
    <s v="Valentine"/>
    <s v="0-3"/>
    <x v="54"/>
    <m/>
  </r>
  <r>
    <d v="2026-02-02T00:00:00"/>
    <s v="https://www.etsy.com/ca/listing/4330485404/cat-face-embroidered-baby-romper-my?transaction_id=4767868503"/>
    <s v="Cream"/>
    <s v="Cream"/>
    <s v=" 0-3M (long-sleeve)"/>
    <s v="United States"/>
    <s v="Romper Longer"/>
    <n v="2"/>
    <n v="6"/>
    <s v="Valentine"/>
    <s v="0-3"/>
    <x v="2"/>
    <m/>
  </r>
  <r>
    <d v="2026-02-03T00:00:00"/>
    <s v="https://www.etsy.com/ca/listing/4352935112/custom-baby-romper-personalized-newborn?transaction_id=4757681646"/>
    <s v="Cream"/>
    <s v="Cream"/>
    <s v=" 0-3M (long-sleeve)"/>
    <s v="United States"/>
    <s v="Romper Longer"/>
    <n v="2"/>
    <n v="6"/>
    <s v="Valentine"/>
    <s v="0-3"/>
    <x v="2"/>
    <m/>
  </r>
  <r>
    <d v="2026-02-04T00:00:00"/>
    <s v="https://www.etsy.com/ca/listing/4333134764/wizard-font-baby-romper-personalized?transaction_id=4767995003"/>
    <s v="Watermelon"/>
    <s v="Watermelon"/>
    <s v=" 6-12M (long-sleeve)"/>
    <s v="United States"/>
    <s v="Romper Longer"/>
    <n v="2"/>
    <n v="6"/>
    <s v="Valentine"/>
    <s v="6-12"/>
    <x v="33"/>
    <m/>
  </r>
  <r>
    <d v="2026-02-05T00:00:00"/>
    <s v="https://www.etsy.com/ca/listing/4333134764/wizard-font-baby-romper-personalized?transaction_id=4757782874"/>
    <s v="Caldet Blue"/>
    <s v="Caldet Blue"/>
    <s v=" 6-12M (long-sleeve)"/>
    <s v="United States"/>
    <s v="Romper Longer"/>
    <n v="2"/>
    <n v="6"/>
    <s v="Valentine"/>
    <s v="6-12"/>
    <x v="25"/>
    <m/>
  </r>
  <r>
    <d v="2026-02-06T00:00:00"/>
    <s v="https://www.etsy.com/ca/listing/4333134764/wizard-font-baby-romper-personalized?transaction_id=4768005245"/>
    <s v="Sage Green"/>
    <s v="Sage Green"/>
    <s v=" 0-3M (long-sleeve)"/>
    <s v="United States"/>
    <s v="Romper Longer"/>
    <n v="2"/>
    <n v="6"/>
    <s v="Valentine"/>
    <s v="0-3"/>
    <x v="5"/>
    <m/>
  </r>
  <r>
    <d v="2026-02-07T00:00:00"/>
    <s v="https://www.etsy.com/ca/listing/4352935112/custom-baby-romper-personalized-newborn?transaction_id=4757930306"/>
    <s v="Cream"/>
    <s v="Cream"/>
    <s v=" 3-6M (long-sleeve)"/>
    <s v="United States"/>
    <s v="Romper Longer"/>
    <n v="2"/>
    <n v="6"/>
    <s v="Valentine"/>
    <s v="3-6"/>
    <x v="1"/>
    <m/>
  </r>
  <r>
    <d v="2026-02-08T00:00:00"/>
    <s v="https://www.etsy.com/ca/listing/4330488178/new-to-the-club-embroidered-baby-romper?transaction_id=4758158642"/>
    <s v="Cream"/>
    <s v="Cream"/>
    <s v=" 6-12M (long-sleeve)"/>
    <s v="United States"/>
    <s v="Romper Longer"/>
    <n v="2"/>
    <n v="7"/>
    <s v="Valentine"/>
    <s v="6-12"/>
    <x v="17"/>
    <m/>
  </r>
  <r>
    <d v="2026-02-09T00:00:00"/>
    <s v="https://www.etsy.com/ca/listing/4352935112/custom-baby-romper-personalized-newborn?transaction_id=4758498042"/>
    <s v="Cream"/>
    <s v="Cream"/>
    <s v=" 0-3M (long-sleeve)"/>
    <s v="United States"/>
    <s v="Romper Longer"/>
    <n v="2"/>
    <n v="7"/>
    <s v="Valentine"/>
    <s v="0-3"/>
    <x v="2"/>
    <m/>
  </r>
  <r>
    <d v="2026-02-10T00:00:00"/>
    <s v="https://www.etsy.com/ca/listing/4376383422/boo-baby-halloween-romper-cute-fall?transaction_id=4758585350"/>
    <s v="Caldet Blue"/>
    <s v="Caldet Blue"/>
    <s v=" 3-6M (long-sleeve)"/>
    <s v="United States"/>
    <s v="Romper Longer"/>
    <n v="2"/>
    <n v="7"/>
    <s v="Valentine"/>
    <s v="3-6"/>
    <x v="23"/>
    <m/>
  </r>
  <r>
    <d v="2026-02-11T00:00:00"/>
    <s v="https://www.etsy.com/ca/listing/4371125103/personalized-dog-baby-bodysuit-custom?transaction_id=4758688036"/>
    <s v="Cream"/>
    <s v="Cream"/>
    <s v="3-6M (short-sleeve)"/>
    <s v="United States"/>
    <s v="Romper Short"/>
    <n v="2"/>
    <n v="7"/>
    <s v="Valentine"/>
    <s v="3-6"/>
    <x v="0"/>
    <m/>
  </r>
  <r>
    <d v="2025-11-11T00:00:00"/>
    <s v="https://www.etsy.com/ca/listing/4352935112/custom-baby-romper-personalized-newborn?transaction_id=4768863895"/>
    <s v="Salmon"/>
    <s v="Salmon"/>
    <s v=" 6-12M (long-sleeve)"/>
    <s v="United States"/>
    <s v="Romper Longer"/>
    <n v="11"/>
    <n v="46"/>
    <s v="Christmas"/>
    <s v="6-12"/>
    <x v="59"/>
    <m/>
  </r>
  <r>
    <d v="2025-11-12T00:00:00"/>
    <s v="https://www.etsy.com/ca/listing/4330504943/born-to-play-like-my-daddy-baby-romper?transaction_id=4758916360"/>
    <s v="Cream"/>
    <s v="Cream"/>
    <s v=" 3-6M (long-sleeve)"/>
    <s v="United States"/>
    <s v="Romper Longer"/>
    <n v="11"/>
    <n v="46"/>
    <s v="Christmas"/>
    <s v="3-6"/>
    <x v="1"/>
    <m/>
  </r>
  <r>
    <d v="2025-11-13T00:00:00"/>
    <s v="https://www.etsy.com/ca/listing/4346126210/daddys-future-lifting-buddy-romper-baby?transaction_id=4759188558"/>
    <s v="Coffee"/>
    <s v="Coffee"/>
    <s v=" 0-3M (long-sleeve)"/>
    <s v="United States"/>
    <s v="Romper Longer"/>
    <n v="11"/>
    <n v="46"/>
    <s v="Christmas"/>
    <s v="0-3"/>
    <x v="28"/>
    <m/>
  </r>
  <r>
    <d v="2025-11-14T00:00:00"/>
    <s v="https://www.etsy.com/ca/listing/4369781522/crawl-walk-putt-baby-romper-funny-golf?transaction_id=4759412660"/>
    <s v="Sage Green"/>
    <s v="Sage Green"/>
    <s v="12-18M (long-sleeve)"/>
    <s v="United States"/>
    <s v="Romper Longer"/>
    <n v="11"/>
    <n v="46"/>
    <s v="Christmas"/>
    <s v="12-18"/>
    <x v="22"/>
    <m/>
  </r>
  <r>
    <d v="2025-11-15T00:00:00"/>
    <s v="https://www.etsy.com/ca/listing/4352935112/custom-baby-romper-personalized-newborn?transaction_id=4759412658"/>
    <s v="Cream"/>
    <s v="Cream"/>
    <s v=" 0-3M (long-sleeve)"/>
    <s v="United States"/>
    <s v="Romper Longer"/>
    <n v="11"/>
    <n v="46"/>
    <s v="Christmas"/>
    <s v="0-3"/>
    <x v="2"/>
    <m/>
  </r>
  <r>
    <d v="2025-11-16T00:00:00"/>
    <s v="https://www.etsy.com/ca/listing/4376392339/funny-baby-romper-my-brand-of-formula?transaction_id=4769564911"/>
    <s v="White"/>
    <s v="White"/>
    <s v=" 0-3M (short-sleeve)"/>
    <s v="United States"/>
    <s v="Romper Short"/>
    <n v="11"/>
    <n v="47"/>
    <s v="Christmas"/>
    <s v="0-3"/>
    <x v="21"/>
    <m/>
  </r>
  <r>
    <d v="2025-11-17T00:00:00"/>
    <s v="https://www.etsy.com/ca/listing/4336902854/personalized-football-baby-romper-daddys?transaction_id=4770102145"/>
    <s v="Cream"/>
    <s v="Cream"/>
    <s v=" 0-3M (short-sleeve)"/>
    <s v="United States"/>
    <s v="Romper Short"/>
    <n v="11"/>
    <n v="47"/>
    <s v="Christmas"/>
    <s v="0-3"/>
    <x v="15"/>
    <m/>
  </r>
  <r>
    <d v="2025-11-18T00:00:00"/>
    <s v="https://www.etsy.com/ca/listing/4347263856/besties-baby-romper-matching-baby-outfit?transaction_id=4770174273"/>
    <s v="Cream"/>
    <s v="Cream"/>
    <s v="12-18M (short-sleeve)"/>
    <s v="United States"/>
    <s v="Romper Short"/>
    <n v="11"/>
    <n v="47"/>
    <s v="Christmas"/>
    <s v="12-18"/>
    <x v="26"/>
    <m/>
  </r>
  <r>
    <d v="2025-11-19T00:00:00"/>
    <s v="https://www.etsy.com/ca/listing/4347263856/besties-baby-romper-matching-baby-outfit?transaction_id=4770174271"/>
    <s v="Cream"/>
    <s v="Cream"/>
    <s v=" 0-3M (short-sleeve)"/>
    <s v="United States"/>
    <s v="Romper Short"/>
    <n v="11"/>
    <n v="47"/>
    <s v="Christmas"/>
    <s v="0-3"/>
    <x v="15"/>
    <m/>
  </r>
  <r>
    <d v="2025-11-20T00:00:00"/>
    <s v="https://www.etsy.com/ca/listing/4336907597/custom-running-baby-romper-daddys-future?transaction_id=4770390255"/>
    <s v="Texas Orange"/>
    <s v="Texas Orange"/>
    <s v="12-18M (long-sleeve)"/>
    <s v="United States"/>
    <s v="Romper Longer"/>
    <n v="11"/>
    <n v="47"/>
    <s v="Christmas"/>
    <s v="12-18"/>
    <x v="105"/>
    <m/>
  </r>
  <r>
    <d v="2025-11-21T00:00:00"/>
    <s v="https://www.etsy.com/ca/listing/4376392339/funny-baby-romper-my-brand-of-formula?transaction_id=4760592110"/>
    <s v="Cream"/>
    <s v="Cream"/>
    <s v="3-6M (short-sleeve)"/>
    <s v="United States"/>
    <s v="Romper Short"/>
    <n v="11"/>
    <n v="47"/>
    <s v="Christmas"/>
    <s v="3-6"/>
    <x v="0"/>
    <m/>
  </r>
  <r>
    <d v="2025-11-22T00:00:00"/>
    <s v="https://www.etsy.com/ca/listing/4333134764/wizard-font-baby-romper-personalized?transaction_id=4760665090"/>
    <s v="Salmon"/>
    <s v="Salmon"/>
    <s v=" 3-6M (long-sleeve)"/>
    <s v="United States"/>
    <s v="Romper Longer"/>
    <n v="11"/>
    <n v="47"/>
    <s v="Christmas"/>
    <s v="3-6"/>
    <x v="49"/>
    <m/>
  </r>
  <r>
    <d v="2025-11-23T00:00:00"/>
    <s v="https://www.etsy.com/ca/listing/4347260564/football-baby-romper-game-day-baby?transaction_id=4760730348"/>
    <s v="Cream"/>
    <s v="Cream"/>
    <s v=" 6-12M (long-sleeve)"/>
    <s v="United States"/>
    <s v="Romper Longer"/>
    <n v="11"/>
    <n v="48"/>
    <s v="Christmas"/>
    <s v="6-12"/>
    <x v="17"/>
    <m/>
  </r>
  <r>
    <d v="2025-11-24T00:00:00"/>
    <s v="https://www.etsy.com/ca/listing/4376401181/challah-at-your-girl-baby-bodysuit-funny?transaction_id=4770789207"/>
    <s v="White"/>
    <s v="White"/>
    <s v=" 0-3M (short-sleeve)"/>
    <s v="United States"/>
    <s v="Romper Short"/>
    <n v="11"/>
    <n v="48"/>
    <s v="Christmas"/>
    <s v="0-3"/>
    <x v="21"/>
    <m/>
  </r>
  <r>
    <d v="2025-11-25T00:00:00"/>
    <s v="https://www.etsy.com/ca/listing/4371125103/personalized-dog-baby-bodysuit-custom?transaction_id=4760846098"/>
    <s v="Watermelon"/>
    <s v="Watermelon"/>
    <s v=" 0-3M (long-sleeve)"/>
    <s v="United States"/>
    <s v="Romper Longer"/>
    <n v="11"/>
    <n v="48"/>
    <s v="Christmas"/>
    <s v="0-3"/>
    <x v="36"/>
    <m/>
  </r>
  <r>
    <d v="2025-11-26T00:00:00"/>
    <s v="https://www.etsy.com/ca/listing/4344232490/freshly-brewed-baby-bodysuit-cute-coffee?transaction_id=4760899458"/>
    <s v="Sage Green"/>
    <s v="Sage Green"/>
    <s v=" 0-3M (long-sleeve)"/>
    <s v="United States"/>
    <s v="Romper Longer"/>
    <n v="11"/>
    <n v="48"/>
    <s v="Christmas"/>
    <s v="0-3"/>
    <x v="5"/>
    <m/>
  </r>
  <r>
    <d v="2025-11-27T00:00:00"/>
    <s v="https://www.etsy.com/ca/listing/4346126210/daddys-future-lifting-buddy-romper-baby?transaction_id=4761662044"/>
    <s v="Caldet Blue"/>
    <s v="Caldet Blue"/>
    <s v=" 0-3M (short-sleeve)"/>
    <s v="United States"/>
    <s v="Romper Short"/>
    <n v="11"/>
    <n v="48"/>
    <s v="Christmas"/>
    <s v="0-3"/>
    <x v="38"/>
    <m/>
  </r>
  <r>
    <d v="2025-11-28T00:00:00"/>
    <s v="https://www.etsy.com/ca/listing/4376389783/player-2-baby-romper-gamer-baby-outfit?transaction_id=4771626417"/>
    <s v="Cream"/>
    <s v="Cream"/>
    <s v=" 3-6M (long-sleeve)"/>
    <s v="United States"/>
    <s v="Romper Longer"/>
    <n v="11"/>
    <n v="48"/>
    <s v="Christmas"/>
    <s v="3-6"/>
    <x v="1"/>
    <m/>
  </r>
  <r>
    <d v="2025-11-29T00:00:00"/>
    <s v="https://www.etsy.com/ca/listing/4347885967/gigis-bestie-baby-bodysuit-baby-shower?transaction_id=4771733105"/>
    <s v="Watermelon"/>
    <s v="Watermelon"/>
    <s v=" 3-6M (long-sleeve)"/>
    <s v="United States"/>
    <s v="Romper Longer"/>
    <n v="11"/>
    <n v="48"/>
    <s v="Christmas"/>
    <s v="3-6"/>
    <x v="20"/>
    <m/>
  </r>
  <r>
    <d v="2025-11-30T00:00:00"/>
    <s v="https://www.etsy.com/ca/listing/4336907597/custom-running-baby-romper-daddys-future?transaction_id=4771797879"/>
    <s v="Cream"/>
    <s v="Cream"/>
    <s v=" 0-3M (long-sleeve)"/>
    <s v="United States"/>
    <s v="Romper Longer"/>
    <n v="11"/>
    <n v="49"/>
    <s v="Christmas"/>
    <s v="0-3"/>
    <x v="2"/>
    <m/>
  </r>
  <r>
    <d v="2025-12-01T00:00:00"/>
    <s v="https://www.etsy.com/ca/listing/4330488178/new-to-the-club-embroidered-baby-romper?transaction_id=4761980426"/>
    <s v="Cream"/>
    <s v="Cream"/>
    <s v=" 0-3M (long-sleeve)"/>
    <s v="United States"/>
    <s v="Romper Longer"/>
    <n v="12"/>
    <n v="49"/>
    <s v="Christmas"/>
    <s v="0-3"/>
    <x v="2"/>
    <m/>
  </r>
  <r>
    <d v="2025-12-02T00:00:00"/>
    <s v="https://www.etsy.com/ca/listing/4376392339/funny-baby-romper-my-brand-of-formula?transaction_id=4762084502"/>
    <s v="Cream"/>
    <s v="Cream"/>
    <s v="3-6M (short-sleeve)"/>
    <s v="United States"/>
    <s v="Romper Short"/>
    <n v="12"/>
    <n v="49"/>
    <s v="Christmas"/>
    <s v="3-6"/>
    <x v="0"/>
    <m/>
  </r>
  <r>
    <d v="2025-12-03T00:00:00"/>
    <s v="https://www.etsy.com/ca/listing/4330488178/new-to-the-club-embroidered-baby-romper?transaction_id=4771977889"/>
    <s v="Cream"/>
    <s v="Cream"/>
    <s v=" 3-6M (long-sleeve)"/>
    <s v="United States"/>
    <s v="Romper Longer"/>
    <n v="12"/>
    <n v="49"/>
    <s v="Christmas"/>
    <s v="3-6"/>
    <x v="1"/>
    <m/>
  </r>
  <r>
    <d v="2025-12-04T00:00:00"/>
    <s v="https://www.etsy.com/ca/listing/4330488178/new-to-the-club-embroidered-baby-romper?transaction_id=4762085608"/>
    <s v="Dusty Pink"/>
    <s v="Dusty Pink"/>
    <s v=" 0-3M (long-sleeve)"/>
    <s v="United States"/>
    <s v="Romper Longer"/>
    <n v="12"/>
    <n v="49"/>
    <s v="Christmas"/>
    <s v="0-3"/>
    <x v="45"/>
    <m/>
  </r>
  <r>
    <d v="2025-12-05T00:00:00"/>
    <s v="https://www.etsy.com/ca/listing/4333134764/wizard-font-baby-romper-personalized?transaction_id=4762134210"/>
    <s v="Cream"/>
    <s v="Cream"/>
    <s v=" 3-6M (long-sleeve)"/>
    <s v="United States"/>
    <s v="Romper Longer"/>
    <n v="12"/>
    <n v="49"/>
    <s v="Christmas"/>
    <s v="3-6"/>
    <x v="1"/>
    <m/>
  </r>
  <r>
    <d v="2025-12-06T00:00:00"/>
    <s v="https://www.etsy.com/ca/listing/4344235128/new-to-the-hive-baby-romper-embroidered?transaction_id=4772047349"/>
    <s v="Cream"/>
    <s v="Cream"/>
    <s v=" 0-3M (long-sleeve)"/>
    <s v="United States"/>
    <s v="Romper Longer"/>
    <n v="12"/>
    <n v="49"/>
    <s v="Christmas"/>
    <s v="0-3"/>
    <x v="2"/>
    <m/>
  </r>
  <r>
    <d v="2025-12-07T00:00:00"/>
    <s v="https://www.etsy.com/ca/listing/4330488178/new-to-the-club-embroidered-baby-romper?transaction_id=4762685324"/>
    <s v="Cream"/>
    <s v="Cream"/>
    <s v=" 0-3M (long-sleeve)"/>
    <s v="United States"/>
    <s v="Romper Longer"/>
    <n v="12"/>
    <n v="50"/>
    <s v="Christmas"/>
    <s v="0-3"/>
    <x v="2"/>
    <m/>
  </r>
  <r>
    <d v="2025-12-08T00:00:00"/>
    <s v="https://www.etsy.com/ca/listing/4346126210/daddys-future-lifting-buddy-romper-baby?transaction_id=4762846470"/>
    <s v="Coffee"/>
    <s v="Coffee"/>
    <s v="6-12M (short-sleeve)"/>
    <s v="United States"/>
    <s v="Romper Short"/>
    <n v="12"/>
    <n v="50"/>
    <s v="Christmas"/>
    <s v="6-12"/>
    <x v="64"/>
    <m/>
  </r>
  <r>
    <d v="2025-12-09T00:00:00"/>
    <s v="https://www.etsy.com/ca/listing/4336903235/personalized-tennis-baby-romper-daddys?transaction_id=4762997506"/>
    <s v="Cream"/>
    <s v="Cream"/>
    <s v=" 3-6M (long-sleeve)"/>
    <s v="United States"/>
    <s v="Romper Longer"/>
    <n v="12"/>
    <n v="50"/>
    <s v="Christmas"/>
    <s v="3-6"/>
    <x v="1"/>
    <m/>
  </r>
  <r>
    <d v="2025-12-10T00:00:00"/>
    <s v="https://www.etsy.com/ca/listing/4346126210/daddys-future-lifting-buddy-romper-baby?transaction_id=4763036282"/>
    <s v="Texas Orange"/>
    <s v="Texas Orange"/>
    <s v=" 3-6M (long-sleeve)"/>
    <s v="United States"/>
    <s v="Romper Longer"/>
    <n v="12"/>
    <n v="50"/>
    <s v="Christmas"/>
    <s v="3-6"/>
    <x v="82"/>
    <m/>
  </r>
  <r>
    <d v="2025-12-11T00:00:00"/>
    <s v="https://www.etsy.com/ca/listing/4333134764/wizard-font-baby-romper-personalized?transaction_id=4763354432"/>
    <s v="Caldet Blue"/>
    <s v="Caldet Blue"/>
    <s v="3-6M (short-sleeve)"/>
    <s v="United States"/>
    <s v="Romper Short"/>
    <n v="12"/>
    <n v="50"/>
    <s v="Christmas"/>
    <s v="3-6"/>
    <x v="29"/>
    <m/>
  </r>
  <r>
    <d v="2025-12-12T00:00:00"/>
    <s v="https://www.etsy.com/ca/listing/4372352286/silly-goose-baby-romper-funny-infant?transaction_id=4773219415"/>
    <s v="Sage Green"/>
    <s v="Sage Green"/>
    <s v="12-18M (long-sleeve)"/>
    <s v="United States"/>
    <s v="Romper Longer"/>
    <n v="12"/>
    <n v="50"/>
    <s v="Christmas"/>
    <s v="12-18"/>
    <x v="22"/>
    <m/>
  </r>
  <r>
    <d v="2025-12-13T00:00:00"/>
    <s v="https://www.etsy.com/ca/listing/4330485404/cat-face-embroidered-baby-romper-my?transaction_id=4773480441"/>
    <s v="Mauve Taupe"/>
    <s v="Mauve Taupe"/>
    <s v=" 3-6M (long-sleeve)"/>
    <s v="United States"/>
    <s v="Romper Longer"/>
    <n v="12"/>
    <n v="50"/>
    <s v="Christmas"/>
    <s v="3-6"/>
    <x v="10"/>
    <m/>
  </r>
  <r>
    <d v="2025-12-14T00:00:00"/>
    <s v="https://www.etsy.com/ca/listing/4347260564/football-baby-romper-game-day-baby?transaction_id=4763979656"/>
    <s v="Forest Green"/>
    <s v="Forest Green"/>
    <s v=" 0-3M (long-sleeve)"/>
    <s v="United States"/>
    <s v="Romper Longer"/>
    <n v="12"/>
    <n v="51"/>
    <s v="Christmas"/>
    <s v="0-3"/>
    <x v="41"/>
    <m/>
  </r>
  <r>
    <d v="2025-12-15T00:00:00"/>
    <s v="https://www.etsy.com/ca/listing/4346126210/daddys-future-lifting-buddy-romper-baby?transaction_id=4764238612"/>
    <s v="Cream"/>
    <s v="Cream"/>
    <s v="6-12M (short-sleeve)"/>
    <s v="United States"/>
    <s v="Romper Short"/>
    <n v="12"/>
    <n v="51"/>
    <s v="Christmas"/>
    <s v="6-12"/>
    <x v="47"/>
    <m/>
  </r>
  <r>
    <d v="2025-12-16T00:00:00"/>
    <s v="https://www.etsy.com/ca/listing/4330480699/little-prince-baby-romper-embroidered?transaction_id=4774171273"/>
    <s v="Cream"/>
    <s v="Cream"/>
    <s v="12-18M (short-sleeve)"/>
    <s v="United States"/>
    <s v="Romper Short"/>
    <n v="12"/>
    <n v="51"/>
    <s v="Christmas"/>
    <s v="12-18"/>
    <x v="26"/>
    <m/>
  </r>
  <r>
    <d v="2025-12-17T00:00:00"/>
    <s v="https://www.etsy.com/ca/listing/4351827017/i-woke-up-this-cute-baby-bodysuit-funny?transaction_id=4764676182"/>
    <s v="Watermelon"/>
    <s v="Watermelon"/>
    <s v="12-18M (long-sleeve)"/>
    <s v="United States"/>
    <s v="Romper Longer"/>
    <n v="12"/>
    <n v="51"/>
    <s v="Christmas"/>
    <s v="12-18"/>
    <x v="78"/>
    <m/>
  </r>
  <r>
    <d v="2025-12-18T00:00:00"/>
    <s v="https://www.etsy.com/ca/listing/4330488178/new-to-the-club-embroidered-baby-romper?transaction_id=4775275115"/>
    <s v="Cream"/>
    <s v="Cream"/>
    <s v=" 0-3M (short-sleeve)"/>
    <s v="United States"/>
    <s v="Romper Short"/>
    <n v="12"/>
    <n v="51"/>
    <s v="Christmas"/>
    <s v="0-3"/>
    <x v="15"/>
    <m/>
  </r>
  <r>
    <d v="2025-12-19T00:00:00"/>
    <s v="https://www.etsy.com/ca/listing/4352935112/custom-baby-romper-personalized-newborn?transaction_id=4775409257"/>
    <s v="Dusty Pink"/>
    <s v="Dusty Pink"/>
    <s v=" 6-12M (long-sleeve)"/>
    <s v="United States"/>
    <s v="Romper Longer"/>
    <n v="12"/>
    <n v="51"/>
    <s v="Christmas"/>
    <s v="6-12"/>
    <x v="51"/>
    <m/>
  </r>
  <r>
    <d v="2025-12-20T00:00:00"/>
    <s v="https://www.etsy.com/ca/listing/4330488178/new-to-the-club-embroidered-baby-romper?transaction_id=4775459183"/>
    <s v="Cream"/>
    <s v="Cream"/>
    <s v=" 0-3M (long-sleeve)"/>
    <s v="United States"/>
    <s v="Romper Longer"/>
    <n v="12"/>
    <n v="51"/>
    <s v="Christmas"/>
    <s v="0-3"/>
    <x v="2"/>
    <m/>
  </r>
  <r>
    <d v="2025-12-21T00:00:00"/>
    <s v="https://www.etsy.com/ca/listing/4376392339/funny-baby-romper-my-brand-of-formula?transaction_id=4775486439"/>
    <s v="Caldet Blue"/>
    <s v="Caldet Blue"/>
    <s v=" 0-3M (long-sleeve)"/>
    <s v="United States"/>
    <s v="Romper Longer"/>
    <n v="12"/>
    <n v="52"/>
    <s v="Christmas"/>
    <s v="0-3"/>
    <x v="9"/>
    <m/>
  </r>
  <r>
    <d v="2025-12-22T00:00:00"/>
    <s v="https://www.etsy.com/ca/listing/4330485404/cat-face-embroidered-baby-romper-my?transaction_id=4776018563"/>
    <s v="Cream"/>
    <s v="Cream"/>
    <s v=" 3-6M (long-sleeve)"/>
    <s v="United States"/>
    <s v="Romper Longer"/>
    <n v="12"/>
    <n v="52"/>
    <s v="Christmas"/>
    <s v="3-6"/>
    <x v="1"/>
    <m/>
  </r>
  <r>
    <d v="2025-12-23T00:00:00"/>
    <s v="https://www.etsy.com/ca/listing/4344237213/mamas-coffee-date-baby-bodysuit-funny?transaction_id=4766582504"/>
    <s v="Watermelon"/>
    <s v="Watermelon"/>
    <s v=" 6-12M (long-sleeve)"/>
    <s v="United States"/>
    <s v="Romper Longer"/>
    <n v="12"/>
    <n v="52"/>
    <s v="Christmas"/>
    <s v="6-12"/>
    <x v="33"/>
    <m/>
  </r>
  <r>
    <d v="2025-12-24T00:00:00"/>
    <s v="https://www.etsy.com/ca/listing/4330488178/new-to-the-club-embroidered-baby-romper?transaction_id=4766618270"/>
    <s v="Cream"/>
    <s v="Cream"/>
    <s v="3-6M (short-sleeve)"/>
    <s v="United States"/>
    <s v="Romper Short"/>
    <n v="12"/>
    <n v="52"/>
    <s v="Christmas"/>
    <s v="3-6"/>
    <x v="0"/>
    <m/>
  </r>
  <r>
    <d v="2025-12-25T00:00:00"/>
    <s v="https://www.etsy.com/ca/listing/4330488178/new-to-the-club-embroidered-baby-romper?transaction_id=4767332430"/>
    <s v="Cream"/>
    <s v="Cream"/>
    <s v=" 0-3M (long-sleeve)"/>
    <s v="United States"/>
    <s v="Romper Longer"/>
    <n v="12"/>
    <n v="52"/>
    <s v="Christmas"/>
    <s v="0-3"/>
    <x v="2"/>
    <m/>
  </r>
  <r>
    <d v="2025-12-26T00:00:00"/>
    <s v="https://www.etsy.com/ca/listing/4372357398/personalized-hunting-baby-romper-custom?transaction_id=4777076849"/>
    <s v="Cream"/>
    <s v="Cream"/>
    <s v=" 0-3M (long-sleeve)"/>
    <s v="United States"/>
    <s v="Romper Longer"/>
    <n v="12"/>
    <n v="52"/>
    <s v="Christmas"/>
    <s v="0-3"/>
    <x v="2"/>
    <m/>
  </r>
  <r>
    <d v="2025-12-27T00:00:00"/>
    <s v="https://www.etsy.com/ca/listing/4330485404/cat-face-embroidered-baby-romper-my?transaction_id=4777131415"/>
    <s v="Caldet Blue"/>
    <s v="Caldet Blue"/>
    <s v="6-12M (short-sleeve)"/>
    <s v="United States"/>
    <s v="Romper Short"/>
    <n v="12"/>
    <n v="52"/>
    <s v="Christmas"/>
    <s v="6-12"/>
    <x v="63"/>
    <m/>
  </r>
  <r>
    <d v="2025-12-28T00:00:00"/>
    <s v="https://www.etsy.com/ca/listing/4336907597/custom-running-baby-romper-daddys-future?transaction_id=4777355331"/>
    <s v="Dusty Pink"/>
    <s v="Dusty Pink"/>
    <s v=" 0-3M (long-sleeve)"/>
    <s v="United States"/>
    <s v="Romper Longer"/>
    <n v="12"/>
    <n v="53"/>
    <s v="Christmas"/>
    <s v="0-3"/>
    <x v="45"/>
    <m/>
  </r>
  <r>
    <d v="2025-12-29T00:00:00"/>
    <s v="https://www.etsy.com/ca/listing/4336903235/personalized-tennis-baby-romper-daddys?transaction_id=4777913793"/>
    <s v="White"/>
    <s v="White"/>
    <s v="3-6M (short-sleeve)"/>
    <s v="United States"/>
    <s v="Romper Short"/>
    <n v="12"/>
    <n v="53"/>
    <s v="Christmas"/>
    <s v="3-6"/>
    <x v="69"/>
    <m/>
  </r>
  <r>
    <d v="2025-12-30T00:00:00"/>
    <s v="https://www.etsy.com/ca/listing/4330488178/new-to-the-club-embroidered-baby-romper?transaction_id=4778082557"/>
    <s v="Dusty Pink"/>
    <s v="Dusty Pink"/>
    <s v=" 3-6M (long-sleeve)"/>
    <s v="United States"/>
    <s v="Romper Longer"/>
    <n v="12"/>
    <n v="53"/>
    <s v="Christmas"/>
    <s v="3-6"/>
    <x v="8"/>
    <m/>
  </r>
  <r>
    <d v="2025-12-31T00:00:00"/>
    <s v="https://www.etsy.com/ca/listing/4376389783/player-2-baby-romper-gamer-baby-outfit?transaction_id=4778366825"/>
    <s v="Caldet Blue"/>
    <s v="Caldet Blue"/>
    <s v=" 6-12M (long-sleeve)"/>
    <s v="United States"/>
    <s v="Romper Longer"/>
    <n v="12"/>
    <n v="53"/>
    <s v="Christmas"/>
    <s v="6-12"/>
    <x v="25"/>
    <m/>
  </r>
  <r>
    <d v="2026-01-01T00:00:00"/>
    <s v="https://www.etsy.com/ca/listing/4330488178/new-to-the-club-embroidered-baby-romper?transaction_id=4778452029"/>
    <s v="Texas Orange"/>
    <s v="Texas Orange"/>
    <s v=" 0-3M (long-sleeve)"/>
    <s v="United States"/>
    <s v="Romper Longer"/>
    <n v="1"/>
    <n v="1"/>
    <s v="NewYear"/>
    <s v="0-3"/>
    <x v="83"/>
    <m/>
  </r>
  <r>
    <d v="2026-01-02T00:00:00"/>
    <s v="https://www.etsy.com/ca/listing/4376392339/funny-baby-romper-my-brand-of-formula?transaction_id=4769137900"/>
    <s v="White"/>
    <s v="White"/>
    <s v=" 0-3M (short-sleeve)"/>
    <s v="United States"/>
    <s v="Romper Short"/>
    <n v="1"/>
    <n v="1"/>
    <s v="NewYear"/>
    <s v="0-3"/>
    <x v="21"/>
    <m/>
  </r>
  <r>
    <d v="2026-01-03T00:00:00"/>
    <s v="https://www.etsy.com/ca/listing/4330485404/cat-face-embroidered-baby-romper-my?transaction_id=4769968346"/>
    <s v="Cream"/>
    <s v="Cream"/>
    <s v=" 0-3M (short-sleeve)"/>
    <s v="United States"/>
    <s v="Romper Short"/>
    <n v="1"/>
    <n v="1"/>
    <s v="NewYear"/>
    <s v="0-3"/>
    <x v="15"/>
    <m/>
  </r>
  <r>
    <d v="2026-01-04T00:00:00"/>
    <s v="https://www.etsy.com/ca/listing/4379182759/golf-baby-outfit-custom-name-golf-cart?transaction_id=4779301133"/>
    <s v="Coffee"/>
    <s v="Coffee"/>
    <s v=" 3-6M (long-sleeve)"/>
    <s v="United States"/>
    <s v="Romper Longer"/>
    <n v="1"/>
    <n v="2"/>
    <s v="NewYear"/>
    <s v="3-6"/>
    <x v="12"/>
    <m/>
  </r>
  <r>
    <d v="2026-01-05T00:00:00"/>
    <s v="https://www.etsy.com/ca/listing/4330488178/new-to-the-club-embroidered-baby-romper?transaction_id=4770474564"/>
    <s v="Cream"/>
    <s v="Cream"/>
    <s v=" 3-6M (long-sleeve)"/>
    <s v="United States"/>
    <s v="Romper Longer"/>
    <n v="1"/>
    <n v="2"/>
    <s v="NewYear"/>
    <s v="3-6"/>
    <x v="1"/>
    <m/>
  </r>
  <r>
    <d v="2026-01-06T00:00:00"/>
    <s v="https://www.etsy.com/ca/listing/4330504943/born-to-play-like-my-daddy-baby-romper?transaction_id=4770595332"/>
    <s v="Cream"/>
    <s v="Cream"/>
    <s v=" 6-12M (long-sleeve)"/>
    <s v="United States"/>
    <s v="Romper Longer"/>
    <n v="1"/>
    <n v="2"/>
    <s v="NewYear"/>
    <s v="6-12"/>
    <x v="17"/>
    <m/>
  </r>
  <r>
    <d v="2026-01-07T00:00:00"/>
    <s v="https://www.etsy.com/ca/listing/4347885967/gigis-bestie-baby-bodysuit-baby-shower?transaction_id=4771434042"/>
    <s v="Mauve Taupe"/>
    <s v="Mauve Taupe"/>
    <s v="12-18M (long-sleeve)"/>
    <s v="United States"/>
    <s v="Romper Longer"/>
    <n v="1"/>
    <n v="2"/>
    <s v="NewYear"/>
    <s v="12-18"/>
    <x v="104"/>
    <m/>
  </r>
  <r>
    <d v="2026-01-08T00:00:00"/>
    <s v="https://www.etsy.com/ca/listing/4330488178/new-to-the-club-embroidered-baby-romper?transaction_id=4771658960"/>
    <s v="Salmon"/>
    <s v="Salmon"/>
    <s v=" 3-6M (long-sleeve)"/>
    <s v="United States"/>
    <s v="Romper Longer"/>
    <n v="1"/>
    <n v="2"/>
    <s v="NewYear"/>
    <s v="3-6"/>
    <x v="49"/>
    <m/>
  </r>
  <r>
    <d v="2026-01-09T00:00:00"/>
    <s v="https://www.etsy.com/ca/listing/4344239173/little-pumpkin-baby-romper-fall?transaction_id=4781362427"/>
    <s v="Cream"/>
    <s v="Cream"/>
    <s v=" 0-3M (long-sleeve)"/>
    <s v="United States"/>
    <s v="Romper Longer"/>
    <n v="1"/>
    <n v="2"/>
    <s v="NewYear"/>
    <s v="0-3"/>
    <x v="2"/>
    <m/>
  </r>
  <r>
    <d v="2026-01-10T00:00:00"/>
    <s v="https://www.etsy.com/ca/listing/4346126210/daddys-future-lifting-buddy-romper-baby?transaction_id=4781544223"/>
    <s v="White"/>
    <s v="White"/>
    <s v=" 3-6M (long-sleeve)"/>
    <s v="United States"/>
    <s v="Romper Longer"/>
    <n v="1"/>
    <n v="2"/>
    <s v="NewYear"/>
    <s v="3-6"/>
    <x v="70"/>
    <m/>
  </r>
  <r>
    <d v="2026-01-11T00:00:00"/>
    <s v="https://www.etsy.com/ca/listing/4330488178/new-to-the-club-embroidered-baby-romper?transaction_id=4772692816"/>
    <s v="White"/>
    <s v="White"/>
    <s v="3-6M (short-sleeve)"/>
    <s v="United States"/>
    <s v="Romper Short"/>
    <n v="1"/>
    <n v="3"/>
    <s v="NewYear"/>
    <s v="3-6"/>
    <x v="69"/>
    <m/>
  </r>
  <r>
    <d v="2026-01-12T00:00:00"/>
    <s v="https://www.etsy.com/ca/listing/4376389783/player-2-baby-romper-gamer-baby-outfit?transaction_id=4772699592"/>
    <s v="Cream"/>
    <s v="Cream"/>
    <s v=" 3-6M (long-sleeve)"/>
    <s v="United States"/>
    <s v="Romper Longer"/>
    <n v="1"/>
    <n v="3"/>
    <s v="NewYear"/>
    <s v="3-6"/>
    <x v="1"/>
    <m/>
  </r>
  <r>
    <d v="2026-01-13T00:00:00"/>
    <s v="https://www.etsy.com/ca/listing/4330488178/new-to-the-club-embroidered-baby-romper?transaction_id=4772820858"/>
    <s v="Caldet Blue"/>
    <s v="Caldet Blue"/>
    <s v=" 3-6M (long-sleeve)"/>
    <s v="United States"/>
    <s v="Romper Longer"/>
    <n v="1"/>
    <n v="3"/>
    <s v="NewYear"/>
    <s v="3-6"/>
    <x v="23"/>
    <m/>
  </r>
  <r>
    <d v="2026-01-14T00:00:00"/>
    <s v="https://www.etsy.com/ca/listing/4344237949/great-grandma-baby-romper-embroidered?transaction_id=4782043373"/>
    <s v="Cream"/>
    <s v="Cream"/>
    <s v=" 0-3M (long-sleeve)"/>
    <s v="United States"/>
    <s v="Romper Longer"/>
    <n v="1"/>
    <n v="3"/>
    <s v="NewYear"/>
    <s v="0-3"/>
    <x v="2"/>
    <m/>
  </r>
  <r>
    <d v="2026-01-15T00:00:00"/>
    <s v="https://www.etsy.com/ca/listing/4330504400/born-to-play-like-my-daddy-baby-romper?transaction_id=4782217637"/>
    <s v="Cream"/>
    <s v="Cream"/>
    <s v=" 6-12M (long-sleeve)"/>
    <s v="United States"/>
    <s v="Romper Longer"/>
    <n v="1"/>
    <n v="3"/>
    <s v="NewYear"/>
    <s v="6-12"/>
    <x v="17"/>
    <m/>
  </r>
  <r>
    <d v="2026-01-16T00:00:00"/>
    <s v="https://www.etsy.com/ca/listing/4330485404/cat-face-embroidered-baby-romper-my?transaction_id=4782324265"/>
    <s v="Coffee"/>
    <s v="Coffee"/>
    <s v=" 3-6M (long-sleeve)"/>
    <s v="United States"/>
    <s v="Romper Longer"/>
    <n v="1"/>
    <n v="3"/>
    <s v="NewYear"/>
    <s v="3-6"/>
    <x v="12"/>
    <m/>
  </r>
  <r>
    <d v="2026-01-17T00:00:00"/>
    <s v="https://www.etsy.com/ca/listing/4371125103/personalized-dog-baby-bodysuit-custom?transaction_id=4773423356"/>
    <s v="Cream"/>
    <s v="Cream"/>
    <s v=" 6-12M (long-sleeve)"/>
    <s v="United States"/>
    <s v="Romper Longer"/>
    <n v="1"/>
    <n v="3"/>
    <s v="NewYear"/>
    <s v="6-12"/>
    <x v="17"/>
    <m/>
  </r>
  <r>
    <d v="2026-01-18T00:00:00"/>
    <s v="https://www.etsy.com/ca/listing/4347260564/football-baby-romper-game-day-baby?transaction_id=4774060898"/>
    <s v="Cream"/>
    <s v="Cream"/>
    <s v=" 0-3M (short-sleeve)"/>
    <s v="United States"/>
    <s v="Romper Short"/>
    <n v="1"/>
    <n v="4"/>
    <s v="NewYear"/>
    <s v="0-3"/>
    <x v="15"/>
    <m/>
  </r>
  <r>
    <d v="2026-01-19T00:00:00"/>
    <s v="https://www.etsy.com/ca/listing/4336907597/custom-running-baby-romper-daddys-future?transaction_id=4783207265"/>
    <s v="Watermelon"/>
    <s v="Watermelon"/>
    <s v="12-18M (short-sleeve)"/>
    <s v="United States"/>
    <s v="Romper Short"/>
    <n v="1"/>
    <n v="4"/>
    <s v="NewYear"/>
    <s v="12-18"/>
    <x v="68"/>
    <m/>
  </r>
  <r>
    <d v="2026-01-20T00:00:00"/>
    <s v="https://www.etsy.com/ca/listing/4376392339/funny-baby-romper-my-brand-of-formula?transaction_id=4775021540"/>
    <s v="White"/>
    <s v="White"/>
    <s v="3-6M (short-sleeve)"/>
    <s v="United States"/>
    <s v="Romper Short"/>
    <n v="1"/>
    <n v="4"/>
    <s v="NewYear"/>
    <s v="3-6"/>
    <x v="69"/>
    <m/>
  </r>
  <r>
    <d v="2026-01-21T00:00:00"/>
    <s v="https://www.etsy.com/ca/listing/4330488178/new-to-the-club-embroidered-baby-romper?transaction_id=4775033140"/>
    <s v="Cream"/>
    <s v="Cream"/>
    <s v=" 0-3M (long-sleeve)"/>
    <s v="United States"/>
    <s v="Romper Longer"/>
    <n v="1"/>
    <n v="4"/>
    <s v="NewYear"/>
    <s v="0-3"/>
    <x v="2"/>
    <m/>
  </r>
  <r>
    <d v="2026-01-22T00:00:00"/>
    <s v="https://www.etsy.com/ca/listing/4330488178/new-to-the-club-embroidered-baby-romper?transaction_id=4783980757"/>
    <s v="Cream"/>
    <s v="Cream"/>
    <s v="3-6M (short-sleeve)"/>
    <s v="United States"/>
    <s v="Romper Short"/>
    <n v="1"/>
    <n v="4"/>
    <s v="NewYear"/>
    <s v="3-6"/>
    <x v="0"/>
    <m/>
  </r>
  <r>
    <d v="2026-01-23T00:00:00"/>
    <s v="https://www.etsy.com/ca/listing/4330485404/cat-face-embroidered-baby-romper-my?transaction_id=4784412741"/>
    <s v="Cream"/>
    <s v="Cream"/>
    <s v="3-6M (short-sleeve)"/>
    <s v="United States"/>
    <s v="Romper Short"/>
    <n v="1"/>
    <n v="4"/>
    <s v="NewYear"/>
    <s v="3-6"/>
    <x v="0"/>
    <m/>
  </r>
  <r>
    <d v="2026-01-24T00:00:00"/>
    <s v="https://www.etsy.com/ca/listing/4330485404/cat-face-embroidered-baby-romper-my?transaction_id=4776234036"/>
    <s v="Cream"/>
    <s v="Cream"/>
    <s v=" 3-6M (long-sleeve)"/>
    <s v="United States"/>
    <s v="Romper Longer"/>
    <n v="1"/>
    <n v="4"/>
    <s v="NewYear"/>
    <s v="3-6"/>
    <x v="1"/>
    <m/>
  </r>
  <r>
    <d v="2026-01-25T00:00:00"/>
    <s v="https://www.etsy.com/ca/listing/4330488178/new-to-the-club-embroidered-baby-romper?transaction_id=4784929621"/>
    <s v="Cream"/>
    <s v="Cream"/>
    <s v=" 0-3M (long-sleeve)"/>
    <s v="United States"/>
    <s v="Romper Longer"/>
    <n v="1"/>
    <n v="5"/>
    <s v="NewYear"/>
    <s v="0-3"/>
    <x v="2"/>
    <m/>
  </r>
  <r>
    <d v="2026-01-26T00:00:00"/>
    <s v="https://www.etsy.com/ca/listing/4376392339/funny-baby-romper-my-brand-of-formula?transaction_id=4784943489"/>
    <s v="Cream"/>
    <s v="Cream"/>
    <s v=" 0-3M (short-sleeve)"/>
    <s v="United States"/>
    <s v="Romper Short"/>
    <n v="1"/>
    <n v="5"/>
    <s v="NewYear"/>
    <s v="0-3"/>
    <x v="15"/>
    <m/>
  </r>
  <r>
    <d v="2026-01-27T00:00:00"/>
    <s v="https://www.etsy.com/ca/listing/4330485404/cat-face-embroidered-baby-romper-my?transaction_id=4784992435"/>
    <s v="Cream"/>
    <s v="Cream"/>
    <s v=" 0-3M (long-sleeve)"/>
    <s v="United States"/>
    <s v="Romper Longer"/>
    <n v="1"/>
    <n v="5"/>
    <s v="NewYear"/>
    <s v="0-3"/>
    <x v="2"/>
    <m/>
  </r>
  <r>
    <d v="2026-01-28T00:00:00"/>
    <s v="https://www.etsy.com/ca/listing/4347885967/gigis-bestie-baby-bodysuit-baby-shower?transaction_id=4776858628"/>
    <s v="Watermelon"/>
    <s v="Watermelon"/>
    <s v=" 3-6M (long-sleeve)"/>
    <s v="United States"/>
    <s v="Romper Longer"/>
    <n v="1"/>
    <n v="5"/>
    <s v="NewYear"/>
    <s v="3-6"/>
    <x v="20"/>
    <m/>
  </r>
  <r>
    <d v="2026-01-29T00:00:00"/>
    <s v="https://www.etsy.com/ca/listing/4330485404/cat-face-embroidered-baby-romper-my?transaction_id=4776896966"/>
    <s v="Mauve Taupe"/>
    <s v="Mauve Taupe"/>
    <s v=" 6-12M (long-sleeve)"/>
    <s v="United States"/>
    <s v="Romper Longer"/>
    <n v="1"/>
    <n v="5"/>
    <s v="NewYear"/>
    <s v="6-12"/>
    <x v="85"/>
    <m/>
  </r>
  <r>
    <d v="2026-01-30T00:00:00"/>
    <s v="https://www.etsy.com/ca/listing/4347885967/gigis-bestie-baby-bodysuit-baby-shower?transaction_id=4785817033"/>
    <s v="Forest Green"/>
    <s v="Forest Green"/>
    <s v="6-12M (short-sleeve)"/>
    <s v="United States"/>
    <s v="Romper Short"/>
    <n v="1"/>
    <n v="5"/>
    <s v="NewYear"/>
    <s v="6-12"/>
    <x v="56"/>
    <m/>
  </r>
  <r>
    <d v="2026-01-31T00:00:00"/>
    <s v="https://www.etsy.com/ca/listing/4330485404/cat-face-embroidered-baby-romper-my?transaction_id=4777833434"/>
    <s v="Cream"/>
    <s v="Cream"/>
    <s v="18-24M (short-sleeve)"/>
    <s v="United States"/>
    <s v="Romper Short"/>
    <n v="1"/>
    <n v="5"/>
    <s v="NewYear"/>
    <s v="18-24"/>
    <x v="16"/>
    <m/>
  </r>
  <r>
    <d v="2026-02-01T00:00:00"/>
    <s v="https://www.etsy.com/ca/listing/4330488178/new-to-the-club-embroidered-baby-romper?transaction_id=4786313817"/>
    <s v="Cream"/>
    <s v="Cream"/>
    <s v=" 0-3M (long-sleeve)"/>
    <s v="United States"/>
    <s v="Romper Longer"/>
    <n v="2"/>
    <n v="6"/>
    <s v="Valentine"/>
    <s v="0-3"/>
    <x v="2"/>
    <m/>
  </r>
  <r>
    <d v="2026-02-02T00:00:00"/>
    <s v="https://www.etsy.com/ca/listing/4376389783/player-2-baby-romper-gamer-baby-outfit?transaction_id=4777925464"/>
    <s v="Cream"/>
    <s v="Cream"/>
    <s v=" 0-3M (short-sleeve)"/>
    <s v="United States"/>
    <s v="Romper Short"/>
    <n v="2"/>
    <n v="6"/>
    <s v="Valentine"/>
    <s v="0-3"/>
    <x v="15"/>
    <m/>
  </r>
  <r>
    <d v="2026-02-03T00:00:00"/>
    <s v="https://www.etsy.com/ca/listing/4347880114/funny-baby-romper-sorry-i-tooted-outfit?transaction_id=4777943286"/>
    <s v="Dusty Pink"/>
    <s v="Dusty Pink"/>
    <s v=" 6-12M (long-sleeve)"/>
    <s v="United States"/>
    <s v="Romper Longer"/>
    <n v="2"/>
    <n v="6"/>
    <s v="Valentine"/>
    <s v="6-12"/>
    <x v="51"/>
    <m/>
  </r>
  <r>
    <d v="2026-02-04T00:00:00"/>
    <s v="https://www.etsy.com/ca/listing/4330485404/cat-face-embroidered-baby-romper-my?transaction_id=4777989480"/>
    <s v="Cream"/>
    <s v="Cream"/>
    <s v="3-6M (short-sleeve)"/>
    <s v="United States"/>
    <s v="Romper Short"/>
    <n v="2"/>
    <n v="6"/>
    <s v="Valentine"/>
    <s v="3-6"/>
    <x v="0"/>
    <m/>
  </r>
  <r>
    <d v="2026-02-05T00:00:00"/>
    <s v="https://www.etsy.com/ca/listing/4346126210/daddys-future-lifting-buddy-romper-baby?transaction_id=4778186828"/>
    <s v="Cream"/>
    <s v="Cream"/>
    <s v=" 0-3M (short-sleeve)"/>
    <s v="United States"/>
    <s v="Romper Short"/>
    <n v="2"/>
    <n v="6"/>
    <s v="Valentine"/>
    <s v="0-3"/>
    <x v="15"/>
    <m/>
  </r>
  <r>
    <d v="2026-02-06T00:00:00"/>
    <s v="https://www.etsy.com/ca/listing/4347885967/gigis-bestie-baby-bodysuit-baby-shower?transaction_id=4778189496"/>
    <s v="Cream"/>
    <s v="Cream"/>
    <s v=" 3-6M (long-sleeve)"/>
    <s v="United States"/>
    <s v="Romper Longer"/>
    <n v="2"/>
    <n v="6"/>
    <s v="Valentine"/>
    <s v="3-6"/>
    <x v="1"/>
    <m/>
  </r>
  <r>
    <d v="2026-02-07T00:00:00"/>
    <s v="https://www.etsy.com/ca/listing/4369781522/crawl-walk-putt-baby-romper-funny-golf?transaction_id=4778775602"/>
    <s v="Coffee"/>
    <s v="Coffee"/>
    <s v=" 0-3M (long-sleeve)"/>
    <s v="United States"/>
    <s v="Romper Longer"/>
    <n v="2"/>
    <n v="6"/>
    <s v="Valentine"/>
    <s v="0-3"/>
    <x v="28"/>
    <m/>
  </r>
  <r>
    <d v="2026-02-08T00:00:00"/>
    <s v="https://www.etsy.com/ca/listing/4346126210/daddys-future-lifting-buddy-romper-baby?transaction_id=4778802876"/>
    <s v="Caldet Blue"/>
    <s v="Caldet Blue"/>
    <s v=" 0-3M (long-sleeve)"/>
    <s v="United States"/>
    <s v="Romper Longer"/>
    <n v="2"/>
    <n v="7"/>
    <s v="Valentine"/>
    <s v="0-3"/>
    <x v="9"/>
    <m/>
  </r>
  <r>
    <d v="2026-02-09T00:00:00"/>
    <s v="https://www.etsy.com/ca/listing/4330488178/new-to-the-club-embroidered-baby-romper?transaction_id=4778924846"/>
    <s v="Cream"/>
    <s v="Cream"/>
    <s v=" 3-6M (long-sleeve)"/>
    <s v="United States"/>
    <s v="Romper Longer"/>
    <n v="2"/>
    <n v="7"/>
    <s v="Valentine"/>
    <s v="3-6"/>
    <x v="1"/>
    <m/>
  </r>
  <r>
    <d v="2026-02-10T00:00:00"/>
    <s v="https://www.etsy.com/ca/listing/4330488178/new-to-the-club-embroidered-baby-romper?transaction_id=4787414565"/>
    <s v="Dusty Pink"/>
    <s v="Dusty Pink"/>
    <s v=" 6-12M (long-sleeve)"/>
    <s v="United States"/>
    <s v="Romper Longer"/>
    <n v="2"/>
    <n v="7"/>
    <s v="Valentine"/>
    <s v="6-12"/>
    <x v="51"/>
    <m/>
  </r>
  <r>
    <d v="2026-02-11T00:00:00"/>
    <s v="https://www.etsy.com/ca/listing/4330488178/new-to-the-club-embroidered-baby-romper?transaction_id=4779126338"/>
    <s v="Salmon"/>
    <s v="Salmon"/>
    <s v="6-12M (short-sleeve)"/>
    <s v="United States"/>
    <s v="Romper Short"/>
    <n v="2"/>
    <n v="7"/>
    <s v="Valentine"/>
    <s v="6-12"/>
    <x v="102"/>
    <m/>
  </r>
  <r>
    <d v="2026-02-12T00:00:00"/>
    <s v="https://www.etsy.com/ca/listing/4376389783/player-2-baby-romper-gamer-baby-outfit?transaction_id=4779226476"/>
    <s v="Cream"/>
    <s v="Cream"/>
    <s v=" 0-3M (long-sleeve)"/>
    <s v="United States"/>
    <s v="Romper Longer"/>
    <n v="2"/>
    <n v="7"/>
    <s v="Valentine"/>
    <s v="0-3"/>
    <x v="2"/>
    <m/>
  </r>
  <r>
    <d v="2026-02-13T00:00:00"/>
    <s v="https://www.etsy.com/ca/listing/4376389783/player-2-baby-romper-gamer-baby-outfit?transaction_id=4787742753"/>
    <s v="Cream"/>
    <s v="Cream"/>
    <s v="6-12M (short-sleeve)"/>
    <s v="United States"/>
    <s v="Romper Short"/>
    <n v="2"/>
    <n v="7"/>
    <s v="Valentine"/>
    <s v="6-12"/>
    <x v="47"/>
    <m/>
  </r>
  <r>
    <d v="2026-02-14T00:00:00"/>
    <s v="https://www.etsy.com/ca/listing/4379194627/new-to-the-farm-embroidered-romper-baby?transaction_id=4787763443"/>
    <s v="Sage Green"/>
    <s v="Sage Green"/>
    <s v=" 0-3M (long-sleeve)"/>
    <s v="United States"/>
    <s v="Romper Longer"/>
    <n v="2"/>
    <n v="7"/>
    <s v="Valentine"/>
    <s v="0-3"/>
    <x v="5"/>
    <m/>
  </r>
  <r>
    <d v="2026-02-15T00:00:00"/>
    <s v="https://www.etsy.com/ca/listing/4376392339/funny-baby-romper-my-brand-of-formula?transaction_id=4779580814"/>
    <s v="White"/>
    <s v="White"/>
    <s v="12-18M (long-sleeve)"/>
    <s v="United States"/>
    <s v="Romper Longer"/>
    <n v="2"/>
    <n v="8"/>
    <s v="Valentine"/>
    <s v="12-18"/>
    <x v="73"/>
    <m/>
  </r>
  <r>
    <d v="2026-01-31T00:00:00"/>
    <s v="https://www.etsy.com/ca/listing/4346126210/daddys-future-lifting-buddy-romper-baby?transaction_id=4788173851"/>
    <s v="Cream"/>
    <s v="Cream"/>
    <s v=" 0-3M (short-sleeve)"/>
    <s v="United States"/>
    <s v="Romper Short"/>
    <n v="1"/>
    <n v="5"/>
    <s v="NewYear"/>
    <s v="0-3"/>
    <x v="15"/>
    <m/>
  </r>
  <r>
    <d v="2026-02-01T00:00:00"/>
    <s v="https://www.etsy.com/ca/listing/4376389783/player-2-baby-romper-gamer-baby-outfit?transaction_id=4788282177"/>
    <s v="White"/>
    <s v="White"/>
    <s v=" 0-3M (long-sleeve)"/>
    <s v="United States"/>
    <s v="Romper Longer"/>
    <n v="2"/>
    <n v="6"/>
    <s v="Valentine"/>
    <s v="0-3"/>
    <x v="54"/>
    <m/>
  </r>
  <r>
    <d v="2026-02-02T00:00:00"/>
    <s v="https://www.etsy.com/ca/listing/4346126210/daddys-future-lifting-buddy-romper-baby?transaction_id=4788547263"/>
    <s v="Caldet Blue"/>
    <s v="Caldet Blue"/>
    <s v="6-12M (short-sleeve)"/>
    <s v="United States"/>
    <s v="Romper Short"/>
    <n v="2"/>
    <n v="6"/>
    <s v="Valentine"/>
    <s v="6-12"/>
    <x v="63"/>
    <m/>
  </r>
  <r>
    <d v="2026-02-03T00:00:00"/>
    <s v="https://www.etsy.com/ca/listing/4347266127/basketball-baby-romper-game-day-baby?transaction_id=4780342274"/>
    <s v="Cream"/>
    <s v="Cream"/>
    <s v="12-18M (long-sleeve)"/>
    <s v="United States"/>
    <s v="Romper Longer"/>
    <n v="2"/>
    <n v="6"/>
    <s v="Valentine"/>
    <s v="12-18"/>
    <x v="53"/>
    <m/>
  </r>
  <r>
    <d v="2026-02-04T00:00:00"/>
    <s v="https://www.etsy.com/ca/listing/4330504155/born-to-play-like-my-daddy-baby-romper?transaction_id=4780712596"/>
    <s v="Cream"/>
    <s v="Cream"/>
    <s v=" 3-6M (long-sleeve)"/>
    <s v="United States"/>
    <s v="Romper Longer"/>
    <n v="2"/>
    <n v="6"/>
    <s v="Valentine"/>
    <s v="3-6"/>
    <x v="1"/>
    <m/>
  </r>
  <r>
    <d v="2025-01-01T00:00:00"/>
    <s v="https://www.etsy.com/ca/listing/4330488178/new-to-the-club-embroidered-baby-romper?transaction_id=4780795772"/>
    <s v="Cream"/>
    <s v="Cream"/>
    <s v="3-6M (short-sleeve)"/>
    <s v="United States"/>
    <s v="Romper Short"/>
    <n v="1"/>
    <n v="1"/>
    <s v="NewYear"/>
    <s v="3-6"/>
    <x v="0"/>
    <m/>
  </r>
  <r>
    <d v="2025-01-02T00:00:00"/>
    <s v="https://www.etsy.com/ca/listing/4376389783/player-2-baby-romper-gamer-baby-outfit?transaction_id=4780826558"/>
    <s v="Sage Green"/>
    <s v="Sage Green"/>
    <s v=" 3-6M (long-sleeve)"/>
    <s v="United States"/>
    <s v="Romper Longer"/>
    <n v="1"/>
    <n v="1"/>
    <s v="NewYear"/>
    <s v="3-6"/>
    <x v="7"/>
    <m/>
  </r>
  <r>
    <d v="2025-01-03T00:00:00"/>
    <s v="https://www.etsy.com/ca/listing/4330488178/new-to-the-club-embroidered-baby-romper?transaction_id=4789874329"/>
    <s v="Cream"/>
    <s v="Cream"/>
    <s v="6-12M (short-sleeve)"/>
    <s v="United States"/>
    <s v="Romper Short"/>
    <n v="1"/>
    <n v="1"/>
    <s v="NewYear"/>
    <s v="6-12"/>
    <x v="47"/>
    <m/>
  </r>
  <r>
    <d v="2025-01-04T00:00:00"/>
    <s v="https://www.etsy.com/ca/listing/4344237949/great-grandma-baby-romper-embroidered?transaction_id=4790351165"/>
    <s v="Cream"/>
    <s v="Cream"/>
    <s v=" 0-3M (short-sleeve)"/>
    <s v="United States"/>
    <s v="Romper Short"/>
    <n v="1"/>
    <n v="1"/>
    <s v="NewYear"/>
    <s v="0-3"/>
    <x v="15"/>
    <m/>
  </r>
  <r>
    <d v="2025-01-05T00:00:00"/>
    <s v="https://www.etsy.com/ca/listing/4330489800/personalized-badminton-baby-romper?transaction_id=4790938147"/>
    <s v="Cream"/>
    <s v="Cream"/>
    <s v=" 3-6M (long-sleeve)"/>
    <s v="United States"/>
    <s v="Romper Longer"/>
    <n v="1"/>
    <n v="2"/>
    <s v="NewYear"/>
    <s v="3-6"/>
    <x v="1"/>
    <m/>
  </r>
  <r>
    <d v="2025-01-06T00:00:00"/>
    <s v="https://www.etsy.com/ca/listing/4351828361/i-may-be-small-but-im-the-boss-baby?transaction_id=4783773442"/>
    <s v="Watermelon"/>
    <s v="Watermelon"/>
    <s v="3-6M (short-sleeve)"/>
    <s v="United States"/>
    <s v="Romper Short"/>
    <n v="1"/>
    <n v="2"/>
    <s v="NewYear"/>
    <s v="3-6"/>
    <x v="39"/>
    <m/>
  </r>
  <r>
    <d v="2025-01-07T00:00:00"/>
    <s v="https://www.etsy.com/ca/listing/4379194627/new-to-the-farm-embroidered-romper-baby?transaction_id=4783965330"/>
    <s v="Dusty Pink"/>
    <s v="Dusty Pink"/>
    <s v=" 3-6M (long-sleeve)"/>
    <s v="United States"/>
    <s v="Romper Longer"/>
    <n v="1"/>
    <n v="2"/>
    <s v="NewYear"/>
    <s v="3-6"/>
    <x v="8"/>
    <m/>
  </r>
  <r>
    <d v="2025-01-08T00:00:00"/>
    <s v="https://www.etsy.com/ca/listing/4372375963/whaley-cute-baby-romper-funny-whale-baby?transaction_id=4793144897"/>
    <s v="Mauve Taupe"/>
    <s v="Mauve Taupe"/>
    <s v=" 3-6M (long-sleeve)"/>
    <s v="United States"/>
    <s v="Romper Longer"/>
    <n v="1"/>
    <n v="2"/>
    <s v="NewYear"/>
    <s v="3-6"/>
    <x v="10"/>
    <m/>
  </r>
  <r>
    <d v="2025-01-09T00:00:00"/>
    <s v="https://www.etsy.com/ca/listing/4379194627/new-to-the-farm-embroidered-romper-baby?transaction_id=4785874468"/>
    <s v="Sage Green"/>
    <s v="Sage Green"/>
    <s v=" 0-3M (long-sleeve)"/>
    <s v="United States"/>
    <s v="Romper Longer"/>
    <n v="1"/>
    <n v="2"/>
    <s v="NewYear"/>
    <s v="0-3"/>
    <x v="5"/>
    <m/>
  </r>
  <r>
    <d v="2025-01-10T00:00:00"/>
    <s v="https://www.etsy.com/ca/listing/4330488178/new-to-the-club-embroidered-baby-romper?transaction_id=4793787359"/>
    <s v="Cream"/>
    <s v="Cream"/>
    <s v=" 0-3M (long-sleeve)"/>
    <s v="United States"/>
    <s v="Romper Longer"/>
    <n v="1"/>
    <n v="2"/>
    <s v="NewYear"/>
    <s v="0-3"/>
    <x v="2"/>
    <m/>
  </r>
  <r>
    <d v="2025-01-11T00:00:00"/>
    <s v="https://www.etsy.com/ca/listing/4376389783/player-2-baby-romper-gamer-baby-outfit?transaction_id=4786468634"/>
    <s v="White"/>
    <s v="White"/>
    <s v="3-6M (short-sleeve)"/>
    <s v="United States"/>
    <s v="Romper Short"/>
    <n v="1"/>
    <n v="2"/>
    <s v="NewYear"/>
    <s v="3-6"/>
    <x v="69"/>
    <m/>
  </r>
  <r>
    <d v="2025-01-12T00:00:00"/>
    <s v="https://www.etsy.com/ca/listing/4330504943/born-to-play-like-my-daddy-baby-romper?transaction_id=4786479914"/>
    <s v="Coffee"/>
    <s v="Coffee"/>
    <s v=" 3-6M (long-sleeve)"/>
    <s v="United States"/>
    <s v="Romper Longer"/>
    <n v="1"/>
    <n v="3"/>
    <s v="NewYear"/>
    <s v="3-6"/>
    <x v="12"/>
    <m/>
  </r>
  <r>
    <d v="2025-01-13T00:00:00"/>
    <s v="https://www.etsy.com/ca/listing/4330488178/new-to-the-club-embroidered-baby-romper?transaction_id=4794753885"/>
    <s v="Cream"/>
    <s v="Cream"/>
    <s v="3-6M (short-sleeve)"/>
    <s v="United States"/>
    <s v="Romper Short"/>
    <n v="1"/>
    <n v="3"/>
    <s v="NewYear"/>
    <s v="3-6"/>
    <x v="0"/>
    <m/>
  </r>
  <r>
    <d v="2025-01-14T00:00:00"/>
    <s v="https://www.etsy.com/ca/listing/4392935796/box-box-for-fresh-diapers-embroidered?transaction_id=4794947933"/>
    <s v="Watermelon"/>
    <s v="Watermelon"/>
    <s v="12-18M (long-sleeve)"/>
    <s v="United States"/>
    <s v="Romper Longer"/>
    <n v="1"/>
    <n v="3"/>
    <s v="NewYear"/>
    <s v="12-18"/>
    <x v="78"/>
    <m/>
  </r>
  <r>
    <d v="2025-01-15T00:00:00"/>
    <s v="https://www.etsy.com/ca/listing/4347260564/football-baby-romper-game-day-baby?transaction_id=4787816140"/>
    <s v="White"/>
    <s v="White"/>
    <s v=" 6-12M (long-sleeve)"/>
    <s v="United States"/>
    <s v="Romper Longer"/>
    <n v="1"/>
    <n v="3"/>
    <s v="NewYear"/>
    <s v="6-12"/>
    <x v="46"/>
    <m/>
  </r>
  <r>
    <d v="2025-01-16T00:00:00"/>
    <s v="https://www.etsy.com/ca/listing/4376399899/the-littlest-book-club-member-baby?transaction_id=4795445411"/>
    <s v="Sage Green"/>
    <s v="Sage Green"/>
    <s v=" 6-12M (long-sleeve)"/>
    <s v="United States"/>
    <s v="Romper Longer"/>
    <n v="1"/>
    <n v="3"/>
    <s v="NewYear"/>
    <s v="6-12"/>
    <x v="3"/>
    <m/>
  </r>
  <r>
    <d v="2025-01-17T00:00:00"/>
    <s v="https://www.etsy.com/ca/listing/4330488178/new-to-the-club-embroidered-baby-romper?transaction_id=4795782413"/>
    <s v="Cream"/>
    <s v="Cream"/>
    <s v=" 0-3M (long-sleeve)"/>
    <s v="United States"/>
    <s v="Romper Longer"/>
    <n v="1"/>
    <n v="3"/>
    <s v="NewYear"/>
    <s v="0-3"/>
    <x v="2"/>
    <m/>
  </r>
  <r>
    <d v="2025-01-18T00:00:00"/>
    <s v="https://www.etsy.com/ca/listing/4392929794/little-latke-embroidered-romper-hanukkah?transaction_id=4796034497"/>
    <s v="Cream"/>
    <s v="Cream"/>
    <s v="18-24M (long-sleeve)"/>
    <s v="United States"/>
    <s v="Romper Longer"/>
    <n v="1"/>
    <n v="3"/>
    <s v="NewYear"/>
    <s v="18-24"/>
    <x v="55"/>
    <m/>
  </r>
  <r>
    <d v="2025-01-19T00:00:00"/>
    <s v="https://www.etsy.com/ca/listing/4330488178/new-to-the-club-embroidered-baby-romper?transaction_id=4788888486"/>
    <s v="Cream"/>
    <s v="Cream"/>
    <s v=" 6-12M (long-sleeve)"/>
    <s v="United States"/>
    <s v="Romper Longer"/>
    <n v="1"/>
    <n v="4"/>
    <s v="NewYear"/>
    <s v="6-12"/>
    <x v="17"/>
    <m/>
  </r>
  <r>
    <d v="2025-01-20T00:00:00"/>
    <s v="https://www.etsy.com/ca/listing/4392932100/born-to-ride-with-my-daddy-embroidered?transaction_id=4789074346"/>
    <s v="Cream"/>
    <s v="Cream"/>
    <s v=" 0-3M (long-sleeve)"/>
    <s v="United States"/>
    <s v="Romper Longer"/>
    <n v="1"/>
    <n v="4"/>
    <s v="NewYear"/>
    <s v="0-3"/>
    <x v="2"/>
    <m/>
  </r>
  <r>
    <d v="2025-01-21T00:00:00"/>
    <s v="https://www.etsy.com/ca/listing/4330488178/new-to-the-club-embroidered-baby-romper?transaction_id=4789117098"/>
    <s v="Cream"/>
    <s v="Cream"/>
    <s v=" 0-3M (long-sleeve)"/>
    <s v="United States"/>
    <s v="Romper Longer"/>
    <n v="1"/>
    <n v="4"/>
    <s v="NewYear"/>
    <s v="0-3"/>
    <x v="2"/>
    <m/>
  </r>
  <r>
    <d v="2025-01-22T00:00:00"/>
    <s v="https://www.etsy.com/ca/listing/4346126210/daddys-future-lifting-buddy-romper-baby?transaction_id=4789471474"/>
    <s v="White"/>
    <s v="White"/>
    <s v="18-24M (short-sleeve)"/>
    <s v="United States"/>
    <s v="Romper Short"/>
    <n v="1"/>
    <n v="4"/>
    <s v="NewYear"/>
    <s v="18-24"/>
    <x v="43"/>
    <m/>
  </r>
  <r>
    <d v="2025-01-23T00:00:00"/>
    <s v="https://www.etsy.com/ca/listing/4330488178/new-to-the-club-embroidered-baby-romper?transaction_id=4790021242"/>
    <s v="forest green"/>
    <s v="Forest Green"/>
    <s v=" 0-3M (long-sleeve)"/>
    <s v="United States"/>
    <s v="Romper Longer"/>
    <n v="1"/>
    <n v="4"/>
    <s v="NewYear"/>
    <s v="0-3"/>
    <x v="41"/>
    <m/>
  </r>
  <r>
    <d v="2025-01-24T00:00:00"/>
    <s v="https://www.etsy.com/ca/listing/4376401181/challah-at-your-girl-baby-bodysuit-funny?transaction_id=4797460051"/>
    <s v="Cream"/>
    <s v="Cream"/>
    <s v=" 0-3M (long-sleeve)"/>
    <s v="United States"/>
    <s v="Romper Longer"/>
    <n v="1"/>
    <n v="4"/>
    <s v="NewYear"/>
    <s v="0-3"/>
    <x v="2"/>
    <m/>
  </r>
  <r>
    <d v="2025-01-25T00:00:00"/>
    <s v="https://www.etsy.com/ca/listing/4330485404/cat-face-embroidered-baby-romper-my?transaction_id=4797906719"/>
    <s v="Cream"/>
    <s v="Cream"/>
    <s v="3-6M (short-sleeve)"/>
    <s v="United States"/>
    <s v="Romper Short"/>
    <n v="1"/>
    <n v="4"/>
    <s v="NewYear"/>
    <s v="3-6"/>
    <x v="0"/>
    <m/>
  </r>
  <r>
    <d v="2025-01-26T00:00:00"/>
    <s v="https://www.etsy.com/ca/listing/4392932100/born-to-ride-with-my-daddy-embroidered?transaction_id=4798046737"/>
    <s v="Dusty Pink"/>
    <s v="Dusty Pink"/>
    <s v=" 0-3M (long-sleeve)"/>
    <s v="United States"/>
    <s v="Romper Longer"/>
    <n v="1"/>
    <n v="5"/>
    <s v="NewYear"/>
    <s v="0-3"/>
    <x v="45"/>
    <m/>
  </r>
  <r>
    <d v="2025-01-27T00:00:00"/>
    <s v="https://www.etsy.com/ca/listing/4371125103/personalized-dog-baby-bodysuit-custom?transaction_id=4790701024"/>
    <s v="Cream"/>
    <s v="Cream"/>
    <s v=" 0-3M (long-sleeve)"/>
    <s v="United States"/>
    <s v="Romper Longer"/>
    <n v="1"/>
    <n v="5"/>
    <s v="NewYear"/>
    <s v="0-3"/>
    <x v="2"/>
    <m/>
  </r>
  <r>
    <d v="2025-01-28T00:00:00"/>
    <s v="https://www.etsy.com/ca/listing/4330485404/cat-face-embroidered-baby-romper-my?transaction_id=4790836200"/>
    <s v="Caldet Blue"/>
    <s v="Caldet Blue"/>
    <s v=" 0-3M (long-sleeve)"/>
    <s v="United States"/>
    <s v="Romper Longer"/>
    <n v="1"/>
    <n v="5"/>
    <s v="NewYear"/>
    <s v="0-3"/>
    <x v="9"/>
    <m/>
  </r>
  <r>
    <d v="2025-01-29T00:00:00"/>
    <s v="https://www.etsy.com/ca/listing/4346126210/daddys-future-lifting-buddy-romper-baby?transaction_id=4798481163"/>
    <s v="Cream"/>
    <s v="Cream"/>
    <s v="18-24M (long-sleeve)"/>
    <s v="United States"/>
    <s v="Romper Longer"/>
    <n v="1"/>
    <n v="5"/>
    <s v="NewYear"/>
    <s v="18-24"/>
    <x v="55"/>
    <m/>
  </r>
  <r>
    <d v="2025-01-30T00:00:00"/>
    <s v="https://www.etsy.com/ca/listing/4392929794/little-latke-embroidered-romper-hanukkah?transaction_id=4798639335"/>
    <s v="Caldet Blue"/>
    <s v="Caldet Blue"/>
    <s v="6-12M (short-sleeve)"/>
    <s v="United States"/>
    <s v="Romper Short"/>
    <n v="1"/>
    <n v="5"/>
    <s v="NewYear"/>
    <s v="6-12"/>
    <x v="63"/>
    <m/>
  </r>
  <r>
    <d v="2025-01-31T00:00:00"/>
    <s v="https://www.etsy.com/ca/listing/4379182759/golf-baby-outfit-custom-name-golf-cart?transaction_id=4779301133"/>
    <s v="Coffee"/>
    <s v="Coffee"/>
    <s v=" 3-6M (long-sleeve)"/>
    <s v="United States"/>
    <s v="Romper Longer"/>
    <n v="1"/>
    <n v="5"/>
    <s v="NewYear"/>
    <s v="3-6"/>
    <x v="12"/>
    <m/>
  </r>
  <r>
    <d v="2025-02-01T00:00:00"/>
    <s v="https://www.etsy.com/ca/listing/4376399899/the-littlest-book-club-member-baby?transaction_id=4791570500"/>
    <s v="Forest Green"/>
    <s v="Forest Green"/>
    <s v=" 0-3M (long-sleeve)"/>
    <s v="United States"/>
    <s v="Romper Longer"/>
    <n v="2"/>
    <n v="5"/>
    <s v="Valentine"/>
    <s v="0-3"/>
    <x v="41"/>
    <m/>
  </r>
  <r>
    <d v="2025-02-02T00:00:00"/>
    <s v="https://www.etsy.com/ca/listing/4392929794/little-latke-embroidered-romper-hanukkah?transaction_id=4799541059"/>
    <s v="Texas Orange"/>
    <s v="Texas Orange"/>
    <s v="12-18M (long-sleeve)"/>
    <s v="United States"/>
    <s v="Romper Longer"/>
    <n v="2"/>
    <n v="6"/>
    <s v="Valentine"/>
    <s v="12-18"/>
    <x v="105"/>
    <m/>
  </r>
  <r>
    <d v="2025-02-03T00:00:00"/>
    <s v="https://www.etsy.com/ca/listing/4330488178/new-to-the-club-embroidered-baby-romper?transaction_id=4799597203"/>
    <s v="Cream"/>
    <s v="Cream"/>
    <s v=" 0-3M (long-sleeve)"/>
    <s v="United States"/>
    <s v="Romper Longer"/>
    <n v="2"/>
    <n v="6"/>
    <s v="Valentine"/>
    <s v="0-3"/>
    <x v="2"/>
    <m/>
  </r>
  <r>
    <d v="2025-02-04T00:00:00"/>
    <s v="https://www.etsy.com/ca/listing/4344231895/shhh-im-reading-with-mommy-baby-bodysuit?transaction_id=4792415746"/>
    <s v="Cream"/>
    <s v="Cream"/>
    <s v=" 6-12M (long-sleeve)"/>
    <s v="United States"/>
    <s v="Romper Longer"/>
    <n v="2"/>
    <n v="6"/>
    <s v="Valentine"/>
    <s v="6-12"/>
    <x v="17"/>
    <m/>
  </r>
  <r>
    <d v="2025-02-05T00:00:00"/>
    <s v="https://www.etsy.com/ca/listing/4330485404/cat-face-embroidered-baby-romper-my?transaction_id=4792415744"/>
    <s v="Cream"/>
    <s v="Cream"/>
    <s v="3-6M (short-sleeve)"/>
    <s v="United States"/>
    <s v="Romper Short"/>
    <n v="2"/>
    <n v="6"/>
    <s v="Valentine"/>
    <s v="3-6"/>
    <x v="0"/>
    <m/>
  </r>
  <r>
    <d v="2025-02-06T00:00:00"/>
    <s v="https://www.etsy.com/ca/listing/4346126210/daddys-future-lifting-buddy-romper-baby?transaction_id=4792445404"/>
    <s v="White"/>
    <s v="White"/>
    <s v=" 0-3M (short-sleeve)"/>
    <s v="United States"/>
    <s v="Romper Short"/>
    <n v="2"/>
    <n v="6"/>
    <s v="Valentine"/>
    <s v="0-3"/>
    <x v="21"/>
    <m/>
  </r>
  <r>
    <d v="2025-02-07T00:00:00"/>
    <s v="https://www.etsy.com/ca/listing/4330485404/cat-face-embroidered-baby-romper-my?transaction_id=4799789203"/>
    <s v="Cream"/>
    <s v="Cream"/>
    <s v=" 3-6M (long-sleeve)"/>
    <s v="United States"/>
    <s v="Romper Longer"/>
    <n v="2"/>
    <n v="6"/>
    <s v="Valentine"/>
    <s v="3-6"/>
    <x v="1"/>
    <m/>
  </r>
  <r>
    <d v="2025-02-08T00:00:00"/>
    <s v="https://www.etsy.com/ca/listing/4347885967/gigis-bestie-baby-bodysuit-baby-shower?transaction_id=4778189496"/>
    <s v="Caldet Blue"/>
    <s v="Caldet Blue"/>
    <s v=" 3-6M (long-sleeve)"/>
    <s v="United States"/>
    <s v="Romper Longer"/>
    <n v="2"/>
    <n v="6"/>
    <s v="Valentine"/>
    <s v="3-6"/>
    <x v="23"/>
    <m/>
  </r>
  <r>
    <d v="2025-02-09T00:00:00"/>
    <s v="https://www.etsy.com/ca/listing/4379182759/golf-baby-outfit-custom-name-golf-cart?transaction_id=4792977398"/>
    <s v="Sage Green"/>
    <s v="Sage Green"/>
    <s v=" 0-3M (long-sleeve)"/>
    <s v="United States"/>
    <s v="Romper Longer"/>
    <n v="2"/>
    <n v="7"/>
    <s v="Valentine"/>
    <s v="0-3"/>
    <x v="5"/>
    <m/>
  </r>
  <r>
    <d v="2025-02-10T00:00:00"/>
    <s v="https://www.etsy.com/ca/listing/4330485404/cat-face-embroidered-baby-romper-my?transaction_id=4793202970"/>
    <s v="Cream"/>
    <s v="Cream"/>
    <s v=" 0-3M (long-sleeve)"/>
    <s v="United States"/>
    <s v="Romper Longer"/>
    <n v="2"/>
    <n v="7"/>
    <s v="Valentine"/>
    <s v="0-3"/>
    <x v="2"/>
    <m/>
  </r>
  <r>
    <d v="2025-02-11T00:00:00"/>
    <s v="https://www.etsy.com/ca/listing/4330488178/new-to-the-club-embroidered-baby-romper?transaction_id=4801210545"/>
    <s v="Caldet Blue"/>
    <s v="Caldet Blue"/>
    <s v=" 6-12M (long-sleeve)"/>
    <s v="United States"/>
    <s v="Romper Longer"/>
    <n v="2"/>
    <n v="7"/>
    <s v="Valentine"/>
    <s v="6-12"/>
    <x v="25"/>
    <m/>
  </r>
  <r>
    <d v="2025-02-12T00:00:00"/>
    <s v="https://www.etsy.com/ca/listing/4392929794/little-latke-embroidered-romper-hanukkah?transaction_id=4794119302"/>
    <s v="Cream"/>
    <s v="Cream"/>
    <s v=" 3-6M (long-sleeve)"/>
    <s v="United States"/>
    <s v="Romper Longer"/>
    <n v="2"/>
    <n v="7"/>
    <s v="Valentine"/>
    <s v="3-6"/>
    <x v="1"/>
    <m/>
  </r>
  <r>
    <d v="2025-02-13T00:00:00"/>
    <s v="https://www.etsy.com/ca/listing/4371125103/personalized-dog-baby-bodysuit-custom?transaction_id=4801423345"/>
    <s v="Cream"/>
    <s v="Cream"/>
    <s v="3-6M (short-sleeve)"/>
    <s v="United States"/>
    <s v="Romper Short"/>
    <n v="2"/>
    <n v="7"/>
    <s v="Valentine"/>
    <s v="3-6"/>
    <x v="0"/>
    <m/>
  </r>
  <r>
    <d v="2025-02-14T00:00:00"/>
    <s v="https://www.etsy.com/ca/listing/4336902854/personalized-football-baby-romper-daddys?transaction_id=4801428183"/>
    <s v="Caldet Blue"/>
    <s v="Caldet Blue"/>
    <s v=" 6-12M (long-sleeve)"/>
    <s v="United States"/>
    <s v="Romper Longer"/>
    <n v="2"/>
    <n v="7"/>
    <s v="Valentine"/>
    <s v="6-12"/>
    <x v="25"/>
    <m/>
  </r>
  <r>
    <d v="2025-02-15T00:00:00"/>
    <s v="https://www.etsy.com/ca/listing/4392929794/little-latke-embroidered-romper-hanukkah?transaction_id=4794593480"/>
    <s v="Cream"/>
    <s v="Cream"/>
    <s v=" 3-6M (long-sleeve)"/>
    <s v="United States"/>
    <s v="Romper Longer"/>
    <n v="2"/>
    <n v="7"/>
    <s v="Valentine"/>
    <s v="3-6"/>
    <x v="1"/>
    <m/>
  </r>
  <r>
    <d v="2025-02-16T00:00:00"/>
    <s v="https://www.etsy.com/ca/listing/4392929794/little-latke-embroidered-romper-hanukkah?transaction_id=4801754261"/>
    <s v="Cream"/>
    <s v="Cream"/>
    <s v="18-24M (long-sleeve)"/>
    <s v="United States"/>
    <s v="Romper Longer"/>
    <n v="2"/>
    <n v="8"/>
    <s v="Valentine"/>
    <s v="18-24"/>
    <x v="55"/>
    <m/>
  </r>
  <r>
    <d v="2025-02-17T00:00:00"/>
    <s v="https://www.etsy.com/ca/listing/4379182759/golf-baby-outfit-custom-name-golf-cart?transaction_id=4801856889"/>
    <s v="Cream"/>
    <s v="Cream"/>
    <s v="3-6M (short-sleeve)"/>
    <s v="United States"/>
    <s v="Romper Short"/>
    <n v="2"/>
    <n v="8"/>
    <s v="Valentine"/>
    <s v="3-6"/>
    <x v="0"/>
    <m/>
  </r>
  <r>
    <d v="2025-02-18T00:00:00"/>
    <s v="https://www.etsy.com/ca/listing/4392929794/little-latke-embroidered-romper-hanukkah?transaction_id=4801894013"/>
    <s v="Cream"/>
    <s v="Cream"/>
    <s v="12-18M (long-sleeve)"/>
    <s v="United States"/>
    <s v="Romper Longer"/>
    <n v="2"/>
    <n v="8"/>
    <s v="Valentine"/>
    <s v="12-18"/>
    <x v="53"/>
    <m/>
  </r>
  <r>
    <d v="2025-02-19T00:00:00"/>
    <s v="https://www.etsy.com/ca/listing/4333134764/wizard-font-baby-romper-personalized?transaction_id=4801919135"/>
    <s v="Sage Green"/>
    <s v="Sage Green"/>
    <s v="12-18M (short-sleeve)"/>
    <s v="United States"/>
    <s v="Romper Short"/>
    <n v="2"/>
    <n v="8"/>
    <s v="Valentine"/>
    <s v="12-18"/>
    <x v="74"/>
    <m/>
  </r>
  <r>
    <d v="2025-02-20T00:00:00"/>
    <s v="https://www.etsy.com/ca/listing/4330504943/embroidered-tennis-baby-romper-daddys?transaction_id=4795025916"/>
    <s v="Cream"/>
    <s v="Cream"/>
    <s v=" 3-6M (long-sleeve)"/>
    <s v="United States"/>
    <s v="Romper Longer"/>
    <n v="2"/>
    <n v="8"/>
    <s v="Valentine"/>
    <s v="3-6"/>
    <x v="1"/>
    <m/>
  </r>
  <r>
    <d v="2025-02-21T00:00:00"/>
    <s v="https://www.etsy.com/ca/listing/4346126210/daddys-future-lifting-buddy-romper-baby?transaction_id=4795092456"/>
    <s v="Cream"/>
    <s v="Cream"/>
    <s v=" 0-3M (short-sleeve)"/>
    <s v="United States"/>
    <s v="Romper Short"/>
    <n v="2"/>
    <n v="8"/>
    <s v="Valentine"/>
    <s v="0-3"/>
    <x v="15"/>
    <m/>
  </r>
  <r>
    <d v="2025-02-22T00:00:00"/>
    <s v="https://www.etsy.com/ca/listing/4330485404/cat-face-embroidered-baby-romper-funny?transaction_id=4795119478"/>
    <s v="Cream"/>
    <s v="Cream"/>
    <s v=" 0-3M (long-sleeve)"/>
    <s v="United States"/>
    <s v="Romper Longer"/>
    <n v="2"/>
    <n v="8"/>
    <s v="Valentine"/>
    <s v="0-3"/>
    <x v="2"/>
    <m/>
  </r>
  <r>
    <d v="2025-02-23T00:00:00"/>
    <s v="https://www.etsy.com/ca/listing/4392929794/little-latke-embroidered-romper-hanukkah?transaction_id=4795137958"/>
    <s v="Cream"/>
    <s v="Cream"/>
    <s v=" 3-6M (long-sleeve)"/>
    <s v="United States"/>
    <s v="Romper Longer"/>
    <n v="2"/>
    <n v="9"/>
    <s v="Valentine"/>
    <s v="3-6"/>
    <x v="1"/>
    <m/>
  </r>
  <r>
    <d v="2025-02-24T00:00:00"/>
    <s v="https://www.etsy.com/ca/listing/4330485404/cat-face-embroidered-baby-romper-funny?transaction_id=4795289634"/>
    <s v="Sage Green"/>
    <s v="Sage Green"/>
    <s v="6-12M (short-sleeve)"/>
    <s v="United States"/>
    <s v="Romper Short"/>
    <n v="2"/>
    <n v="9"/>
    <s v="Valentine"/>
    <s v="6-12"/>
    <x v="19"/>
    <m/>
  </r>
  <r>
    <d v="2025-02-25T00:00:00"/>
    <s v="https://www.etsy.com/ca/listing/4344235128/new-to-the-hive-baby-romper-embroidered?transaction_id=4802598967"/>
    <s v="Cream"/>
    <s v="Cream"/>
    <s v=" 0-3M (short-sleeve)"/>
    <s v="United States"/>
    <s v="Romper Short"/>
    <n v="2"/>
    <n v="9"/>
    <s v="Valentine"/>
    <s v="0-3"/>
    <x v="15"/>
    <m/>
  </r>
  <r>
    <d v="2025-02-26T00:00:00"/>
    <s v="https://www.etsy.com/ca/listing/4376389783/player-2-baby-romper-gamer-baby-outfit?transaction_id=4802761791"/>
    <s v="Caldet Blue"/>
    <s v="Caldet Blue"/>
    <s v=" 0-3M (long-sleeve)"/>
    <s v="United States"/>
    <s v="Romper Longer"/>
    <n v="2"/>
    <n v="9"/>
    <s v="Valentine"/>
    <s v="0-3"/>
    <x v="9"/>
    <m/>
  </r>
  <r>
    <d v="2025-02-27T00:00:00"/>
    <s v="https://www.etsy.com/ca/listing/4392929794/little-latke-embroidered-romper-hanukkah?transaction_id=4795710912"/>
    <s v="Cream"/>
    <s v="Cream"/>
    <s v="3-6M (short-sleeve)"/>
    <s v="United States"/>
    <s v="Romper Short"/>
    <n v="2"/>
    <n v="9"/>
    <s v="Valentine"/>
    <s v="3-6"/>
    <x v="0"/>
    <m/>
  </r>
  <r>
    <d v="2025-02-28T00:00:00"/>
    <s v="https://www.etsy.com/ca/listing/4330485404/cat-face-embroidered-baby-romper-funny?transaction_id=4802778277"/>
    <s v="Cream"/>
    <s v="Cream"/>
    <s v=" 0-3M (long-sleeve)"/>
    <s v="United States"/>
    <s v="Romper Longer"/>
    <n v="2"/>
    <n v="9"/>
    <s v="Valentine"/>
    <s v="0-3"/>
    <x v="2"/>
    <m/>
  </r>
  <r>
    <d v="2025-03-01T00:00:00"/>
    <s v="https://www.etsy.com/ca/listing/4352935112/custom-baby-romper-personalized-newborn?transaction_id=4795957426"/>
    <s v="White"/>
    <s v="White"/>
    <s v=" 3-6M (long-sleeve)"/>
    <s v="United States"/>
    <s v="Romper Longer"/>
    <n v="3"/>
    <n v="9"/>
    <s v="Easter"/>
    <s v="3-6"/>
    <x v="70"/>
    <m/>
  </r>
  <r>
    <d v="2025-03-02T00:00:00"/>
    <s v="https://www.etsy.com/ca/listing/4376389783/player-2-baby-romper-gamer-baby-outfit?transaction_id=4803198411"/>
    <s v="Cream"/>
    <s v="Cream"/>
    <s v=" 0-3M (long-sleeve)"/>
    <s v="United States"/>
    <s v="Romper Longer"/>
    <n v="3"/>
    <n v="10"/>
    <s v="Easter"/>
    <s v="0-3"/>
    <x v="2"/>
    <m/>
  </r>
  <r>
    <d v="2025-03-03T00:00:00"/>
    <s v="https://www.etsy.com/ca/listing/4371125103/personalized-dog-baby-bodysuit-custom?transaction_id=4803328799"/>
    <s v="Sage Green"/>
    <s v="Sage Green"/>
    <s v=" 0-3M (short-sleeve)"/>
    <s v="United States"/>
    <s v="Romper Short"/>
    <n v="3"/>
    <n v="10"/>
    <s v="Easter"/>
    <s v="0-3"/>
    <x v="13"/>
    <m/>
  </r>
  <r>
    <d v="2025-03-04T00:00:00"/>
    <s v="https://www.etsy.com/ca/listing/4330483435/embroidered-coffee-bean-baby-romper?transaction_id=4803339611"/>
    <s v="White"/>
    <s v="White"/>
    <s v=" 3-6M (long-sleeve)"/>
    <s v="United States"/>
    <s v="Romper Longer"/>
    <n v="3"/>
    <n v="10"/>
    <s v="Easter"/>
    <s v="3-6"/>
    <x v="70"/>
    <m/>
  </r>
  <r>
    <d v="2025-03-05T00:00:00"/>
    <s v="https://www.etsy.com/ca/listing/4371125103/personalized-dog-baby-bodysuit-custom?transaction_id=4803685059"/>
    <s v="Forest Green"/>
    <s v="Forest Green"/>
    <s v=" 0-3M (short-sleeve)"/>
    <s v="United States"/>
    <s v="Romper Short"/>
    <n v="3"/>
    <n v="10"/>
    <s v="Easter"/>
    <s v="0-3"/>
    <x v="52"/>
    <m/>
  </r>
  <r>
    <d v="2025-03-06T00:00:00"/>
    <s v="https://www.etsy.com/ca/listing/4372352286/silly-goose-baby-romper-funny-infant?transaction_id=4797264906"/>
    <s v="Sage Green"/>
    <s v="Sage Green"/>
    <s v="6-12M (short-sleeve)"/>
    <s v="United States"/>
    <s v="Romper Short"/>
    <n v="3"/>
    <n v="10"/>
    <s v="Easter"/>
    <s v="6-12"/>
    <x v="19"/>
    <m/>
  </r>
  <r>
    <d v="2025-03-07T00:00:00"/>
    <s v="https://www.etsy.com/ca/listing/4392935796/box-box-for-fresh-diapers-embroidered?transaction_id=4804593617"/>
    <s v="Cream"/>
    <s v="Cream"/>
    <s v=" 3-6M (long-sleeve)"/>
    <s v="United States"/>
    <s v="Romper Longer"/>
    <n v="3"/>
    <n v="10"/>
    <s v="Easter"/>
    <s v="3-6"/>
    <x v="1"/>
    <m/>
  </r>
  <r>
    <d v="2025-03-08T00:00:00"/>
    <s v="https://www.etsy.com/ca/listing/4392929794/little-latke-embroidered-romper-hanukkah?transaction_id=4797580766"/>
    <s v="Cream"/>
    <s v="Cream"/>
    <s v=" 0-3M (long-sleeve)"/>
    <s v="United States"/>
    <s v="Romper Longer"/>
    <n v="3"/>
    <n v="10"/>
    <s v="Easter"/>
    <s v="0-3"/>
    <x v="2"/>
    <m/>
  </r>
  <r>
    <d v="2025-03-09T00:00:00"/>
    <s v="https://www.etsy.com/ca/listing/4392929794/little-latke-embroidered-romper-hanukkah?transaction_id=4797836512"/>
    <s v="Cream"/>
    <s v="Cream"/>
    <s v=" 0-3M (long-sleeve)"/>
    <s v="United States"/>
    <s v="Romper Longer"/>
    <n v="3"/>
    <n v="11"/>
    <s v="Easter"/>
    <s v="0-3"/>
    <x v="2"/>
    <m/>
  </r>
  <r>
    <d v="2025-03-10T00:00:00"/>
    <s v="https://www.etsy.com/ca/listing/4330488178/embroidered-golf-baby-romper-new-to-the?transaction_id=4805170131"/>
    <s v="Cream"/>
    <s v="Cream"/>
    <s v="6-12M (short-sleeve)"/>
    <s v="United States"/>
    <s v="Romper Short"/>
    <n v="3"/>
    <n v="11"/>
    <s v="Easter"/>
    <s v="6-12"/>
    <x v="47"/>
    <m/>
  </r>
  <r>
    <d v="2025-03-11T00:00:00"/>
    <s v="https://www.etsy.com/ca/listing/4392929794/little-latke-embroidered-romper-hanukkah?transaction_id=4805283957"/>
    <s v="White"/>
    <s v="White"/>
    <s v=" 6-12M (long-sleeve)"/>
    <s v="United States"/>
    <s v="Romper Longer"/>
    <n v="3"/>
    <n v="11"/>
    <s v="Easter"/>
    <s v="6-12"/>
    <x v="46"/>
    <m/>
  </r>
  <r>
    <d v="2025-03-12T00:00:00"/>
    <s v="https://www.etsy.com/ca/listing/4330488178/embroidered-golf-baby-romper-new-to-the?transaction_id=4805299605"/>
    <s v="Caldet Blue"/>
    <s v="Caldet Blue"/>
    <s v=" 3-6M (long-sleeve)"/>
    <s v="United States"/>
    <s v="Romper Longer"/>
    <n v="3"/>
    <n v="11"/>
    <s v="Easter"/>
    <s v="3-6"/>
    <x v="23"/>
    <m/>
  </r>
  <r>
    <d v="2025-03-13T00:00:00"/>
    <s v="https://www.etsy.com/ca/listing/4392932100/born-to-ride-with-my-daddy-embroidered?transaction_id=4798197704"/>
    <s v="Watermelon"/>
    <s v="Watermelon"/>
    <s v="12-18M (long-sleeve)"/>
    <s v="United States"/>
    <s v="Romper Longer"/>
    <n v="3"/>
    <n v="11"/>
    <s v="Easter"/>
    <s v="12-18"/>
    <x v="78"/>
    <m/>
  </r>
  <r>
    <d v="2025-03-14T00:00:00"/>
    <s v="https://www.etsy.com/listing/4330492936/a-roar-able-dinosaur-baby-bodysuit-cute"/>
    <s v="White"/>
    <s v="White"/>
    <s v=" 3-6M (long-sleeve)"/>
    <s v="United States"/>
    <s v="Romper Longer"/>
    <n v="3"/>
    <n v="11"/>
    <s v="Easter"/>
    <s v="3-6"/>
    <x v="70"/>
    <m/>
  </r>
  <r>
    <d v="2025-03-15T00:00:00"/>
    <s v="https://www.etsy.com/ca/listing/4396731652/personalized-babys-first-christmas?transaction_id=4805818697"/>
    <s v="White"/>
    <s v="White"/>
    <s v=" 3-6M (long-sleeve)"/>
    <s v="United States"/>
    <s v="Romper Longer"/>
    <n v="3"/>
    <n v="11"/>
    <s v="Easter"/>
    <s v="3-6"/>
    <x v="70"/>
    <m/>
  </r>
  <r>
    <d v="2025-03-16T00:00:00"/>
    <s v="https://www.etsy.com/ca/listing/4396750091/mamas-little-latke-embroidered-baby?transaction_id=4806074411"/>
    <s v="Caldet Blue"/>
    <s v="Caldet Blue"/>
    <s v="12-18M (long-sleeve)"/>
    <s v="United States"/>
    <s v="Romper Longer"/>
    <n v="3"/>
    <n v="12"/>
    <s v="Easter"/>
    <s v="12-18"/>
    <x v="60"/>
    <m/>
  </r>
  <r>
    <d v="2025-03-17T00:00:00"/>
    <s v="https://www.etsy.com/ca/listing/4330504943/embroidered-tennis-baby-romper-daddys?transaction_id=4806185205"/>
    <s v="Cream"/>
    <s v="Cream"/>
    <s v="3-6M (short-sleeve)"/>
    <s v="United States"/>
    <s v="Romper Short"/>
    <n v="3"/>
    <n v="12"/>
    <s v="Easter"/>
    <s v="3-6"/>
    <x v="0"/>
    <m/>
  </r>
  <r>
    <d v="2025-03-18T00:00:00"/>
    <s v="https://www.etsy.com/ca/listing/4330480699/little-prince-baby-romper-embroidered?transaction_id=4806252301"/>
    <s v="Cream"/>
    <s v="Cream"/>
    <s v=" 3-6M (long-sleeve)"/>
    <s v="United States"/>
    <s v="Romper Longer"/>
    <n v="3"/>
    <n v="12"/>
    <s v="Easter"/>
    <s v="3-6"/>
    <x v="1"/>
    <m/>
  </r>
  <r>
    <d v="2025-03-19T00:00:00"/>
    <s v="https://www.etsy.com/ca/listing/4330485404/cat-face-embroidered-baby-romper-funny?transaction_id=4806639215"/>
    <s v="Caldet Blue"/>
    <s v="Caldet Blue"/>
    <s v=" 3-6M (long-sleeve)"/>
    <s v="United States"/>
    <s v="Romper Longer"/>
    <n v="3"/>
    <n v="12"/>
    <s v="Easter"/>
    <s v="3-6"/>
    <x v="23"/>
    <m/>
  </r>
  <r>
    <d v="2025-03-20T00:00:00"/>
    <s v="https://www.etsy.com/ca/listing/4376399899/the-littlest-book-club-member-baby?transaction_id=4806670939"/>
    <s v="Sage Green"/>
    <s v="Sage Green"/>
    <s v="3-6M (short-sleeve)"/>
    <s v="United States"/>
    <s v="Romper Short"/>
    <n v="3"/>
    <n v="12"/>
    <s v="Easter"/>
    <s v="3-6"/>
    <x v="24"/>
    <m/>
  </r>
  <r>
    <d v="2025-03-21T00:00:00"/>
    <s v="https://www.etsy.com/ca/listing/4392929794/little-latke-embroidered-romper-hanukkah?transaction_id=4806898897"/>
    <s v="Sage Green"/>
    <s v="Sage Green"/>
    <s v=" 6-12M (long-sleeve)"/>
    <s v="United States"/>
    <s v="Romper Longer"/>
    <n v="3"/>
    <n v="12"/>
    <s v="Easter"/>
    <s v="6-12"/>
    <x v="3"/>
    <m/>
  </r>
  <r>
    <d v="2025-03-22T00:00:00"/>
    <s v="https://www.etsy.com/ca/listing/4330485404/cat-face-embroidered-baby-romper-funny?transaction_id=4799712304"/>
    <s v="Cream"/>
    <s v="Cream"/>
    <s v=" 0-3M (short-sleeve)"/>
    <s v="United States"/>
    <s v="Romper Short"/>
    <n v="3"/>
    <n v="12"/>
    <s v="Easter"/>
    <s v="0-3"/>
    <x v="15"/>
    <m/>
  </r>
  <r>
    <d v="2025-03-23T00:00:00"/>
    <m/>
    <s v="Coffee"/>
    <s v="Coffee"/>
    <s v="3-6M (short-sleeve)"/>
    <s v="United States"/>
    <s v="Romper Short"/>
    <n v="3"/>
    <n v="13"/>
    <s v="Easter"/>
    <s v="3-6"/>
    <x v="18"/>
    <m/>
  </r>
  <r>
    <d v="2025-03-24T00:00:00"/>
    <s v="https://www.etsy.com/ca/listing/4344235128/new-to-the-hive-baby-romper-embroidered?transaction_id=4799880870"/>
    <s v="Cream"/>
    <s v="Cream"/>
    <s v="3-6M (short-sleeve)"/>
    <s v="United States"/>
    <s v="Romper Short"/>
    <n v="3"/>
    <n v="13"/>
    <s v="Easter"/>
    <s v="3-6"/>
    <x v="0"/>
    <m/>
  </r>
  <r>
    <d v="2025-03-25T00:00:00"/>
    <s v="https://www.etsy.com/ca/listing/4347260564/football-baby-romper-game-day-baby?transaction_id=4807139975"/>
    <s v="Cream"/>
    <s v="Cream"/>
    <s v=" 6-12M (long-sleeve)"/>
    <s v="United States"/>
    <s v="Romper Longer"/>
    <n v="3"/>
    <n v="13"/>
    <s v="Easter"/>
    <s v="6-12"/>
    <x v="17"/>
    <m/>
  </r>
  <r>
    <d v="2025-03-26T00:00:00"/>
    <s v="https://www.etsy.com/ca/listing/4392929794/little-latke-embroidered-romper-hanukkah?transaction_id=4799982846"/>
    <s v="Watermelon"/>
    <s v="Watermelon"/>
    <s v=" 6-12M (long-sleeve)"/>
    <s v="United States"/>
    <s v="Romper Longer"/>
    <n v="3"/>
    <n v="13"/>
    <s v="Easter"/>
    <s v="6-12"/>
    <x v="33"/>
    <m/>
  </r>
  <r>
    <d v="2025-03-27T00:00:00"/>
    <s v="https://www.etsy.com/ca/listing/4330488178/embroidered-golf-baby-romper-new-to-the?transaction_id=4800222848"/>
    <s v="Cream"/>
    <s v="Cream"/>
    <s v=" 0-3M (long-sleeve)"/>
    <s v="United States"/>
    <s v="Romper Longer"/>
    <n v="3"/>
    <n v="13"/>
    <s v="Easter"/>
    <s v="0-3"/>
    <x v="2"/>
    <m/>
  </r>
  <r>
    <d v="2025-03-28T00:00:00"/>
    <s v="https://www.etsy.com/ca/listing/4330504943/embroidered-tennis-baby-romper-daddys?transaction_id=4807498661"/>
    <s v="Cream"/>
    <s v="Cream"/>
    <s v=" 3-6M (long-sleeve)"/>
    <s v="United States"/>
    <s v="Romper Longer"/>
    <n v="3"/>
    <n v="13"/>
    <s v="Easter"/>
    <s v="3-6"/>
    <x v="1"/>
    <m/>
  </r>
  <r>
    <d v="2025-03-29T00:00:00"/>
    <s v="https://www.etsy.com/ca/listing/4371125103/personalized-dog-baby-bodysuit-custom?transaction_id=4800504760"/>
    <s v="Cream"/>
    <s v="Cream"/>
    <s v=" 0-3M (long-sleeve)"/>
    <s v="United States"/>
    <s v="Romper Longer"/>
    <n v="3"/>
    <n v="13"/>
    <s v="Easter"/>
    <s v="0-3"/>
    <x v="2"/>
    <m/>
  </r>
  <r>
    <d v="2025-03-30T00:00:00"/>
    <s v="https://www.etsy.com/ca/listing/4376389783/player-2-baby-romper-gamer-baby-outfit?transaction_id=4807763449"/>
    <s v="Texas Orange"/>
    <s v="Texas Orange"/>
    <s v=" 3-6M (long-sleeve)"/>
    <s v="United States"/>
    <s v="Romper Longer"/>
    <n v="3"/>
    <n v="14"/>
    <s v="Easter"/>
    <s v="3-6"/>
    <x v="82"/>
    <m/>
  </r>
  <r>
    <d v="2025-03-31T00:00:00"/>
    <s v="https://www.etsy.com/ca/listing/4396750091/mamas-little-latke-embroidered-baby?transaction_id=4800917448"/>
    <s v="Cream"/>
    <s v="Cream"/>
    <s v="12-18M (long-sleeve)"/>
    <s v="United States"/>
    <s v="Romper Longer"/>
    <n v="3"/>
    <n v="14"/>
    <s v="Easter"/>
    <s v="12-18"/>
    <x v="53"/>
    <m/>
  </r>
  <r>
    <d v="2025-04-01T00:00:00"/>
    <s v="https://www.etsy.com/ca/listing/4330492936/a-roar-able-dinosaur-baby-bodysuit-cute?transaction_id=4808438081"/>
    <s v="White"/>
    <s v="White"/>
    <s v=" 0-3M (long-sleeve)"/>
    <s v="United States"/>
    <s v="Romper Longer"/>
    <n v="4"/>
    <n v="14"/>
    <s v="Easter"/>
    <s v="0-3"/>
    <x v="54"/>
    <m/>
  </r>
  <r>
    <d v="2025-04-02T00:00:00"/>
    <s v="https://www.etsy.com/ca/listing/4330483435/embroidered-coffee-bean-baby-romper?transaction_id=4809073531"/>
    <s v="Cream"/>
    <s v="Cream"/>
    <s v=" 0-3M (long-sleeve)"/>
    <s v="United States"/>
    <s v="Romper Longer"/>
    <n v="4"/>
    <n v="14"/>
    <s v="Easter"/>
    <s v="0-3"/>
    <x v="2"/>
    <m/>
  </r>
  <r>
    <d v="2025-04-03T00:00:00"/>
    <s v="https://www.etsy.com/ca/listing/4396731652/personalized-babys-first-christmas?transaction_id=4809204115"/>
    <s v="Cream"/>
    <s v="Cream"/>
    <s v=" 3-6M (long-sleeve)"/>
    <s v="United States"/>
    <s v="Romper Longer"/>
    <n v="4"/>
    <n v="14"/>
    <s v="Easter"/>
    <s v="3-6"/>
    <x v="1"/>
    <m/>
  </r>
  <r>
    <d v="2025-04-04T00:00:00"/>
    <s v="https://www.etsy.com/ca/listing/4351827687/handsome-just-like-daddy-baby-romper?transaction_id=4801750074"/>
    <s v="Texas Orange"/>
    <s v="Texas Orange"/>
    <s v=" 3-6M (long-sleeve)"/>
    <s v="United States"/>
    <s v="Romper Longer"/>
    <n v="4"/>
    <n v="14"/>
    <s v="Easter"/>
    <s v="3-6"/>
    <x v="82"/>
    <m/>
  </r>
  <r>
    <d v="2025-04-05T00:00:00"/>
    <s v="https://www.etsy.com/ca/listing/4369778165/funny-baby-romper-resting-baby-face?transaction_id=4801750072"/>
    <s v="Sage Green"/>
    <s v="Sage Green"/>
    <s v=" 3-6M (long-sleeve)"/>
    <s v="United States"/>
    <s v="Romper Longer"/>
    <n v="4"/>
    <n v="14"/>
    <s v="Easter"/>
    <s v="3-6"/>
    <x v="7"/>
    <m/>
  </r>
  <r>
    <d v="2025-04-06T00:00:00"/>
    <s v="https://www.etsy.com/ca/listing/4396746353/its-a-beaut-clark-embroidered-baby?transaction_id=4809563799"/>
    <s v="Cream"/>
    <s v="Cream"/>
    <s v=" 0-3M (long-sleeve)"/>
    <s v="United States"/>
    <s v="Romper Longer"/>
    <n v="4"/>
    <n v="15"/>
    <s v="Easter"/>
    <s v="0-3"/>
    <x v="2"/>
    <m/>
  </r>
  <r>
    <d v="2025-04-07T00:00:00"/>
    <s v="https://www.etsy.com/ca/listing/4372352286/silly-goose-baby-romper-funny-infant?transaction_id=4802159374"/>
    <s v="Forest Green"/>
    <s v="Forest Green"/>
    <s v=" 0-3M (long-sleeve)"/>
    <s v="United States"/>
    <s v="Romper Longer"/>
    <n v="4"/>
    <n v="15"/>
    <s v="Easter"/>
    <s v="0-3"/>
    <x v="41"/>
    <m/>
  </r>
  <r>
    <d v="2025-04-08T00:00:00"/>
    <s v="https://www.etsy.com/ca/listing/4371125103/personalized-dog-baby-bodysuit-custom?transaction_id=4802298666"/>
    <s v="Sage Green"/>
    <s v="Sage Green"/>
    <s v=" 0-3M (long-sleeve)"/>
    <s v="United States"/>
    <s v="Romper Longer"/>
    <n v="4"/>
    <n v="15"/>
    <s v="Easter"/>
    <s v="0-3"/>
    <x v="5"/>
    <m/>
  </r>
  <r>
    <d v="2025-04-09T00:00:00"/>
    <s v="https://www.etsy.com/ca/listing/4344237949/great-grandma-baby-romper-embroidered?transaction_id=4802394272"/>
    <s v="Cream"/>
    <s v="Cream"/>
    <s v=" 0-3M (short-sleeve)"/>
    <s v="United States"/>
    <s v="Romper Short"/>
    <n v="4"/>
    <n v="15"/>
    <s v="Easter"/>
    <s v="0-3"/>
    <x v="15"/>
    <m/>
  </r>
  <r>
    <d v="2025-04-10T00:00:00"/>
    <s v="https://www.etsy.com/ca/listing/4392929794/little-latke-embroidered-romper-hanukkah?transaction_id=4810174317"/>
    <s v="Cream"/>
    <s v="Cream"/>
    <s v=" 0-3M (short-sleeve)"/>
    <s v="United States"/>
    <s v="Romper Short"/>
    <n v="4"/>
    <n v="15"/>
    <s v="Easter"/>
    <s v="0-3"/>
    <x v="15"/>
    <m/>
  </r>
  <r>
    <d v="2025-04-11T00:00:00"/>
    <s v="https://www.etsy.com/ca/listing/4376401181/challah-at-your-girl-baby-bodysuit-funny?transaction_id=4802584146"/>
    <s v="Dusty Pink"/>
    <s v="Dusty Pink"/>
    <s v="3-6M (short-sleeve)"/>
    <s v="United States"/>
    <s v="Romper Short"/>
    <n v="4"/>
    <n v="15"/>
    <s v="Easter"/>
    <s v="3-6"/>
    <x v="31"/>
    <m/>
  </r>
  <r>
    <d v="2025-04-12T00:00:00"/>
    <s v="https://www.etsy.com/ca/listing/4344232490/freshly-brewed-baby-bodysuit-cute-coffee?transaction_id=4803052388"/>
    <s v="Mauve Taupe"/>
    <s v="Mauve Taupe"/>
    <s v=" 0-3M (long-sleeve)"/>
    <s v="United States"/>
    <s v="Romper Longer"/>
    <n v="4"/>
    <n v="15"/>
    <s v="Easter"/>
    <s v="0-3"/>
    <x v="40"/>
    <m/>
  </r>
  <r>
    <d v="2025-04-13T00:00:00"/>
    <s v="https://www.etsy.com/ca/listing/4369781522/crawl-walk-putt-baby-romper-funny-golf?transaction_id=4811507637"/>
    <s v="Dusty Pink"/>
    <s v="Dusty Pink"/>
    <s v=" 3-6M (long-sleeve)"/>
    <s v="United States"/>
    <s v="Romper Longer"/>
    <n v="4"/>
    <n v="16"/>
    <s v="Easter"/>
    <s v="3-6"/>
    <x v="8"/>
    <m/>
  </r>
  <r>
    <d v="2025-04-14T00:00:00"/>
    <s v="https://www.etsy.com/ca/listing/4376389783/player-2-baby-romper-gamer-baby-outfit?transaction_id=4803865092"/>
    <s v="Cream"/>
    <s v="Cream"/>
    <s v=" 0-3M (long-sleeve)"/>
    <s v="United States"/>
    <s v="Romper Longer"/>
    <n v="4"/>
    <n v="16"/>
    <s v="Easter"/>
    <s v="0-3"/>
    <x v="2"/>
    <m/>
  </r>
  <r>
    <d v="2025-04-15T00:00:00"/>
    <s v="https://www.etsy.com/ca/listing/4346126210/daddys-future-lifting-buddy-romper-baby?transaction_id=4803934718"/>
    <s v="Caldet Blue"/>
    <s v="Caldet Blue"/>
    <s v="3-6M (short-sleeve)"/>
    <s v="United States"/>
    <s v="Romper Short"/>
    <n v="4"/>
    <n v="16"/>
    <s v="Easter"/>
    <s v="3-6"/>
    <x v="29"/>
    <m/>
  </r>
  <r>
    <d v="2025-04-16T00:00:00"/>
    <s v="https://www.etsy.com/ca/listing/4330499732/embroidered-baby-romper-little-sunshine?transaction_id=4811721809"/>
    <s v="Cream"/>
    <s v="Cream"/>
    <s v="12-18M (short-sleeve)"/>
    <s v="United States"/>
    <s v="Romper Short"/>
    <n v="4"/>
    <n v="16"/>
    <s v="Easter"/>
    <s v="12-18"/>
    <x v="26"/>
    <m/>
  </r>
  <r>
    <d v="2025-04-17T00:00:00"/>
    <s v="https://www.etsy.com/ca/listing/4376401181/challah-at-your-girl-baby-bodysuit-funny?transaction_id=4804161288"/>
    <s v="Coffee"/>
    <s v="Coffee"/>
    <s v=" 3-6M (long-sleeve)"/>
    <s v="United States"/>
    <s v="Romper Longer"/>
    <n v="4"/>
    <n v="16"/>
    <s v="Easter"/>
    <s v="3-6"/>
    <x v="12"/>
    <m/>
  </r>
  <r>
    <d v="2025-04-18T00:00:00"/>
    <s v="https://www.etsy.com/ca/listing/4392929794/little-latke-embroidered-romper-hanukkah?transaction_id=4804174318"/>
    <s v="Sage Green"/>
    <s v="Sage Green"/>
    <s v=" 3-6M (long-sleeve)"/>
    <s v="United States"/>
    <s v="Romper Longer"/>
    <n v="4"/>
    <n v="16"/>
    <s v="Easter"/>
    <s v="3-6"/>
    <x v="7"/>
    <m/>
  </r>
  <r>
    <d v="2025-04-19T00:00:00"/>
    <s v="https://www.etsy.com/ca/listing/4371125103/personalized-dog-baby-bodysuit-custom?transaction_id=4811990173"/>
    <s v="Cream"/>
    <s v="Cream"/>
    <s v=" 3-6M (long-sleeve)"/>
    <s v="United States"/>
    <s v="Romper Longer"/>
    <n v="4"/>
    <n v="16"/>
    <s v="Easter"/>
    <s v="3-6"/>
    <x v="1"/>
    <m/>
  </r>
  <r>
    <d v="2025-04-20T00:00:00"/>
    <s v="https://www.etsy.com/ca/listing/4336902854/personalized-football-baby-romper-daddys?transaction_id=4804423442"/>
    <s v="Cream"/>
    <s v="Cream"/>
    <s v="12-18M (long-sleeve)"/>
    <s v="United States"/>
    <s v="Romper Longer"/>
    <n v="4"/>
    <n v="17"/>
    <s v="Easter"/>
    <s v="12-18"/>
    <x v="53"/>
    <m/>
  </r>
  <r>
    <d v="2025-04-21T00:00:00"/>
    <s v="https://www.etsy.com/ca/listing/4330488178/embroidered-golf-baby-romper-new-to-the?transaction_id=4812286771"/>
    <s v="Caldet Blue"/>
    <s v="Caldet Blue"/>
    <s v=" 0-3M (long-sleeve)"/>
    <s v="United States"/>
    <s v="Romper Longer"/>
    <n v="4"/>
    <n v="17"/>
    <s v="Easter"/>
    <s v="0-3"/>
    <x v="9"/>
    <m/>
  </r>
  <r>
    <d v="2025-04-22T00:00:00"/>
    <s v="https://www.etsy.com/ca/listing/4343133641/golf-skills-loading-embroidered-baby?transaction_id=4812286769"/>
    <s v="Coffee"/>
    <s v="Coffee"/>
    <s v=" 3-6M (long-sleeve)"/>
    <s v="United States"/>
    <s v="Romper Longer"/>
    <n v="4"/>
    <n v="17"/>
    <s v="Easter"/>
    <s v="3-6"/>
    <x v="12"/>
    <m/>
  </r>
  <r>
    <d v="2025-04-23T00:00:00"/>
    <s v="https://www.etsy.com/ca/listing/4369781522/crawl-walk-putt-baby-romper-funny-golf?transaction_id=4804527636"/>
    <s v="Sage Green"/>
    <s v="Sage Green"/>
    <s v=" 0-3M (long-sleeve)"/>
    <s v="United States"/>
    <s v="Romper Longer"/>
    <n v="4"/>
    <n v="17"/>
    <s v="Easter"/>
    <s v="0-3"/>
    <x v="5"/>
    <m/>
  </r>
  <r>
    <d v="2025-04-24T00:00:00"/>
    <s v="https://www.etsy.com/ca/listing/4336900156/personalized-soccer-baby-romper?transaction_id=4812453645"/>
    <s v="Cream"/>
    <s v="Cream"/>
    <s v=" 3-6M (long-sleeve)"/>
    <s v="United States"/>
    <s v="Romper Longer"/>
    <n v="4"/>
    <n v="17"/>
    <s v="Easter"/>
    <s v="3-6"/>
    <x v="1"/>
    <m/>
  </r>
  <r>
    <d v="2025-04-25T00:00:00"/>
    <s v="https://www.etsy.com/ca/listing/4330495722/embroidered-golf-baby-romper-custom?transaction_id=4804765904"/>
    <s v="White"/>
    <s v="White"/>
    <s v="3-6M (short-sleeve)"/>
    <s v="United States"/>
    <s v="Romper Short"/>
    <n v="4"/>
    <n v="17"/>
    <s v="Easter"/>
    <s v="3-6"/>
    <x v="69"/>
    <m/>
  </r>
  <r>
    <d v="2025-04-26T00:00:00"/>
    <s v="https://www.etsy.com/ca/listing/4371125103/personalized-dog-baby-bodysuit-custom?transaction_id=4812626437"/>
    <s v="Cream"/>
    <s v="Cream"/>
    <s v=" 6-12M (long-sleeve)"/>
    <s v="United States"/>
    <s v="Romper Longer"/>
    <n v="4"/>
    <n v="17"/>
    <s v="Easter"/>
    <s v="6-12"/>
    <x v="17"/>
    <m/>
  </r>
  <r>
    <d v="2025-04-27T00:00:00"/>
    <s v="https://www.etsy.com/ca/listing/4392929794/little-latke-embroidered-romper-hanukkah?transaction_id=4812721631"/>
    <s v="Cream"/>
    <s v="Cream"/>
    <s v=" 6-12M (long-sleeve)"/>
    <s v="United States"/>
    <s v="Romper Longer"/>
    <n v="4"/>
    <n v="18"/>
    <s v="Easter"/>
    <s v="6-12"/>
    <x v="17"/>
    <m/>
  </r>
  <r>
    <d v="2025-04-28T00:00:00"/>
    <s v="https://www.etsy.com/ca/listing/4376392339/funny-baby-romper-my-brand-of-formula?transaction_id=4805172122"/>
    <s v="Cream"/>
    <s v="Cream"/>
    <s v=" 3-6M (long-sleeve)"/>
    <s v="United States"/>
    <s v="Romper Longer"/>
    <n v="4"/>
    <n v="18"/>
    <s v="Easter"/>
    <s v="3-6"/>
    <x v="1"/>
    <m/>
  </r>
  <r>
    <d v="2025-04-29T00:00:00"/>
    <s v="https://www.etsy.com/ca/listing/4392929794/little-latke-embroidered-romper-hanukkah?transaction_id=4805261632"/>
    <s v="Dusty Pink"/>
    <s v="Dusty Pink"/>
    <s v=" 0-3M (long-sleeve)"/>
    <s v="United States"/>
    <s v="Romper Longer"/>
    <n v="4"/>
    <n v="18"/>
    <s v="Easter"/>
    <s v="0-3"/>
    <x v="45"/>
    <m/>
  </r>
  <r>
    <d v="2025-04-30T00:00:00"/>
    <s v="https://www.etsy.com/ca/listing/4372352286/silly-goose-baby-romper-funny-infant?transaction_id=4813192775"/>
    <s v="Forest Green"/>
    <s v="Forest Green"/>
    <s v="12-18M (long-sleeve)"/>
    <s v="United States"/>
    <s v="Romper Longer"/>
    <n v="4"/>
    <n v="18"/>
    <s v="Easter"/>
    <s v="12-18"/>
    <x v="37"/>
    <m/>
  </r>
  <r>
    <d v="2025-05-01T00:00:00"/>
    <s v="https://www.etsy.com/ca/listing/4392929794/little-latke-embroidered-romper-hanukkah?transaction_id=4813278093"/>
    <s v="Caldet Blue"/>
    <s v="Caldet Blue"/>
    <s v=" 6-12M (long-sleeve)"/>
    <s v="United States"/>
    <s v="Romper Longer"/>
    <n v="5"/>
    <n v="18"/>
    <s v="MothersDay"/>
    <s v="6-12"/>
    <x v="25"/>
    <m/>
  </r>
  <r>
    <d v="2025-05-02T00:00:00"/>
    <s v="https://www.etsy.com/ca/listing/4330492512/funny-goose-embroidered-baby-romper?transaction_id=4813513019"/>
    <s v="Dusty Pink"/>
    <s v="Dusty Pink"/>
    <s v="12-18M (short-sleeve)"/>
    <s v="United States"/>
    <s v="Romper Short"/>
    <n v="5"/>
    <n v="18"/>
    <s v="MothersDay"/>
    <s v="12-18"/>
    <x v="44"/>
    <m/>
  </r>
  <r>
    <d v="2025-05-03T00:00:00"/>
    <s v="https://www.etsy.com/ca/listing/4371125103/personalized-dog-baby-bodysuit-custom?transaction_id=4813595395"/>
    <s v="Forest Green"/>
    <s v="Forest Green"/>
    <s v="18-24M (short-sleeve)"/>
    <s v="United States"/>
    <s v="Romper Short"/>
    <n v="5"/>
    <n v="18"/>
    <s v="MothersDay"/>
    <s v="18-24"/>
    <x v="99"/>
    <m/>
  </r>
  <r>
    <d v="2025-05-04T00:00:00"/>
    <s v="https://www.etsy.com/ca/listing/4376399899/the-littlest-book-club-member-baby?transaction_id=4813609249"/>
    <s v="Sage Green"/>
    <s v="Sage Green"/>
    <s v=" 3-6M (long-sleeve)"/>
    <s v="United States"/>
    <s v="Romper Longer"/>
    <n v="5"/>
    <n v="19"/>
    <s v="MothersDay"/>
    <s v="3-6"/>
    <x v="7"/>
    <m/>
  </r>
  <r>
    <d v="2025-05-05T00:00:00"/>
    <s v="https://www.etsy.com/ca/listing/4371125103/personalized-dog-baby-bodysuit-custom?transaction_id=4805704874"/>
    <s v="Mauve Taupe"/>
    <s v="Mauve Taupe"/>
    <s v=" 0-3M (long-sleeve)"/>
    <s v="United States"/>
    <s v="Romper Longer"/>
    <n v="5"/>
    <n v="19"/>
    <s v="MothersDay"/>
    <s v="0-3"/>
    <x v="40"/>
    <m/>
  </r>
  <r>
    <d v="2025-05-06T00:00:00"/>
    <s v="https://www.etsy.com/ca/listing/4396746353/its-a-beaut-clark-embroidered-baby?transaction_id=4805750412"/>
    <s v="Dusty Pink"/>
    <s v="Dusty Pink"/>
    <s v="12-18M (long-sleeve)"/>
    <s v="United States"/>
    <s v="Romper Longer"/>
    <n v="5"/>
    <n v="19"/>
    <s v="MothersDay"/>
    <s v="12-18"/>
    <x v="75"/>
    <m/>
  </r>
  <r>
    <d v="2025-05-07T00:00:00"/>
    <s v="https://www.etsy.com/ca/listing/4392929794/little-latke-embroidered-romper-hanukkah?transaction_id=4813828737"/>
    <s v="Cream"/>
    <s v="Cream"/>
    <s v=" 0-3M (long-sleeve)"/>
    <s v="United States"/>
    <s v="Romper Longer"/>
    <n v="5"/>
    <n v="19"/>
    <s v="MothersDay"/>
    <s v="0-3"/>
    <x v="2"/>
    <m/>
  </r>
  <r>
    <d v="2025-05-08T00:00:00"/>
    <s v="https://www.etsy.com/ca/listing/4330485404/cat-face-embroidered-baby-romper-funny?transaction_id=4814062527"/>
    <s v="Cream"/>
    <s v="Cream"/>
    <s v=" 0-3M (long-sleeve)"/>
    <s v="United States"/>
    <s v="Romper Longer"/>
    <n v="5"/>
    <n v="19"/>
    <s v="MothersDay"/>
    <s v="0-3"/>
    <x v="2"/>
    <m/>
  </r>
  <r>
    <d v="2025-05-09T00:00:00"/>
    <s v="https://www.etsy.com/ca/listing/4330504943/embroidered-tennis-baby-romper-daddys?transaction_id=4814062525"/>
    <s v="Cream"/>
    <s v="Cream"/>
    <s v=" 3-6M (long-sleeve)"/>
    <s v="United States"/>
    <s v="Romper Longer"/>
    <n v="5"/>
    <n v="19"/>
    <s v="MothersDay"/>
    <s v="3-6"/>
    <x v="1"/>
    <m/>
  </r>
  <r>
    <d v="2025-05-10T00:00:00"/>
    <s v="https://www.etsy.com/ca/listing/4392929794/little-latke-embroidered-romper-hanukkah?transaction_id=4806188280"/>
    <s v="Cream"/>
    <s v="Cream"/>
    <s v=" 3-6M (long-sleeve)"/>
    <s v="United States"/>
    <s v="Romper Longer"/>
    <n v="5"/>
    <n v="19"/>
    <s v="MothersDay"/>
    <s v="3-6"/>
    <x v="1"/>
    <m/>
  </r>
  <r>
    <d v="2025-05-11T00:00:00"/>
    <s v="https://www.etsy.com/ca/listing/4392929794/little-latke-embroidered-romper-hanukkah?transaction_id=4814210757"/>
    <s v="White"/>
    <s v="White"/>
    <s v=" 3-6M (long-sleeve)"/>
    <s v="United States"/>
    <s v="Romper Longer"/>
    <n v="5"/>
    <n v="20"/>
    <s v="MothersDay"/>
    <s v="3-6"/>
    <x v="70"/>
    <m/>
  </r>
  <r>
    <d v="2025-05-12T00:00:00"/>
    <s v="https://www.etsy.com/ca/listing/4376389783/player-2-baby-romper-gamer-baby-outfit?transaction_id=4806219414"/>
    <s v="Cream"/>
    <s v="Cream"/>
    <s v=" 0-3M (long-sleeve)"/>
    <s v="United States"/>
    <s v="Romper Longer"/>
    <n v="5"/>
    <n v="20"/>
    <s v="MothersDay"/>
    <s v="0-3"/>
    <x v="2"/>
    <m/>
  </r>
  <r>
    <d v="2025-05-13T00:00:00"/>
    <s v="https://www.etsy.com/ca/listing/4376392339/funny-baby-romper-my-brand-of-formula?transaction_id=4814266087"/>
    <s v="Cream"/>
    <s v="Cream"/>
    <s v="3-6M (short-sleeve)"/>
    <s v="United States"/>
    <s v="Romper Short"/>
    <n v="5"/>
    <n v="20"/>
    <s v="MothersDay"/>
    <s v="3-6"/>
    <x v="0"/>
    <m/>
  </r>
  <r>
    <d v="2025-05-14T00:00:00"/>
    <s v="https://www.etsy.com/ca/listing/4372352286/silly-goose-baby-romper-funny-infant?transaction_id=4814327063"/>
    <s v="Texas Orange"/>
    <s v="Texas Orange"/>
    <s v=" 0-3M (short-sleeve)"/>
    <s v="United States"/>
    <s v="Romper Short"/>
    <n v="5"/>
    <n v="20"/>
    <s v="MothersDay"/>
    <s v="0-3"/>
    <x v="96"/>
    <m/>
  </r>
  <r>
    <d v="2025-05-15T00:00:00"/>
    <s v="https://www.etsy.com/ca/listing/4392929794/little-latke-embroidered-romper-hanukkah?transaction_id=4814550365"/>
    <s v="White"/>
    <s v="White"/>
    <s v=" 0-3M (long-sleeve)"/>
    <s v="United States"/>
    <s v="Romper Longer"/>
    <n v="5"/>
    <n v="20"/>
    <s v="MothersDay"/>
    <s v="0-3"/>
    <x v="54"/>
    <m/>
  </r>
  <r>
    <d v="2025-05-16T00:00:00"/>
    <s v="https://www.etsy.com/ca/listing/4352935112/custom-baby-romper-personalized-newborn?transaction_id=4806482510"/>
    <s v="Texas Orange"/>
    <s v="Texas Orange"/>
    <s v=" 3-6M (long-sleeve)"/>
    <s v="United States"/>
    <s v="Romper Longer"/>
    <n v="5"/>
    <n v="20"/>
    <s v="MothersDay"/>
    <s v="3-6"/>
    <x v="82"/>
    <m/>
  </r>
  <r>
    <d v="2025-05-17T00:00:00"/>
    <s v="https://www.etsy.com/ca/listing/4392935796/box-box-for-fresh-diapers-embroidered?transaction_id=4814696963"/>
    <s v="Cream"/>
    <s v="Cream"/>
    <s v=" 0-3M (long-sleeve)"/>
    <s v="United States"/>
    <s v="Romper Longer"/>
    <n v="5"/>
    <n v="20"/>
    <s v="MothersDay"/>
    <s v="0-3"/>
    <x v="2"/>
    <m/>
  </r>
  <r>
    <d v="2025-05-18T00:00:00"/>
    <s v="https://www.etsy.com/ca/listing/4330492054/embroidered-baby-romper-cutie-pie-design?transaction_id=4814767741"/>
    <s v="Cream"/>
    <s v="Cream"/>
    <s v="12-18M (long-sleeve)"/>
    <s v="United States"/>
    <s v="Romper Longer"/>
    <n v="5"/>
    <n v="21"/>
    <s v="MothersDay"/>
    <s v="12-18"/>
    <x v="53"/>
    <m/>
  </r>
  <r>
    <d v="2025-05-19T00:00:00"/>
    <s v="https://www.etsy.com/ca/listing/4392929794/little-latke-embroidered-romper-hanukkah?transaction_id=4814813459"/>
    <s v="Cream"/>
    <s v="Cream"/>
    <s v=" 6-12M (long-sleeve)"/>
    <s v="United States"/>
    <s v="Romper Longer"/>
    <n v="5"/>
    <n v="21"/>
    <s v="MothersDay"/>
    <s v="6-12"/>
    <x v="17"/>
    <m/>
  </r>
  <r>
    <d v="2025-05-20T00:00:00"/>
    <s v="https://www.etsy.com/ca/listing/4392935796/box-box-for-fresh-diapers-embroidered?transaction_id=4814969041"/>
    <s v="Cream"/>
    <s v="Cream"/>
    <s v=" 3-6M (long-sleeve)"/>
    <s v="United States"/>
    <s v="Romper Longer"/>
    <n v="5"/>
    <n v="21"/>
    <s v="MothersDay"/>
    <s v="3-6"/>
    <x v="1"/>
    <m/>
  </r>
  <r>
    <d v="2025-05-21T00:00:00"/>
    <s v="https://www.etsy.com/ca/listing/4369764524/embroidered-snowman-baby-romper?transaction_id=4806853404"/>
    <s v="Cream"/>
    <s v="Cream"/>
    <s v=" 6-12M (long-sleeve)"/>
    <s v="United States"/>
    <s v="Romper Longer"/>
    <n v="5"/>
    <n v="21"/>
    <s v="MothersDay"/>
    <s v="6-12"/>
    <x v="17"/>
    <m/>
  </r>
  <r>
    <d v="2025-05-22T00:00:00"/>
    <s v="https://www.etsy.com/ca/listing/4336900156/personalized-soccer-baby-romper?transaction_id=4807114072"/>
    <s v="Cream"/>
    <s v="Cream"/>
    <s v="3-6M (short-sleeve)"/>
    <s v="United States"/>
    <s v="Romper Short"/>
    <n v="5"/>
    <n v="21"/>
    <s v="MothersDay"/>
    <s v="3-6"/>
    <x v="0"/>
    <m/>
  </r>
  <r>
    <d v="2025-05-23T00:00:00"/>
    <s v="https://www.etsy.com/ca/listing/4371125103/personalized-dog-baby-bodysuit-custom?transaction_id=4815294701"/>
    <s v="Cream"/>
    <s v="Cream"/>
    <s v=" 0-3M (short-sleeve)"/>
    <s v="United States"/>
    <s v="Romper Short"/>
    <n v="5"/>
    <n v="21"/>
    <s v="MothersDay"/>
    <s v="0-3"/>
    <x v="15"/>
    <m/>
  </r>
  <r>
    <d v="2025-05-24T00:00:00"/>
    <s v="https://www.etsy.com/ca/listing/4376389783/player-2-baby-romper-gamer-baby-outfit?transaction_id=4807118908"/>
    <s v="Cream"/>
    <s v="Cream"/>
    <s v=" 0-3M (long-sleeve)"/>
    <s v="United States"/>
    <s v="Romper Longer"/>
    <n v="5"/>
    <n v="21"/>
    <s v="MothersDay"/>
    <s v="0-3"/>
    <x v="2"/>
    <m/>
  </r>
  <r>
    <d v="2025-05-25T00:00:00"/>
    <s v="https://www.etsy.com/ca/listing/4371125103/personalized-dog-baby-bodysuit-custom?transaction_id=4815384505"/>
    <s v="Sage Green"/>
    <s v="Sage Green"/>
    <s v="3-6M (short-sleeve)"/>
    <s v="United States"/>
    <s v="Romper Short"/>
    <n v="5"/>
    <n v="22"/>
    <s v="MothersDay"/>
    <s v="3-6"/>
    <x v="24"/>
    <m/>
  </r>
  <r>
    <d v="2025-05-26T00:00:00"/>
    <s v="https://www.etsy.com/ca/listing/4392936921/apparently-i-like-golf-embroidered?transaction_id=4807205440"/>
    <s v="Cream"/>
    <s v="Cream"/>
    <s v="6-12M (short-sleeve)"/>
    <s v="United States"/>
    <s v="Romper Short"/>
    <n v="5"/>
    <n v="22"/>
    <s v="MothersDay"/>
    <s v="6-12"/>
    <x v="47"/>
    <m/>
  </r>
  <r>
    <d v="2025-05-27T00:00:00"/>
    <s v="https://www.etsy.com/ca/listing/4392929794/little-latke-embroidered-romper-hanukkah?transaction_id=4807430060"/>
    <s v="Cream"/>
    <s v="Cream"/>
    <s v=" 6-12M (long-sleeve)"/>
    <s v="United States"/>
    <s v="Romper Longer"/>
    <n v="5"/>
    <n v="22"/>
    <s v="MothersDay"/>
    <s v="6-12"/>
    <x v="17"/>
    <m/>
  </r>
  <r>
    <d v="2025-05-28T00:00:00"/>
    <s v="https://www.etsy.com/ca/listing/4344237949/great-grandma-baby-romper-embroidered?transaction_id=4807441188"/>
    <s v="Cream"/>
    <s v="Cream"/>
    <s v=" 0-3M (long-sleeve)"/>
    <s v="United States"/>
    <s v="Romper Longer"/>
    <n v="5"/>
    <n v="22"/>
    <s v="MothersDay"/>
    <s v="0-3"/>
    <x v="2"/>
    <m/>
  </r>
  <r>
    <d v="2025-05-29T00:00:00"/>
    <s v="https://www.etsy.com/ca/listing/4336899579/personalized-basketball-baby-romper?transaction_id=4815743739"/>
    <s v="Cream"/>
    <s v="Cream"/>
    <s v=" 3-6M (long-sleeve)"/>
    <s v="United States"/>
    <s v="Romper Longer"/>
    <n v="5"/>
    <n v="22"/>
    <s v="MothersDay"/>
    <s v="3-6"/>
    <x v="1"/>
    <m/>
  </r>
  <r>
    <d v="2025-05-30T00:00:00"/>
    <s v="https://www.etsy.com/ca/listing/4330504943/embroidered-tennis-baby-romper-daddys?transaction_id=4815840911"/>
    <s v="Cream"/>
    <s v="Cream"/>
    <s v=" 3-6M (long-sleeve)"/>
    <s v="United States"/>
    <s v="Romper Longer"/>
    <n v="5"/>
    <n v="22"/>
    <s v="MothersDay"/>
    <s v="3-6"/>
    <x v="1"/>
    <m/>
  </r>
  <r>
    <d v="2025-05-31T00:00:00"/>
    <s v="https://www.etsy.com/ca/listing/4376399899/the-littlest-book-club-member-baby?transaction_id=4815893325"/>
    <s v="Cream"/>
    <s v="Cream"/>
    <s v=" 0-3M (short-sleeve)"/>
    <s v="United States"/>
    <s v="Romper Short"/>
    <n v="5"/>
    <n v="22"/>
    <s v="MothersDay"/>
    <s v="0-3"/>
    <x v="15"/>
    <m/>
  </r>
  <r>
    <d v="2025-06-01T00:00:00"/>
    <s v="https://www.etsy.com/ca/listing/4392929794/little-latke-embroidered-romper-hanukkah?transaction_id=4807768024"/>
    <s v="Caldet Blue"/>
    <s v="Caldet Blue"/>
    <s v=" 0-3M (long-sleeve)"/>
    <s v="United States"/>
    <s v="Romper Longer"/>
    <n v="6"/>
    <n v="23"/>
    <s v="FathersDay"/>
    <s v="0-3"/>
    <x v="9"/>
    <m/>
  </r>
  <r>
    <d v="2025-06-02T00:00:00"/>
    <s v="https://www.etsy.com/ca/listing/4392929794/little-latke-embroidered-romper-hanukkah?transaction_id=4808203700"/>
    <s v="Sage Green"/>
    <s v="Sage Green"/>
    <s v="6-12M (short-sleeve)"/>
    <s v="United States"/>
    <s v="Romper Short"/>
    <n v="6"/>
    <n v="23"/>
    <s v="FathersDay"/>
    <s v="6-12"/>
    <x v="19"/>
    <m/>
  </r>
  <r>
    <d v="2025-06-03T00:00:00"/>
    <s v="https://www.etsy.com/ca/listing/4392929794/little-latke-embroidered-romper-hanukkah?transaction_id=4816558449"/>
    <s v="Watermelon"/>
    <s v="Watermelon"/>
    <s v="12-18M (long-sleeve)"/>
    <s v="United States"/>
    <s v="Romper Longer"/>
    <n v="6"/>
    <n v="23"/>
    <s v="FathersDay"/>
    <s v="12-18"/>
    <x v="78"/>
    <m/>
  </r>
  <r>
    <d v="2025-06-04T00:00:00"/>
    <s v="https://www.etsy.com/ca/listing/4330488178/embroidered-golf-baby-romper-new-to-the?transaction_id=4808210264"/>
    <s v="Cream"/>
    <s v="Cream"/>
    <s v=" 0-3M (long-sleeve)"/>
    <s v="United States"/>
    <s v="Romper Longer"/>
    <n v="6"/>
    <n v="23"/>
    <s v="FathersDay"/>
    <s v="0-3"/>
    <x v="2"/>
    <m/>
  </r>
  <r>
    <d v="2025-06-05T00:00:00"/>
    <s v="https://www.etsy.com/ca/listing/4344231895/embroidered-baby-romper-shhh-im-reading?transaction_id=4816579833"/>
    <s v="Sage Green"/>
    <s v="Sage Green"/>
    <s v="6-12M (short-sleeve)"/>
    <s v="United States"/>
    <s v="Romper Short"/>
    <n v="6"/>
    <n v="23"/>
    <s v="FathersDay"/>
    <s v="6-12"/>
    <x v="19"/>
    <m/>
  </r>
  <r>
    <d v="2025-06-06T00:00:00"/>
    <s v="https://www.etsy.com/ca/listing/4392929794/little-latke-embroidered-romper-hanukkah?transaction_id=4816896019"/>
    <s v="Cream"/>
    <s v="Cream"/>
    <s v=" 0-3M (long-sleeve)"/>
    <s v="United States"/>
    <s v="Romper Longer"/>
    <n v="6"/>
    <n v="23"/>
    <s v="FathersDay"/>
    <s v="0-3"/>
    <x v="2"/>
    <m/>
  </r>
  <r>
    <d v="2025-06-07T00:00:00"/>
    <s v="https://www.etsy.com/ca/listing/4344232490/freshly-brewed-baby-bodysuit-cute-coffee?transaction_id=4808528310"/>
    <s v="Caldet Blue"/>
    <s v="Caldet Blue"/>
    <s v="6-12M (short-sleeve)"/>
    <s v="United States"/>
    <s v="Romper Short"/>
    <n v="6"/>
    <n v="23"/>
    <s v="FathersDay"/>
    <s v="6-12"/>
    <x v="63"/>
    <m/>
  </r>
  <r>
    <d v="2025-06-08T00:00:00"/>
    <s v="https://www.etsy.com/ca/listing/4392929794/little-latke-embroidered-romper-hanukkah?transaction_id=4817129423"/>
    <s v="White"/>
    <s v="White"/>
    <s v=" 3-6M (long-sleeve)"/>
    <s v="United States"/>
    <s v="Romper Longer"/>
    <n v="6"/>
    <n v="24"/>
    <s v="FathersDay"/>
    <s v="3-6"/>
    <x v="70"/>
    <m/>
  </r>
  <r>
    <d v="2025-06-09T00:00:00"/>
    <s v="https://www.etsy.com/ca/listing/4376389783/player-2-baby-romper-gamer-baby-outfit?transaction_id=4817480905"/>
    <s v="Dusty Pink"/>
    <s v="Dusty Pink"/>
    <s v=" 0-3M (long-sleeve)"/>
    <s v="United States"/>
    <s v="Romper Longer"/>
    <n v="6"/>
    <n v="24"/>
    <s v="FathersDay"/>
    <s v="0-3"/>
    <x v="45"/>
    <m/>
  </r>
  <r>
    <d v="2025-06-10T00:00:00"/>
    <s v="https://www.etsy.com/ca/listing/4344231895/embroidered-baby-romper-shhh-im-reading?transaction_id=4809695568"/>
    <s v="Caldet Blue"/>
    <s v="Caldet Blue"/>
    <s v=" 3-6M (long-sleeve)"/>
    <s v="United States"/>
    <s v="Romper Longer"/>
    <n v="6"/>
    <n v="24"/>
    <s v="FathersDay"/>
    <s v="3-6"/>
    <x v="23"/>
    <m/>
  </r>
  <r>
    <d v="2025-06-11T00:00:00"/>
    <s v="https://www.etsy.com/ca/listing/4352935112/custom-baby-romper-personalized-newborn?transaction_id=4818317325"/>
    <s v="Cream"/>
    <s v="Cream"/>
    <s v=" 3-6M (long-sleeve)"/>
    <s v="United States"/>
    <s v="Romper Longer"/>
    <n v="6"/>
    <n v="24"/>
    <s v="FathersDay"/>
    <s v="3-6"/>
    <x v="1"/>
    <m/>
  </r>
  <r>
    <d v="2025-06-12T00:00:00"/>
    <s v="https://www.etsy.com/ca/listing/4352935112/custom-baby-romper-personalized-newborn?transaction_id=4809851478"/>
    <s v="Sage Green"/>
    <s v="Sage Green"/>
    <s v=" 3-6M (long-sleeve)"/>
    <s v="United States"/>
    <s v="Romper Longer"/>
    <n v="6"/>
    <n v="24"/>
    <s v="FathersDay"/>
    <s v="3-6"/>
    <x v="7"/>
    <m/>
  </r>
  <r>
    <d v="2025-06-13T00:00:00"/>
    <s v="https://www.etsy.com/ca/listing/4392929794/little-latke-embroidered-romper-hanukkah?transaction_id=4818350025"/>
    <s v="Cream"/>
    <s v="Cream"/>
    <s v="12-18M (long-sleeve)"/>
    <s v="United States"/>
    <s v="Romper Longer"/>
    <n v="6"/>
    <n v="24"/>
    <s v="FathersDay"/>
    <s v="12-18"/>
    <x v="53"/>
    <m/>
  </r>
  <r>
    <d v="2025-06-14T00:00:00"/>
    <s v="https://www.etsy.com/ca/listing/4330485404/cat-face-embroidered-baby-romper-funny?transaction_id=4809911836"/>
    <s v="Cream"/>
    <s v="Cream"/>
    <s v=" 0-3M (long-sleeve)"/>
    <s v="United States"/>
    <s v="Romper Longer"/>
    <n v="6"/>
    <n v="24"/>
    <s v="FathersDay"/>
    <s v="0-3"/>
    <x v="2"/>
    <m/>
  </r>
  <r>
    <d v="2025-06-15T00:00:00"/>
    <s v="https://www.etsy.com/ca/listing/4376399899/the-littlest-book-club-member-baby?transaction_id=4810359056"/>
    <s v="Sage Green"/>
    <s v="Sage Green"/>
    <s v=" 0-3M (long-sleeve)"/>
    <s v="United States"/>
    <s v="Romper Longer"/>
    <n v="6"/>
    <n v="25"/>
    <s v="FathersDay"/>
    <s v="0-3"/>
    <x v="5"/>
    <m/>
  </r>
  <r>
    <d v="2025-06-16T00:00:00"/>
    <s v="https://www.etsy.com/ca/listing/4371125103/personalized-dog-baby-bodysuit-custom?transaction_id=4818903099"/>
    <s v="Cream"/>
    <s v="Cream"/>
    <s v=" 6-12M (long-sleeve)"/>
    <s v="United States"/>
    <s v="Romper Longer"/>
    <n v="6"/>
    <n v="25"/>
    <s v="FathersDay"/>
    <s v="6-12"/>
    <x v="17"/>
    <m/>
  </r>
  <r>
    <d v="2025-06-17T00:00:00"/>
    <s v="https://www.etsy.com/ca/listing/4371125103/personalized-dog-baby-bodysuit-custom?transaction_id=4818919225"/>
    <s v="Dusty Pink"/>
    <s v="Dusty Pink"/>
    <s v="6-12M (short-sleeve)"/>
    <s v="United States"/>
    <s v="Romper Short"/>
    <n v="6"/>
    <n v="25"/>
    <s v="FathersDay"/>
    <s v="6-12"/>
    <x v="35"/>
    <m/>
  </r>
  <r>
    <d v="2025-06-18T00:00:00"/>
    <s v="https://www.etsy.com/ca/listing/4336907597/custom-running-baby-romper-daddys-future?transaction_id=4819102141"/>
    <s v="Caldet Blue"/>
    <s v="Caldet Blue"/>
    <s v="6-12M (short-sleeve)"/>
    <s v="United States"/>
    <s v="Romper Short"/>
    <n v="6"/>
    <n v="25"/>
    <s v="FathersDay"/>
    <s v="6-12"/>
    <x v="63"/>
    <m/>
  </r>
  <r>
    <d v="2025-06-19T00:00:00"/>
    <s v="https://www.etsy.com/ca/listing/4376399899/the-littlest-book-club-member-baby?transaction_id=4819325883"/>
    <s v="Cream"/>
    <s v="Cream"/>
    <s v=" 0-3M (long-sleeve)"/>
    <s v="United States"/>
    <s v="Romper Longer"/>
    <n v="6"/>
    <n v="25"/>
    <s v="FathersDay"/>
    <s v="0-3"/>
    <x v="2"/>
    <m/>
  </r>
  <r>
    <d v="2025-06-20T00:00:00"/>
    <s v="https://www.etsy.com/ca/listing/4330495722/embroidered-golf-baby-romper-custom?transaction_id=4810978258"/>
    <s v="Mauve Taupe"/>
    <s v="Mauve Taupe"/>
    <s v="3-6M (short-sleeve)"/>
    <s v="United States"/>
    <s v="Romper Short"/>
    <n v="6"/>
    <n v="25"/>
    <s v="FathersDay"/>
    <s v="3-6"/>
    <x v="67"/>
    <m/>
  </r>
  <r>
    <d v="2025-06-21T00:00:00"/>
    <s v="https://www.etsy.com/ca/listing/4330488178/embroidered-golf-baby-romper-new-to-the?transaction_id=4811331770"/>
    <s v="Cream"/>
    <s v="Cream"/>
    <s v=" 0-3M (long-sleeve)"/>
    <s v="United States"/>
    <s v="Romper Longer"/>
    <n v="6"/>
    <n v="25"/>
    <s v="FathersDay"/>
    <s v="0-3"/>
    <x v="2"/>
    <m/>
  </r>
  <r>
    <d v="2025-06-22T00:00:00"/>
    <s v="https://www.etsy.com/ca/listing/4392929794/little-latke-embroidered-romper-hanukkah?transaction_id=4811343232"/>
    <s v="Caldet Blue"/>
    <s v="Caldet Blue"/>
    <s v="12-18M (long-sleeve)"/>
    <s v="United States"/>
    <s v="Romper Longer"/>
    <n v="6"/>
    <n v="26"/>
    <s v="FathersDay"/>
    <s v="12-18"/>
    <x v="60"/>
    <m/>
  </r>
  <r>
    <d v="2025-06-23T00:00:00"/>
    <s v="https://www.etsy.com/ca/listing/4376392339/funny-baby-romper-my-brand-of-formula?transaction_id=4819944457"/>
    <s v="Caldet Blue"/>
    <s v="Caldet Blue"/>
    <s v=" 0-3M (short-sleeve)"/>
    <s v="United States"/>
    <s v="Romper Short"/>
    <n v="6"/>
    <n v="26"/>
    <s v="FathersDay"/>
    <s v="0-3"/>
    <x v="38"/>
    <m/>
  </r>
  <r>
    <d v="2025-06-24T00:00:00"/>
    <s v="https://www.etsy.com/ca/listing/4372357398/personalized-hunting-baby-romper-custom?transaction_id=4820224359"/>
    <s v="Cream"/>
    <s v="Cream"/>
    <s v=" 6-12M (long-sleeve)"/>
    <s v="United States"/>
    <s v="Romper Longer"/>
    <n v="6"/>
    <n v="26"/>
    <s v="FathersDay"/>
    <s v="6-12"/>
    <x v="17"/>
    <m/>
  </r>
  <r>
    <d v="2025-06-25T00:00:00"/>
    <s v="https://www.etsy.com/ca/listing/4330492512/funny-goose-embroidered-baby-romper?transaction_id=4813513019"/>
    <s v="Dusty Pink"/>
    <s v="Dusty Pink"/>
    <s v="12-18M (long-sleeve)"/>
    <s v="United States"/>
    <s v="Romper Longer"/>
    <n v="6"/>
    <n v="26"/>
    <s v="FathersDay"/>
    <s v="12-18"/>
    <x v="75"/>
    <m/>
  </r>
  <r>
    <d v="2025-06-26T00:00:00"/>
    <s v="https://www.etsy.com/ca/listing/4347885967/gigis-bestie-baby-bodysuit-baby-shower"/>
    <s v="Watermelon"/>
    <s v="Watermelon"/>
    <s v=" 3-6M (long-sleeve)"/>
    <s v="United States"/>
    <s v="Romper Longer"/>
    <n v="6"/>
    <n v="26"/>
    <s v="FathersDay"/>
    <s v="3-6"/>
    <x v="20"/>
    <m/>
  </r>
  <r>
    <d v="2025-06-27T00:00:00"/>
    <s v="https://www.etsy.com/ca/listing/4392929794/little-latke-embroidered-romper-hanukkah?transaction_id=4804559924"/>
    <s v="Cream"/>
    <s v="Cream"/>
    <s v=" 6-12M (long-sleeve)"/>
    <s v="United States"/>
    <s v="Romper Longer"/>
    <n v="6"/>
    <n v="26"/>
    <s v="FathersDay"/>
    <s v="6-12"/>
    <x v="17"/>
    <m/>
  </r>
  <r>
    <d v="2025-06-28T00:00:00"/>
    <s v="https://www.etsy.com/ca/listing/4330483435/embroidered-coffee-bean-baby-romper?transaction_id=4812488042"/>
    <s v="Cream"/>
    <s v="Cream"/>
    <s v=" 0-3M (long-sleeve)"/>
    <s v="United States"/>
    <s v="Romper Longer"/>
    <n v="6"/>
    <n v="26"/>
    <s v="FathersDay"/>
    <s v="0-3"/>
    <x v="2"/>
    <m/>
  </r>
  <r>
    <d v="2025-06-29T00:00:00"/>
    <s v="https://www.etsy.com/ca/listing/4376392339/funny-baby-romper-my-brand-of-formula?transaction_id=4821323125"/>
    <s v="Cream"/>
    <s v="Cream"/>
    <s v="3-6M (short-sleeve)"/>
    <s v="United States"/>
    <s v="Romper Short"/>
    <n v="6"/>
    <n v="27"/>
    <s v="FathersDay"/>
    <s v="3-6"/>
    <x v="0"/>
    <m/>
  </r>
  <r>
    <d v="2025-06-30T00:00:00"/>
    <s v="https://www.etsy.com/ca/listing/4392929794/little-latke-embroidered-romper-hanukkah?transaction_id=4821495945"/>
    <s v="White"/>
    <s v="White"/>
    <s v="12-18M (short-sleeve)"/>
    <s v="United States"/>
    <s v="Romper Short"/>
    <n v="6"/>
    <n v="27"/>
    <s v="FathersDay"/>
    <s v="12-18"/>
    <x v="87"/>
    <m/>
  </r>
  <r>
    <d v="2025-07-01T00:00:00"/>
    <s v="https://www.etsy.com/ca/listing/4392929794/little-latke-embroidered-romper-hanukkah?transaction_id=4813385268"/>
    <s v="Watermelon"/>
    <s v="Watermelon"/>
    <s v=" 6-12M (long-sleeve)"/>
    <s v="United States"/>
    <s v="Romper Longer"/>
    <n v="7"/>
    <n v="27"/>
    <s v="Summer"/>
    <s v="6-12"/>
    <x v="33"/>
    <m/>
  </r>
  <r>
    <d v="2025-07-02T00:00:00"/>
    <s v="https://www.etsy.com/ca/listing/4392936921/apparently-i-like-golf-embroidered?transaction_id=4813550968"/>
    <s v="Caldet Blue"/>
    <s v="Caldet Blue"/>
    <s v=" 6-12M (long-sleeve)"/>
    <s v="United States"/>
    <s v="Romper Longer"/>
    <n v="7"/>
    <n v="27"/>
    <s v="Summer"/>
    <s v="6-12"/>
    <x v="25"/>
    <m/>
  </r>
  <r>
    <d v="2025-07-03T00:00:00"/>
    <s v="https://www.etsy.com/ca/listing/4392932100/born-to-ride-with-my-daddy-embroidered?transaction_id=4822344079"/>
    <s v="Cream"/>
    <s v="Cream"/>
    <s v=" 6-12M (long-sleeve)"/>
    <s v="United States"/>
    <s v="Romper Longer"/>
    <n v="7"/>
    <n v="27"/>
    <s v="Summer"/>
    <s v="6-12"/>
    <x v="17"/>
    <m/>
  </r>
  <r>
    <d v="2025-07-04T00:00:00"/>
    <s v="https://www.etsy.com/ca/listing/4392932100/born-to-ride-with-my-daddy-embroidered?transaction_id=4814144518"/>
    <s v="Watermelon"/>
    <s v="Watermelon"/>
    <s v="3-6M (short-sleeve)"/>
    <s v="United States"/>
    <s v="Romper Short"/>
    <n v="7"/>
    <n v="27"/>
    <s v="Summer"/>
    <s v="3-6"/>
    <x v="39"/>
    <m/>
  </r>
  <r>
    <d v="2025-07-05T00:00:00"/>
    <s v="https://www.etsy.com/ca/listing/4346126210/daddys-future-lifting-buddy-romper-baby?transaction_id=4814340176"/>
    <s v="Forest Green"/>
    <s v="Forest Green"/>
    <s v="3-6M (short-sleeve)"/>
    <s v="United States"/>
    <s v="Romper Short"/>
    <n v="7"/>
    <n v="27"/>
    <s v="Summer"/>
    <s v="3-6"/>
    <x v="6"/>
    <m/>
  </r>
  <r>
    <d v="2025-07-06T00:00:00"/>
    <s v="https://www.etsy.com/ca/listing/4333134764/wizard-font-baby-romper-personalized?transaction_id=4823318145"/>
    <s v="Coffee"/>
    <s v="Coffee"/>
    <s v=" 6-12M (long-sleeve)"/>
    <s v="United States"/>
    <s v="Romper Longer"/>
    <n v="7"/>
    <n v="28"/>
    <s v="Summer"/>
    <s v="6-12"/>
    <x v="86"/>
    <m/>
  </r>
  <r>
    <d v="2025-07-07T00:00:00"/>
    <s v="https://www.etsy.com/ca/listing/4376389783/player-2-baby-romper-gamer-baby-outfit?transaction_id=4824225989"/>
    <s v="Sage Green"/>
    <s v="Sage Green"/>
    <s v="12-18M (short-sleeve)"/>
    <s v="United States"/>
    <s v="Romper Short"/>
    <n v="7"/>
    <n v="28"/>
    <s v="Summer"/>
    <s v="12-18"/>
    <x v="74"/>
    <m/>
  </r>
  <r>
    <d v="2025-07-08T00:00:00"/>
    <s v="https://www.etsy.com/ca/listing/4392932100/born-to-ride-with-my-daddy-embroidered?transaction_id=4824225987"/>
    <s v="Cream"/>
    <s v="Cream"/>
    <s v="3-6M (short-sleeve)"/>
    <s v="United States"/>
    <s v="Romper Short"/>
    <n v="7"/>
    <n v="28"/>
    <s v="Summer"/>
    <s v="3-6"/>
    <x v="0"/>
    <m/>
  </r>
  <r>
    <d v="2025-07-09T00:00:00"/>
    <s v="https://www.etsy.com/ca/listing/4333134764/wizard-font-baby-romper-personalized?transaction_id=4815648886"/>
    <s v="Sage Green"/>
    <s v="Sage Green"/>
    <s v=" 0-3M (long-sleeve)"/>
    <s v="United States"/>
    <s v="Romper Longer"/>
    <n v="7"/>
    <n v="28"/>
    <s v="Summer"/>
    <s v="0-3"/>
    <x v="5"/>
    <m/>
  </r>
  <r>
    <d v="2025-07-10T00:00:00"/>
    <s v="https://www.etsy.com/ca/listing/4344235128/new-to-the-hive-baby-romper-embroidered?transaction_id=47998808700"/>
    <s v="Cream"/>
    <s v="Cream"/>
    <s v="3-6M (short-sleeve)"/>
    <s v="United States"/>
    <s v="Romper Short"/>
    <n v="7"/>
    <n v="28"/>
    <s v="Summer"/>
    <s v="3-6"/>
    <x v="0"/>
    <m/>
  </r>
  <r>
    <d v="2025-07-11T00:00:00"/>
    <s v="https://www.etsy.com/ca/listing/4392929794/little-latke-embroidered-romper-hanukkah?transaction_id=4816858292"/>
    <s v="Caldet Blue"/>
    <s v="Caldet Blue"/>
    <s v="12-18M (long-sleeve)"/>
    <s v="United States"/>
    <s v="Romper Longer"/>
    <n v="7"/>
    <n v="28"/>
    <s v="Summer"/>
    <s v="12-18"/>
    <x v="60"/>
    <m/>
  </r>
  <r>
    <d v="2025-07-12T00:00:00"/>
    <s v="https://www.etsy.com/ca/listing/4330504400/embroidered-bicycle-baby-romper-born-to?transaction_id=4817517114"/>
    <s v="Cream"/>
    <s v="Cream"/>
    <s v=" 0-3M (short-sleeve)"/>
    <s v="United States"/>
    <s v="Romper Short"/>
    <n v="7"/>
    <n v="28"/>
    <s v="Summer"/>
    <s v="0-3"/>
    <x v="15"/>
    <m/>
  </r>
  <r>
    <d v="2025-07-13T00:00:00"/>
    <s v="https://www.etsy.com/ca/listing/4392929794/little-latke-embroidered-romper-hanukkah?transaction_id=4818518738"/>
    <s v="Caldet Blue"/>
    <s v="Caldet Blue"/>
    <s v="18-24M (long-sleeve)"/>
    <s v="United States"/>
    <s v="Romper Longer"/>
    <n v="7"/>
    <n v="29"/>
    <s v="Summer"/>
    <s v="18-24"/>
    <x v="106"/>
    <m/>
  </r>
  <r>
    <d v="2025-07-14T00:00:00"/>
    <s v="https://www.etsy.com/ca/listing/4392936688/shhh-im-watching-motogp-with-daddy?transaction_id=4827978539"/>
    <s v="White"/>
    <s v="White"/>
    <s v=" 3-6M (long-sleeve)"/>
    <s v="United States"/>
    <s v="Romper Longer"/>
    <n v="7"/>
    <n v="29"/>
    <s v="Summer"/>
    <s v="3-6"/>
    <x v="70"/>
    <m/>
  </r>
  <r>
    <d v="2025-07-15T00:00:00"/>
    <s v="https://www.etsy.com/ca/listing/4392929794/little-latke-embroidered-romper-hanukkah?transaction_id=4819485998"/>
    <s v="White"/>
    <s v="White"/>
    <s v=" 3-6M (long-sleeve)"/>
    <s v="United States"/>
    <s v="Romper Longer"/>
    <n v="7"/>
    <n v="29"/>
    <s v="Summer"/>
    <s v="3-6"/>
    <x v="70"/>
    <m/>
  </r>
  <r>
    <d v="2025-07-16T00:00:00"/>
    <s v="https://www.etsy.com/ca/listing/4330474831/embroidered-hedgehog-baby-bodysuit?transaction_id=4819885272"/>
    <s v="Coffee"/>
    <s v="Coffee"/>
    <s v="18-24M (long-sleeve)"/>
    <s v="United States"/>
    <s v="Romper Longer"/>
    <n v="7"/>
    <n v="29"/>
    <s v="Summer"/>
    <s v="18-24"/>
    <x v="80"/>
    <m/>
  </r>
  <r>
    <d v="2025-07-17T00:00:00"/>
    <s v="https://www.etsy.com/ca/listing/4330474831/embroidered-hedgehog-baby-bodysuit?transaction_id=4819885272"/>
    <s v="Coffee"/>
    <s v="Coffee"/>
    <s v="12-18M (long-sleeve)"/>
    <s v="United States"/>
    <s v="Romper Longer"/>
    <n v="7"/>
    <n v="29"/>
    <s v="Summer"/>
    <s v="12-18"/>
    <x v="79"/>
    <m/>
  </r>
  <r>
    <d v="2025-07-18T00:00:00"/>
    <s v="https://www.etsy.com/ca/listing/4376392339/funny-baby-romper-my-brand-of-formula?transaction_id=4828822419"/>
    <s v="Forest Green"/>
    <s v="Forest Green"/>
    <s v=" 6-12M (long-sleeve)"/>
    <s v="United States"/>
    <s v="Romper Longer"/>
    <n v="7"/>
    <n v="29"/>
    <s v="Summer"/>
    <s v="6-12"/>
    <x v="30"/>
    <m/>
  </r>
  <r>
    <d v="2025-07-19T00:00:00"/>
    <s v="https://www.etsy.com/ca/listing/4330488178/embroidered-golf-baby-romper-new-to-the?transaction_id=4820268122"/>
    <s v="Cream"/>
    <s v="Cream"/>
    <s v=" 6-12M (long-sleeve)"/>
    <s v="United States"/>
    <s v="Romper Longer"/>
    <n v="7"/>
    <n v="29"/>
    <s v="Summer"/>
    <s v="6-12"/>
    <x v="17"/>
    <m/>
  </r>
  <r>
    <d v="2025-07-20T00:00:00"/>
    <s v="https://www.etsy.com/ca/listing/4392925828/hello-grandma-embroidered-romper-i-cant?transaction_id=4829913163"/>
    <s v="Cream"/>
    <s v="Cream"/>
    <s v=" 3-6M (long-sleeve)"/>
    <m/>
    <s v="Romper Longer"/>
    <n v="7"/>
    <n v="30"/>
    <s v="Summer"/>
    <s v="3-6"/>
    <x v="1"/>
    <m/>
  </r>
  <r>
    <d v="2025-07-21T00:00:00"/>
    <s v="https://www.etsy.com/ca/listing/4330485404/cat-face-embroidered-baby-romper-funny?transaction_id=4829914387"/>
    <s v="Cream"/>
    <s v="Cream"/>
    <s v=" 3-6M (long-sleeve)"/>
    <m/>
    <s v="Romper Longer"/>
    <n v="7"/>
    <n v="30"/>
    <s v="Summer"/>
    <s v="3-6"/>
    <x v="1"/>
    <m/>
  </r>
  <r>
    <d v="2025-07-22T00:00:00"/>
    <s v="https://www.etsy.com/ca/listing/4392932100/born-to-ride-with-my-daddy-embroidered?transaction_id=4821223672"/>
    <s v="Cream"/>
    <s v="Cream"/>
    <s v="3-6M (short-sleeve)"/>
    <m/>
    <s v="Romper Short"/>
    <n v="7"/>
    <n v="30"/>
    <s v="Summer"/>
    <s v="3-6"/>
    <x v="0"/>
    <m/>
  </r>
  <r>
    <d v="2025-07-23T00:00:00"/>
    <s v="https://www.etsy.com/ca/listing/4392935796/box-box-for-fresh-diapers-embroidered?transaction_id=4821333260"/>
    <s v="Cream"/>
    <s v="Cream"/>
    <s v=" 3-6M (long-sleeve)"/>
    <s v="United States"/>
    <s v="Romper Longer"/>
    <n v="7"/>
    <n v="30"/>
    <s v="Summer"/>
    <s v="3-6"/>
    <x v="1"/>
    <m/>
  </r>
  <r>
    <d v="2025-07-24T00:00:00"/>
    <s v="https://www.etsy.com/ca/listing/4330488178/embroidered-golf-baby-romper-new-to-the?transaction_id=4821333258"/>
    <s v="Cream"/>
    <s v="Cream"/>
    <s v=" 3-6M (long-sleeve)"/>
    <m/>
    <s v="Romper Longer"/>
    <n v="7"/>
    <n v="30"/>
    <s v="Summer"/>
    <s v="3-6"/>
    <x v="1"/>
    <m/>
  </r>
  <r>
    <d v="2025-07-25T00:00:00"/>
    <s v="https://www.etsy.com/ca/listing/4371125103/personalized-dog-baby-bodysuit-custom?transaction_id=4830530457"/>
    <s v="Dusty Pink"/>
    <s v="Dusty Pink"/>
    <s v=" 6-12M (long-sleeve)"/>
    <m/>
    <s v="Romper Longer"/>
    <n v="7"/>
    <n v="30"/>
    <s v="Summer"/>
    <s v="6-12"/>
    <x v="51"/>
    <m/>
  </r>
  <r>
    <d v="2025-07-26T00:00:00"/>
    <s v="https://www.etsy.com/ca/listing/4392929794/little-latke-embroidered-romper-hanukkah?transaction_id=4821488636"/>
    <s v="Caldet Blue"/>
    <s v="Caldet Blue"/>
    <s v=" 6-12M (long-sleeve)"/>
    <m/>
    <s v="Romper Longer"/>
    <n v="7"/>
    <n v="30"/>
    <s v="Summer"/>
    <s v="6-12"/>
    <x v="25"/>
    <m/>
  </r>
  <r>
    <d v="2025-07-27T00:00:00"/>
    <s v="https://www.etsy.com/ca/listing/4371125103/personalized-dog-baby-bodysuit-custom?transaction_id=4821556832"/>
    <s v="Watermelon"/>
    <s v="Watermelon"/>
    <s v=" 3-6M (long-sleeve)"/>
    <s v="Canada"/>
    <s v="Romper Longer"/>
    <n v="7"/>
    <n v="31"/>
    <s v="Summer"/>
    <s v="3-6"/>
    <x v="20"/>
    <m/>
  </r>
  <r>
    <d v="2025-07-28T00:00:00"/>
    <s v="https://www.etsy.com/ca/listing/4347885967/gigis-bestie-baby-bodysuit-baby-shower?transaction_id=4830919287"/>
    <s v="Cream"/>
    <s v="Cream"/>
    <s v=" 3-6M (long-sleeve)"/>
    <m/>
    <s v="Romper Longer"/>
    <n v="7"/>
    <n v="31"/>
    <s v="Summer"/>
    <s v="3-6"/>
    <x v="1"/>
    <m/>
  </r>
  <r>
    <d v="2025-07-29T00:00:00"/>
    <s v="https://www.etsy.com/ca/listing/4369781522/crawl-walk-putt-baby-romper-funny-golf?transaction_id=4831152257"/>
    <s v="Sage Green"/>
    <s v="Sage Green"/>
    <s v=" 3-6M (long-sleeve)"/>
    <m/>
    <s v="Romper Longer"/>
    <n v="7"/>
    <n v="31"/>
    <s v="Summer"/>
    <s v="3-6"/>
    <x v="7"/>
    <m/>
  </r>
  <r>
    <d v="2025-07-30T00:00:00"/>
    <s v="https://www.etsy.com/ca/listing/4330488178/embroidered-golf-baby-romper-new-to-the?transaction_id=4831152255"/>
    <s v="Cream"/>
    <s v="Cream"/>
    <s v="3-6M (short-sleeve)"/>
    <m/>
    <s v="Romper Short"/>
    <n v="7"/>
    <n v="31"/>
    <s v="Summer"/>
    <s v="3-6"/>
    <x v="0"/>
    <m/>
  </r>
  <r>
    <d v="2025-07-31T00:00:00"/>
    <s v="https://www.etsy.com/ca/listing/4392929794/little-latke-embroidered-romper-hanukkah?transaction_id=4822367496"/>
    <s v="Dusty Pink"/>
    <s v="Dusty Pink"/>
    <s v="12-18M (short-sleeve)"/>
    <s v=""/>
    <s v="Romper Short"/>
    <n v="7"/>
    <n v="31"/>
    <s v="Summer"/>
    <s v="12-18"/>
    <x v="44"/>
    <m/>
  </r>
  <r>
    <d v="2025-08-01T00:00:00"/>
    <s v="https://www.etsy.com/ca/listing/4393819210/sweet-dreams-are-made-of-cheese?transaction_id=4832286761"/>
    <s v="Cream"/>
    <s v="Cream"/>
    <s v=" 0-3M (short-sleeve)"/>
    <m/>
    <s v="Romper Short"/>
    <n v="8"/>
    <n v="31"/>
    <s v="Summer"/>
    <s v="0-3"/>
    <x v="15"/>
    <m/>
  </r>
  <r>
    <d v="2025-08-02T00:00:00"/>
    <s v="https://www.etsy.com/ca/listing/4392929794/little-latke-embroidered-romper-hanukkah?transaction_id=4823057016"/>
    <s v="Cream"/>
    <s v="Cream"/>
    <s v="18-24M (long-sleeve)"/>
    <s v="United States"/>
    <s v="Romper Longer"/>
    <n v="8"/>
    <n v="31"/>
    <s v="Summer"/>
    <s v="18-24"/>
    <x v="55"/>
    <m/>
  </r>
  <r>
    <d v="2025-08-03T00:00:00"/>
    <s v="https://www.etsy.com/ca/listing/4393855716/lil-chef-embroidered-romper-cute-baby?transaction_id=4832616651"/>
    <s v="Sage Green"/>
    <s v="Sage Green"/>
    <s v=" 0-3M (long-sleeve)"/>
    <s v="Canada"/>
    <s v="Romper Longer"/>
    <n v="8"/>
    <n v="32"/>
    <s v="Summer"/>
    <s v="0-3"/>
    <x v="5"/>
    <m/>
  </r>
  <r>
    <d v="2025-08-04T00:00:00"/>
    <s v="https://www.etsy.com/ca/listing/4330488178/embroidered-golf-baby-romper-new-to-the?transaction_id=4832830101"/>
    <s v="Cream"/>
    <s v="Cream"/>
    <s v=" 3-6M (long-sleeve)"/>
    <s v="United States"/>
    <s v="Romper Longer"/>
    <n v="8"/>
    <n v="32"/>
    <s v="Summer"/>
    <s v="3-6"/>
    <x v="1"/>
    <m/>
  </r>
  <r>
    <d v="2025-08-05T00:00:00"/>
    <s v="https://www.etsy.com/ca/listing/4376399899/the-littlest-book-club-member-baby?transaction_id=4832872923"/>
    <s v="Cream"/>
    <s v="Cream"/>
    <s v=" 3-6M (long-sleeve)"/>
    <s v=""/>
    <s v="Romper Longer"/>
    <n v="8"/>
    <n v="32"/>
    <s v="Summer"/>
    <s v="3-6"/>
    <x v="1"/>
    <m/>
  </r>
  <r>
    <d v="2025-08-06T00:00:00"/>
    <s v="https://www.etsy.com/ca/listing/4392929794/little-latke-embroidered-romper-hanukkah?transaction_id=4823703278"/>
    <s v="Dusty Pink"/>
    <s v="Dusty Pink"/>
    <s v=" 3-6M (long-sleeve)"/>
    <s v="United States"/>
    <s v="Romper Longer"/>
    <n v="8"/>
    <n v="32"/>
    <s v="Summer"/>
    <s v="3-6"/>
    <x v="8"/>
    <m/>
  </r>
  <r>
    <d v="2025-08-07T00:00:00"/>
    <s v="https://www.etsy.com/ca/listing/4392929794/little-latke-embroidered-romper-hanukkah?transaction_id=4833190521"/>
    <s v="Cream"/>
    <s v="Cream"/>
    <s v=" 6-12M (long-sleeve)"/>
    <s v="United States"/>
    <s v="Romper Longer"/>
    <n v="8"/>
    <n v="32"/>
    <s v="Summer"/>
    <s v="6-12"/>
    <x v="17"/>
    <m/>
  </r>
  <r>
    <d v="2025-08-08T00:00:00"/>
    <s v="https://www.etsy.com/ca/listing/4330485404/cat-face-embroidered-baby-romper-funny?transaction_id=4823802770"/>
    <s v="Cream"/>
    <s v="Cream"/>
    <s v=" 6-12M (long-sleeve)"/>
    <s v=""/>
    <s v="Romper Longer"/>
    <n v="8"/>
    <n v="32"/>
    <s v="Summer"/>
    <s v="6-12"/>
    <x v="17"/>
    <m/>
  </r>
  <r>
    <d v="2025-08-09T00:00:00"/>
    <s v="https://www.etsy.com/ca/listing/4392936921/apparently-i-like-golf-embroidered?transaction_id=4823834506"/>
    <s v="Dusty Pink"/>
    <s v="Dusty Pink"/>
    <s v=" 6-12M (long-sleeve)"/>
    <s v="United States"/>
    <s v="Romper Longer"/>
    <n v="8"/>
    <n v="32"/>
    <s v="Summer"/>
    <s v="6-12"/>
    <x v="51"/>
    <m/>
  </r>
  <r>
    <d v="2025-08-10T00:00:00"/>
    <s v="https://www.etsy.com/ca/listing/4330487785/personalized-embroidered-baby-romper?transaction_id=4823910892"/>
    <s v="White"/>
    <s v="White"/>
    <s v="12-18M (short-sleeve)"/>
    <s v="United States"/>
    <s v="Romper Short"/>
    <n v="8"/>
    <n v="33"/>
    <s v="Summer"/>
    <s v="12-18"/>
    <x v="87"/>
    <m/>
  </r>
  <r>
    <d v="2025-08-11T00:00:00"/>
    <s v="https://www.etsy.com/ca/listing/4392935796/box-box-for-fresh-diapers-embroidered?transaction_id=4824303894"/>
    <s v="White"/>
    <s v="White"/>
    <s v="12-18M (long-sleeve)"/>
    <s v=""/>
    <s v="Romper Longer"/>
    <n v="8"/>
    <n v="33"/>
    <s v="Summer"/>
    <s v="12-18"/>
    <x v="73"/>
    <m/>
  </r>
  <r>
    <d v="2025-08-12T00:00:00"/>
    <s v="https://www.etsy.com/ca/listing/4392929794/little-latke-embroidered-romper-hanukkah?transaction_id=4833935533"/>
    <s v="Cream"/>
    <s v="Cream"/>
    <s v=" 3-6M (long-sleeve)"/>
    <s v="United States"/>
    <s v="Romper Longer"/>
    <n v="8"/>
    <n v="33"/>
    <s v="Summer"/>
    <s v="3-6"/>
    <x v="1"/>
    <m/>
  </r>
  <r>
    <d v="2025-08-13T00:00:00"/>
    <s v="https://www.etsy.com/ca/listing/4392932100/born-to-ride-with-my-daddy-embroidered?transaction_id=4834142349"/>
    <s v="Cream"/>
    <s v="Cream"/>
    <s v=" 3-6M (long-sleeve)"/>
    <s v="France"/>
    <s v="Romper Longer"/>
    <n v="8"/>
    <n v="33"/>
    <s v="Summer"/>
    <s v="3-6"/>
    <x v="1"/>
    <m/>
  </r>
  <r>
    <d v="2025-08-14T00:00:00"/>
    <s v="https://www.etsy.com/ca/listing/4376399899/the-littlest-book-club-member-baby?transaction_id=4834266841"/>
    <s v="Sage Green"/>
    <s v="Sage Green"/>
    <s v=" 0-3M (long-sleeve)"/>
    <s v="United States"/>
    <s v="Romper Longer"/>
    <n v="8"/>
    <n v="33"/>
    <s v="Summer"/>
    <s v="0-3"/>
    <x v="5"/>
    <m/>
  </r>
  <r>
    <d v="2025-08-15T00:00:00"/>
    <s v="https://www.etsy.com/ca/listing/4330488178/embroidered-golf-baby-romper-new-to-the?transaction_id=4834336723"/>
    <s v="Cream"/>
    <s v="Cream"/>
    <s v="3-6M (short-sleeve)"/>
    <s v="United States"/>
    <s v="Romper Short"/>
    <n v="8"/>
    <n v="33"/>
    <s v="Summer"/>
    <s v="3-6"/>
    <x v="0"/>
    <m/>
  </r>
  <r>
    <d v="2025-08-16T00:00:00"/>
    <s v="www.etsy.com/ca/listing/4376389783/player-2-baby-romper-gamer-baby-outfit?transaction_id=4834361419"/>
    <s v="Caldet Blue"/>
    <s v="Caldet Blue"/>
    <s v="12-18M (long-sleeve)"/>
    <s v="United States"/>
    <s v="Romper Longer"/>
    <n v="8"/>
    <n v="33"/>
    <s v="Summer"/>
    <s v="12-18"/>
    <x v="60"/>
    <m/>
  </r>
  <r>
    <d v="2025-08-17T00:00:00"/>
    <s v="https://www.etsy.com/ca/listing/4392929794/little-latke-embroidered-romper-hanukkah?transaction_id=4825064008"/>
    <s v="Caldet Blue"/>
    <s v="Caldet Blue"/>
    <s v=" 0-3M (long-sleeve)"/>
    <s v="United States"/>
    <s v="Romper Longer"/>
    <n v="8"/>
    <n v="34"/>
    <s v="Summer"/>
    <s v="0-3"/>
    <x v="9"/>
    <m/>
  </r>
  <r>
    <d v="2025-08-18T00:00:00"/>
    <s v="https://www.etsy.com/ca/listing/4330488178/embroidered-golf-baby-romper-new-to-the?transaction_id=4834873063"/>
    <s v="Cream"/>
    <s v="Cream"/>
    <s v=" 0-3M (long-sleeve)"/>
    <s v="United States"/>
    <s v="Romper Longer"/>
    <n v="8"/>
    <n v="34"/>
    <s v="Summer"/>
    <s v="0-3"/>
    <x v="2"/>
    <m/>
  </r>
  <r>
    <d v="2025-08-19T00:00:00"/>
    <s v="https://www.etsy.com/ca/listing/4369764524/embroidered-snowman-baby-romper?transaction_id=4834902171"/>
    <s v="Cream"/>
    <s v="Cream"/>
    <s v=" 0-3M (long-sleeve)"/>
    <s v="United States"/>
    <s v="Romper Longer"/>
    <n v="8"/>
    <n v="34"/>
    <s v="Summer"/>
    <s v="0-3"/>
    <x v="2"/>
    <m/>
  </r>
  <r>
    <d v="2025-08-20T00:00:00"/>
    <s v="https://www.etsy.com/ca/listing/4330488178/embroidered-golf-baby-romper-new-to-the?transaction_id=4835024489"/>
    <s v="Caldet Blue"/>
    <s v="Caldet Blue"/>
    <s v="3-6M (short-sleeve)"/>
    <s v="United States"/>
    <s v="Romper Short"/>
    <n v="8"/>
    <n v="34"/>
    <s v="Summer"/>
    <s v="3-6"/>
    <x v="29"/>
    <m/>
  </r>
  <r>
    <d v="2025-08-21T00:00:00"/>
    <s v="https://www.etsy.com/ca/listing/4376392339/funny-baby-romper-my-brand-of-formula?transaction_id=4835132377"/>
    <s v="White"/>
    <s v="White"/>
    <s v=" 3-6M (long-sleeve)"/>
    <s v="United States"/>
    <s v="Romper Longer"/>
    <n v="8"/>
    <n v="34"/>
    <s v="Summer"/>
    <s v="3-6"/>
    <x v="70"/>
    <m/>
  </r>
  <r>
    <d v="2025-08-22T00:00:00"/>
    <s v="https://www.etsy.com/ca/listing/4392936921/apparently-i-like-golf-embroidered?transaction_id=4835171473"/>
    <s v="Dusty Pink"/>
    <s v="Dusty Pink"/>
    <s v=" 3-6M (long-sleeve)"/>
    <s v="United States"/>
    <s v="Romper Longer"/>
    <n v="8"/>
    <n v="34"/>
    <s v="Summer"/>
    <s v="3-6"/>
    <x v="8"/>
    <m/>
  </r>
  <r>
    <d v="2025-08-23T00:00:00"/>
    <s v="https://www.etsy.com/ca/listing/4392929794/little-latke-embroidered-romper-hanukkah?transaction_id=4825588060"/>
    <s v="Cream"/>
    <s v="Cream"/>
    <s v=" 6-12M (long-sleeve)"/>
    <s v="United States"/>
    <s v="Romper Longer"/>
    <n v="8"/>
    <n v="34"/>
    <s v="Summer"/>
    <s v="6-12"/>
    <x v="17"/>
    <m/>
  </r>
  <r>
    <d v="2025-08-24T00:00:00"/>
    <s v="https://www.etsy.com/ca/listing/4392929794/little-latke-embroidered-romper-hanukkah?transaction_id=4825675808"/>
    <s v="Dusty Pink"/>
    <s v="Dusty Pink"/>
    <s v=" 6-12M (long-sleeve)"/>
    <s v="United States"/>
    <s v="Romper Longer"/>
    <n v="8"/>
    <n v="35"/>
    <s v="Summer"/>
    <s v="6-12"/>
    <x v="51"/>
    <m/>
  </r>
  <r>
    <d v="2025-08-25T00:00:00"/>
    <s v="https://www.etsy.com/ca/listing/4392929794/little-latke-embroidered-romper-hanukkah?transaction_id=4825701904"/>
    <s v="Cream"/>
    <s v="Cream"/>
    <s v=" 6-12M (long-sleeve)"/>
    <s v="United States"/>
    <s v="Romper Longer"/>
    <n v="8"/>
    <n v="35"/>
    <s v="Summer"/>
    <s v="6-12"/>
    <x v="17"/>
    <m/>
  </r>
  <r>
    <d v="2025-08-26T00:00:00"/>
    <s v="https://www.etsy.com/ca/listing/4392929794/little-latke-embroidered-romper-hanukkah?transaction_id=4825752860"/>
    <s v="White"/>
    <s v="White"/>
    <s v="12-18M (long-sleeve)"/>
    <s v="United States"/>
    <s v="Romper Longer"/>
    <n v="8"/>
    <n v="35"/>
    <s v="Summer"/>
    <s v="12-18"/>
    <x v="73"/>
    <m/>
  </r>
  <r>
    <d v="2025-08-27T00:00:00"/>
    <s v="https://www.etsy.com/ca/listing/4376389783/player-2-baby-romper-gamer-baby-outfit?transaction_id=4825780760"/>
    <s v="Cream"/>
    <s v="Cream"/>
    <s v=" 0-3M (long-sleeve)"/>
    <s v="United States"/>
    <s v="Romper Longer"/>
    <n v="8"/>
    <n v="35"/>
    <s v="Summer"/>
    <s v="0-3"/>
    <x v="2"/>
    <m/>
  </r>
  <r>
    <d v="2025-08-28T00:00:00"/>
    <s v="https://www.etsy.com/ca/listing/4392929794/little-latke-embroidered-romper-hanukkah?transaction_id=4825923918"/>
    <s v="Cream"/>
    <s v="Cream"/>
    <s v=" 0-3M (short-sleeve)"/>
    <s v="United States"/>
    <s v="Romper Short"/>
    <n v="8"/>
    <n v="35"/>
    <s v="Summer"/>
    <s v="0-3"/>
    <x v="15"/>
    <m/>
  </r>
  <r>
    <d v="2025-08-29T00:00:00"/>
    <s v="https://www.etsy.com/ca/listing/4392936921/apparently-i-like-golf-embroidered?transaction_id=4835721825 "/>
    <s v="Watermelon"/>
    <s v="Watermelon"/>
    <s v=" 6-12M (long-sleeve)"/>
    <s v="Canada"/>
    <s v="Romper Longer"/>
    <n v="8"/>
    <n v="35"/>
    <s v="Summer"/>
    <s v="6-12"/>
    <x v="33"/>
    <m/>
  </r>
  <r>
    <d v="2025-08-30T00:00:00"/>
    <s v="https://www.etsy.com/ca/listing/4330488178/embroidered-golf-baby-romper-new-to-the?transaction_id=4835724507"/>
    <s v="Cream"/>
    <s v="Cream"/>
    <s v=" 3-6M (long-sleeve)"/>
    <s v="Canada"/>
    <s v="Romper Longer"/>
    <n v="8"/>
    <n v="35"/>
    <s v="Summer"/>
    <s v="3-6"/>
    <x v="1"/>
    <m/>
  </r>
  <r>
    <d v="2025-08-31T00:00:00"/>
    <s v="https://www.etsy.com/ca/listing/4392929794/little-latke-embroidered-romper-hanukkah?transaction_id=4835967145"/>
    <s v="Cream"/>
    <s v="Cream"/>
    <s v="12-18M (long-sleeve)"/>
    <s v="United States"/>
    <s v="Romper Longer"/>
    <n v="8"/>
    <n v="36"/>
    <s v="Summer"/>
    <s v="12-18"/>
    <x v="53"/>
    <m/>
  </r>
  <r>
    <d v="2025-09-01T00:00:00"/>
    <s v="https://www.etsy.com/ca/listing/4392929794/little-latke-embroidered-romper-hanukkah?transaction_id=4826317594"/>
    <s v="Caldet Blue"/>
    <s v="Caldet Blue"/>
    <s v="12-18M (long-sleeve)"/>
    <s v="United States"/>
    <s v="Romper Longer"/>
    <n v="9"/>
    <n v="36"/>
    <s v="Normal"/>
    <s v="12-18"/>
    <x v="60"/>
    <m/>
  </r>
  <r>
    <d v="2025-09-02T00:00:00"/>
    <s v="https://www.etsy.com/ca/listing/4330492512/funny-goose-embroidered-baby-romper?transaction_id=4826354598"/>
    <s v="Sage Green"/>
    <s v="Sage Green"/>
    <s v="3-6M (short-sleeve)"/>
    <s v="United States"/>
    <s v="Romper Short"/>
    <n v="9"/>
    <n v="36"/>
    <s v="Normal"/>
    <s v="3-6"/>
    <x v="24"/>
    <m/>
  </r>
  <r>
    <d v="2025-09-03T00:00:00"/>
    <s v="https://www.etsy.com/ca/listing/4371125103/personalized-dog-baby-bodysuit-custom?transaction_id=4836235457"/>
    <s v="Dusty Pink"/>
    <s v="Dusty Pink"/>
    <s v="3-6M (short-sleeve)"/>
    <s v="United States"/>
    <s v="Romper Short"/>
    <n v="9"/>
    <n v="36"/>
    <s v="Normal"/>
    <s v="3-6"/>
    <x v="31"/>
    <m/>
  </r>
  <r>
    <d v="2025-09-04T00:00:00"/>
    <s v="https://www.etsy.com/ca/listing/4393855716/lil-chef-embroidered-romper-cute-baby?transaction_id=4826588198"/>
    <s v="Cream"/>
    <s v="Cream"/>
    <s v="6-12M (short-sleeve)"/>
    <s v="United States"/>
    <s v="Romper Short"/>
    <n v="9"/>
    <n v="36"/>
    <s v="Normal"/>
    <s v="6-12"/>
    <x v="47"/>
    <m/>
  </r>
  <r>
    <d v="2025-09-05T00:00:00"/>
    <s v="https://www.etsy.com/ca/listing/4376401181/challah-at-your-girl-baby-bodysuit-funny?transaction_id=4836694975"/>
    <s v="Cream"/>
    <s v="Cream"/>
    <s v=" 0-3M (short-sleeve)"/>
    <s v="United States"/>
    <s v="Romper Short"/>
    <n v="9"/>
    <n v="36"/>
    <s v="Normal"/>
    <s v="0-3"/>
    <x v="15"/>
    <m/>
  </r>
  <r>
    <d v="2025-09-06T00:00:00"/>
    <s v="https://www.etsy.com/ca/listing/4392929794/little-latke-embroidered-romper-hanukkah?transaction_id=4826804620"/>
    <s v="Watermelon"/>
    <s v="Watermelon"/>
    <s v=" 6-12M (long-sleeve)"/>
    <s v="Germany"/>
    <s v="Romper Longer"/>
    <n v="9"/>
    <n v="36"/>
    <s v="Normal"/>
    <s v="6-12"/>
    <x v="33"/>
    <m/>
  </r>
  <r>
    <d v="2025-09-07T00:00:00"/>
    <s v="https://www.etsy.com/ca/listing/4376392339/funny-baby-romper-my-brand-of-formula?transaction_id=4837409439"/>
    <s v="Cream"/>
    <s v="Cream"/>
    <s v=" 0-3M (long-sleeve)"/>
    <s v="United States"/>
    <s v="Romper Longer"/>
    <n v="9"/>
    <n v="37"/>
    <s v="Normal"/>
    <s v="0-3"/>
    <x v="2"/>
    <m/>
  </r>
  <r>
    <d v="2025-09-08T00:00:00"/>
    <s v="https://www.etsy.com/ca/listing/4330488178/embroidered-golf-baby-romper-new-to-the?transaction_id=4837713919"/>
    <s v="Cream"/>
    <s v="Cream"/>
    <s v=" 0-3M (long-sleeve)"/>
    <s v="United States"/>
    <s v="Romper Longer"/>
    <n v="9"/>
    <n v="37"/>
    <s v="Normal"/>
    <s v="0-3"/>
    <x v="2"/>
    <m/>
  </r>
  <r>
    <d v="2025-09-09T00:00:00"/>
    <s v="https://www.etsy.com/ca/listing/4336907597/custom-running-baby-romper-daddys-future?transaction_id=4837831831"/>
    <s v="Watermelon"/>
    <s v="Watermelon"/>
    <s v=" 3-6M (long-sleeve)"/>
    <s v="Germany"/>
    <s v="Romper Longer"/>
    <n v="9"/>
    <n v="37"/>
    <s v="Normal"/>
    <s v="3-6"/>
    <x v="20"/>
    <m/>
  </r>
  <r>
    <d v="2025-09-10T00:00:00"/>
    <s v="https://www.etsy.com/ca/listing/4392932100/born-to-ride-with-my-daddy-embroidered?transaction_id=4827877884"/>
    <s v="Cream"/>
    <s v="Cream"/>
    <s v="6-12M (short-sleeve)"/>
    <s v="United Kingdom"/>
    <s v="Romper Short"/>
    <n v="9"/>
    <n v="37"/>
    <s v="Normal"/>
    <s v="6-12"/>
    <x v="47"/>
    <m/>
  </r>
  <r>
    <d v="2025-09-11T00:00:00"/>
    <s v="https://www.etsy.com/ca/listing/4392929794/little-latke-embroidered-romper-hanukkah?transaction_id=4828064350"/>
    <s v="Cream"/>
    <s v="Cream"/>
    <s v=" 0-3M (long-sleeve)"/>
    <s v="Canada"/>
    <s v="Romper Longer"/>
    <n v="9"/>
    <n v="37"/>
    <s v="Normal"/>
    <s v="0-3"/>
    <x v="2"/>
    <m/>
  </r>
  <r>
    <d v="2025-09-12T00:00:00"/>
    <s v="https://www.etsy.com/ca/listing/4330488178/embroidered-golf-baby-romper-new-to-the?transaction_id=4838214863"/>
    <s v="Dusty Pink"/>
    <s v="Dusty Pink"/>
    <s v=" 0-3M (short-sleeve)"/>
    <s v="United States"/>
    <s v="Romper Short"/>
    <n v="9"/>
    <n v="37"/>
    <s v="Normal"/>
    <s v="0-3"/>
    <x v="34"/>
    <m/>
  </r>
  <r>
    <d v="2025-09-13T00:00:00"/>
    <s v="https://www.etsy.com/ca/listing/4376392339/funny-baby-romper-my-brand-of-formula?transaction_id=4828194470"/>
    <s v="White"/>
    <s v="White"/>
    <s v="6-12M (short-sleeve)"/>
    <s v="United States"/>
    <s v="Romper Short"/>
    <n v="9"/>
    <n v="37"/>
    <s v="Normal"/>
    <s v="6-12"/>
    <x v="42"/>
    <m/>
  </r>
  <r>
    <d v="2025-09-14T00:00:00"/>
    <s v="https://www.etsy.com/ca/listing/4392929794/little-latke-embroidered-romper-hanukkah?transaction_id=4838357341"/>
    <s v="Sage Green"/>
    <s v="Sage Green"/>
    <s v=" 6-12M (long-sleeve)"/>
    <s v="United States"/>
    <s v="Romper Longer"/>
    <n v="9"/>
    <n v="38"/>
    <s v="Normal"/>
    <s v="6-12"/>
    <x v="3"/>
    <m/>
  </r>
  <r>
    <d v="2025-09-15T00:00:00"/>
    <s v="https://www.etsy.com/ca/listing/4393819210/sweet-dreams-are-made-of-cheese?transaction_id=4828312364"/>
    <s v="Mauve Taupe"/>
    <s v="Mauve Taupe"/>
    <s v=" 6-12M (long-sleeve)"/>
    <s v="United States"/>
    <s v="Romper Longer"/>
    <n v="9"/>
    <n v="38"/>
    <s v="Normal"/>
    <s v="6-12"/>
    <x v="85"/>
    <m/>
  </r>
  <r>
    <d v="2025-09-16T00:00:00"/>
    <s v="https://www.etsy.com/ca/listing/4392929794/little-latke-embroidered-romper-hanukkah?transaction_id=4839076481"/>
    <s v="Cream"/>
    <s v="Cream"/>
    <s v=" 0-3M (long-sleeve)"/>
    <s v="United States"/>
    <s v="Romper Longer"/>
    <n v="9"/>
    <n v="38"/>
    <s v="Normal"/>
    <s v="0-3"/>
    <x v="2"/>
    <m/>
  </r>
  <r>
    <d v="2025-09-17T00:00:00"/>
    <s v="https://www.etsy.com/ca/listing/4392929794/little-latke-embroidered-romper-hanukkah?transaction_id=4839093187"/>
    <s v="Cream"/>
    <s v="Cream"/>
    <s v="12-18M (long-sleeve)"/>
    <s v="United States"/>
    <s v="Romper Longer"/>
    <n v="9"/>
    <n v="38"/>
    <s v="Normal"/>
    <s v="12-18"/>
    <x v="53"/>
    <m/>
  </r>
  <r>
    <d v="2025-09-18T00:00:00"/>
    <s v="https://www.etsy.com/ca/listing/4392929794/little-latke-embroidered-romper-hanukkah?transaction_id=4839093187"/>
    <s v="Cream"/>
    <s v="Cream"/>
    <s v="3-6M (short-sleeve)"/>
    <s v="United States"/>
    <s v="Romper Short"/>
    <n v="9"/>
    <n v="38"/>
    <s v="Normal"/>
    <s v="3-6"/>
    <x v="0"/>
    <m/>
  </r>
  <r>
    <d v="2025-09-19T00:00:00"/>
    <s v="https://www.etsy.com/ca/listing/4347885967/gigis-bestie-baby-bodysuit-baby-shower?transaction_id=4839140737"/>
    <s v="Watermelon"/>
    <s v="Watermelon"/>
    <s v=" 6-12M (long-sleeve)"/>
    <s v="United States"/>
    <s v="Romper Longer"/>
    <n v="9"/>
    <n v="38"/>
    <s v="Normal"/>
    <s v="6-12"/>
    <x v="33"/>
    <m/>
  </r>
  <r>
    <d v="2025-09-20T00:00:00"/>
    <s v="https://www.etsy.com/ca/listing/4392929794/little-latke-embroidered-romper-hanukkah?transaction_id=4828859680"/>
    <s v="Dusty Pink"/>
    <s v="Dusty Pink"/>
    <s v="12-18M (long-sleeve)"/>
    <s v="United States"/>
    <s v="Romper Longer"/>
    <n v="9"/>
    <n v="38"/>
    <s v="Normal"/>
    <s v="12-18"/>
    <x v="75"/>
    <m/>
  </r>
  <r>
    <d v="2025-09-21T00:00:00"/>
    <s v="https://www.etsy.com/ca/listing/4330499355/born-to-fix-like-my-daddy-baby-romper?transaction_id=4839543895"/>
    <s v="Cream"/>
    <s v="Cream"/>
    <s v=" 3-6M (long-sleeve)"/>
    <s v="United States"/>
    <s v="Romper Longer"/>
    <n v="9"/>
    <n v="39"/>
    <s v="Normal"/>
    <s v="3-6"/>
    <x v="1"/>
    <m/>
  </r>
  <r>
    <d v="2025-09-22T00:00:00"/>
    <s v="https://www.etsy.com/ca/listing/4343133680/embroidered-bowling-baby-bodysuit-crawl?transaction_id=4839594921"/>
    <s v="Dusty Pink"/>
    <s v="Dusty Pink"/>
    <s v=" 0-3M (long-sleeve)"/>
    <s v="United States"/>
    <s v="Romper Longer"/>
    <n v="9"/>
    <n v="39"/>
    <s v="Normal"/>
    <s v="0-3"/>
    <x v="45"/>
    <m/>
  </r>
  <r>
    <d v="2025-09-23T00:00:00"/>
    <s v="https://www.etsy.com/ca/listing/4336905599/personalized-swimming-baby-romper-daddys?transaction_id=4839690741"/>
    <s v="Watermelon"/>
    <s v="Watermelon"/>
    <s v="6-12M (short-sleeve)"/>
    <s v="United States"/>
    <s v="Romper Short"/>
    <n v="9"/>
    <n v="39"/>
    <s v="Normal"/>
    <s v="6-12"/>
    <x v="76"/>
    <m/>
  </r>
  <r>
    <d v="2025-09-24T00:00:00"/>
    <s v="https://www.etsy.com/ca/listing/4392929794/little-latke-embroidered-romper-hanukkah?transaction_id=4829390274"/>
    <s v="Cream"/>
    <s v="Cream"/>
    <s v=" 6-12M (long-sleeve)"/>
    <s v="United States"/>
    <s v="Romper Longer"/>
    <n v="9"/>
    <n v="39"/>
    <s v="Normal"/>
    <s v="6-12"/>
    <x v="17"/>
    <m/>
  </r>
  <r>
    <d v="2025-09-25T00:00:00"/>
    <s v="https://www.etsy.com/ca/listing/4392932100/born-to-ride-with-my-daddy-embroidered?transaction_id=4840029619"/>
    <s v="Cream"/>
    <s v="Cream"/>
    <s v=" 6-12M (long-sleeve)"/>
    <s v="France"/>
    <s v="Romper Longer"/>
    <n v="9"/>
    <n v="39"/>
    <s v="Normal"/>
    <s v="6-12"/>
    <x v="17"/>
    <m/>
  </r>
  <r>
    <d v="2025-09-26T00:00:00"/>
    <s v="https://www.etsy.com/ca/listing/4343133641/golf-skills-loading-embroidered-baby?transaction_id=4829698182"/>
    <s v="Cream"/>
    <s v="Cream"/>
    <s v=" 3-6M (long-sleeve)"/>
    <s v="United Kingdom"/>
    <s v="Romper Longer"/>
    <n v="9"/>
    <n v="39"/>
    <s v="Normal"/>
    <s v="3-6"/>
    <x v="1"/>
    <m/>
  </r>
  <r>
    <d v="2025-09-27T00:00:00"/>
    <s v="https://www.etsy.com/ca/listing/4371125103/personalized-dog-baby-bodysuit-custom?transaction_id=4840380593"/>
    <s v="Sage Green"/>
    <s v="Sage Green"/>
    <s v=" 0-3M (short-sleeve)"/>
    <s v="United Kingdom"/>
    <s v="Romper Short"/>
    <n v="9"/>
    <n v="39"/>
    <s v="Normal"/>
    <s v="0-3"/>
    <x v="13"/>
    <m/>
  </r>
  <r>
    <d v="2025-09-28T00:00:00"/>
    <s v="https://www.etsy.com/ca/listing/4376392339/funny-baby-romper-my-brand-of-formula?transaction_id=4829952598"/>
    <s v="Cream"/>
    <s v="Cream"/>
    <s v="3-6M (short-sleeve)"/>
    <s v="United Kingdom"/>
    <s v="Romper Short"/>
    <n v="9"/>
    <n v="40"/>
    <s v="Normal"/>
    <s v="3-6"/>
    <x v="0"/>
    <m/>
  </r>
  <r>
    <d v="2025-09-29T00:00:00"/>
    <s v="https://www.etsy.com/ca/listing/4376401181/challah-at-your-girl-baby-bodysuit-funny?transaction_id=4830030820"/>
    <s v="Dusty Pink"/>
    <s v="Dusty Pink"/>
    <s v=" 3-6M (long-sleeve)"/>
    <s v="United Kingdom"/>
    <s v="Romper Longer"/>
    <n v="9"/>
    <n v="40"/>
    <s v="Normal"/>
    <s v="3-6"/>
    <x v="8"/>
    <m/>
  </r>
  <r>
    <d v="2025-09-30T00:00:00"/>
    <s v="https://www.etsy.com/ca/listing/4344235128/new-to-the-hive-baby-romper-embroidered?transaction_id=4830039076"/>
    <s v="Sage Green"/>
    <s v="Sage Green"/>
    <s v=" 0-3M (long-sleeve)"/>
    <s v="United Kingdom"/>
    <s v="Romper Longer"/>
    <n v="9"/>
    <n v="40"/>
    <s v="Normal"/>
    <s v="0-3"/>
    <x v="5"/>
    <m/>
  </r>
  <r>
    <d v="2025-10-01T00:00:00"/>
    <s v="https://www.etsy.com/ca/listing/4343130134/embroidered-golf-baby-bodysuit-funny?transaction_id=4840521365"/>
    <s v="Cream"/>
    <s v="Cream"/>
    <s v=" 0-3M (long-sleeve)"/>
    <s v="Switzerland"/>
    <s v="Romper Longer"/>
    <n v="10"/>
    <n v="40"/>
    <s v="Halloween"/>
    <s v="0-3"/>
    <x v="2"/>
    <m/>
  </r>
  <r>
    <d v="2025-10-02T00:00:00"/>
    <s v="https://www.etsy.com/ca/listing/4346126210/daddys-future-lifting-buddy-romper-baby?transaction_id=4840540997"/>
    <s v="Sage Green"/>
    <s v="Sage Green"/>
    <s v=" 3-6M (long-sleeve)"/>
    <s v="Switzerland"/>
    <s v="Romper Longer"/>
    <n v="10"/>
    <n v="40"/>
    <s v="Halloween"/>
    <s v="3-6"/>
    <x v="7"/>
    <m/>
  </r>
  <r>
    <d v="2025-10-03T00:00:00"/>
    <s v="https://www.etsy.com/ca/listing/4371125103/personalized-dog-baby-bodysuit-custom?transaction_id=4830152730"/>
    <s v="Caldet Blue"/>
    <s v="Caldet Blue"/>
    <s v=" 3-6M (long-sleeve)"/>
    <s v="United States"/>
    <s v="Romper Longer"/>
    <n v="10"/>
    <n v="40"/>
    <s v="Halloween"/>
    <s v="3-6"/>
    <x v="23"/>
    <m/>
  </r>
  <r>
    <d v="2025-10-04T00:00:00"/>
    <s v="https://www.etsy.com/ca/listing/4330488178/embroidered-golf-baby-romper-new-to-the?transaction_id=4840913493"/>
    <s v="Cream"/>
    <s v="Cream"/>
    <s v="3-6M (short-sleeve)"/>
    <s v="United States"/>
    <s v="Romper Short"/>
    <n v="10"/>
    <n v="40"/>
    <s v="Halloween"/>
    <s v="3-6"/>
    <x v="0"/>
    <m/>
  </r>
  <r>
    <d v="2025-10-05T00:00:00"/>
    <s v="https://www.etsy.com/ca/listing/4396750091/mamas-little-latke-embroidered-baby?transaction_id=4830730266"/>
    <s v="Cream"/>
    <s v="Cream"/>
    <s v=" 0-3M (long-sleeve)"/>
    <s v="United States"/>
    <s v="Romper Longer"/>
    <n v="10"/>
    <n v="41"/>
    <s v="Halloween"/>
    <s v="0-3"/>
    <x v="2"/>
    <m/>
  </r>
  <r>
    <d v="2025-10-06T00:00:00"/>
    <s v="https://www.etsy.com/ca/listing/4392936921/apparently-i-like-golf-embroidered?transaction_id=4830950046"/>
    <s v="Cream"/>
    <s v="Cream"/>
    <s v="12-18M (short-sleeve)"/>
    <s v="United States"/>
    <s v="Romper Short"/>
    <n v="10"/>
    <n v="41"/>
    <s v="Halloween"/>
    <s v="12-18"/>
    <x v="26"/>
    <m/>
  </r>
  <r>
    <d v="2025-10-07T00:00:00"/>
    <s v="https://www.etsy.com/ca/listing/4392929794/little-latke-embroidered-romper-hanukkah?transaction_id=4841809237"/>
    <s v="Caldet Blue"/>
    <s v="Caldet Blue"/>
    <s v=" 6-12M (long-sleeve)"/>
    <s v="United States"/>
    <s v="Romper Longer"/>
    <n v="10"/>
    <n v="41"/>
    <s v="Halloween"/>
    <s v="6-12"/>
    <x v="25"/>
    <m/>
  </r>
  <r>
    <d v="2025-10-08T00:00:00"/>
    <s v="https://www.etsy.com/ca/listing/4330488178/embroidered-golf-baby-romper-new-to-the?transaction_id=4841827823"/>
    <s v="Dusty Pink"/>
    <s v="Dusty Pink"/>
    <s v=" 0-3M (long-sleeve)"/>
    <s v="United States"/>
    <s v="Romper Longer"/>
    <n v="10"/>
    <n v="41"/>
    <s v="Halloween"/>
    <s v="0-3"/>
    <x v="45"/>
    <m/>
  </r>
  <r>
    <d v="2025-10-09T00:00:00"/>
    <s v="https://www.etsy.com/ca/listing/4330488178/embroidered-golf-baby-romper-new-to-the?transaction_id=4831215414"/>
    <s v="Caldet Blue"/>
    <s v="Caldet Blue"/>
    <s v="3-6M (short-sleeve)"/>
    <s v="United States"/>
    <s v="Romper Short"/>
    <n v="10"/>
    <n v="41"/>
    <s v="Halloween"/>
    <s v="3-6"/>
    <x v="29"/>
    <m/>
  </r>
  <r>
    <d v="2025-10-10T00:00:00"/>
    <s v="https://www.etsy.com/ca/listing/4330488178/embroidered-golf-baby-romper-new-to-the?transaction_id=4831215412"/>
    <s v="Forest Green"/>
    <s v="Forest Green"/>
    <s v="3-6M (short-sleeve)"/>
    <s v="United States"/>
    <s v="Romper Short"/>
    <n v="10"/>
    <n v="41"/>
    <s v="Halloween"/>
    <s v="3-6"/>
    <x v="6"/>
    <m/>
  </r>
  <r>
    <d v="2025-10-11T00:00:00"/>
    <s v="https://www.etsy.com/ca/listing/4392929794/little-latke-embroidered-romper-hanukkah?transaction_id=4831242206"/>
    <s v="Watermelon"/>
    <s v="Watermelon"/>
    <s v=" 3-6M (long-sleeve)"/>
    <s v="United States"/>
    <s v="Romper Longer"/>
    <n v="10"/>
    <n v="41"/>
    <s v="Halloween"/>
    <s v="3-6"/>
    <x v="20"/>
    <m/>
  </r>
  <r>
    <d v="2025-10-12T00:00:00"/>
    <s v="https://www.etsy.com/ca/listing/4392929794/little-latke-embroidered-romper-hanukkah?transaction_id=4831294324"/>
    <s v="Mauve Taupe"/>
    <s v="Mauve Taupe"/>
    <s v=" 0-3M (long-sleeve)"/>
    <s v="United States"/>
    <s v="Romper Longer"/>
    <n v="10"/>
    <n v="42"/>
    <s v="Halloween"/>
    <s v="0-3"/>
    <x v="40"/>
    <m/>
  </r>
  <r>
    <d v="2025-10-13T00:00:00"/>
    <s v="https://www.etsy.com/ca/listing/4346126210/daddys-future-lifting-buddy-romper-baby?transaction_id=4842039055"/>
    <s v="White"/>
    <s v="White"/>
    <s v=" 3-6M (long-sleeve)"/>
    <s v="Germany"/>
    <s v="Romper Longer"/>
    <n v="10"/>
    <n v="42"/>
    <s v="Halloween"/>
    <s v="3-6"/>
    <x v="70"/>
    <m/>
  </r>
  <r>
    <d v="2025-10-14T00:00:00"/>
    <s v="https://www.etsy.com/ca/listing/4376389783/player-2-baby-romper-gamer-baby-outfit?transaction_id=4842085133"/>
    <s v="Cream"/>
    <s v="Cream"/>
    <s v=" 3-6M (long-sleeve)"/>
    <s v="Switzerland"/>
    <s v="Romper Longer"/>
    <n v="10"/>
    <n v="42"/>
    <s v="Halloween"/>
    <s v="3-6"/>
    <x v="1"/>
    <m/>
  </r>
  <r>
    <d v="2025-10-15T00:00:00"/>
    <s v="https://www.etsy.com/ca/listing/4330485404/cat-face-embroidered-baby-romper-funny?transaction_id=4842089139"/>
    <s v="Caldet Blue"/>
    <s v="Caldet Blue"/>
    <s v=" 0-3M (long-sleeve)"/>
    <s v="United Kingdom"/>
    <s v="Romper Longer"/>
    <n v="10"/>
    <n v="42"/>
    <s v="Halloween"/>
    <s v="0-3"/>
    <x v="9"/>
    <m/>
  </r>
  <r>
    <d v="2025-10-16T00:00:00"/>
    <s v="https://www.etsy.com/ca/listing/4343133641/golf-skills-loading-embroidered-baby?transaction_id=4831568176"/>
    <s v="Dusty Pink"/>
    <s v="Dusty Pink"/>
    <s v=" 6-12M (long-sleeve)"/>
    <s v="Germany"/>
    <s v="Romper Longer"/>
    <n v="10"/>
    <n v="42"/>
    <s v="Halloween"/>
    <s v="6-12"/>
    <x v="51"/>
    <m/>
  </r>
  <r>
    <d v="2025-10-17T00:00:00"/>
    <s v="https://www.etsy.com/ca/listing/4330504943/embroidered-tennis-baby-romper-daddys?transaction_id=4831627370"/>
    <s v="Cream"/>
    <s v="Cream"/>
    <s v=" 0-3M (short-sleeve)"/>
    <s v="Germany"/>
    <s v="Romper Short"/>
    <n v="10"/>
    <n v="42"/>
    <s v="Halloween"/>
    <s v="0-3"/>
    <x v="15"/>
    <m/>
  </r>
  <r>
    <d v="2025-10-18T00:00:00"/>
    <s v="https://www.etsy.com/ca/listing/4396750091/mamas-little-latke-embroidered-baby?transaction_id=4842539573"/>
    <s v="Dusty Pink"/>
    <s v="Dusty Pink"/>
    <s v=" 0-3M (short-sleeve)"/>
    <s v="United States"/>
    <s v="Romper Short"/>
    <n v="10"/>
    <n v="42"/>
    <s v="Halloween"/>
    <s v="0-3"/>
    <x v="34"/>
    <m/>
  </r>
  <r>
    <d v="2025-10-19T00:00:00"/>
    <s v="https://www.etsy.com/ca/listing/4392935796/box-box-for-fresh-diapers-embroidered?transaction_id=4842776271"/>
    <s v="Mauve Taupe"/>
    <s v="Mauve Taupe"/>
    <s v=" 6-12M (long-sleeve)"/>
    <s v="United States"/>
    <s v="Romper Longer"/>
    <n v="10"/>
    <n v="43"/>
    <s v="Halloween"/>
    <s v="6-12"/>
    <x v="85"/>
    <m/>
  </r>
  <r>
    <d v="2025-10-20T00:00:00"/>
    <s v="https://www.etsy.com/ca/listing/4352935112/custom-baby-romper-personalized-newborn?transaction_id=4843165983"/>
    <s v="Cream"/>
    <s v="Cream"/>
    <s v=" 6-12M (long-sleeve)"/>
    <s v="United States"/>
    <s v="Romper Longer"/>
    <n v="10"/>
    <n v="43"/>
    <s v="Halloween"/>
    <s v="6-12"/>
    <x v="17"/>
    <m/>
  </r>
  <r>
    <d v="2025-10-21T00:00:00"/>
    <s v="https://www.etsy.com/ca/listing/4396731652/personalized-babys-first-christmas?transaction_id=4843188545"/>
    <s v="White"/>
    <s v="White"/>
    <s v=" 6-12M (long-sleeve)"/>
    <s v="United States"/>
    <s v="Romper Longer"/>
    <n v="10"/>
    <n v="43"/>
    <s v="Halloween"/>
    <s v="6-12"/>
    <x v="46"/>
    <m/>
  </r>
  <r>
    <d v="2025-10-22T00:00:00"/>
    <s v="https://www.etsy.com/ca/listing/4392936921/apparently-i-like-golf-embroidered?transaction_id=4832687578"/>
    <s v="Caldet Blue"/>
    <s v="Caldet Blue"/>
    <s v=" 6-12M (long-sleeve)"/>
    <s v="United States"/>
    <s v="Romper Longer"/>
    <n v="10"/>
    <n v="43"/>
    <s v="Halloween"/>
    <s v="6-12"/>
    <x v="25"/>
    <m/>
  </r>
  <r>
    <d v="2025-10-23T00:00:00"/>
    <s v="https://www.etsy.com/ca/listing/4371125103/personalized-dog-baby-bodysuit-custom?transaction_id=4802298666"/>
    <s v="Sage Green"/>
    <s v="Sage Green"/>
    <s v=" 0-3M (long-sleeve)"/>
    <s v="United States"/>
    <s v="Romper Longer"/>
    <n v="10"/>
    <n v="43"/>
    <s v="Halloween"/>
    <s v="0-3"/>
    <x v="5"/>
    <m/>
  </r>
  <r>
    <d v="2025-10-24T00:00:00"/>
    <s v="https://www.etsy.com/ca/listing/4371125103/personalized-dog-baby-bodysuit-custom?transaction_id=4843925027"/>
    <s v="Caldet Blue"/>
    <s v="Caldet Blue"/>
    <s v=" 0-3M (short-sleeve)"/>
    <s v="United States"/>
    <s v="Romper Short"/>
    <n v="10"/>
    <n v="43"/>
    <s v="Halloween"/>
    <s v="0-3"/>
    <x v="38"/>
    <m/>
  </r>
  <r>
    <d v="2025-10-25T00:00:00"/>
    <s v="https://www.etsy.com/ca/listing/4344237949/great-grandma-baby-romper-embroidered?transaction_id=4833514066"/>
    <s v="Caldet Blue"/>
    <s v="Caldet Blue"/>
    <s v=" 0-3M (short-sleeve)"/>
    <s v="United States"/>
    <s v="Romper Short"/>
    <n v="10"/>
    <n v="43"/>
    <s v="Halloween"/>
    <s v="0-3"/>
    <x v="38"/>
    <m/>
  </r>
  <r>
    <d v="2025-10-26T00:00:00"/>
    <s v="https://www.etsy.com/ca/listing/4336899579/personalized-basketball-baby-romper?transaction_id=4844999243"/>
    <s v="White"/>
    <s v="White"/>
    <s v=" 6-12M (long-sleeve)"/>
    <s v="United States"/>
    <s v="Romper Longer"/>
    <n v="10"/>
    <n v="44"/>
    <s v="Halloween"/>
    <s v="6-12"/>
    <x v="46"/>
    <m/>
  </r>
  <r>
    <d v="2025-10-27T00:00:00"/>
    <s v="https://www.etsy.com/ca/listing/4392929794/little-latke-embroidered-romper-hanukkah?transaction_id=4833922810"/>
    <s v="Cream"/>
    <s v="Cream"/>
    <s v=" 6-12M (long-sleeve)"/>
    <s v="United Kingdom"/>
    <s v="Romper Longer"/>
    <n v="10"/>
    <n v="44"/>
    <s v="Halloween"/>
    <s v="6-12"/>
    <x v="17"/>
    <m/>
  </r>
  <r>
    <d v="2025-10-28T00:00:00"/>
    <s v="https://www.etsy.com/ca/listing/4376399899/the-littlest-book-club-member-baby?transaction_id=4834378530"/>
    <s v="Cream"/>
    <s v="Cream"/>
    <s v=" 0-3M (short-sleeve)"/>
    <s v="United States"/>
    <s v="Romper Short"/>
    <n v="10"/>
    <n v="44"/>
    <s v="Halloween"/>
    <s v="0-3"/>
    <x v="15"/>
    <m/>
  </r>
  <r>
    <d v="2025-10-29T00:00:00"/>
    <s v="https://www.etsy.com/ca/listing/4371125103/personalized-dog-baby-bodysuit-custom?transaction_id=4834815928"/>
    <s v="White"/>
    <s v="White"/>
    <s v=" 0-3M (short-sleeve)"/>
    <s v="United States"/>
    <s v="Romper Short"/>
    <n v="10"/>
    <n v="44"/>
    <s v="Halloween"/>
    <s v="0-3"/>
    <x v="21"/>
    <m/>
  </r>
  <r>
    <d v="2025-10-30T00:00:00"/>
    <s v="https://www.etsy.com/ca/listing/4379194627/new-to-the-farm-embroidered-romper-baby?transaction_id=4834862858"/>
    <s v="Forest Green"/>
    <s v="Forest Green"/>
    <s v="3-6M (short-sleeve)"/>
    <s v="United States"/>
    <s v="Romper Short"/>
    <n v="10"/>
    <n v="44"/>
    <s v="Halloween"/>
    <s v="3-6"/>
    <x v="6"/>
    <m/>
  </r>
  <r>
    <d v="2025-10-31T00:00:00"/>
    <s v="https://www.etsy.com/ca/listing/4330478867/personalized-hippo-baby-bodysuit-custom?transaction_id=4835152714"/>
    <s v="Caldet Blue"/>
    <s v="Caldet Blue"/>
    <s v=" 0-3M (long-sleeve)"/>
    <s v="Ireland"/>
    <s v="Romper Longer"/>
    <n v="10"/>
    <n v="44"/>
    <s v="Halloween"/>
    <s v="0-3"/>
    <x v="9"/>
    <m/>
  </r>
  <r>
    <d v="2025-11-01T00:00:00"/>
    <s v="https://www.etsy.com/ca/listing/4330485404/cat-face-embroidered-baby-romper-funny?transaction_id=4835569368"/>
    <s v="Dusty Pink"/>
    <s v="Dusty Pink"/>
    <s v="18-24M (short-sleeve)"/>
    <s v="United States"/>
    <s v="Romper Short"/>
    <n v="11"/>
    <n v="44"/>
    <s v="Christmas"/>
    <s v="18-24"/>
    <x v="95"/>
    <m/>
  </r>
  <r>
    <d v="2025-11-02T00:00:00"/>
    <s v="https://www.etsy.com/ca/listing/4392929794/little-latke-embroidered-romper-hanukkah?transaction_id=4847073257"/>
    <s v="Caldet Blue"/>
    <s v="Caldet Blue"/>
    <s v=" 3-6M (long-sleeve)"/>
    <s v="United States"/>
    <s v="Romper Longer"/>
    <n v="11"/>
    <n v="45"/>
    <s v="Christmas"/>
    <s v="3-6"/>
    <x v="23"/>
    <m/>
  </r>
  <r>
    <d v="2025-11-03T00:00:00"/>
    <s v="https://www.etsy.com/ca/listing/4333134764/wizard-font-baby-romper-personalized?transaction_id=4847191001"/>
    <s v="Sage Green"/>
    <s v="Sage Green"/>
    <s v="3-6M (short-sleeve)"/>
    <s v="United States"/>
    <s v="Romper Short"/>
    <n v="11"/>
    <n v="45"/>
    <s v="Christmas"/>
    <s v="3-6"/>
    <x v="24"/>
    <m/>
  </r>
  <r>
    <d v="2025-11-04T00:00:00"/>
    <s v="https://www.etsy.com/ca/listing/4336903235/personalized-tennis-baby-romper?transaction_id=4836033950"/>
    <s v="White"/>
    <s v="White"/>
    <s v="3-6M (short-sleeve)"/>
    <s v="United States"/>
    <s v="Romper Short"/>
    <n v="11"/>
    <n v="45"/>
    <s v="Christmas"/>
    <s v="3-6"/>
    <x v="69"/>
    <m/>
  </r>
  <r>
    <d v="2025-11-05T00:00:00"/>
    <s v="https://www.etsy.com/ca/listing/4346126210/daddys-future-lifting-buddy-romper-baby?transaction_id=4848064345"/>
    <s v="Cream"/>
    <s v="Cream"/>
    <s v=" 3-6M (long-sleeve)"/>
    <s v="United States"/>
    <s v="Romper Longer"/>
    <n v="11"/>
    <n v="45"/>
    <s v="Christmas"/>
    <s v="3-6"/>
    <x v="1"/>
    <m/>
  </r>
  <r>
    <d v="2025-11-06T00:00:00"/>
    <s v="https://www.etsy.com/ca/listing/4347260564/football-baby-romper-game-day-baby?transaction_id=4836790522"/>
    <s v="Cream"/>
    <s v="Cream"/>
    <s v=" 3-6M (long-sleeve)"/>
    <s v="United States"/>
    <s v="Romper Longer"/>
    <n v="11"/>
    <n v="45"/>
    <s v="Christmas"/>
    <s v="3-6"/>
    <x v="1"/>
    <m/>
  </r>
  <r>
    <d v="2025-11-07T00:00:00"/>
    <s v="https://www.etsy.com/ca/listing/4376401181/challah-at-your-girl-baby-bodysuit-funny?transaction_id=4836905376"/>
    <s v="Cream"/>
    <s v="Cream"/>
    <s v=" 3-6M (long-sleeve)"/>
    <s v="United States"/>
    <s v="Romper Longer"/>
    <n v="11"/>
    <n v="45"/>
    <s v="Christmas"/>
    <s v="3-6"/>
    <x v="1"/>
    <m/>
  </r>
  <r>
    <d v="2025-11-08T00:00:00"/>
    <s v="https://www.etsy.com/ca/listing/4336900156/personalized-soccer-baby-romper?transaction_id=4837114200"/>
    <s v="Cream"/>
    <s v="Cream"/>
    <s v=" 0-3M (long-sleeve)"/>
    <s v="United States"/>
    <s v="Romper Longer"/>
    <n v="11"/>
    <n v="45"/>
    <s v="Christmas"/>
    <s v="0-3"/>
    <x v="2"/>
    <m/>
  </r>
  <r>
    <d v="2025-11-09T00:00:00"/>
    <s v="https://www.etsy.com/ca/listing/4330488178/embroidered-golf-baby-romper-new-to-the?transaction_id=4849357745"/>
    <s v="Salmon"/>
    <s v="Salmon"/>
    <s v=" 3-6M (long-sleeve)"/>
    <s v="United States"/>
    <s v="Romper Longer"/>
    <n v="11"/>
    <n v="46"/>
    <s v="Christmas"/>
    <s v="3-6"/>
    <x v="49"/>
    <m/>
  </r>
  <r>
    <d v="2025-11-10T00:00:00"/>
    <s v="https://www.etsy.com/ca/listing/4330488178/embroidered-golf-baby-romper-new-to-the?transaction_id=4849357741"/>
    <s v="Caldet Blue"/>
    <s v="Caldet Blue"/>
    <s v=" 3-6M (long-sleeve)"/>
    <s v="United States"/>
    <s v="Romper Longer"/>
    <n v="11"/>
    <n v="46"/>
    <s v="Christmas"/>
    <s v="3-6"/>
    <x v="23"/>
    <m/>
  </r>
  <r>
    <d v="2025-11-11T00:00:00"/>
    <s v="https://www.etsy.com/ca/listing/4346126210/daddys-future-lifting-buddy-romper-baby?transaction_id=4849415519"/>
    <s v="Caldet Blue"/>
    <s v="Caldet Blue"/>
    <s v=" 0-3M (long-sleeve)"/>
    <s v="United States"/>
    <s v="Romper Longer"/>
    <n v="11"/>
    <n v="46"/>
    <s v="Christmas"/>
    <s v="0-3"/>
    <x v="9"/>
    <m/>
  </r>
  <r>
    <d v="2025-11-12T00:00:00"/>
    <s v="https://www.etsy.com/ca/listing/4392929794/little-latke-embroidered-romper-hanukkah?transaction_id=4838021766"/>
    <s v="Cream"/>
    <s v="Cream"/>
    <s v="12-18M (long-sleeve)"/>
    <s v="United States"/>
    <s v="Romper Longer"/>
    <n v="11"/>
    <n v="46"/>
    <s v="Christmas"/>
    <s v="12-18"/>
    <x v="53"/>
    <m/>
  </r>
  <r>
    <d v="2025-11-13T00:00:00"/>
    <s v="https://www.etsy.com/ca/listing/4392929794/little-latke-embroidered-romper-hanukkah?transaction_id=4850643351"/>
    <s v="Cream"/>
    <s v="Cream"/>
    <s v=" 3-6M (long-sleeve)"/>
    <s v="United States"/>
    <s v="Romper Longer"/>
    <n v="11"/>
    <n v="46"/>
    <s v="Christmas"/>
    <s v="3-6"/>
    <x v="1"/>
    <m/>
  </r>
  <r>
    <d v="2025-11-14T00:00:00"/>
    <s v="https://www.etsy.com/ca/listing/4379194627/new-to-the-farm-embroidered-romper-baby?transaction_id=4840461952"/>
    <s v="Cream"/>
    <s v="Cream"/>
    <s v=" 3-6M (long-sleeve)"/>
    <s v="United States"/>
    <s v="Romper Longer"/>
    <n v="11"/>
    <n v="46"/>
    <s v="Christmas"/>
    <s v="3-6"/>
    <x v="1"/>
    <m/>
  </r>
  <r>
    <d v="2025-11-15T00:00:00"/>
    <s v="https://www.etsy.com/ca/listing/4392929794/little-latke-embroidered-romper-hanukkah?transaction_id=4840795382"/>
    <s v="Sage Green"/>
    <s v="Sage Green"/>
    <s v=" 6-12M (long-sleeve)"/>
    <s v="United States"/>
    <s v="Romper Longer"/>
    <n v="11"/>
    <n v="46"/>
    <s v="Christmas"/>
    <s v="6-12"/>
    <x v="3"/>
    <m/>
  </r>
  <r>
    <d v="2025-11-16T00:00:00"/>
    <s v=", "/>
    <s v="Cream"/>
    <s v="Cream"/>
    <s v=" 6-12M (long-sleeve)"/>
    <s v="United States"/>
    <s v="Romper Longer"/>
    <n v="11"/>
    <n v="47"/>
    <s v="Christmas"/>
    <s v="6-12"/>
    <x v="17"/>
    <m/>
  </r>
  <r>
    <d v="2025-11-17T00:00:00"/>
    <s v="https://www.etsy.com/ca/listing/4392936921/apparently-i-like-golf-embroidered?transaction_id=4840857912"/>
    <s v="Cream"/>
    <s v="Cream"/>
    <s v=" 0-3M (long-sleeve)"/>
    <s v="United States"/>
    <s v="Romper Longer"/>
    <n v="11"/>
    <n v="47"/>
    <s v="Christmas"/>
    <s v="0-3"/>
    <x v="2"/>
    <m/>
  </r>
  <r>
    <d v="2025-11-18T00:00:00"/>
    <s v="https://www.etsy.com/ca/listing/4330485404/cat-face-embroidered-baby-romper-funny?transaction_id=4841190498"/>
    <s v="Salmon"/>
    <s v="Salmon"/>
    <s v="3-6M (short-sleeve)"/>
    <s v="United States"/>
    <s v="Romper Short"/>
    <n v="11"/>
    <n v="47"/>
    <s v="Christmas"/>
    <s v="3-6"/>
    <x v="50"/>
    <m/>
  </r>
  <r>
    <d v="2025-11-19T00:00:00"/>
    <s v="https://www.etsy.com/ca/listing/4346126210/daddys-future-lifting-buddy-romper-baby?transaction_id=4841386696"/>
    <s v="Dusty Pink"/>
    <s v="Dusty Pink"/>
    <s v=" 6-12M (long-sleeve)"/>
    <s v="United States"/>
    <s v="Romper Longer"/>
    <n v="11"/>
    <n v="47"/>
    <s v="Christmas"/>
    <s v="6-12"/>
    <x v="51"/>
    <m/>
  </r>
  <r>
    <d v="2025-11-20T00:00:00"/>
    <s v="https://www.etsy.com/ca/listing/4392929794/little-latke-embroidered-romper-hanukkah?transaction_id=4841463136"/>
    <s v="Cream"/>
    <s v="Cream"/>
    <s v="12-18M (long-sleeve)"/>
    <s v="United States"/>
    <s v="Romper Longer"/>
    <n v="11"/>
    <n v="47"/>
    <s v="Christmas"/>
    <s v="12-18"/>
    <x v="53"/>
    <m/>
  </r>
  <r>
    <d v="2025-11-21T00:00:00"/>
    <s v="https://www.etsy.com/ca/listing/4376399899/the-littlest-book-club-member-baby?transaction_id=4854052517"/>
    <s v="Cream"/>
    <s v="Cream"/>
    <s v=" 3-6M (long-sleeve)"/>
    <s v="United States"/>
    <s v="Romper Longer"/>
    <n v="11"/>
    <n v="47"/>
    <s v="Christmas"/>
    <s v="3-6"/>
    <x v="1"/>
    <m/>
  </r>
  <r>
    <d v="2025-11-22T00:00:00"/>
    <s v="https://www.etsy.com/ca/listing/4392935796/box-box-for-fresh-diapers-embroidered?transaction_id=4855323573"/>
    <s v="Cream"/>
    <s v="Cream"/>
    <s v=" 0-3M (long-sleeve)"/>
    <s v="United States"/>
    <s v="Romper Longer"/>
    <n v="11"/>
    <n v="47"/>
    <s v="Christmas"/>
    <s v="0-3"/>
    <x v="2"/>
    <m/>
  </r>
  <r>
    <d v="2025-11-23T00:00:00"/>
    <s v="https://www.etsy.com/ca/listing/4376399899/the-littlest-book-club-member-baby?transaction_id=4855773915"/>
    <s v="Watermelon"/>
    <s v="Watermelon"/>
    <s v="12-18M (long-sleeve)"/>
    <s v="United States"/>
    <s v="Romper Longer"/>
    <n v="11"/>
    <n v="48"/>
    <s v="Christmas"/>
    <s v="12-18"/>
    <x v="78"/>
    <m/>
  </r>
  <r>
    <d v="2025-11-24T00:00:00"/>
    <s v="https://www.etsy.com/ca/listing/4376399899/the-littlest-book-club-member-baby?transaction_id=4856026739"/>
    <s v="Coffee"/>
    <s v="Coffee"/>
    <s v="12-18M (long-sleeve)"/>
    <s v="United States"/>
    <s v="Romper Longer"/>
    <n v="11"/>
    <n v="48"/>
    <s v="Christmas"/>
    <s v="12-18"/>
    <x v="79"/>
    <m/>
  </r>
  <r>
    <d v="2025-11-25T00:00:00"/>
    <s v="https://www.etsy.com/ca/listing/4376389783/player-2-baby-romper-gamer-baby-outfit?transaction_id=4856147203"/>
    <s v="White"/>
    <s v="White"/>
    <s v=" 3-6M (long-sleeve)"/>
    <s v="United States"/>
    <s v="Romper Longer"/>
    <n v="11"/>
    <n v="48"/>
    <s v="Christmas"/>
    <s v="3-6"/>
    <x v="70"/>
    <m/>
  </r>
  <r>
    <d v="2025-11-26T00:00:00"/>
    <s v="https://www.etsy.com/ca/listing/4347260564/football-baby-romper-game-day-baby?transaction_id=4843581676"/>
    <s v="Cream"/>
    <s v="Cream"/>
    <s v=" 6-12M (long-sleeve)"/>
    <s v="United States"/>
    <s v="Romper Longer"/>
    <n v="11"/>
    <n v="48"/>
    <s v="Christmas"/>
    <s v="6-12"/>
    <x v="17"/>
    <m/>
  </r>
  <r>
    <d v="2025-11-27T00:00:00"/>
    <s v="https://www.etsy.com/ca/listing/4330485404/cat-face-embroidered-baby-romper-funny?transaction_id=4843590166"/>
    <s v="Sage Green"/>
    <s v="Sage Green"/>
    <s v=" 6-12M (long-sleeve)"/>
    <s v="United States"/>
    <s v="Romper Longer"/>
    <n v="11"/>
    <n v="48"/>
    <s v="Christmas"/>
    <s v="6-12"/>
    <x v="3"/>
    <m/>
  </r>
  <r>
    <d v="2025-11-28T00:00:00"/>
    <s v="https://www.etsy.com/ca/listing/4330488178/embroidered-golf-baby-romper-new-to-the?transaction_id=4843600768"/>
    <s v="Sage Green"/>
    <s v="Sage Green"/>
    <s v=" 0-3M (long-sleeve)"/>
    <s v="United States"/>
    <s v="Romper Longer"/>
    <n v="11"/>
    <n v="48"/>
    <s v="Christmas"/>
    <s v="0-3"/>
    <x v="5"/>
    <m/>
  </r>
  <r>
    <d v="2025-11-29T00:00:00"/>
    <s v="https://www.etsy.com/ca/listing/4352935112/custom-baby-romper-personalized-newborn?transaction_id=4844419070"/>
    <s v="Cream"/>
    <s v="Cream"/>
    <s v=" 3-6M (long-sleeve)"/>
    <s v="United States"/>
    <s v="Romper Longer"/>
    <n v="11"/>
    <n v="48"/>
    <s v="Christmas"/>
    <s v="3-6"/>
    <x v="1"/>
    <m/>
  </r>
  <r>
    <d v="2025-11-30T00:00:00"/>
    <s v="https://www.etsy.com/ca/listing/4330485404/cat-face-embroidered-baby-romper-funny?transaction_id=4857344845"/>
    <s v="Dusty Pink"/>
    <s v="Dusty Pink"/>
    <s v="6-12M (short-sleeve)"/>
    <s v="United States"/>
    <s v="Romper Short"/>
    <n v="11"/>
    <n v="49"/>
    <s v="Christmas"/>
    <s v="6-12"/>
    <x v="35"/>
    <m/>
  </r>
  <r>
    <d v="2025-12-01T00:00:00"/>
    <s v="https://www.etsy.com/ca/listing/4330492054/embroidered-baby-romper-cutie-pie-design?transaction_id=4844773376"/>
    <s v="Watermelon"/>
    <s v="Watermelon"/>
    <s v="12-18M (long-sleeve)"/>
    <s v="United States"/>
    <s v="Romper Longer"/>
    <n v="12"/>
    <n v="49"/>
    <s v="Christmas"/>
    <s v="12-18"/>
    <x v="78"/>
    <m/>
  </r>
  <r>
    <d v="2025-12-02T00:00:00"/>
    <s v="https://www.etsy.com/ca/listing/4333134764/wizard-font-baby-romper-personalized?transaction_id=4857539875"/>
    <s v="Sage Green"/>
    <s v="Sage Green"/>
    <s v=" 6-12M (long-sleeve)"/>
    <s v="United States"/>
    <s v="Romper Longer"/>
    <n v="12"/>
    <n v="49"/>
    <s v="Christmas"/>
    <s v="6-12"/>
    <x v="3"/>
    <m/>
  </r>
  <r>
    <d v="2025-12-03T00:00:00"/>
    <s v="https://www.etsy.com/ca/listing/4392929794/little-latke-embroidered-romper-hanukkah?transaction_id=4857591981"/>
    <s v="Cream"/>
    <s v="Cream"/>
    <s v=" 3-6M (long-sleeve)"/>
    <s v="United States"/>
    <s v="Romper Longer"/>
    <n v="12"/>
    <n v="49"/>
    <s v="Christmas"/>
    <s v="3-6"/>
    <x v="1"/>
    <m/>
  </r>
  <r>
    <d v="2025-12-04T00:00:00"/>
    <s v="https://www.etsy.com/ca/listing/4330474831/embroidered-hedgehog-baby-bodysuit?transaction_id=4857830821"/>
    <s v="Forest Green"/>
    <s v="Forest Green"/>
    <s v=" 6-12M (long-sleeve)"/>
    <s v="United States"/>
    <s v="Romper Longer"/>
    <n v="12"/>
    <n v="49"/>
    <s v="Christmas"/>
    <s v="6-12"/>
    <x v="30"/>
    <m/>
  </r>
  <r>
    <d v="2025-12-05T00:00:00"/>
    <s v="https://www.etsy.com/ca/listing/4376401181/challah-at-your-girl-baby-bodysuit-funny?transaction_id=4858359967"/>
    <s v="Cream"/>
    <s v="Cream"/>
    <s v=" 6-12M (long-sleeve)"/>
    <s v="United States"/>
    <s v="Romper Longer"/>
    <n v="12"/>
    <n v="49"/>
    <s v="Christmas"/>
    <s v="6-12"/>
    <x v="17"/>
    <m/>
  </r>
  <r>
    <d v="2025-12-06T00:00:00"/>
    <s v="https://www.etsy.com/ca/listing/4392935796/box-box-for-fresh-diapers-embroidered?transaction_id=4845560574"/>
    <s v="Caldet Blue"/>
    <s v="Caldet Blue"/>
    <s v=" 3-6M (long-sleeve)"/>
    <s v="United States"/>
    <s v="Romper Longer"/>
    <n v="12"/>
    <n v="49"/>
    <s v="Christmas"/>
    <s v="3-6"/>
    <x v="23"/>
    <m/>
  </r>
  <r>
    <d v="2025-12-07T00:00:00"/>
    <s v="https://www.etsy.com/ca/listing/4371125103/personalized-dog-baby-bodysuit-custom?transaction_id=4846019980"/>
    <s v="Caldet Blue"/>
    <s v="Caldet Blue"/>
    <s v=" 0-3M (long-sleeve)"/>
    <s v="United States"/>
    <s v="Romper Longer"/>
    <n v="12"/>
    <n v="50"/>
    <s v="Christmas"/>
    <s v="0-3"/>
    <x v="9"/>
    <m/>
  </r>
  <r>
    <d v="2025-12-08T00:00:00"/>
    <s v="https://www.etsy.com/ca/listing/4376401181/challah-at-your-girl-baby-bodysuit-funny?transaction_id=4859044069"/>
    <s v="Cream"/>
    <s v="Cream"/>
    <s v=" 0-3M (long-sleeve)"/>
    <s v="United States"/>
    <s v="Romper Longer"/>
    <n v="12"/>
    <n v="50"/>
    <s v="Christmas"/>
    <s v="0-3"/>
    <x v="2"/>
    <m/>
  </r>
  <r>
    <d v="2025-12-09T00:00:00"/>
    <s v="https://www.etsy.com/ca/listing/4376389783/player-2-baby-romper-gamer-baby-outfit?transaction_id=4846232776"/>
    <s v="Coffee"/>
    <s v="Coffee"/>
    <s v=" 0-3M (long-sleeve)"/>
    <s v="United States"/>
    <s v="Romper Longer"/>
    <n v="12"/>
    <n v="50"/>
    <s v="Christmas"/>
    <s v="0-3"/>
    <x v="28"/>
    <m/>
  </r>
  <r>
    <d v="2025-12-10T00:00:00"/>
    <s v="https://www.etsy.com/ca/listing/4392936921/apparently-i-like-golf-embroidered?transaction_id=4859261249"/>
    <s v="Caldet Blue"/>
    <s v="Caldet Blue"/>
    <s v=" 0-3M (long-sleeve)"/>
    <s v="United States"/>
    <s v="Romper Longer"/>
    <n v="12"/>
    <n v="50"/>
    <s v="Christmas"/>
    <s v="0-3"/>
    <x v="9"/>
    <m/>
  </r>
  <r>
    <d v="2025-12-11T00:00:00"/>
    <s v="https://www.etsy.com/ca/listing/4392929794/little-latke-embroidered-romper-hanukkah?transaction_id=4847070222"/>
    <s v="Coffee"/>
    <s v="Coffee"/>
    <s v="12-18M (long-sleeve)"/>
    <s v="United States"/>
    <s v="Romper Longer"/>
    <n v="12"/>
    <n v="50"/>
    <s v="Christmas"/>
    <s v="12-18"/>
    <x v="79"/>
    <m/>
  </r>
  <r>
    <d v="2025-12-12T00:00:00"/>
    <s v="https://www.etsy.com/ca/listing/4392936921/apparently-i-like-golf-embroidered?transaction_id=4847175176"/>
    <s v="Caldet Blue"/>
    <s v="Caldet Blue"/>
    <s v="6-12M (short-sleeve)"/>
    <s v="United States"/>
    <s v="Romper Short"/>
    <n v="12"/>
    <n v="50"/>
    <s v="Christmas"/>
    <s v="6-12"/>
    <x v="63"/>
    <m/>
  </r>
  <r>
    <d v="2025-12-13T00:00:00"/>
    <s v="https://www.etsy.com/ca/listing/4392929794/little-latke-embroidered-romper-hanukkah?transaction_id=4860202549"/>
    <s v="Caldet Blue"/>
    <s v="Caldet Blue"/>
    <s v=" 6-12M (long-sleeve)"/>
    <s v="United States"/>
    <s v="Romper Longer"/>
    <n v="12"/>
    <n v="50"/>
    <s v="Christmas"/>
    <s v="6-12"/>
    <x v="25"/>
    <m/>
  </r>
  <r>
    <d v="2025-12-14T00:00:00"/>
    <s v="https://www.etsy.com/ca/listing/4371125103/personalized-dog-baby-bodysuit-custom?transaction_id=4860278387"/>
    <s v="Cream"/>
    <s v="Cream"/>
    <s v="3-6M (short-sleeve)"/>
    <s v="United States"/>
    <s v="Romper Short"/>
    <n v="12"/>
    <n v="51"/>
    <s v="Christmas"/>
    <s v="3-6"/>
    <x v="0"/>
    <m/>
  </r>
  <r>
    <d v="2025-12-15T00:00:00"/>
    <s v="https://www.etsy.com/ca/listing/4376389783/player-2-baby-romper-gamer-baby-outfit?transaction_id=4860741727&amp;dd_referrer="/>
    <s v="Caldet Blue"/>
    <s v="Caldet Blue"/>
    <s v=" 0-3M (short-sleeve)"/>
    <s v="United States"/>
    <s v="Romper Short"/>
    <n v="12"/>
    <n v="51"/>
    <s v="Christmas"/>
    <s v="0-3"/>
    <x v="38"/>
    <m/>
  </r>
  <r>
    <d v="2025-12-16T00:00:00"/>
    <s v="https://www.etsy.com/ca/listing/4376399899/the-littlest-book-club-member-baby?transaction_id=4848074858"/>
    <s v="Coffee"/>
    <s v="Coffee"/>
    <s v=" 3-6M (long-sleeve)"/>
    <s v="United States"/>
    <s v="Romper Longer"/>
    <n v="12"/>
    <n v="51"/>
    <s v="Christmas"/>
    <s v="3-6"/>
    <x v="12"/>
    <m/>
  </r>
  <r>
    <d v="2025-12-17T00:00:00"/>
    <s v="https://www.etsy.com/ca/listing/4376399899/the-littlest-book-club-member-baby?transaction_id=4848074856"/>
    <s v="Sage Green"/>
    <s v="Sage Green"/>
    <s v=" 3-6M (long-sleeve)"/>
    <s v="United States"/>
    <s v="Romper Longer"/>
    <n v="12"/>
    <n v="51"/>
    <s v="Christmas"/>
    <s v="3-6"/>
    <x v="7"/>
    <m/>
  </r>
  <r>
    <d v="2025-12-18T00:00:00"/>
    <s v="https://www.etsy.com/ca/listing/4376392339/funny-baby-romper-my-brand-of-formula?transaction_id=4848125872"/>
    <s v="Cream"/>
    <s v="Cream"/>
    <s v="3-6M (short-sleeve)"/>
    <s v="United States"/>
    <s v="Romper Short"/>
    <n v="12"/>
    <n v="51"/>
    <s v="Christmas"/>
    <s v="3-6"/>
    <x v="0"/>
    <m/>
  </r>
  <r>
    <d v="2025-12-19T00:00:00"/>
    <s v="https://www.etsy.com/ca/listing/4336899579/personalized-basketball-baby-romper?transaction_id=4848490208"/>
    <s v="Cream"/>
    <s v="Cream"/>
    <s v=" 0-3M (long-sleeve)"/>
    <s v="United States"/>
    <s v="Romper Longer"/>
    <n v="12"/>
    <n v="51"/>
    <s v="Christmas"/>
    <s v="0-3"/>
    <x v="2"/>
    <m/>
  </r>
  <r>
    <d v="2025-12-20T00:00:00"/>
    <s v="https://www.etsy.com/ca/listing/4344231895/embroidered-baby-romper-shhh-im-reading?transaction_id=4861599579"/>
    <s v="Cream"/>
    <s v="Cream"/>
    <s v="3-6M (short-sleeve)"/>
    <s v="United States"/>
    <s v="Romper Short"/>
    <n v="12"/>
    <n v="51"/>
    <s v="Christmas"/>
    <s v="3-6"/>
    <x v="0"/>
    <m/>
  </r>
  <r>
    <d v="2025-12-21T00:00:00"/>
    <s v="https://www.etsy.com/ca/listing/4346126210/daddys-future-lifting-buddy-romper-baby?transaction_id=4861752591"/>
    <s v="Cream"/>
    <s v="Cream"/>
    <s v=" 3-6M (long-sleeve)"/>
    <s v="United States"/>
    <s v="Romper Longer"/>
    <n v="12"/>
    <n v="52"/>
    <s v="Christmas"/>
    <s v="3-6"/>
    <x v="1"/>
    <m/>
  </r>
  <r>
    <d v="2025-12-22T00:00:00"/>
    <s v="https://www.etsy.com/ca/listing/4371125103/personalized-dog-baby-bodysuit-custom?transaction_id=4848772802"/>
    <s v="Cream"/>
    <s v="Cream"/>
    <s v=" 6-12M (long-sleeve)"/>
    <s v="United States"/>
    <s v="Romper Longer"/>
    <n v="12"/>
    <n v="52"/>
    <s v="Christmas"/>
    <s v="6-12"/>
    <x v="17"/>
    <m/>
  </r>
  <r>
    <d v="2025-12-23T00:00:00"/>
    <s v="https://www.etsy.com/ca/listing/4330488178/embroidered-golf-baby-romper-new-to-the?transaction_id=4862651945"/>
    <s v="Cream"/>
    <s v="Cream"/>
    <s v=" 3-6M (long-sleeve)"/>
    <s v="United States"/>
    <s v="Romper Longer"/>
    <n v="12"/>
    <n v="52"/>
    <s v="Christmas"/>
    <s v="3-6"/>
    <x v="1"/>
    <m/>
  </r>
  <r>
    <d v="2025-12-24T00:00:00"/>
    <s v="https://www.etsy.com/ca/listing/4346126210/daddys-future-lifting-buddy-romper-baby?transaction_id=4849830428"/>
    <s v="Salmon"/>
    <s v="Salmon"/>
    <s v=" 6-12M (long-sleeve)"/>
    <s v="United States"/>
    <s v="Romper Longer"/>
    <n v="12"/>
    <n v="52"/>
    <s v="Christmas"/>
    <s v="6-12"/>
    <x v="59"/>
    <m/>
  </r>
  <r>
    <d v="2025-12-25T00:00:00"/>
    <s v="https://www.etsy.com/ca/listing/4330479964/personalized-fox-baby-bodysuit-custom?transaction_id=4849993922"/>
    <s v="Coffee"/>
    <s v="Coffee"/>
    <s v=" 0-3M (long-sleeve)"/>
    <s v="United States"/>
    <s v="Romper Longer"/>
    <n v="12"/>
    <n v="52"/>
    <s v="Christmas"/>
    <s v="0-3"/>
    <x v="28"/>
    <m/>
  </r>
  <r>
    <d v="2025-12-26T00:00:00"/>
    <s v="https://www.etsy.com/ca/listing/4371125103/personalized-dog-baby-bodysuit-custom?transaction_id=4863186641"/>
    <s v="White"/>
    <s v="White"/>
    <s v=" 0-3M (long-sleeve)"/>
    <s v="United States"/>
    <s v="Romper Longer"/>
    <n v="12"/>
    <n v="52"/>
    <s v="Christmas"/>
    <s v="0-3"/>
    <x v="54"/>
    <m/>
  </r>
  <r>
    <d v="2025-12-27T00:00:00"/>
    <s v="https://www.etsy.com/ca/listing/4392929794/little-latke-embroidered-romper-hanukkah?transaction_id=4850441536"/>
    <s v="Cream"/>
    <s v="Cream"/>
    <s v="18-24M (long-sleeve)"/>
    <s v="United States"/>
    <s v="Romper Longer"/>
    <n v="12"/>
    <n v="52"/>
    <s v="Christmas"/>
    <s v="18-24"/>
    <x v="55"/>
    <m/>
  </r>
  <r>
    <d v="2025-12-28T00:00:00"/>
    <s v="https://www.etsy.com/ca/listing/4343131516/embroidered-pickleball-baby-bodysuit?transaction_id=4850687700"/>
    <s v="White"/>
    <s v="White"/>
    <s v=" 0-3M (short-sleeve)"/>
    <s v="United States"/>
    <s v="Romper Short"/>
    <n v="12"/>
    <n v="53"/>
    <s v="Christmas"/>
    <s v="0-3"/>
    <x v="21"/>
    <m/>
  </r>
  <r>
    <d v="2025-12-29T00:00:00"/>
    <s v="https://www.etsy.com/ca/listing/4372352286/silly-goose-baby-romper-funny-infant?transaction_id=4850701530"/>
    <s v="Forest Green"/>
    <s v="Forest Green"/>
    <s v=" 3-6M (long-sleeve)"/>
    <s v="United States"/>
    <s v="Romper Longer"/>
    <n v="12"/>
    <n v="53"/>
    <s v="Christmas"/>
    <s v="3-6"/>
    <x v="4"/>
    <m/>
  </r>
  <r>
    <d v="2025-12-30T00:00:00"/>
    <s v="https://www.etsy.com/ca/listing/4392932100/born-to-ride-with-my-daddy-embroidered?transaction_id=4851090820"/>
    <s v="Dusty Pink"/>
    <s v="Dusty Pink"/>
    <s v=" 3-6M (long-sleeve)"/>
    <s v="United States"/>
    <s v="Romper Longer"/>
    <n v="12"/>
    <n v="53"/>
    <s v="Christmas"/>
    <s v="3-6"/>
    <x v="8"/>
    <m/>
  </r>
  <r>
    <d v="2025-12-31T00:00:00"/>
    <s v="https://www.etsy.com/ca/listing/4376392339/funny-baby-romper-my-brand-of-formula?transaction_id=4851133384"/>
    <s v="Cream"/>
    <s v="Cream"/>
    <s v=" 3-6M (long-sleeve)"/>
    <s v="United States"/>
    <s v="Romper Longer"/>
    <n v="12"/>
    <n v="53"/>
    <s v="Christmas"/>
    <s v="3-6"/>
    <x v="1"/>
    <m/>
  </r>
  <r>
    <d v="2026-01-01T00:00:00"/>
    <s v="https://www.etsy.com/ca/listing/4392929794/little-latke-embroidered-romper-hanukkah?transaction_id=4851387206"/>
    <s v="Caldet Blue"/>
    <s v="Caldet Blue"/>
    <s v=" 3-6M (long-sleeve)"/>
    <s v="United States"/>
    <s v="Romper Longer"/>
    <n v="1"/>
    <n v="1"/>
    <s v="NewYear"/>
    <s v="3-6"/>
    <x v="23"/>
    <m/>
  </r>
  <r>
    <d v="2026-01-02T00:00:00"/>
    <s v="https://www.etsy.com/ca/listing/4344231895/embroidered-baby-romper-shhh-im-reading?transaction_id=4864922225"/>
    <s v="Cream"/>
    <s v="Cream"/>
    <s v=" 0-3M (short-sleeve)"/>
    <s v="United States"/>
    <s v="Romper Short"/>
    <n v="1"/>
    <n v="1"/>
    <s v="NewYear"/>
    <s v="0-3"/>
    <x v="15"/>
    <m/>
  </r>
  <r>
    <d v="2026-01-03T00:00:00"/>
    <s v="https://www.etsy.com/ca/listing/4376392339/funny-baby-romper-my-brand-of-formula?transaction_id=4865046655"/>
    <s v="Dusty Pink"/>
    <s v="Dusty Pink"/>
    <s v="6-12M (short-sleeve)"/>
    <s v="United States"/>
    <s v="Romper Short"/>
    <n v="1"/>
    <n v="1"/>
    <s v="NewYear"/>
    <s v="6-12"/>
    <x v="35"/>
    <m/>
  </r>
  <r>
    <d v="2026-01-04T00:00:00"/>
    <s v="https://www.etsy.com/ca/listing/4330477824/embroidered-crocodile-baby-bodysuit?transaction_id=4851781006"/>
    <s v="Cream"/>
    <s v="Cream"/>
    <s v="6-12M (short-sleeve)"/>
    <s v="United States"/>
    <s v="Romper Short"/>
    <n v="1"/>
    <n v="2"/>
    <s v="NewYear"/>
    <s v="6-12"/>
    <x v="47"/>
    <m/>
  </r>
  <r>
    <d v="2026-01-05T00:00:00"/>
    <s v="https://www.etsy.com/ca/listing/4392936688/shhh-im-watching-motogp-with-daddy?transaction_id=4865058543"/>
    <s v="Caldet Blue"/>
    <s v="Caldet Blue"/>
    <s v=" 6-12M (long-sleeve)"/>
    <s v="United States"/>
    <s v="Romper Longer"/>
    <n v="1"/>
    <n v="2"/>
    <s v="NewYear"/>
    <s v="6-12"/>
    <x v="25"/>
    <m/>
  </r>
  <r>
    <d v="2026-01-06T00:00:00"/>
    <s v="https://www.etsy.com/ca/listing/4371125103/personalized-dog-baby-bodysuit-custom?transaction_id=4851875430"/>
    <s v="Cream"/>
    <s v="Cream"/>
    <s v=" 0-3M (long-sleeve)"/>
    <s v="United States"/>
    <s v="Romper Longer"/>
    <n v="1"/>
    <n v="2"/>
    <s v="NewYear"/>
    <s v="0-3"/>
    <x v="2"/>
    <m/>
  </r>
  <r>
    <d v="2026-01-07T00:00:00"/>
    <s v="https://www.etsy.com/ca/listing/4376389783/player-2-baby-romper-gamer-baby-outfit?transaction_id=4865226661"/>
    <s v="Mauve Taupe"/>
    <s v="Mauve Taupe"/>
    <s v=" 3-6M (long-sleeve)"/>
    <s v="United States"/>
    <s v="Romper Longer"/>
    <n v="1"/>
    <n v="2"/>
    <s v="NewYear"/>
    <s v="3-6"/>
    <x v="10"/>
    <m/>
  </r>
  <r>
    <d v="2026-01-08T00:00:00"/>
    <s v="https://www.etsy.com/ca/listing/4392929794/little-latke-embroidered-romper-hanukkah?transaction_id=4852556518"/>
    <s v="Cream"/>
    <s v="Cream"/>
    <s v=" 6-12M (long-sleeve)"/>
    <s v="United States"/>
    <s v="Romper Longer"/>
    <n v="1"/>
    <n v="2"/>
    <s v="NewYear"/>
    <s v="6-12"/>
    <x v="17"/>
    <m/>
  </r>
  <r>
    <d v="2026-01-09T00:00:00"/>
    <s v="https://www.etsy.com/ca/listing/4376399899/the-littlest-book-club-member-baby?transaction_id=4865910307"/>
    <s v="Cream"/>
    <s v="Cream"/>
    <s v=" 0-3M (short-sleeve)"/>
    <s v="United States"/>
    <s v="Romper Short"/>
    <n v="1"/>
    <n v="2"/>
    <s v="NewYear"/>
    <s v="0-3"/>
    <x v="15"/>
    <m/>
  </r>
  <r>
    <d v="2026-01-10T00:00:00"/>
    <s v="https://www.etsy.com/ca/listing/4371125103/personalized-dog-baby-bodysuit-custom?transaction_id=4866004655"/>
    <s v="Cream"/>
    <s v="Cream"/>
    <s v=" 6-12M (long-sleeve)"/>
    <s v="United States"/>
    <s v="Romper Longer"/>
    <n v="1"/>
    <n v="2"/>
    <s v="NewYear"/>
    <s v="6-12"/>
    <x v="17"/>
    <m/>
  </r>
  <r>
    <d v="2026-01-11T00:00:00"/>
    <s v="https://www.etsy.com/ca/listing/4379194627/new-to-the-farm-embroidered-romper-baby?transaction_id=4852791974"/>
    <s v="Sage Green"/>
    <s v="Sage Green"/>
    <s v="3-6M (short-sleeve)"/>
    <s v="United States"/>
    <s v="Romper Short"/>
    <n v="1"/>
    <n v="3"/>
    <s v="NewYear"/>
    <s v="3-6"/>
    <x v="24"/>
    <m/>
  </r>
  <r>
    <d v="2026-01-12T00:00:00"/>
    <s v="https://www.etsy.com/ca/listing/4330504155/born-to-play-like-my-daddy-baby-romper?transaction_id=4780712596"/>
    <s v="Cream"/>
    <s v="Cream"/>
    <s v=" 3-6M (long-sleeve)"/>
    <s v="United States"/>
    <s v="Romper Longer"/>
    <n v="1"/>
    <n v="3"/>
    <s v="NewYear"/>
    <s v="3-6"/>
    <x v="1"/>
    <m/>
  </r>
  <r>
    <d v="2026-01-13T00:00:00"/>
    <s v="https://www.etsy.com/ca/listing/4392929794/little-latke-embroidered-romper-hanukkah?transaction_id=4866851951"/>
    <s v="White"/>
    <s v="White"/>
    <s v=" 0-3M (long-sleeve)"/>
    <s v="United States"/>
    <s v="Romper Longer"/>
    <n v="1"/>
    <n v="3"/>
    <s v="NewYear"/>
    <s v="0-3"/>
    <x v="54"/>
    <m/>
  </r>
  <r>
    <d v="2026-01-14T00:00:00"/>
    <s v="https://www.etsy.com/ca/listing/4372352286/silly-goose-baby-romper-funny-infant?transaction_id=4853725384"/>
    <s v="Forest Green"/>
    <s v="Forest Green"/>
    <s v="12-18M (long-sleeve)"/>
    <s v="United States"/>
    <s v="Romper Longer"/>
    <n v="1"/>
    <n v="3"/>
    <s v="NewYear"/>
    <s v="12-18"/>
    <x v="37"/>
    <m/>
  </r>
  <r>
    <d v="2026-01-15T00:00:00"/>
    <s v="https://www.etsy.com/ca/listing/4392932100/born-to-ride-with-my-daddy-embroidered?transaction_id=4867372495"/>
    <s v="Sage Green"/>
    <s v="Sage Green"/>
    <s v=" 0-3M (short-sleeve)"/>
    <s v="United States"/>
    <s v="Romper Short"/>
    <n v="1"/>
    <n v="3"/>
    <s v="NewYear"/>
    <s v="0-3"/>
    <x v="13"/>
    <m/>
  </r>
  <r>
    <d v="2026-01-16T00:00:00"/>
    <s v="https://www.etsy.com/ca/listing/4344231895/embroidered-baby-romper-shhh-im-reading?transaction_id=4854621734"/>
    <s v="Coffee"/>
    <s v="Coffee"/>
    <s v=" 0-3M (long-sleeve)"/>
    <s v="United States"/>
    <s v="Romper Longer"/>
    <n v="1"/>
    <n v="3"/>
    <s v="NewYear"/>
    <s v="0-3"/>
    <x v="28"/>
    <m/>
  </r>
  <r>
    <d v="2026-01-17T00:00:00"/>
    <s v="https://www.etsy.com/ca/listing/4392929794/little-latke-embroidered-romper-hanukkah?transaction_id=4868495507"/>
    <s v="Sage Green"/>
    <s v="Sage Green"/>
    <s v=" 3-6M (long-sleeve)"/>
    <s v="United States"/>
    <s v="Romper Longer"/>
    <n v="1"/>
    <n v="3"/>
    <s v="NewYear"/>
    <s v="3-6"/>
    <x v="7"/>
    <m/>
  </r>
  <r>
    <d v="2026-01-18T00:00:00"/>
    <s v="https://www.etsy.com/ca/listing/4330488178/embroidered-golf-baby-romper-new-to-the?transaction_id=4854877930"/>
    <s v="Cream"/>
    <s v="Cream"/>
    <s v=" 6-12M (long-sleeve)"/>
    <s v="United States"/>
    <s v="Romper Longer"/>
    <n v="1"/>
    <n v="4"/>
    <s v="NewYear"/>
    <s v="6-12"/>
    <x v="17"/>
    <m/>
  </r>
  <r>
    <d v="2026-01-19T00:00:00"/>
    <s v="https://www.etsy.com/ca/listing/4392935796/box-box-for-fresh-diapers-embroidered?transaction_id=4868567813"/>
    <s v="Forest Green"/>
    <s v="Forest Green"/>
    <s v=" 0-3M (short-sleeve)"/>
    <s v="United States"/>
    <s v="Romper Short"/>
    <n v="1"/>
    <n v="4"/>
    <s v="NewYear"/>
    <s v="0-3"/>
    <x v="52"/>
    <m/>
  </r>
  <r>
    <d v="2026-01-20T00:00:00"/>
    <s v="https://www.etsy.com/ca/listing/4371125103/personalized-dog-baby-bodysuit-custom?transaction_id=4868710179"/>
    <s v="Caldet Blue"/>
    <s v="Caldet Blue"/>
    <s v="3-6M (short-sleeve)"/>
    <s v="United States"/>
    <s v="Romper Short"/>
    <n v="1"/>
    <n v="4"/>
    <s v="NewYear"/>
    <s v="3-6"/>
    <x v="29"/>
    <m/>
  </r>
  <r>
    <d v="2026-01-21T00:00:00"/>
    <s v="https://www.etsy.com/ca/listing/4376399899/the-littlest-book-club-member-baby?transaction_id=4855119846"/>
    <s v="Watermelon"/>
    <s v="Watermelon"/>
    <s v="18-24M (long-sleeve)"/>
    <s v="United States"/>
    <s v="Romper Longer"/>
    <n v="1"/>
    <n v="4"/>
    <s v="NewYear"/>
    <s v="18-24"/>
    <x v="100"/>
    <m/>
  </r>
  <r>
    <d v="2026-01-22T00:00:00"/>
    <s v="https://www.etsy.com/ca/listing/4392929794/little-latke-embroidered-romper-hanukkah?transaction_id=4855389840"/>
    <s v="Sage Green"/>
    <s v="Sage Green"/>
    <s v=" 6-12M (long-sleeve)"/>
    <s v="United States"/>
    <s v="Romper Longer"/>
    <n v="1"/>
    <n v="4"/>
    <s v="NewYear"/>
    <s v="6-12"/>
    <x v="3"/>
    <m/>
  </r>
  <r>
    <d v="2026-01-23T00:00:00"/>
    <s v="https://www.etsy.com/ca/listing/4371125103/personalized-dog-baby-bodysuit-custom?transaction_id=4855456748"/>
    <s v="Coffee"/>
    <s v="Coffee"/>
    <s v=" 0-3M (short-sleeve)"/>
    <s v="United States"/>
    <s v="Romper Short"/>
    <n v="1"/>
    <n v="4"/>
    <s v="NewYear"/>
    <s v="0-3"/>
    <x v="14"/>
    <m/>
  </r>
  <r>
    <d v="2026-01-24T00:00:00"/>
    <s v="https://www.etsy.com/ca/listing/4392929794/little-latke-embroidered-romper-hanukkah?transaction_id=4869274739"/>
    <s v="Watermelon"/>
    <s v="Watermelon"/>
    <s v=" 6-12M (long-sleeve)"/>
    <s v="United States"/>
    <s v="Romper Longer"/>
    <n v="1"/>
    <n v="4"/>
    <s v="NewYear"/>
    <s v="6-12"/>
    <x v="33"/>
    <m/>
  </r>
  <r>
    <d v="2026-01-25T00:00:00"/>
    <s v="https://www.etsy.com/ca/listing/4392929794/little-latke-embroidered-romper-hanukkah?transaction_id=4855670554"/>
    <s v="Cream"/>
    <s v="Cream"/>
    <s v=" 6-12M (long-sleeve)"/>
    <s v="United States"/>
    <s v="Romper Longer"/>
    <n v="1"/>
    <n v="5"/>
    <s v="NewYear"/>
    <s v="6-12"/>
    <x v="17"/>
    <m/>
  </r>
  <r>
    <d v="2026-01-26T00:00:00"/>
    <s v="https://www.etsy.com/ca/listing/4371112234/personalized-pet-line-art-baby-bodysuit?transaction_id=4869776657"/>
    <s v="Dusty Pink"/>
    <s v="Dusty Pink"/>
    <s v="3-6M (short-sleeve)"/>
    <s v="United States"/>
    <s v="Romper Short"/>
    <n v="1"/>
    <n v="5"/>
    <s v="NewYear"/>
    <s v="3-6"/>
    <x v="31"/>
    <m/>
  </r>
  <r>
    <d v="2026-01-27T00:00:00"/>
    <s v="https://www.etsy.com/ca/listing/4392935796/box-box-for-fresh-diapers-embroidered?transaction_id=4869823017"/>
    <s v="Texas Orange"/>
    <s v="Texas Orange"/>
    <s v=" 6-12M (long-sleeve)"/>
    <s v="United States"/>
    <s v="Romper Longer"/>
    <n v="1"/>
    <n v="5"/>
    <s v="NewYear"/>
    <s v="6-12"/>
    <x v="61"/>
    <m/>
  </r>
  <r>
    <d v="2026-01-28T00:00:00"/>
    <s v="https://www.etsy.com/ca/listing/4336907597/custom-running-baby-romper-daddys-future?transaction_id=4869926435"/>
    <s v="Sage Green"/>
    <s v="Sage Green"/>
    <s v=" 3-6M (long-sleeve)"/>
    <s v="United States"/>
    <s v="Romper Longer"/>
    <n v="1"/>
    <n v="5"/>
    <s v="NewYear"/>
    <s v="3-6"/>
    <x v="7"/>
    <m/>
  </r>
  <r>
    <d v="2026-01-29T00:00:00"/>
    <s v="https://www.etsy.com/ca/listing/4371125103/personalized-dog-baby-bodysuit-custom?transaction_id=4856097780"/>
    <s v="Cream"/>
    <s v="Cream"/>
    <s v=" 6-12M (long-sleeve)"/>
    <s v="United States"/>
    <s v="Romper Longer"/>
    <n v="1"/>
    <n v="5"/>
    <s v="NewYear"/>
    <s v="6-12"/>
    <x v="17"/>
    <m/>
  </r>
  <r>
    <d v="2026-01-30T00:00:00"/>
    <s v="https://www.etsy.com/ca/listing/4371125103/personalized-dog-baby-bodysuit-custom?transaction_id=4870023497"/>
    <s v="Dusty Pink"/>
    <s v="Dusty Pink"/>
    <s v=" 0-3M (long-sleeve)"/>
    <s v="United States"/>
    <s v="Romper Longer"/>
    <n v="1"/>
    <n v="5"/>
    <s v="NewYear"/>
    <s v="0-3"/>
    <x v="45"/>
    <m/>
  </r>
  <r>
    <d v="2026-01-31T00:00:00"/>
    <s v="https://www.etsy.com/ca/listing/4372352286/silly-goose-baby-romper-funny-infant?transaction_id=4870233229"/>
    <s v="Sage Green"/>
    <s v="Sage Green"/>
    <s v=" 0-3M (long-sleeve)"/>
    <s v="United States"/>
    <s v="Romper Longer"/>
    <n v="1"/>
    <n v="5"/>
    <s v="NewYear"/>
    <s v="0-3"/>
    <x v="5"/>
    <m/>
  </r>
  <r>
    <d v="2026-02-01T00:00:00"/>
    <s v="https://www.etsy.com/ca/listing/4376399899/the-littlest-book-club-member-baby?transaction_id=4856411976"/>
    <s v="Forest Green"/>
    <s v="Forest Green"/>
    <s v=" 6-12M (long-sleeve)"/>
    <s v="United States"/>
    <s v="Romper Longer"/>
    <n v="2"/>
    <n v="6"/>
    <s v="Valentine"/>
    <s v="6-12"/>
    <x v="30"/>
    <m/>
  </r>
  <r>
    <d v="2026-02-02T00:00:00"/>
    <s v="https://www.etsy.com/ca/listing/4392929794/little-latke-embroidered-romper-hanukkah?transaction_id=4870979747"/>
    <s v="Caldet Blue"/>
    <s v="Caldet Blue"/>
    <s v=" 0-3M (long-sleeve)"/>
    <s v="United States"/>
    <s v="Romper Longer"/>
    <n v="2"/>
    <n v="6"/>
    <s v="Valentine"/>
    <s v="0-3"/>
    <x v="9"/>
    <m/>
  </r>
  <r>
    <d v="2026-02-03T00:00:00"/>
    <s v="https://www.etsy.com/ca/listing/4392936921/apparently-i-like-golf-embroidered?transaction_id=4857156042"/>
    <s v="Cream"/>
    <s v="Cream"/>
    <s v=" 6-12M (long-sleeve)"/>
    <s v="United States"/>
    <s v="Romper Longer"/>
    <n v="2"/>
    <n v="6"/>
    <s v="Valentine"/>
    <s v="6-12"/>
    <x v="17"/>
    <m/>
  </r>
  <r>
    <d v="2026-02-04T00:00:00"/>
    <s v="https://www.etsy.com/ca/listing/4344231895/embroidered-baby-romper-shhh-im-reading?transaction_id=4857209988"/>
    <s v="Dusty Pink"/>
    <s v="Dusty Pink"/>
    <s v=" 0-3M (long-sleeve)"/>
    <s v="United States"/>
    <s v="Romper Longer"/>
    <n v="2"/>
    <n v="6"/>
    <s v="Valentine"/>
    <s v="0-3"/>
    <x v="45"/>
    <m/>
  </r>
  <r>
    <d v="2026-02-05T00:00:00"/>
    <s v="https://www.etsy.com/ca/listing/4376399899/the-littlest-book-club-member-baby?transaction_id=4857209986"/>
    <s v="Caldet Blue"/>
    <s v="Caldet Blue"/>
    <s v="3-6M (short-sleeve)"/>
    <s v="United States"/>
    <s v="Romper Short"/>
    <n v="2"/>
    <n v="6"/>
    <s v="Valentine"/>
    <s v="3-6"/>
    <x v="29"/>
    <m/>
  </r>
  <r>
    <d v="2026-02-06T00:00:00"/>
    <s v="https://www.etsy.com/ca/listing/4371125103/personalized-dog-baby-bodysuit-custom?transaction_id=4754387044"/>
    <s v="Watermelon"/>
    <s v="Watermelon"/>
    <s v=" 3-6M (long-sleeve)"/>
    <s v="United States"/>
    <s v="Romper Longer"/>
    <n v="2"/>
    <n v="6"/>
    <s v="Valentine"/>
    <s v="3-6"/>
    <x v="20"/>
    <m/>
  </r>
  <r>
    <d v="2026-02-07T00:00:00"/>
    <s v="https://www.etsy.com/ca/listing/4392932100/born-to-ride-with-my-daddy-embroidered?transaction_id=4871912061"/>
    <s v="Cream"/>
    <s v="Cream"/>
    <s v=" 6-12M (long-sleeve)"/>
    <s v="United States"/>
    <s v="Romper Longer"/>
    <n v="2"/>
    <n v="6"/>
    <s v="Valentine"/>
    <s v="6-12"/>
    <x v="17"/>
    <m/>
  </r>
  <r>
    <d v="2026-02-08T00:00:00"/>
    <s v="https://www.etsy.com/ca/listing/4392935796/box-box-for-fresh-diapers-embroidered?transaction_id=4872017743"/>
    <s v="Sage Green"/>
    <s v="Sage Green"/>
    <s v="12-18M (long-sleeve)"/>
    <s v="United States"/>
    <s v="Romper Longer"/>
    <n v="2"/>
    <n v="7"/>
    <s v="Valentine"/>
    <s v="12-18"/>
    <x v="22"/>
    <m/>
  </r>
  <r>
    <d v="2026-02-09T00:00:00"/>
    <s v="https://www.etsy.com/ca/listing/4344231895/embroidered-baby-romper-shhh-im-reading?transaction_id=4857862464"/>
    <s v="Forest Green"/>
    <s v="Forest Green"/>
    <s v="3-6M (short-sleeve)"/>
    <s v="United States"/>
    <s v="Romper Short"/>
    <n v="2"/>
    <n v="7"/>
    <s v="Valentine"/>
    <s v="3-6"/>
    <x v="6"/>
    <m/>
  </r>
  <r>
    <d v="2026-02-10T00:00:00"/>
    <s v="https://www.etsy.com/ca/listing/4392929794/little-latke-embroidered-romper-hanukkah?transaction_id=4872162051"/>
    <s v="Cream"/>
    <s v="Cream"/>
    <s v=" 6-12M (long-sleeve)"/>
    <s v="United States"/>
    <s v="Romper Longer"/>
    <n v="2"/>
    <n v="7"/>
    <s v="Valentine"/>
    <s v="6-12"/>
    <x v="17"/>
    <m/>
  </r>
  <r>
    <d v="2026-02-11T00:00:00"/>
    <s v="https://www.etsy.com/ca/listing/4392929794/little-latke-embroidered-romper-hanukkah?transaction_id=4872288705"/>
    <s v="Mauve Taupe"/>
    <s v="Mauve Taupe"/>
    <s v=" 3-6M (long-sleeve)"/>
    <s v="United States"/>
    <s v="Romper Longer"/>
    <n v="2"/>
    <n v="7"/>
    <s v="Valentine"/>
    <s v="3-6"/>
    <x v="10"/>
    <m/>
  </r>
  <r>
    <d v="2026-02-12T00:00:00"/>
    <s v="https://www.etsy.com/ca/listing/4392929794/little-latke-embroidered-romper-hanukkah?transaction_id=4872288703"/>
    <s v="Forest Green"/>
    <s v="Forest Green"/>
    <s v=" 3-6M (long-sleeve)"/>
    <s v="United States"/>
    <s v="Romper Longer"/>
    <n v="2"/>
    <n v="7"/>
    <s v="Valentine"/>
    <s v="3-6"/>
    <x v="4"/>
    <m/>
  </r>
  <r>
    <d v="2026-02-13T00:00:00"/>
    <s v="https://www.etsy.com/ca/listing/4330488178/embroidered-golf-baby-romper-new-to-the?transaction_id=4872383461"/>
    <s v="Cream"/>
    <s v="Cream"/>
    <s v=" 0-3M (long-sleeve)"/>
    <s v="United States"/>
    <s v="Romper Longer"/>
    <n v="2"/>
    <n v="7"/>
    <s v="Valentine"/>
    <s v="0-3"/>
    <x v="2"/>
    <m/>
  </r>
  <r>
    <d v="2026-02-14T00:00:00"/>
    <s v="https://www.etsy.com/ca/listing/4392929794/little-latke-embroidered-romper-hanukkah?transaction_id=4858156008"/>
    <s v="Watermelon"/>
    <s v="Watermelon"/>
    <s v="12-18M (long-sleeve)"/>
    <s v="United States"/>
    <s v="Romper Longer"/>
    <n v="2"/>
    <n v="7"/>
    <s v="Valentine"/>
    <s v="12-18"/>
    <x v="78"/>
    <m/>
  </r>
  <r>
    <d v="2026-02-15T00:00:00"/>
    <s v="https://www.etsy.com/ca/listing/4371125103/personalized-dog-baby-bodysuit-custom?transaction_id=4858329686"/>
    <s v="Sage Green"/>
    <s v="Sage Green"/>
    <s v=" 3-6M (long-sleeve)"/>
    <s v="United States"/>
    <s v="Romper Longer"/>
    <n v="2"/>
    <n v="8"/>
    <s v="Valentine"/>
    <s v="3-6"/>
    <x v="7"/>
    <m/>
  </r>
  <r>
    <d v="2026-02-16T00:00:00"/>
    <s v="https://www.etsy.com/ca/listing/4330485404/cat-face-embroidered-baby-romper-funny?transaction_id=4872883375"/>
    <s v="Sage Green"/>
    <s v="Sage Green"/>
    <s v="3-6M (short-sleeve)"/>
    <s v="United States"/>
    <s v="Romper Short"/>
    <n v="2"/>
    <n v="8"/>
    <s v="Valentine"/>
    <s v="3-6"/>
    <x v="24"/>
    <m/>
  </r>
  <r>
    <d v="2026-02-17T00:00:00"/>
    <s v="https://www.etsy.com/ca/listing/4392929794/little-latke-embroidered-romper-hanukkah?transaction_id=4858566246"/>
    <s v="White"/>
    <s v="White"/>
    <s v=" 3-6M (long-sleeve)"/>
    <s v="United States"/>
    <s v="Romper Longer"/>
    <n v="2"/>
    <n v="8"/>
    <s v="Valentine"/>
    <s v="3-6"/>
    <x v="70"/>
    <m/>
  </r>
  <r>
    <d v="2026-02-18T00:00:00"/>
    <s v="https://www.etsy.com/ca/listing/4371125103/personalized-dog-baby-bodysuit-custom?transaction_id=4873226763"/>
    <s v="Caldet Blue"/>
    <s v="Caldet Blue"/>
    <s v=" 6-12M (long-sleeve)"/>
    <s v="United States"/>
    <s v="Romper Longer"/>
    <n v="2"/>
    <n v="8"/>
    <s v="Valentine"/>
    <s v="6-12"/>
    <x v="25"/>
    <m/>
  </r>
  <r>
    <d v="2026-02-19T00:00:00"/>
    <s v="https://www.etsy.com/ca/listing/4392962015/cant-wait-to-jam-with-daddy-embroidered?transaction_id=4873539821"/>
    <s v="Caldet Blue"/>
    <s v="Caldet Blue"/>
    <s v=" 0-3M (short-sleeve)"/>
    <s v="United States"/>
    <s v="Romper Short"/>
    <n v="2"/>
    <n v="8"/>
    <s v="Valentine"/>
    <s v="0-3"/>
    <x v="38"/>
    <m/>
  </r>
  <r>
    <d v="2026-02-20T00:00:00"/>
    <s v="https://www.etsy.com/ca/listing/4346126210/daddys-future-lifting-buddy-romper-baby?transaction_id=4859129110"/>
    <s v="Cream"/>
    <s v="Cream"/>
    <s v=" 3-6M (long-sleeve)"/>
    <s v="United States"/>
    <s v="Romper Longer"/>
    <n v="2"/>
    <n v="8"/>
    <s v="Valentine"/>
    <s v="3-6"/>
    <x v="1"/>
    <m/>
  </r>
  <r>
    <d v="2026-02-21T00:00:00"/>
    <s v="https://www.etsy.com/ca/listing/4330488178/embroidered-golf-baby-romper-new-to-the?transaction_id=4859183606"/>
    <s v="Cream"/>
    <s v="Cream"/>
    <s v=" 6-12M (long-sleeve)"/>
    <s v="United States"/>
    <s v="Romper Longer"/>
    <n v="2"/>
    <n v="8"/>
    <s v="Valentine"/>
    <s v="6-12"/>
    <x v="17"/>
    <m/>
  </r>
  <r>
    <d v="2026-02-22T00:00:00"/>
    <s v="https://www.etsy.com/ca/listing/4371125103/personalized-dog-baby-bodysuit-custom?transaction_id=4873692789"/>
    <s v="Forest Green"/>
    <s v="Forest Green"/>
    <s v=" 0-3M (short-sleeve)"/>
    <s v="United States"/>
    <s v="Romper Short"/>
    <n v="2"/>
    <n v="9"/>
    <s v="Valentine"/>
    <s v="0-3"/>
    <x v="52"/>
    <m/>
  </r>
  <r>
    <d v="2026-02-23T00:00:00"/>
    <s v="https://www.etsy.com/ca/listing/4372357398/personalized-hunting-baby-romper-custom?transaction_id=4859479316"/>
    <s v="Coffee"/>
    <s v="Coffee"/>
    <s v=" 6-12M (long-sleeve)"/>
    <s v="United States"/>
    <s v="Romper Longer"/>
    <n v="2"/>
    <n v="9"/>
    <s v="Valentine"/>
    <s v="6-12"/>
    <x v="86"/>
    <m/>
  </r>
  <r>
    <d v="2026-02-24T00:00:00"/>
    <s v="https://www.etsy.com/ca/listing/4344231895/embroidered-baby-romper-shhh-im-reading?transaction_id=4859550342"/>
    <s v="Sage Green"/>
    <s v="Sage Green"/>
    <s v=" 6-12M (long-sleeve)"/>
    <s v="United States"/>
    <s v="Romper Longer"/>
    <n v="2"/>
    <n v="9"/>
    <s v="Valentine"/>
    <s v="6-12"/>
    <x v="3"/>
    <m/>
  </r>
  <r>
    <d v="2026-02-25T00:00:00"/>
    <s v="https://www.etsy.com/ca/listing/4392929794/little-latke-embroidered-romper-hanukkah?transaction_id=4874086211"/>
    <s v="Dusty Pink"/>
    <s v="Dusty Pink"/>
    <s v=" 0-3M (long-sleeve)"/>
    <s v="United States"/>
    <s v="Romper Longer"/>
    <n v="2"/>
    <n v="9"/>
    <s v="Valentine"/>
    <s v="0-3"/>
    <x v="45"/>
    <m/>
  </r>
  <r>
    <d v="2026-02-26T00:00:00"/>
    <s v="https://www.etsy.com/ca/listing/4347894651/giraffe-baby-bodysuit-you-bet-giraffe-im?transaction_id=4874529319"/>
    <s v="Sage Green"/>
    <s v="Sage Green"/>
    <s v=" 3-6M (long-sleeve)"/>
    <s v="United States"/>
    <s v="Romper Longer"/>
    <n v="2"/>
    <n v="9"/>
    <s v="Valentine"/>
    <s v="3-6"/>
    <x v="7"/>
    <m/>
  </r>
  <r>
    <d v="2026-02-27T00:00:00"/>
    <s v="https://www.etsy.com/ca/listing/4392932100/born-to-ride-with-my-daddy-embroidered?transaction_id=4860100358"/>
    <s v="Cream"/>
    <s v="Cream"/>
    <s v="3-6M (short-sleeve)"/>
    <s v="United States"/>
    <s v="Romper Short"/>
    <n v="2"/>
    <n v="9"/>
    <s v="Valentine"/>
    <s v="3-6"/>
    <x v="0"/>
    <m/>
  </r>
  <r>
    <d v="2026-02-28T00:00:00"/>
    <s v="https://www.etsy.com/ca/listing/4376389783/player-2-baby-romper-gamer-baby-outfit?transaction_id=4875410555"/>
    <s v="Cream"/>
    <s v="Cream"/>
    <s v=" 3-6M (long-sleeve)"/>
    <s v="United States"/>
    <s v="Romper Longer"/>
    <n v="2"/>
    <n v="9"/>
    <s v="Valentine"/>
    <s v="3-6"/>
    <x v="1"/>
    <m/>
  </r>
  <r>
    <d v="2026-03-01T00:00:00"/>
    <s v="https://www.etsy.com/ca/listing/4371125103/personalized-dog-baby-bodysuit-custom?transaction_id=4875561349"/>
    <s v="Watermelon"/>
    <s v="Watermelon"/>
    <s v=" 0-3M (short-sleeve)"/>
    <s v="United States"/>
    <s v="Romper Short"/>
    <n v="3"/>
    <n v="10"/>
    <s v="Easter"/>
    <s v="0-3"/>
    <x v="65"/>
    <m/>
  </r>
  <r>
    <d v="2026-03-02T00:00:00"/>
    <s v="https://www.etsy.com/ca/listing/4392936688/shhh-im-watching-motogp-with-daddy?transaction_id=4860971376"/>
    <s v="Sage Green"/>
    <s v="Sage Green"/>
    <s v="6-12M (short-sleeve)"/>
    <s v="United States"/>
    <s v="Romper Short"/>
    <n v="3"/>
    <n v="10"/>
    <s v="Easter"/>
    <s v="6-12"/>
    <x v="19"/>
    <m/>
  </r>
  <r>
    <d v="2026-03-03T00:00:00"/>
    <s v="https://www.etsy.com/ca/listing/4346126210/daddys-future-lifting-buddy-romper-baby?transaction_id=4875914889"/>
    <s v="Sage Green"/>
    <s v="Sage Green"/>
    <s v=" 0-3M (long-sleeve)"/>
    <s v="United States"/>
    <s v="Romper Longer"/>
    <n v="3"/>
    <n v="10"/>
    <s v="Easter"/>
    <s v="0-3"/>
    <x v="5"/>
    <m/>
  </r>
  <r>
    <d v="2026-03-04T00:00:00"/>
    <s v="https://www.etsy.com/ca/listing/4376392339/funny-baby-romper-my-brand-of-formula?transaction_id=4861564616"/>
    <s v="Cream"/>
    <s v="Cream"/>
    <s v="3-6M (short-sleeve)"/>
    <s v="United States"/>
    <s v="Romper Short"/>
    <n v="3"/>
    <n v="10"/>
    <s v="Easter"/>
    <s v="3-6"/>
    <x v="0"/>
    <m/>
  </r>
  <r>
    <d v="2026-03-05T00:00:00"/>
    <s v="https://www.etsy.com/ca/listing/4392929794/little-latke-embroidered-romper-hanukkah?transaction_id=4876267957"/>
    <s v="Dusty Pink"/>
    <s v="Dusty Pink"/>
    <s v=" 6-12M (long-sleeve)"/>
    <s v="United States"/>
    <s v="Romper Longer"/>
    <n v="3"/>
    <n v="10"/>
    <s v="Easter"/>
    <s v="6-12"/>
    <x v="51"/>
    <m/>
  </r>
  <r>
    <d v="2026-03-06T00:00:00"/>
    <s v="https://www.etsy.com/ca/listing/4392929794/little-latke-embroidered-romper-hanukkah?transaction_id=4861578816"/>
    <s v="Caldet Blue"/>
    <s v="Caldet Blue"/>
    <s v=" 3-6M (long-sleeve)"/>
    <s v="United States"/>
    <s v="Romper Longer"/>
    <n v="3"/>
    <n v="10"/>
    <s v="Easter"/>
    <s v="3-6"/>
    <x v="23"/>
    <m/>
  </r>
  <r>
    <d v="2026-03-07T00:00:00"/>
    <s v="https://www.etsy.com/ca/listing/4333134764/wizard-font-baby-romper-personalized?transaction_id=4876267959"/>
    <s v="Sage Green"/>
    <s v="Sage Green"/>
    <s v="6-12M (short-sleeve)"/>
    <s v="United States"/>
    <s v="Romper Short"/>
    <n v="3"/>
    <n v="10"/>
    <s v="Easter"/>
    <s v="6-12"/>
    <x v="19"/>
    <m/>
  </r>
  <r>
    <d v="2026-03-08T00:00:00"/>
    <s v="https://www.etsy.com/ca/listing/4392929794/little-latke-embroidered-romper-hanukkah?transaction_id=4876556047"/>
    <s v="Caldet Blue"/>
    <s v="Caldet Blue"/>
    <s v=" 0-3M (short-sleeve)"/>
    <s v="United States"/>
    <s v="Romper Short"/>
    <n v="3"/>
    <n v="11"/>
    <s v="Easter"/>
    <s v="0-3"/>
    <x v="38"/>
    <m/>
  </r>
  <r>
    <d v="2026-03-09T00:00:00"/>
    <s v="https://www.etsy.com/ca/listing/4330485404/cat-face-embroidered-baby-romper-funny?transaction_id=4861893832"/>
    <s v="Cream"/>
    <s v="Cream"/>
    <s v="12-18M (short-sleeve)"/>
    <s v="United States"/>
    <s v="Romper Short"/>
    <n v="3"/>
    <n v="11"/>
    <s v="Easter"/>
    <s v="12-18"/>
    <x v="26"/>
    <m/>
  </r>
  <r>
    <d v="2026-03-10T00:00:00"/>
    <s v="https://www.etsy.com/ca/listing/4372352286/silly-goose-baby-romper-funny-infant?transaction_id=4861902508"/>
    <s v="Cream"/>
    <s v="Cream"/>
    <s v=" 0-3M (long-sleeve)"/>
    <s v="United States"/>
    <s v="Romper Longer"/>
    <n v="3"/>
    <n v="11"/>
    <s v="Easter"/>
    <s v="0-3"/>
    <x v="2"/>
    <m/>
  </r>
  <r>
    <d v="2026-03-11T00:00:00"/>
    <s v="https://www.etsy.com/ca/listing/4372352286/silly-goose-baby-romper-funny-infant?transaction_id=4862045178"/>
    <s v="Coffee"/>
    <s v="Coffee"/>
    <s v=" 3-6M (long-sleeve)"/>
    <s v="United States"/>
    <s v="Romper Longer"/>
    <n v="3"/>
    <n v="11"/>
    <s v="Easter"/>
    <s v="3-6"/>
    <x v="12"/>
    <m/>
  </r>
  <r>
    <d v="2026-03-12T00:00:00"/>
    <s v="https://www.etsy.com/ca/listing/4392932100/born-to-ride-with-my-daddy-embroidered?transaction_id=4862055226"/>
    <s v="Caldet Blue"/>
    <s v="Caldet Blue"/>
    <s v=" 0-3M (long-sleeve)"/>
    <s v="United States"/>
    <s v="Romper Longer"/>
    <n v="3"/>
    <n v="11"/>
    <s v="Easter"/>
    <s v="0-3"/>
    <x v="9"/>
    <m/>
  </r>
  <r>
    <d v="2026-03-13T00:00:00"/>
    <s v="https://www.etsy.com/ca/listing/4371125103/personalized-dog-baby-bodysuit-custom?transaction_id=4877204285"/>
    <s v="Sage Green"/>
    <s v="Sage Green"/>
    <s v=" 0-3M (short-sleeve)"/>
    <s v="United States"/>
    <s v="Romper Short"/>
    <n v="3"/>
    <n v="11"/>
    <s v="Easter"/>
    <s v="0-3"/>
    <x v="13"/>
    <m/>
  </r>
  <r>
    <d v="2026-03-14T00:00:00"/>
    <s v="https://www.etsy.com/ca/listing/4336902854/personalized-football-baby-romper-daddys?transaction_id=4877587813"/>
    <s v="Cream"/>
    <s v="Cream"/>
    <s v=" 3-6M (long-sleeve)"/>
    <s v="United States"/>
    <s v="Romper Longer"/>
    <n v="3"/>
    <n v="11"/>
    <s v="Easter"/>
    <s v="3-6"/>
    <x v="1"/>
    <m/>
  </r>
  <r>
    <d v="2026-03-15T00:00:00"/>
    <s v="https://www.etsy.com/ca/listing/4392932100/born-to-ride-with-my-daddy-embroidered?transaction_id=4877624189"/>
    <s v="Caldet Blue"/>
    <s v="Caldet Blue"/>
    <s v="12-18M (long-sleeve)"/>
    <s v="United States"/>
    <s v="Romper Longer"/>
    <n v="3"/>
    <n v="12"/>
    <s v="Easter"/>
    <s v="12-18"/>
    <x v="60"/>
    <m/>
  </r>
  <r>
    <d v="2026-03-16T00:00:00"/>
    <s v="https://www.etsy.com/ca/listing/4330488178/embroidered-golf-baby-romper-new-to-the?transaction_id=4877726859"/>
    <s v="Cream"/>
    <s v="Cream"/>
    <s v=" 3-6M (long-sleeve)"/>
    <s v="United States"/>
    <s v="Romper Longer"/>
    <n v="3"/>
    <n v="12"/>
    <s v="Easter"/>
    <s v="3-6"/>
    <x v="1"/>
    <m/>
  </r>
  <r>
    <d v="2026-03-17T00:00:00"/>
    <s v="https://www.etsy.com/ca/listing/4392962015/cant-wait-to-jam-with-daddy-embroidered?transaction_id=4877860395"/>
    <s v="Caldet Blue"/>
    <s v="Caldet Blue"/>
    <s v=" 6-12M (long-sleeve)"/>
    <s v="United States"/>
    <s v="Romper Longer"/>
    <n v="3"/>
    <n v="12"/>
    <s v="Easter"/>
    <s v="6-12"/>
    <x v="25"/>
    <m/>
  </r>
  <r>
    <d v="2026-03-18T00:00:00"/>
    <s v="https://www.etsy.com/ca/listing/4392962015/cant-wait-to-jam-with-daddy-embroidered?transaction_id=4863851092"/>
    <s v="Cream"/>
    <s v="Cream"/>
    <s v=" 3-6M (long-sleeve)"/>
    <s v="United States"/>
    <s v="Romper Longer"/>
    <n v="3"/>
    <n v="12"/>
    <s v="Easter"/>
    <s v="3-6"/>
    <x v="1"/>
    <m/>
  </r>
  <r>
    <d v="2026-03-19T00:00:00"/>
    <s v="https://www.etsy.com/ca/listing/4376389783/player-2-baby-romper-gamer-baby-outfit?transaction_id=4864072152"/>
    <s v="Caldet Blue"/>
    <s v="Caldet Blue"/>
    <s v="18-24M (short-sleeve)"/>
    <s v="United States"/>
    <s v="Romper Short"/>
    <n v="3"/>
    <n v="12"/>
    <s v="Easter"/>
    <s v="18-24"/>
    <x v="101"/>
    <m/>
  </r>
  <r>
    <d v="2026-03-20T00:00:00"/>
    <s v="https://www.etsy.com/ca/listing/4376389783/player-2-baby-romper-gamer-baby-outfit?transaction_id=4864072150"/>
    <s v="Cream"/>
    <s v="Cream"/>
    <s v="3-6M (short-sleeve)"/>
    <s v="United States"/>
    <s v="Romper Short"/>
    <n v="3"/>
    <n v="12"/>
    <s v="Easter"/>
    <s v="3-6"/>
    <x v="0"/>
    <m/>
  </r>
  <r>
    <d v="2026-03-21T00:00:00"/>
    <s v="https://www.etsy.com/ca/listing/4376399899/the-littlest-book-club-member-baby?transaction_id=4879156403"/>
    <s v="Dusty Pink"/>
    <s v="Dusty Pink"/>
    <s v=" 3-6M (long-sleeve)"/>
    <s v="United States"/>
    <s v="Romper Longer"/>
    <n v="3"/>
    <n v="12"/>
    <s v="Easter"/>
    <s v="3-6"/>
    <x v="8"/>
    <m/>
  </r>
  <r>
    <d v="2026-03-22T00:00:00"/>
    <s v="https://www.etsy.com/ca/listing/4371125103/personalized-dog-baby-bodysuit-custom?transaction_id=4864361708"/>
    <s v="Cream"/>
    <s v="Cream"/>
    <s v=" 3-6M (long-sleeve)"/>
    <s v="United States"/>
    <s v="Romper Longer"/>
    <n v="3"/>
    <n v="13"/>
    <s v="Easter"/>
    <s v="3-6"/>
    <x v="1"/>
    <m/>
  </r>
  <r>
    <d v="2026-03-23T00:00:00"/>
    <s v="https://www.etsy.com/ca/listing/4330463387/embroidered-baby-romper-relax-mommy-is-a?transaction_id=4879318535"/>
    <s v="Dusty Pink"/>
    <s v="Dusty Pink"/>
    <s v=" 3-6M (long-sleeve)"/>
    <s v="United States"/>
    <s v="Romper Longer"/>
    <n v="3"/>
    <n v="13"/>
    <s v="Easter"/>
    <s v="3-6"/>
    <x v="8"/>
    <m/>
  </r>
  <r>
    <d v="2026-03-24T00:00:00"/>
    <s v="https://www.etsy.com/ca/listing/4376399899/the-littlest-book-club-member-baby?transaction_id=4864549578"/>
    <s v="Cream"/>
    <s v="Cream"/>
    <s v=" 3-6M (long-sleeve)"/>
    <s v="United States"/>
    <s v="Romper Longer"/>
    <n v="3"/>
    <n v="13"/>
    <s v="Easter"/>
    <s v="3-6"/>
    <x v="1"/>
    <m/>
  </r>
  <r>
    <d v="2026-03-25T00:00:00"/>
    <s v="https://www.etsy.com/ca/listing/4392929794/little-latke-embroidered-romper-hanukkah?transaction_id=4879736441"/>
    <s v="Caldet Blue"/>
    <s v="Caldet Blue"/>
    <s v=" 6-12M (long-sleeve)"/>
    <s v="United States"/>
    <s v="Romper Longer"/>
    <n v="3"/>
    <n v="13"/>
    <s v="Easter"/>
    <s v="6-12"/>
    <x v="25"/>
    <m/>
  </r>
  <r>
    <d v="2026-03-26T00:00:00"/>
    <s v="https://www.etsy.com/ca/listing/4344231895/embroidered-baby-romper-shhh-im-reading?transaction_id=4879826921"/>
    <s v="Cream"/>
    <s v="Cream"/>
    <s v=" 0-3M (long-sleeve)"/>
    <s v="United States"/>
    <s v="Romper Longer"/>
    <n v="3"/>
    <n v="13"/>
    <s v="Easter"/>
    <s v="0-3"/>
    <x v="2"/>
    <m/>
  </r>
  <r>
    <d v="2026-03-27T00:00:00"/>
    <s v="https://www.etsy.com/ca/listing/4392936921/apparently-i-like-golf-embroidered?transaction_id=4864903980"/>
    <s v="Cream"/>
    <s v="Cream"/>
    <s v=" 0-3M (long-sleeve)"/>
    <s v="United States"/>
    <s v="Romper Longer"/>
    <n v="3"/>
    <n v="13"/>
    <s v="Easter"/>
    <s v="0-3"/>
    <x v="2"/>
    <m/>
  </r>
  <r>
    <d v="2026-03-28T00:00:00"/>
    <s v="https://www.etsy.com/ca/listing/4376389783/player-2-baby-romper-gamer-baby-outfit?transaction_id=4880351691"/>
    <s v="Sage Green"/>
    <s v="Sage Green"/>
    <s v=" 3-6M (long-sleeve)"/>
    <s v="United States"/>
    <s v="Romper Longer"/>
    <n v="3"/>
    <n v="13"/>
    <s v="Easter"/>
    <s v="3-6"/>
    <x v="7"/>
    <m/>
  </r>
  <r>
    <d v="2026-03-29T00:00:00"/>
    <s v="https://www.etsy.com/ca/listing/4351827687/handsome-just-like-daddy-baby-romper?transaction_id=4865442062"/>
    <s v="Caldet Blue"/>
    <s v="Caldet Blue"/>
    <s v="3-6M (short-sleeve)"/>
    <s v="United States"/>
    <s v="Romper Short"/>
    <n v="3"/>
    <n v="14"/>
    <s v="Easter"/>
    <s v="3-6"/>
    <x v="29"/>
    <m/>
  </r>
  <r>
    <d v="2026-03-30T00:00:00"/>
    <s v="https://www.etsy.com/ca/listing/4330474831/embroidered-hedgehog-baby-bodysuit?transaction_id=4865583132"/>
    <s v="Caldet Blue"/>
    <s v="Caldet Blue"/>
    <s v=" 0-3M (long-sleeve)"/>
    <s v="United States"/>
    <s v="Romper Longer"/>
    <n v="3"/>
    <n v="14"/>
    <s v="Easter"/>
    <s v="0-3"/>
    <x v="9"/>
    <m/>
  </r>
  <r>
    <d v="2026-03-31T00:00:00"/>
    <s v="https://www.etsy.com/ca/listing/4371125103/personalized-dog-baby-bodysuit-custom?transaction_id=4880796203"/>
    <s v="Cream"/>
    <s v="Cream"/>
    <s v=" 3-6M (long-sleeve)"/>
    <s v="United States"/>
    <s v="Romper Longer"/>
    <n v="3"/>
    <n v="14"/>
    <s v="Easter"/>
    <s v="3-6"/>
    <x v="1"/>
    <m/>
  </r>
  <r>
    <d v="2026-04-01T00:00:00"/>
    <s v="https://www.etsy.com/ca/listing/4330488178/embroidered-golf-baby-romper-new-to-the?transaction_id=4880953625"/>
    <s v="Cream"/>
    <s v="Cream"/>
    <s v=" 3-6M (long-sleeve)"/>
    <s v="United States"/>
    <s v="Romper Longer"/>
    <n v="4"/>
    <n v="14"/>
    <s v="Easter"/>
    <s v="3-6"/>
    <x v="1"/>
    <m/>
  </r>
  <r>
    <d v="2026-04-02T00:00:00"/>
    <s v="https://www.etsy.com/ca/listing/4392929794/little-latke-embroidered-romper-hanukkah?transaction_id=4881090023"/>
    <s v="Dusty Pink"/>
    <s v="Dusty Pink"/>
    <s v=" 3-6M (long-sleeve)"/>
    <s v="United States"/>
    <s v="Romper Longer"/>
    <n v="4"/>
    <n v="14"/>
    <s v="Easter"/>
    <s v="3-6"/>
    <x v="8"/>
    <m/>
  </r>
  <r>
    <d v="2026-04-03T00:00:00"/>
    <s v="https://www.etsy.com/ca/listing/4347880114/funny-baby-romper-sorry-i-tooted-outfit?transaction_id=4865989084"/>
    <s v="Sage Green"/>
    <s v="Sage Green"/>
    <s v="3-6M (short-sleeve)"/>
    <s v="United States"/>
    <s v="Romper Short"/>
    <n v="4"/>
    <n v="14"/>
    <s v="Easter"/>
    <s v="3-6"/>
    <x v="24"/>
    <m/>
  </r>
  <r>
    <d v="2026-04-04T00:00:00"/>
    <s v="https://www.etsy.com/ca/listing/4346126111/promoted-to-big-brother-romper?transaction_id=4866616984"/>
    <s v="White"/>
    <s v="White"/>
    <s v="18-24M (short-sleeve)"/>
    <s v="United States"/>
    <s v="Romper Short"/>
    <n v="4"/>
    <n v="14"/>
    <s v="Easter"/>
    <s v="18-24"/>
    <x v="43"/>
    <m/>
  </r>
  <r>
    <d v="2026-04-05T00:00:00"/>
    <s v="https://www.etsy.com/ca/listing/4379194627/new-to-the-farm-embroidered-romper-baby?transaction_id=4866845154"/>
    <s v="Sage Green"/>
    <s v="Sage Green"/>
    <s v=" 3-6M (long-sleeve)"/>
    <s v="United States"/>
    <s v="Romper Longer"/>
    <n v="4"/>
    <n v="15"/>
    <s v="Easter"/>
    <s v="3-6"/>
    <x v="7"/>
    <m/>
  </r>
  <r>
    <d v="2026-04-06T00:00:00"/>
    <s v="https://www.etsy.com/ca/listing/4330488178/embroidered-golf-baby-romper-new-to-the?transaction_id=4867118654"/>
    <s v="Sage Green"/>
    <s v="Sage Green"/>
    <s v=" 0-3M (short-sleeve)"/>
    <s v="United States"/>
    <s v="Romper Short"/>
    <n v="4"/>
    <n v="15"/>
    <s v="Easter"/>
    <s v="0-3"/>
    <x v="13"/>
    <m/>
  </r>
  <r>
    <d v="2026-04-07T00:00:00"/>
    <s v="https://www.etsy.com/ca/listing/4392925828/hello-grandma-embroidered-romper-i-cant?transaction_id=4882809817"/>
    <s v="Cream"/>
    <s v="Cream"/>
    <s v=" 6-12M (long-sleeve)"/>
    <s v="United States"/>
    <s v="Romper Longer"/>
    <n v="4"/>
    <n v="15"/>
    <s v="Easter"/>
    <s v="6-12"/>
    <x v="17"/>
    <m/>
  </r>
  <r>
    <d v="2026-04-08T00:00:00"/>
    <s v="https://www.etsy.com/ca/listing/4336907597/custom-running-baby-romper-daddys-future?transaction_id=4882928621"/>
    <s v="Cream"/>
    <s v="Cream"/>
    <s v=" 0-3M (short-sleeve)"/>
    <s v="United States"/>
    <s v="Romper Short"/>
    <n v="4"/>
    <n v="15"/>
    <s v="Easter"/>
    <s v="0-3"/>
    <x v="15"/>
    <m/>
  </r>
  <r>
    <d v="2026-04-09T00:00:00"/>
    <s v="https://www.etsy.com/ca/listing/4392962015/cant-wait-to-jam-with-daddy-embroidered?transaction_id=4867693284"/>
    <s v="Cream"/>
    <s v="Cream"/>
    <s v=" 0-3M (short-sleeve)"/>
    <s v="United States"/>
    <s v="Romper Short"/>
    <n v="4"/>
    <n v="15"/>
    <s v="Easter"/>
    <s v="0-3"/>
    <x v="15"/>
    <m/>
  </r>
  <r>
    <d v="2026-04-10T00:00:00"/>
    <s v="https://www.etsy.com/ca/listing/4376399899/the-littlest-book-club-member-baby?transaction_id=4867740288"/>
    <s v="Sage Green"/>
    <s v="Sage Green"/>
    <s v="6-12M (short-sleeve)"/>
    <s v="United States"/>
    <s v="Romper Short"/>
    <n v="4"/>
    <n v="15"/>
    <s v="Easter"/>
    <s v="6-12"/>
    <x v="19"/>
    <m/>
  </r>
  <r>
    <d v="2026-04-11T00:00:00"/>
    <s v="https://www.etsy.com/ca/listing/4330488178/embroidered-golf-baby-romper-new-to-the?transaction_id=4883214617"/>
    <s v="Dusty Pink"/>
    <s v="Dusty Pink"/>
    <s v=" 0-3M (short-sleeve)"/>
    <s v="United States"/>
    <s v="Romper Short"/>
    <n v="4"/>
    <n v="15"/>
    <s v="Easter"/>
    <s v="0-3"/>
    <x v="34"/>
    <m/>
  </r>
  <r>
    <d v="2026-04-12T00:00:00"/>
    <s v="https://www.etsy.com/ca/listing/4346126210/daddys-future-lifting-buddy-romper-baby?transaction_id=4883481447"/>
    <s v="Dusty Pink"/>
    <s v="Dusty Pink"/>
    <s v="6-12M (short-sleeve)"/>
    <s v="United States"/>
    <s v="Romper Short"/>
    <n v="4"/>
    <n v="16"/>
    <s v="Easter"/>
    <s v="6-12"/>
    <x v="35"/>
    <m/>
  </r>
  <r>
    <d v="2026-04-13T00:00:00"/>
    <s v="https://www.etsy.com/ca/listing/4392929794/little-latke-embroidered-romper-hanukkah?transaction_id=4868023350"/>
    <s v="Cream"/>
    <s v="Cream"/>
    <s v=" 0-3M (long-sleeve)"/>
    <s v="United States"/>
    <s v="Romper Longer"/>
    <n v="4"/>
    <n v="16"/>
    <s v="Easter"/>
    <s v="0-3"/>
    <x v="2"/>
    <m/>
  </r>
  <r>
    <d v="2026-04-14T00:00:00"/>
    <s v="https://www.etsy.com/ca/listing/4371125103/personalized-dog-baby-bodysuit-custom?transaction_id=4883723607"/>
    <s v="Cream"/>
    <s v="Cream"/>
    <s v="3-6M (short-sleeve)"/>
    <s v="United States"/>
    <s v="Romper Short"/>
    <n v="4"/>
    <n v="16"/>
    <s v="Easter"/>
    <s v="3-6"/>
    <x v="0"/>
    <m/>
  </r>
  <r>
    <d v="2026-04-15T00:00:00"/>
    <s v="https://www.etsy.com/ca/listing/4371125103/personalized-dog-baby-bodysuit-custom?transaction_id=4868178848"/>
    <s v="Coffee"/>
    <s v="Coffee"/>
    <s v=" 3-6M (long-sleeve)"/>
    <s v="United States"/>
    <s v="Romper Longer"/>
    <n v="4"/>
    <n v="16"/>
    <s v="Easter"/>
    <s v="3-6"/>
    <x v="12"/>
    <m/>
  </r>
  <r>
    <d v="2026-04-16T00:00:00"/>
    <s v="https://www.etsy.com/ca/listing/4369764524/embroidered-snowman-baby-romper?transaction_id=4868233832"/>
    <s v="Cream"/>
    <s v="Cream"/>
    <s v=" 3-6M (long-sleeve)"/>
    <s v="United States"/>
    <s v="Romper Longer"/>
    <n v="4"/>
    <n v="16"/>
    <s v="Easter"/>
    <s v="3-6"/>
    <x v="1"/>
    <m/>
  </r>
  <r>
    <d v="2026-04-17T00:00:00"/>
    <s v="https://www.etsy.com/ca/listing/4392932100/born-to-ride-with-my-daddy-embroidered?transaction_id=4868299602"/>
    <s v="Salmon"/>
    <s v="Salmon"/>
    <s v=" 3-6M (long-sleeve)"/>
    <s v="United States"/>
    <s v="Romper Longer"/>
    <n v="4"/>
    <n v="16"/>
    <s v="Easter"/>
    <s v="3-6"/>
    <x v="49"/>
    <m/>
  </r>
  <r>
    <d v="2026-04-18T00:00:00"/>
    <s v="https://www.etsy.com/ca/listing/4371125103/personalized-dog-baby-bodysuit-custom?transaction_id=4884033693"/>
    <s v="Sage Green"/>
    <s v="Sage Green"/>
    <s v=" 3-6M (long-sleeve)"/>
    <s v="United States"/>
    <s v="Romper Longer"/>
    <n v="4"/>
    <n v="16"/>
    <s v="Easter"/>
    <s v="3-6"/>
    <x v="7"/>
    <m/>
  </r>
  <r>
    <d v="2026-04-19T00:00:00"/>
    <s v="https://www.etsy.com/ca/listing/4330488178/embroidered-golf-baby-romper-new-to-the?transaction_id=4868522066"/>
    <s v="Cream"/>
    <s v="Cream"/>
    <s v=" 3-6M (long-sleeve)"/>
    <s v="United States"/>
    <s v="Romper Longer"/>
    <n v="4"/>
    <n v="17"/>
    <s v="Easter"/>
    <s v="3-6"/>
    <x v="1"/>
    <m/>
  </r>
  <r>
    <d v="2026-04-20T00:00:00"/>
    <s v="https://www.etsy.com/ca/listing/4330488178/embroidered-golf-baby-romper-new-to-the?transaction_id=4868568236"/>
    <s v="Sage Green"/>
    <s v="Sage Green"/>
    <s v="6-12M (short-sleeve)"/>
    <s v="United States"/>
    <s v="Romper Short"/>
    <n v="4"/>
    <n v="17"/>
    <s v="Easter"/>
    <s v="6-12"/>
    <x v="19"/>
    <m/>
  </r>
  <r>
    <d v="2026-04-21T00:00:00"/>
    <s v="https://www.etsy.com/ca/listing/4392929794/little-latke-embroidered-romper-hanukkah?transaction_id=4884267909"/>
    <s v="White"/>
    <s v="White"/>
    <s v="3-6M (short-sleeve)"/>
    <s v="United States"/>
    <s v="Romper Short"/>
    <n v="4"/>
    <n v="17"/>
    <s v="Easter"/>
    <s v="3-6"/>
    <x v="69"/>
    <m/>
  </r>
  <r>
    <d v="2026-04-22T00:00:00"/>
    <s v="https://www.etsy.com/ca/listing/4392935796/box-box-for-fresh-diapers-embroidered?transaction_id=4884573003"/>
    <s v="Dusty Pink"/>
    <s v="Dusty Pink"/>
    <s v="3-6M (short-sleeve)"/>
    <s v="United States"/>
    <s v="Romper Short"/>
    <n v="4"/>
    <n v="17"/>
    <s v="Easter"/>
    <s v="3-6"/>
    <x v="31"/>
    <m/>
  </r>
  <r>
    <d v="2026-04-23T00:00:00"/>
    <s v="https://www.etsy.com/ca/listing/4330488178/embroidered-golf-baby-romper-new-to-the?transaction_id=4868970124"/>
    <s v="Cream"/>
    <s v="Cream"/>
    <s v=" 0-3M (long-sleeve)"/>
    <s v="United States"/>
    <s v="Romper Longer"/>
    <n v="4"/>
    <n v="17"/>
    <s v="Easter"/>
    <s v="0-3"/>
    <x v="2"/>
    <m/>
  </r>
  <r>
    <d v="2026-04-24T00:00:00"/>
    <s v="https://www.etsy.com/ca/listing/4379194627/new-to-the-farm-embroidered-romper-baby?transaction_id=4869001342"/>
    <s v="Cream"/>
    <s v="Cream"/>
    <s v=" 0-3M (short-sleeve)"/>
    <s v="United States"/>
    <s v="Romper Short"/>
    <n v="4"/>
    <n v="17"/>
    <s v="Easter"/>
    <s v="0-3"/>
    <x v="15"/>
    <m/>
  </r>
  <r>
    <d v="2026-04-25T00:00:00"/>
    <s v="https://www.etsy.com/ca/listing/4392929794/little-latke-embroidered-romper-hanukkah?transaction_id=4884810191"/>
    <s v="Cream"/>
    <s v="Cream"/>
    <s v="12-18M (long-sleeve)"/>
    <s v="United States"/>
    <s v="Romper Longer"/>
    <n v="4"/>
    <n v="17"/>
    <s v="Easter"/>
    <s v="12-18"/>
    <x v="53"/>
    <m/>
  </r>
  <r>
    <d v="2026-04-26T00:00:00"/>
    <s v="https://www.etsy.com/ca/listing/4371125103/personalized-dog-baby-bodysuit-custom?transaction_id=4869103322"/>
    <s v="Caldet Blue"/>
    <s v="Caldet Blue"/>
    <s v=" 0-3M (long-sleeve)"/>
    <s v="United States"/>
    <s v="Romper Longer"/>
    <n v="4"/>
    <n v="18"/>
    <s v="Easter"/>
    <s v="0-3"/>
    <x v="9"/>
    <m/>
  </r>
  <r>
    <d v="2026-04-27T00:00:00"/>
    <s v="https://www.etsy.com/ca/listing/4392935796/box-box-for-fresh-diapers-embroidered?transaction_id=4842776271"/>
    <s v="Mauve Taupe"/>
    <s v="Mauve Taupe"/>
    <s v=" 6-12M (long-sleeve)"/>
    <s v="United States"/>
    <s v="Romper Longer"/>
    <n v="4"/>
    <n v="18"/>
    <s v="Easter"/>
    <s v="6-12"/>
    <x v="85"/>
    <m/>
  </r>
  <r>
    <d v="2026-04-28T00:00:00"/>
    <s v="https://www.etsy.com/ca/listing/4347269351/captain-crabby-baby-romper-funny-crab?ref=shop_home_active_35&amp;logging_key=2d6b1dd046c252e1bcf9e20ad9add27dd3f263c7%3A4347269351"/>
    <s v="Dusty Pink"/>
    <s v="Dusty Pink"/>
    <s v=" 6-12M (long-sleeve)"/>
    <s v="United States"/>
    <s v="Romper Longer"/>
    <n v="4"/>
    <n v="18"/>
    <s v="Easter"/>
    <s v="6-12"/>
    <x v="51"/>
    <m/>
  </r>
  <r>
    <d v="2026-04-29T00:00:00"/>
    <s v="https://www.etsy.com/ca/listing/4392929794/little-latke-embroidered-romper-hanukkah?transaction_id=4885168883"/>
    <s v="Mauve Taupe"/>
    <s v="Mauve Taupe"/>
    <s v=" 0-3M (long-sleeve)"/>
    <s v="United States"/>
    <s v="Romper Longer"/>
    <n v="4"/>
    <n v="18"/>
    <s v="Easter"/>
    <s v="0-3"/>
    <x v="40"/>
    <m/>
  </r>
  <r>
    <d v="2026-04-30T00:00:00"/>
    <s v="https://www.etsy.com/ca/listing/4376389783/player-2-baby-romper-gamer-baby-outfit?transaction_id=4869473898"/>
    <s v="Forest Green"/>
    <s v="Forest Green"/>
    <s v="3-6M (short-sleeve)"/>
    <s v="United States"/>
    <s v="Romper Short"/>
    <n v="4"/>
    <n v="18"/>
    <s v="Easter"/>
    <s v="3-6"/>
    <x v="6"/>
    <m/>
  </r>
  <r>
    <d v="2026-05-01T00:00:00"/>
    <s v="https://www.etsy.com/ca/listing/4352935112/custom-baby-romper-personalized-newborn?transaction_id=4869476468"/>
    <s v="Cream"/>
    <s v="Cream"/>
    <s v=" 6-12M (long-sleeve)"/>
    <s v="United States"/>
    <s v="Romper Longer"/>
    <n v="5"/>
    <n v="18"/>
    <s v="MothersDay"/>
    <s v="6-12"/>
    <x v="17"/>
    <m/>
  </r>
  <r>
    <d v="2026-05-02T00:00:00"/>
    <s v="https://www.etsy.com/ca/listing/4371125103/personalized-dog-baby-bodysuit-custom?transaction_id=4885841149"/>
    <s v="Cream"/>
    <s v="Cream"/>
    <s v="12-18M (long-sleeve)"/>
    <s v="United States"/>
    <s v="Romper Longer"/>
    <n v="5"/>
    <n v="18"/>
    <s v="MothersDay"/>
    <s v="12-18"/>
    <x v="53"/>
    <m/>
  </r>
  <r>
    <d v="2026-05-03T00:00:00"/>
    <s v="https://www.etsy.com/ca/listing/4392929794/little-latke-embroidered-romper-hanukkah?transaction_id=4885938271"/>
    <s v="Coffee"/>
    <s v="Coffee"/>
    <s v="6-12M (short-sleeve)"/>
    <s v="United States"/>
    <s v="Romper Short"/>
    <n v="5"/>
    <n v="19"/>
    <s v="MothersDay"/>
    <s v="6-12"/>
    <x v="64"/>
    <m/>
  </r>
  <r>
    <d v="2026-05-04T00:00:00"/>
    <s v="https://www.etsy.com/ca/listing/4392929794/little-latke-embroidered-romper-hanukkah?transaction_id=4886143393"/>
    <s v="Cream"/>
    <s v="Cream"/>
    <s v="18-24M (long-sleeve)"/>
    <s v="United States"/>
    <s v="Romper Longer"/>
    <n v="5"/>
    <n v="19"/>
    <s v="MothersDay"/>
    <s v="18-24"/>
    <x v="55"/>
    <m/>
  </r>
  <r>
    <d v="2026-05-05T00:00:00"/>
    <s v="https://www.etsy.com/ca/listing/4376399899/the-littlest-book-club-member-baby?transaction_id=4870302272"/>
    <s v="Sage Green"/>
    <s v="Sage Green"/>
    <s v=" 6-12M (long-sleeve)"/>
    <s v="United States"/>
    <s v="Romper Longer"/>
    <n v="5"/>
    <n v="19"/>
    <s v="MothersDay"/>
    <s v="6-12"/>
    <x v="3"/>
    <m/>
  </r>
  <r>
    <d v="2026-05-06T00:00:00"/>
    <s v="https://www.etsy.com/ca/listing/4346126210/daddys-future-lifting-buddy-romper-baby?transaction_id=4886310337"/>
    <s v="Cream"/>
    <s v="Cream"/>
    <s v=" 0-3M (long-sleeve)"/>
    <s v="United States"/>
    <s v="Romper Longer"/>
    <n v="5"/>
    <n v="19"/>
    <s v="MothersDay"/>
    <s v="0-3"/>
    <x v="2"/>
    <m/>
  </r>
  <r>
    <d v="2026-05-07T00:00:00"/>
    <s v="https://www.etsy.com/ca/listing/4347260564/football-baby-romper-game-day-baby?transaction_id=4870413456"/>
    <s v="Cream"/>
    <s v="Cream"/>
    <s v=" 6-12M (long-sleeve)"/>
    <s v="United States"/>
    <s v="Romper Longer"/>
    <n v="5"/>
    <n v="19"/>
    <s v="MothersDay"/>
    <s v="6-12"/>
    <x v="17"/>
    <m/>
  </r>
  <r>
    <d v="2026-05-08T00:00:00"/>
    <s v="https://www.etsy.com/ca/listing/4376389783/player-2-baby-romper-gamer-baby-outfit?transaction_id=4870526656"/>
    <s v="Sage Green"/>
    <s v="Sage Green"/>
    <s v=" 0-3M (long-sleeve)"/>
    <s v="United States"/>
    <s v="Romper Longer"/>
    <n v="5"/>
    <n v="19"/>
    <s v="MothersDay"/>
    <s v="0-3"/>
    <x v="5"/>
    <m/>
  </r>
  <r>
    <d v="2026-05-09T00:00:00"/>
    <s v="https://www.etsy.com/ca/listing/4371125103/personalized-dog-baby-bodysuit-custom?transaction_id=4870556756"/>
    <s v="Cream"/>
    <s v="Cream"/>
    <s v=" 0-3M (short-sleeve)"/>
    <s v="United States"/>
    <s v="Romper Short"/>
    <n v="5"/>
    <n v="19"/>
    <s v="MothersDay"/>
    <s v="0-3"/>
    <x v="15"/>
    <m/>
  </r>
  <r>
    <d v="2026-05-10T00:00:00"/>
    <s v="https://www.etsy.com/ca/listing/4371125103/personalized-dog-baby-bodysuit-custom?transaction_id=4870677830"/>
    <s v="Cream"/>
    <s v="Cream"/>
    <s v=" 0-3M (short-sleeve)"/>
    <s v="United States"/>
    <s v="Romper Short"/>
    <n v="5"/>
    <n v="20"/>
    <s v="MothersDay"/>
    <s v="0-3"/>
    <x v="15"/>
    <m/>
  </r>
  <r>
    <d v="2026-05-11T00:00:00"/>
    <s v="https://www.etsy.com/ca/listing/4376399899/the-littlest-book-club-member-baby?transaction_id=4886765487"/>
    <s v="Sage Green"/>
    <s v="Sage Green"/>
    <s v=" 0-3M (long-sleeve)"/>
    <s v="United States"/>
    <s v="Romper Longer"/>
    <n v="5"/>
    <n v="20"/>
    <s v="MothersDay"/>
    <s v="0-3"/>
    <x v="5"/>
    <m/>
  </r>
  <r>
    <d v="2026-05-12T00:00:00"/>
    <s v="https://www.etsy.com/ca/listing/4392962015/cant-wait-to-jam-with-daddy-embroidered?transaction_id=4886789511"/>
    <s v="Cream"/>
    <s v="Cream"/>
    <s v="3-6M (short-sleeve)"/>
    <s v="United States"/>
    <s v="Romper Short"/>
    <n v="5"/>
    <n v="20"/>
    <s v="MothersDay"/>
    <s v="3-6"/>
    <x v="0"/>
    <m/>
  </r>
  <r>
    <d v="2026-05-13T00:00:00"/>
    <s v="https://www.etsy.com/ca/listing/4330488178/embroidered-golf-baby-romper-new-to-the?transaction_id=4871225708"/>
    <s v="Cream"/>
    <s v="Cream"/>
    <s v=" 0-3M (long-sleeve)"/>
    <s v="United States"/>
    <s v="Romper Longer"/>
    <n v="5"/>
    <n v="20"/>
    <s v="MothersDay"/>
    <s v="0-3"/>
    <x v="2"/>
    <m/>
  </r>
  <r>
    <d v="2026-05-14T00:00:00"/>
    <s v="https://www.etsy.com/ca/listing/4330485404/cat-face-embroidered-baby-romper-funny?transaction_id=4887620565"/>
    <s v="Sage Green"/>
    <s v="Sage Green"/>
    <s v="12-18M (long-sleeve)"/>
    <s v="United States"/>
    <s v="Romper Longer"/>
    <n v="5"/>
    <n v="20"/>
    <s v="MothersDay"/>
    <s v="12-18"/>
    <x v="22"/>
    <m/>
  </r>
  <r>
    <d v="2026-05-15T00:00:00"/>
    <s v="https://www.etsy.com/ca/listing/4392935796/box-box-for-fresh-diapers-embroidered?transaction_id=4871666476"/>
    <s v="Cream"/>
    <s v="Cream"/>
    <s v=" 0-3M (short-sleeve)"/>
    <s v="United States"/>
    <s v="Romper Short"/>
    <n v="5"/>
    <n v="20"/>
    <s v="MothersDay"/>
    <s v="0-3"/>
    <x v="15"/>
    <m/>
  </r>
  <r>
    <d v="2026-05-16T00:00:00"/>
    <s v="https://www.etsy.com/ca/listing/4392935796/box-box-for-fresh-diapers-embroidered?transaction_id=4872041714"/>
    <s v="Mauve Taupe"/>
    <s v="Mauve Taupe"/>
    <s v=" 3-6M (long-sleeve)"/>
    <s v="United States"/>
    <s v="Romper Longer"/>
    <n v="5"/>
    <n v="20"/>
    <s v="MothersDay"/>
    <s v="3-6"/>
    <x v="10"/>
    <m/>
  </r>
  <r>
    <d v="2026-05-17T00:00:00"/>
    <s v="https://www.etsy.com/ca/listing/4346126210/daddys-future-lifting-buddy-romper-baby?transaction_id=4872236786"/>
    <s v="Dusty Pink"/>
    <s v="Dusty Pink"/>
    <s v=" 0-3M (long-sleeve)"/>
    <s v="United States"/>
    <s v="Romper Longer"/>
    <n v="5"/>
    <n v="21"/>
    <s v="MothersDay"/>
    <s v="0-3"/>
    <x v="45"/>
    <m/>
  </r>
  <r>
    <d v="2026-05-18T00:00:00"/>
    <s v="https://www.etsy.com/ca/listing/4392936921/apparently-i-like-golf-embroidered?transaction_id=4888365865"/>
    <s v="Cream"/>
    <s v="Cream"/>
    <s v=" 3-6M (long-sleeve)"/>
    <s v="United States"/>
    <s v="Romper Longer"/>
    <n v="5"/>
    <n v="21"/>
    <s v="MothersDay"/>
    <s v="3-6"/>
    <x v="1"/>
    <m/>
  </r>
  <r>
    <d v="2026-05-19T00:00:00"/>
    <s v="https://www.etsy.com/ca/listing/4376399899/the-littlest-book-club-member-baby?transaction_id=4888369577"/>
    <s v="Cream"/>
    <s v="Cream"/>
    <s v=" 0-3M (long-sleeve)"/>
    <s v="United States"/>
    <s v="Romper Longer"/>
    <n v="5"/>
    <n v="21"/>
    <s v="MothersDay"/>
    <s v="0-3"/>
    <x v="2"/>
    <m/>
  </r>
  <r>
    <d v="2026-05-20T00:00:00"/>
    <s v="https://www.etsy.com/ca/listing/4392935796/box-box-for-fresh-diapers-embroidered?transaction_id=4872346382"/>
    <s v="Sage Green"/>
    <s v="Sage Green"/>
    <s v=" 0-3M (long-sleeve)"/>
    <s v="United States"/>
    <s v="Romper Longer"/>
    <n v="5"/>
    <n v="21"/>
    <s v="MothersDay"/>
    <s v="0-3"/>
    <x v="5"/>
    <m/>
  </r>
  <r>
    <d v="2026-05-21T00:00:00"/>
    <s v="https://www.etsy.com/ca/listing/4376389783/player-2-baby-romper-gamer-baby-outfit?transaction_id=4872439302"/>
    <s v="Dusty Pink"/>
    <s v="Dusty Pink"/>
    <s v=" 3-6M (long-sleeve)"/>
    <s v="United States"/>
    <s v="Romper Longer"/>
    <n v="5"/>
    <n v="21"/>
    <s v="MothersDay"/>
    <s v="3-6"/>
    <x v="8"/>
    <m/>
  </r>
  <r>
    <d v="2026-05-22T00:00:00"/>
    <s v="https://www.etsy.com/ca/listing/4392929794/little-latke-embroidered-romper-hanukkah?transaction_id=4872441642"/>
    <s v="Cream"/>
    <s v="Cream"/>
    <s v="12-18M (short-sleeve)"/>
    <s v="United States"/>
    <s v="Romper Short"/>
    <n v="5"/>
    <n v="21"/>
    <s v="MothersDay"/>
    <s v="12-18"/>
    <x v="26"/>
    <m/>
  </r>
  <r>
    <d v="2026-05-23T00:00:00"/>
    <s v="https://www.etsy.com/ca/listing/4371125103/personalized-dog-baby-bodysuit-custom?transaction_id=4872470220"/>
    <s v="Cream"/>
    <s v="Cream"/>
    <s v=" 6-12M (long-sleeve)"/>
    <s v="United States"/>
    <s v="Romper Longer"/>
    <n v="5"/>
    <n v="21"/>
    <s v="MothersDay"/>
    <s v="6-12"/>
    <x v="17"/>
    <m/>
  </r>
  <r>
    <d v="2026-05-24T00:00:00"/>
    <s v="https://www.etsy.com/ca/listing/4346126210/daddys-future-lifting-buddy-romper-baby?transaction_id=4888651819"/>
    <s v="Watermelon"/>
    <s v="Watermelon"/>
    <s v=" 0-3M (long-sleeve)"/>
    <s v="United States"/>
    <s v="Romper Longer"/>
    <n v="5"/>
    <n v="22"/>
    <s v="MothersDay"/>
    <s v="0-3"/>
    <x v="36"/>
    <m/>
  </r>
  <r>
    <d v="2026-05-25T00:00:00"/>
    <s v="https://www.etsy.com/ca/listing/4376399899/the-littlest-book-club-member-baby?transaction_id=4872675586"/>
    <s v="Sage Green"/>
    <s v="Sage Green"/>
    <s v=" 0-3M (long-sleeve)"/>
    <s v="United States"/>
    <s v="Romper Longer"/>
    <n v="5"/>
    <n v="22"/>
    <s v="MothersDay"/>
    <s v="0-3"/>
    <x v="5"/>
    <m/>
  </r>
  <r>
    <d v="2026-05-26T00:00:00"/>
    <s v="https://www.etsy.com/ca/listing/4376389783/player-2-baby-romper-gamer-baby-outfit?transaction_id=4895590685"/>
    <s v="Watermelon"/>
    <s v="Watermelon"/>
    <s v=" 0-3M (short-sleeve)"/>
    <s v="United States"/>
    <s v="Romper Short"/>
    <n v="5"/>
    <n v="22"/>
    <s v="MothersDay"/>
    <s v="0-3"/>
    <x v="65"/>
    <m/>
  </r>
  <r>
    <d v="2026-05-27T00:00:00"/>
    <s v="https://www.etsy.com/ca/listing/4392935796/box-box-for-fresh-diapers-embroidered?transaction_id=4872736884"/>
    <s v="Cream"/>
    <s v="Cream"/>
    <s v="3-6M (short-sleeve)"/>
    <s v="United States"/>
    <s v="Romper Short"/>
    <n v="5"/>
    <n v="22"/>
    <s v="MothersDay"/>
    <s v="3-6"/>
    <x v="0"/>
    <m/>
  </r>
  <r>
    <d v="2026-05-28T00:00:00"/>
    <s v="https://www.etsy.com/ca/listing/4376389783/player-2-baby-romper-gamer-baby-outfit?transaction_id=4872736882"/>
    <s v="Dusty Pink"/>
    <s v="Dusty Pink"/>
    <s v="3-6M (short-sleeve)"/>
    <s v="United States"/>
    <s v="Romper Short"/>
    <n v="5"/>
    <n v="22"/>
    <s v="MothersDay"/>
    <s v="3-6"/>
    <x v="31"/>
    <m/>
  </r>
  <r>
    <d v="2026-05-29T00:00:00"/>
    <s v="https://www.etsy.com/ca/listing/4330488178/embroidered-golf-baby-romper-new-to-the?transaction_id=4889078453"/>
    <s v="Cream"/>
    <s v="Cream"/>
    <s v=" 0-3M (long-sleeve)"/>
    <s v="United States"/>
    <s v="Romper Longer"/>
    <n v="5"/>
    <n v="22"/>
    <s v="MothersDay"/>
    <s v="0-3"/>
    <x v="2"/>
    <m/>
  </r>
  <r>
    <d v="2026-05-30T00:00:00"/>
    <s v="https://www.etsy.com/ca/listing/4392962015/cant-wait-to-jam-with-daddy-embroidered?transaction_id=4873045284"/>
    <s v="Cream"/>
    <s v="Cream"/>
    <s v=" 3-6M (long-sleeve)"/>
    <s v="United States"/>
    <s v="Romper Longer"/>
    <n v="5"/>
    <n v="22"/>
    <s v="MothersDay"/>
    <s v="3-6"/>
    <x v="1"/>
    <m/>
  </r>
  <r>
    <d v="2026-05-31T00:00:00"/>
    <s v="https://www.etsy.com/ca/listing/4346126210/daddys-future-lifting-buddy-romper-baby?transaction_id=4889239375"/>
    <s v="Cream"/>
    <s v="Cream"/>
    <s v=" 0-3M (long-sleeve)"/>
    <s v="United States"/>
    <s v="Romper Longer"/>
    <n v="5"/>
    <n v="23"/>
    <s v="MothersDay"/>
    <s v="0-3"/>
    <x v="2"/>
    <m/>
  </r>
  <r>
    <d v="2026-06-01T00:00:00"/>
    <s v="https://www.etsy.com/ca/listing/4330499732/embroidered-baby-romper-little-sunshine?transaction_id=4889409993"/>
    <s v="Cream"/>
    <s v="Cream"/>
    <s v=" 0-3M (short-sleeve)"/>
    <s v="United States"/>
    <s v="Romper Short"/>
    <n v="6"/>
    <n v="23"/>
    <s v="FathersDay"/>
    <s v="0-3"/>
    <x v="15"/>
    <m/>
  </r>
  <r>
    <d v="2026-10-01T00:00:00"/>
    <s v="https://www.etsy.com/ca/listing/4371125103/personalized-dog-baby-bodysuit-custom?transaction_id=4889583625"/>
    <s v="Dusty Pink"/>
    <s v="Dusty Pink"/>
    <s v=" 3-6M (long-sleeve)"/>
    <s v="United States"/>
    <s v="Romper Longer"/>
    <n v="10"/>
    <n v="40"/>
    <s v="Halloween"/>
    <s v="3-6"/>
    <x v="8"/>
    <m/>
  </r>
  <r>
    <d v="2026-10-02T00:00:00"/>
    <s v="https://www.etsy.com/ca/listing/4392935796/box-box-for-fresh-diapers-embroidered?transaction_id=4889775189"/>
    <s v="Sage Green"/>
    <s v="Sage Green"/>
    <s v=" 0-3M (long-sleeve)"/>
    <s v="United States"/>
    <s v="Romper Longer"/>
    <n v="10"/>
    <n v="40"/>
    <s v="Halloween"/>
    <s v="0-3"/>
    <x v="5"/>
    <m/>
  </r>
  <r>
    <d v="2026-10-03T00:00:00"/>
    <s v="https://www.etsy.com/ca/listing/4330488178/embroidered-golf-baby-romper-new-to-the?transaction_id=4873820262"/>
    <s v="Cream"/>
    <s v="Cream"/>
    <s v=" 0-3M (short-sleeve)"/>
    <s v="United States"/>
    <s v="Romper Short"/>
    <n v="10"/>
    <n v="40"/>
    <s v="Halloween"/>
    <s v="0-3"/>
    <x v="15"/>
    <m/>
  </r>
  <r>
    <d v="2026-10-04T00:00:00"/>
    <s v="https://www.etsy.com/ca/listing/4371125103/personalized-dog-baby-bodysuit-custom?transaction_id=4873873094"/>
    <s v="Cream"/>
    <s v="Cream"/>
    <s v=" 0-3M (short-sleeve)"/>
    <s v="United States"/>
    <s v="Romper Short"/>
    <n v="10"/>
    <n v="41"/>
    <s v="Halloween"/>
    <s v="0-3"/>
    <x v="15"/>
    <m/>
  </r>
  <r>
    <d v="2026-10-05T00:00:00"/>
    <s v="https://www.etsy.com/ca/listing/4392929794/little-latke-embroidered-romper-hanukkah?transaction_id=4890347561"/>
    <s v="Caldet Blue"/>
    <s v="Caldet Blue"/>
    <s v="18-24M (long-sleeve)"/>
    <s v="United States"/>
    <s v="Romper Longer"/>
    <n v="10"/>
    <n v="41"/>
    <s v="Halloween"/>
    <s v="18-24"/>
    <x v="106"/>
    <m/>
  </r>
  <r>
    <d v="2026-10-06T00:00:00"/>
    <s v="https://www.etsy.com/ca/listing/4330504943/embroidered-tennis-baby-romper-daddys?transaction_id=4874456802"/>
    <s v="Cream"/>
    <s v="Cream"/>
    <s v="6-12M (short-sleeve)"/>
    <s v="United States"/>
    <s v="Romper Short"/>
    <n v="10"/>
    <n v="41"/>
    <s v="Halloween"/>
    <s v="6-12"/>
    <x v="47"/>
    <m/>
  </r>
  <r>
    <d v="2026-10-07T00:00:00"/>
    <s v="https://www.etsy.com/ca/listing/4376399899/the-littlest-book-club-member-baby?transaction_id=4875008978"/>
    <s v="Coffee"/>
    <s v="Coffee"/>
    <s v=" 0-3M (long-sleeve)"/>
    <s v="United States"/>
    <s v="Romper Longer"/>
    <n v="10"/>
    <n v="41"/>
    <s v="Halloween"/>
    <s v="0-3"/>
    <x v="28"/>
    <m/>
  </r>
  <r>
    <d v="2026-10-08T00:00:00"/>
    <s v="https://www.etsy.com/ca/listing/4346129239/soccer-baby-romper-embroidered-daddy-and?transaction_id=4891474463"/>
    <s v="Caldet Blue"/>
    <s v="Caldet Blue"/>
    <s v="6-12M (short-sleeve)"/>
    <s v="United States"/>
    <s v="Romper Short"/>
    <n v="10"/>
    <n v="41"/>
    <s v="Halloween"/>
    <s v="6-12"/>
    <x v="63"/>
    <m/>
  </r>
  <r>
    <d v="2026-10-09T00:00:00"/>
    <s v="https://www.etsy.com/ca/listing/4371125103/personalized-dog-baby-bodysuit-custom?transaction_id=4875332340"/>
    <s v="Sage Green"/>
    <s v="Sage Green"/>
    <s v=" 0-3M (long-sleeve)"/>
    <s v="United States"/>
    <s v="Romper Longer"/>
    <n v="10"/>
    <n v="41"/>
    <s v="Halloween"/>
    <s v="0-3"/>
    <x v="5"/>
    <m/>
  </r>
  <r>
    <d v="2026-10-10T00:00:00"/>
    <s v="https://www.etsy.com/ca/listing/4392932100/born-to-ride-with-my-daddy-embroidered?transaction_id=4875550594"/>
    <s v="Sage Green"/>
    <s v="Sage Green"/>
    <s v="12-18M (long-sleeve)"/>
    <s v="United States"/>
    <s v="Romper Longer"/>
    <n v="10"/>
    <n v="41"/>
    <s v="Halloween"/>
    <s v="12-18"/>
    <x v="22"/>
    <m/>
  </r>
  <r>
    <d v="2026-10-11T00:00:00"/>
    <s v="https://www.etsy.com/ca/listing/4346126210/daddys-future-lifting-buddy-romper-baby?transaction_id=4892836885"/>
    <s v="Forest Green"/>
    <s v="Forest Green"/>
    <s v=" 6-12M (long-sleeve)"/>
    <s v="United States"/>
    <s v="Romper Longer"/>
    <n v="10"/>
    <n v="42"/>
    <s v="Halloween"/>
    <s v="6-12"/>
    <x v="30"/>
    <m/>
  </r>
  <r>
    <d v="2026-10-12T00:00:00"/>
    <s v="https://www.etsy.com/ca/listing/4346124431/small-and-spicy-baby-romper-embroidered?transaction_id=4893033623"/>
    <s v="Watermelon"/>
    <s v="Watermelon"/>
    <s v=" 3-6M (long-sleeve)"/>
    <s v="United States"/>
    <s v="Romper Longer"/>
    <n v="10"/>
    <n v="42"/>
    <s v="Halloween"/>
    <s v="3-6"/>
    <x v="20"/>
    <m/>
  </r>
  <r>
    <d v="2026-10-13T00:00:00"/>
    <s v="https://www.etsy.com/ca/listing/4347894651/giraffe-baby-bodysuit-you-bet-giraffe-im?transaction_id=4876830654"/>
    <s v="Cream"/>
    <s v="Cream"/>
    <s v=" 0-3M (short-sleeve)"/>
    <s v="United States"/>
    <s v="Romper Short"/>
    <n v="10"/>
    <n v="42"/>
    <s v="Halloween"/>
    <s v="0-3"/>
    <x v="15"/>
    <m/>
  </r>
  <r>
    <d v="2026-10-14T00:00:00"/>
    <s v="https://www.etsy.com/ca/listing/4392929794/little-latke-embroidered-romper-hanukkah?transaction_id=4876853492"/>
    <s v="Cream"/>
    <s v="Cream"/>
    <s v="18-24M (long-sleeve)"/>
    <s v="United States"/>
    <s v="Romper Longer"/>
    <n v="10"/>
    <n v="42"/>
    <s v="Halloween"/>
    <s v="18-24"/>
    <x v="55"/>
    <m/>
  </r>
  <r>
    <d v="2026-10-15T00:00:00"/>
    <s v="https://www.etsy.com/ca/listing/4376389783/player-2-baby-romper-gamer-baby-outfit?transaction_id=4893442257"/>
    <s v="Dusty Pink"/>
    <s v="Dusty Pink"/>
    <s v=" 0-3M (short-sleeve)"/>
    <s v="United States"/>
    <s v="Romper Short"/>
    <n v="10"/>
    <n v="42"/>
    <s v="Halloween"/>
    <s v="0-3"/>
    <x v="34"/>
    <m/>
  </r>
  <r>
    <d v="2026-10-16T00:00:00"/>
    <s v="https://www.etsy.com/ca/listing/4392936921/apparently-i-like-golf-embroidered?transaction_id=4877314470"/>
    <s v="Cream"/>
    <s v="Cream"/>
    <s v=" 0-3M (long-sleeve)"/>
    <s v="United States"/>
    <s v="Romper Longer"/>
    <n v="10"/>
    <n v="42"/>
    <s v="Halloween"/>
    <s v="0-3"/>
    <x v="2"/>
    <m/>
  </r>
  <r>
    <d v="2026-10-17T00:00:00"/>
    <s v="https://www.etsy.com/ca/listing/4376389783/player-2-baby-romper-gamer-baby-outfit?transaction_id=4877439160"/>
    <s v="Cream"/>
    <s v="Cream"/>
    <s v=" 0-3M (long-sleeve)"/>
    <s v="United States"/>
    <s v="Romper Longer"/>
    <n v="10"/>
    <n v="42"/>
    <s v="Halloween"/>
    <s v="0-3"/>
    <x v="2"/>
    <m/>
  </r>
  <r>
    <d v="2026-10-18T00:00:00"/>
    <s v="https://www.etsy.com/ca/listing/4392935796/box-box-for-fresh-diapers-embroidered?transaction_id=4893912781"/>
    <s v="Cream"/>
    <s v="Cream"/>
    <s v="6-12M (short-sleeve)"/>
    <s v="United States"/>
    <s v="Romper Short"/>
    <n v="10"/>
    <n v="43"/>
    <s v="Halloween"/>
    <s v="6-12"/>
    <x v="47"/>
    <m/>
  </r>
  <r>
    <d v="2026-10-19T00:00:00"/>
    <s v="https://www.etsy.com/ca/listing/4372352286/silly-goose-baby-romper-funny-infant?transaction_id=4877681596"/>
    <s v="Caldet Blue"/>
    <s v="Caldet Blue"/>
    <s v=" 0-3M (short-sleeve)"/>
    <s v="United States"/>
    <s v="Romper Short"/>
    <n v="10"/>
    <n v="43"/>
    <s v="Halloween"/>
    <s v="0-3"/>
    <x v="38"/>
    <m/>
  </r>
  <r>
    <d v="2026-10-20T00:00:00"/>
    <s v="https://www.etsy.com/ca/listing/4371125103/personalized-dog-baby-bodysuit-custom?transaction_id=4877741250"/>
    <s v="Sage Green"/>
    <s v="Sage Green"/>
    <s v=" 0-3M (long-sleeve)"/>
    <s v="United States"/>
    <s v="Romper Longer"/>
    <n v="10"/>
    <n v="43"/>
    <s v="Halloween"/>
    <s v="0-3"/>
    <x v="5"/>
    <m/>
  </r>
  <r>
    <d v="2026-10-21T00:00:00"/>
    <s v="https://www.etsy.com/ca/listing/4330485404/cat-face-embroidered-baby-romper-funny?transaction_id=4894756159"/>
    <s v="Cream"/>
    <s v="Cream"/>
    <s v=" 3-6M (long-sleeve)"/>
    <s v="United States"/>
    <s v="Romper Longer"/>
    <n v="10"/>
    <n v="43"/>
    <s v="Halloween"/>
    <s v="3-6"/>
    <x v="1"/>
    <m/>
  </r>
  <r>
    <d v="2026-10-22T00:00:00"/>
    <s v="https://www.etsy.com/ca/listing/4392962015/cant-wait-to-jam-with-daddy-embroidered?transaction_id=4894911917"/>
    <s v="Cream"/>
    <s v="Cream"/>
    <s v=" 0-3M (short-sleeve)"/>
    <s v="United States"/>
    <s v="Romper Short"/>
    <n v="10"/>
    <n v="43"/>
    <s v="Halloween"/>
    <s v="0-3"/>
    <x v="15"/>
    <m/>
  </r>
  <r>
    <d v="2026-10-23T00:00:00"/>
    <s v="https://www.etsy.com/ca/listing/4330488178/embroidered-golf-baby-romper-new-to-the?transaction_id=4895121237"/>
    <s v="Cream"/>
    <s v="Cream"/>
    <s v=" 0-3M (long-sleeve)"/>
    <s v="United States"/>
    <s v="Romper Longer"/>
    <n v="10"/>
    <n v="43"/>
    <s v="Halloween"/>
    <s v="0-3"/>
    <x v="2"/>
    <m/>
  </r>
  <r>
    <d v="2026-10-24T00:00:00"/>
    <s v="https://www.etsy.com/ca/listing/4346126210/daddys-future-lifting-buddy-romper-baby?transaction_id=4895221615"/>
    <s v="Dusty Pink"/>
    <s v="Dusty Pink"/>
    <s v=" 6-12M (long-sleeve)"/>
    <s v="United States"/>
    <s v="Romper Longer"/>
    <n v="10"/>
    <n v="43"/>
    <s v="Halloween"/>
    <s v="6-12"/>
    <x v="51"/>
    <m/>
  </r>
  <r>
    <d v="2026-10-25T00:00:00"/>
    <s v="https://www.etsy.com/ca/listing/4376401181/challah-at-your-girl-baby-bodysuit-funny?transaction_id=4879590438"/>
    <s v="Salmon"/>
    <s v="Salmon"/>
    <s v="6-12M (short-sleeve)"/>
    <s v="United States"/>
    <s v="Romper Short"/>
    <n v="10"/>
    <n v="44"/>
    <s v="Halloween"/>
    <s v="6-12"/>
    <x v="102"/>
    <m/>
  </r>
  <r>
    <d v="2026-10-26T00:00:00"/>
    <s v="https://www.etsy.com/ca/listing/4392936921/apparently-i-like-golf-embroidered?transaction_id=4896080897"/>
    <s v="Sage Green"/>
    <s v="Sage Green"/>
    <s v="3-6M (short-sleeve)"/>
    <s v="United States"/>
    <s v="Romper Short"/>
    <n v="10"/>
    <n v="44"/>
    <s v="Halloween"/>
    <s v="3-6"/>
    <x v="24"/>
    <m/>
  </r>
  <r>
    <d v="2026-10-27T00:00:00"/>
    <s v="https://www.etsy.com/ca/listing/4330488178/embroidered-golf-baby-romper-new-to-the?transaction_id=4879621176"/>
    <s v="Dusty Pink"/>
    <s v="Dusty Pink"/>
    <s v=" 3-6M (long-sleeve)"/>
    <s v="United States"/>
    <s v="Romper Longer"/>
    <n v="10"/>
    <n v="44"/>
    <s v="Halloween"/>
    <s v="3-6"/>
    <x v="8"/>
    <m/>
  </r>
  <r>
    <d v="2026-10-28T00:00:00"/>
    <s v="https://www.etsy.com/ca/listing/4371125103/personalized-dog-baby-bodysuit-custom?transaction_id=4896167929"/>
    <s v="Sage Green"/>
    <s v="Sage Green"/>
    <s v="6-12M (short-sleeve)"/>
    <s v="United States"/>
    <s v="Romper Short"/>
    <n v="10"/>
    <n v="44"/>
    <s v="Halloween"/>
    <s v="6-12"/>
    <x v="19"/>
    <m/>
  </r>
  <r>
    <d v="2026-10-29T00:00:00"/>
    <s v="https://www.etsy.com/ca/listing/4392962015/cant-wait-to-jam-with-daddy-embroidered?transaction_id=4896240089"/>
    <s v="Cream"/>
    <s v="Cream"/>
    <s v=" 6-12M (long-sleeve)"/>
    <s v="United States"/>
    <s v="Romper Longer"/>
    <n v="10"/>
    <n v="44"/>
    <s v="Halloween"/>
    <s v="6-12"/>
    <x v="17"/>
    <m/>
  </r>
  <r>
    <d v="2026-10-30T00:00:00"/>
    <s v="https://www.etsy.com/ca/listing/4376399899/the-littlest-book-club-member-baby?transaction_id=4896456419"/>
    <s v="Sage Green"/>
    <s v="Sage Green"/>
    <s v=" 6-12M (long-sleeve)"/>
    <s v="United States"/>
    <s v="Romper Longer"/>
    <n v="10"/>
    <n v="44"/>
    <s v="Halloween"/>
    <s v="6-12"/>
    <x v="3"/>
    <m/>
  </r>
  <r>
    <d v="2026-10-31T00:00:00"/>
    <s v="https://www.etsy.com/ca/listing/4344231895/embroidered-baby-romper-shhh-im-reading?transaction_id=4896661851"/>
    <s v="Sage Green"/>
    <s v="Sage Green"/>
    <s v="3-6M (short-sleeve)"/>
    <s v="United States"/>
    <s v="Romper Short"/>
    <n v="10"/>
    <n v="44"/>
    <s v="Halloween"/>
    <s v="3-6"/>
    <x v="24"/>
    <m/>
  </r>
  <r>
    <d v="2026-11-01T00:00:00"/>
    <s v="https://www.etsy.com/ca/listing/4372352286/silly-goose-baby-romper-funny-infant?transaction_id=4896909603"/>
    <s v="Forest Green"/>
    <s v="Forest Green"/>
    <s v=" 0-3M (short-sleeve)"/>
    <s v="United States"/>
    <s v="Romper Short"/>
    <n v="11"/>
    <n v="45"/>
    <s v="Christmas"/>
    <s v="0-3"/>
    <x v="52"/>
    <m/>
  </r>
  <r>
    <d v="2026-11-02T00:00:00"/>
    <s v="https://www.etsy.com/ca/listing/4344231895/embroidered-baby-romper-shhh-im-reading?transaction_id=4897293093"/>
    <s v="Caldet Blue"/>
    <s v="Caldet Blue"/>
    <s v="12-18M (long-sleeve)"/>
    <s v="United States"/>
    <s v="Romper Longer"/>
    <n v="11"/>
    <n v="45"/>
    <s v="Christmas"/>
    <s v="12-18"/>
    <x v="60"/>
    <m/>
  </r>
  <r>
    <d v="2026-11-03T00:00:00"/>
    <s v="https://www.etsy.com/ca/listing/4376399899/the-littlest-book-club-member-baby?transaction_id=4881355434"/>
    <s v="Forest Green"/>
    <s v="Forest Green"/>
    <s v=" 6-12M (long-sleeve)"/>
    <s v="United States"/>
    <s v="Romper Longer"/>
    <n v="11"/>
    <n v="45"/>
    <s v="Christmas"/>
    <s v="6-12"/>
    <x v="30"/>
    <m/>
  </r>
  <r>
    <d v="2026-11-04T00:00:00"/>
    <s v="https://www.etsy.com/ca/listing/4330488178/embroidered-golf-baby-romper-new-to-the?transaction_id=4881499794"/>
    <s v="Cream"/>
    <s v="Cream"/>
    <s v=" 0-3M (long-sleeve)"/>
    <s v="United States"/>
    <s v="Romper Longer"/>
    <n v="11"/>
    <n v="45"/>
    <s v="Christmas"/>
    <s v="0-3"/>
    <x v="2"/>
    <m/>
  </r>
  <r>
    <d v="2026-11-05T00:00:00"/>
    <s v="https://www.etsy.com/ca/listing/4392962015/cant-wait-to-jam-with-daddy-embroidered?transaction_id=4881522728"/>
    <s v="Cream"/>
    <s v="Cream"/>
    <s v="3-6M (short-sleeve)"/>
    <s v="United States"/>
    <s v="Romper Short"/>
    <n v="11"/>
    <n v="45"/>
    <s v="Christmas"/>
    <s v="3-6"/>
    <x v="0"/>
    <m/>
  </r>
  <r>
    <d v="2026-11-06T00:00:00"/>
    <s v="https://www.etsy.com/ca/listing/4392932100/born-to-ride-with-my-daddy-embroidered?transaction_id=4881749024"/>
    <s v="Cream"/>
    <s v="Cream"/>
    <s v=" 0-3M (long-sleeve)"/>
    <s v="United States"/>
    <s v="Romper Longer"/>
    <n v="11"/>
    <n v="45"/>
    <s v="Christmas"/>
    <s v="0-3"/>
    <x v="2"/>
    <m/>
  </r>
  <r>
    <d v="2026-11-07T00:00:00"/>
    <s v="https://www.etsy.com/ca/listing/4372357398/personalized-hunting-baby-romper-custom?transaction_id=4898651399"/>
    <s v="Cream"/>
    <s v="Cream"/>
    <s v=" 6-12M (long-sleeve)"/>
    <s v="United States"/>
    <s v="Romper Longer"/>
    <n v="11"/>
    <n v="45"/>
    <s v="Christmas"/>
    <s v="6-12"/>
    <x v="17"/>
    <m/>
  </r>
  <r>
    <d v="2026-11-08T00:00:00"/>
    <s v="https://www.etsy.com/ca/listing/4392936688/shhh-im-watching-motogp-with-daddy?transaction_id=4882341734"/>
    <s v="Sage Green"/>
    <s v="Sage Green"/>
    <s v=" 3-6M (long-sleeve)"/>
    <s v="United States"/>
    <s v="Romper Longer"/>
    <n v="11"/>
    <n v="46"/>
    <s v="Christmas"/>
    <s v="3-6"/>
    <x v="7"/>
    <m/>
  </r>
  <r>
    <d v="2026-11-09T00:00:00"/>
    <s v="https://www.etsy.com/ca/listing/4376389783/player-2-baby-romper-gamer-baby-outfit?transaction_id=4899076897"/>
    <s v="Cream"/>
    <s v="Cream"/>
    <s v=" 0-3M (short-sleeve)"/>
    <s v="United States"/>
    <s v="Romper Short"/>
    <n v="11"/>
    <n v="46"/>
    <s v="Christmas"/>
    <s v="0-3"/>
    <x v="15"/>
    <m/>
  </r>
  <r>
    <d v="2026-11-10T00:00:00"/>
    <s v="https://www.etsy.com/ca/listing/4376389783/player-2-baby-romper-gamer-baby-outfit?transaction_id=4882761154"/>
    <s v="Cream"/>
    <s v="Cream"/>
    <s v="12-18M (long-sleeve)"/>
    <s v="United States"/>
    <s v="Romper Longer"/>
    <n v="11"/>
    <n v="46"/>
    <s v="Christmas"/>
    <s v="12-18"/>
    <x v="53"/>
    <m/>
  </r>
  <r>
    <d v="2026-11-11T00:00:00"/>
    <s v="https://www.etsy.com/ca/listing/4330488178/embroidered-golf-baby-romper-new-to-the?transaction_id=4899650943"/>
    <s v="Sage Green"/>
    <s v="Sage Green"/>
    <s v=" 0-3M (short-sleeve)"/>
    <s v="United States"/>
    <s v="Romper Short"/>
    <n v="11"/>
    <n v="46"/>
    <s v="Christmas"/>
    <s v="0-3"/>
    <x v="13"/>
    <m/>
  </r>
  <r>
    <d v="2026-11-12T00:00:00"/>
    <s v="https://www.etsy.com/ca/listing/4376392339/funny-baby-romper-my-brand-of-formula?transaction_id=4883210716"/>
    <s v="Cream"/>
    <s v="Cream"/>
    <s v=" 0-3M (short-sleeve)"/>
    <s v="United States"/>
    <s v="Romper Short"/>
    <n v="11"/>
    <n v="46"/>
    <s v="Christmas"/>
    <s v="0-3"/>
    <x v="15"/>
    <m/>
  </r>
  <r>
    <d v="2026-11-13T00:00:00"/>
    <s v="https://www.etsy.com/ca/listing/4376389783/player-2-baby-romper-gamer-baby-outfit?transaction_id=4883346970"/>
    <s v="Cream"/>
    <s v="Cream"/>
    <s v=" 0-3M (long-sleeve)"/>
    <s v="United States"/>
    <s v="Romper Longer"/>
    <n v="11"/>
    <n v="46"/>
    <s v="Christmas"/>
    <s v="0-3"/>
    <x v="2"/>
    <m/>
  </r>
  <r>
    <d v="2026-11-14T00:00:00"/>
    <s v="https://www.etsy.com/ca/listing/4347263856/besties-baby-romper-matching-baby-outfit?transaction_id=4883381966"/>
    <s v="White"/>
    <s v="White"/>
    <s v=" 0-3M (short-sleeve)"/>
    <s v="United States"/>
    <s v="Romper Short"/>
    <n v="11"/>
    <n v="46"/>
    <s v="Christmas"/>
    <s v="0-3"/>
    <x v="21"/>
    <m/>
  </r>
  <r>
    <d v="2026-11-15T00:00:00"/>
    <s v="https://www.etsy.com/ca/listing/4392929794/little-latke-embroidered-romper-hanukkah?transaction_id=4871062938"/>
    <s v="Dusty Pink"/>
    <s v="Dusty Pink"/>
    <s v=" 6-12M (long-sleeve)"/>
    <s v="United States"/>
    <s v="Romper Longer"/>
    <n v="11"/>
    <n v="47"/>
    <s v="Christmas"/>
    <s v="6-12"/>
    <x v="51"/>
    <m/>
  </r>
  <r>
    <d v="2026-11-16T00:00:00"/>
    <s v="https://www.etsy.com/ca/listing/4346126210/daddys-future-lifting-buddy-romper-baby?transaction_id=4849415519"/>
    <s v="Caldet Blue"/>
    <s v="Caldet Blue"/>
    <s v=" 0-3M (long-sleeve)"/>
    <s v="United States"/>
    <s v="Romper Longer"/>
    <n v="11"/>
    <n v="47"/>
    <s v="Christmas"/>
    <s v="0-3"/>
    <x v="9"/>
    <m/>
  </r>
  <r>
    <d v="2026-11-17T00:00:00"/>
    <s v="https://www.etsy.com/ca/listing/4346126210/daddys-future-lifting-buddy-romper-baby?transaction_id=4883404608"/>
    <s v="Cream"/>
    <s v="Cream"/>
    <s v=" 0-3M (long-sleeve)"/>
    <s v="United States"/>
    <s v="Romper Longer"/>
    <n v="11"/>
    <n v="47"/>
    <s v="Christmas"/>
    <s v="0-3"/>
    <x v="2"/>
    <m/>
  </r>
  <r>
    <d v="2026-11-18T00:00:00"/>
    <s v="https://www.etsy.com/ca/listing/4330488178/embroidered-golf-baby-romper-new-to-the?transaction_id=4883687990"/>
    <s v="Cream"/>
    <s v="Cream"/>
    <s v="3-6M (short-sleeve)"/>
    <s v="United States"/>
    <s v="Romper Short"/>
    <n v="11"/>
    <n v="47"/>
    <s v="Christmas"/>
    <s v="3-6"/>
    <x v="0"/>
    <m/>
  </r>
  <r>
    <d v="2026-11-19T00:00:00"/>
    <s v="https://www.etsy.com/ca/listing/4376389783/player-2-baby-romper-gamer-baby-outfit?transaction_id=4883801206"/>
    <s v="Cream"/>
    <s v="Cream"/>
    <s v="6-12M (short-sleeve)"/>
    <s v="United States"/>
    <s v="Romper Short"/>
    <n v="11"/>
    <n v="47"/>
    <s v="Christmas"/>
    <s v="6-12"/>
    <x v="47"/>
    <m/>
  </r>
  <r>
    <d v="2026-11-20T00:00:00"/>
    <s v="https://www.etsy.com/ca/listing/4376392339/funny-baby-romper-my-brand-of-formula?transaction_id=4883807420"/>
    <s v="Cream"/>
    <s v="Cream"/>
    <s v="3-6M (short-sleeve)"/>
    <s v="United States"/>
    <s v="Romper Short"/>
    <n v="11"/>
    <n v="47"/>
    <s v="Christmas"/>
    <s v="3-6"/>
    <x v="0"/>
    <m/>
  </r>
  <r>
    <d v="2026-11-21T00:00:00"/>
    <s v="https://www.etsy.com/ca/listing/4376389783/player-2-baby-romper-gamer-baby-outfit?transaction_id=4900526161"/>
    <s v="Sage Green"/>
    <s v="Sage Green"/>
    <s v=" 0-3M (long-sleeve)"/>
    <s v="United States"/>
    <s v="Romper Longer"/>
    <n v="11"/>
    <n v="47"/>
    <s v="Christmas"/>
    <s v="0-3"/>
    <x v="5"/>
    <m/>
  </r>
  <r>
    <d v="2026-11-22T00:00:00"/>
    <s v="https://www.etsy.com/ca/listing/4330488178/embroidered-golf-baby-romper-new-to-the?transaction_id=4900780677"/>
    <s v="Cream"/>
    <s v="Cream"/>
    <s v="12-18M (short-sleeve)"/>
    <s v="United States"/>
    <s v="Romper Short"/>
    <n v="11"/>
    <n v="48"/>
    <s v="Christmas"/>
    <s v="12-18"/>
    <x v="26"/>
    <m/>
  </r>
  <r>
    <d v="2026-11-23T00:00:00"/>
    <s v="https://www.etsy.com/ca/listing/4376399899/the-littlest-book-club-member-baby?transaction_id=4884615108"/>
    <s v="Sage Green"/>
    <s v="Sage Green"/>
    <s v=" 6-12M (long-sleeve)"/>
    <s v="United States"/>
    <s v="Romper Longer"/>
    <n v="11"/>
    <n v="48"/>
    <s v="Christmas"/>
    <s v="6-12"/>
    <x v="3"/>
    <m/>
  </r>
  <r>
    <d v="2026-11-24T00:00:00"/>
    <s v="https://www.etsy.com/ca/listing/4376392339/funny-baby-romper-my-brand-of-formula?transaction_id=4884645054"/>
    <s v="Dusty Pink"/>
    <s v="Dusty Pink"/>
    <s v="6-12M (short-sleeve)"/>
    <s v="United States"/>
    <s v="Romper Short"/>
    <n v="11"/>
    <n v="48"/>
    <s v="Christmas"/>
    <s v="6-12"/>
    <x v="35"/>
    <m/>
  </r>
  <r>
    <d v="2026-11-25T00:00:00"/>
    <s v="https://www.etsy.com/ca/listing/4330485404/cat-face-embroidered-baby-romper-funny?transaction_id=4885741524"/>
    <s v="Cream"/>
    <s v="Cream"/>
    <s v="3-6M (short-sleeve)"/>
    <s v="United States"/>
    <s v="Romper Short"/>
    <n v="11"/>
    <n v="48"/>
    <s v="Christmas"/>
    <s v="3-6"/>
    <x v="0"/>
    <m/>
  </r>
  <r>
    <d v="2026-11-26T00:00:00"/>
    <s v="https://www.etsy.com/ca/listing/4330488178/embroidered-golf-baby-romper-new-to-the?transaction_id=4886198272"/>
    <s v="Cream"/>
    <s v="Cream"/>
    <s v="3-6M (short-sleeve)"/>
    <s v="United States"/>
    <s v="Romper Short"/>
    <n v="11"/>
    <n v="48"/>
    <s v="Christmas"/>
    <s v="3-6"/>
    <x v="0"/>
    <m/>
  </r>
  <r>
    <d v="2026-11-27T00:00:00"/>
    <s v="https://www.etsy.com/ca/listing/4330488178/embroidered-golf-baby-romper-new-to-the?transaction_id=4902744511"/>
    <s v="Cream"/>
    <s v="Cream"/>
    <s v=" 6-12M (long-sleeve)"/>
    <s v="United States"/>
    <s v="Romper Longer"/>
    <n v="11"/>
    <n v="48"/>
    <s v="Christmas"/>
    <s v="6-12"/>
    <x v="17"/>
    <m/>
  </r>
  <r>
    <d v="2026-11-28T00:00:00"/>
    <s v="https://www.etsy.com/ca/listing/4376392339/funny-baby-romper-my-brand-of-formula?transaction_id=4902894493"/>
    <s v="Caldet Blue"/>
    <s v="Caldet Blue"/>
    <s v=" 6-12M (long-sleeve)"/>
    <s v="United States"/>
    <s v="Romper Longer"/>
    <n v="11"/>
    <n v="48"/>
    <s v="Christmas"/>
    <s v="6-12"/>
    <x v="25"/>
    <m/>
  </r>
  <r>
    <d v="2026-11-29T00:00:00"/>
    <s v="https://www.etsy.com/ca/listing/4330488178/embroidered-golf-baby-romper-new-to-the?transaction_id=4887304584"/>
    <s v="Cream"/>
    <s v="Cream"/>
    <s v="3-6M (short-sleeve)"/>
    <s v="United States"/>
    <s v="Romper Short"/>
    <n v="11"/>
    <n v="49"/>
    <s v="Christmas"/>
    <s v="3-6"/>
    <x v="0"/>
    <m/>
  </r>
  <r>
    <d v="2026-11-30T00:00:00"/>
    <s v="https://www.etsy.com/ca/listing/4346126210/daddys-future-lifting-buddy-romper-baby?transaction_id=4887976030"/>
    <s v="Caldet Blue"/>
    <s v="Caldet Blue"/>
    <s v=" 6-12M (long-sleeve)"/>
    <s v="United States"/>
    <s v="Romper Longer"/>
    <n v="11"/>
    <n v="49"/>
    <s v="Christmas"/>
    <s v="6-12"/>
    <x v="25"/>
    <m/>
  </r>
  <r>
    <d v="2026-12-01T00:00:00"/>
    <s v="https://www.etsy.com/ca/listing/4346128211/golf-baby-romper-embroidered-daddy-and?transaction_id=4888120484"/>
    <s v="Forest Green"/>
    <s v="Forest Green"/>
    <s v="12-18M (short-sleeve)"/>
    <s v="United States"/>
    <s v="Romper Short"/>
    <n v="12"/>
    <n v="49"/>
    <s v="Christmas"/>
    <s v="12-18"/>
    <x v="62"/>
    <m/>
  </r>
  <r>
    <d v="2026-12-02T00:00:00"/>
    <s v="https://www.etsy.com/ca/listing/4369781522/crawl-walk-putt-baby-romper-funny-golf?transaction_id=4888120482"/>
    <s v="Forest Green"/>
    <s v="Forest Green"/>
    <s v="12-18M (long-sleeve)"/>
    <s v="United States"/>
    <s v="Romper Longer"/>
    <n v="12"/>
    <n v="49"/>
    <s v="Christmas"/>
    <s v="12-18"/>
    <x v="37"/>
    <m/>
  </r>
  <r>
    <d v="2026-12-03T00:00:00"/>
    <s v="https://www.etsy.com/ca/listing/4371125103/personalized-dog-baby-bodysuit-custom?transaction_id=4888203516"/>
    <s v="Cream"/>
    <s v="Cream"/>
    <s v=" 0-3M (short-sleeve)"/>
    <s v="United States"/>
    <s v="Romper Short"/>
    <n v="12"/>
    <n v="49"/>
    <s v="Christmas"/>
    <s v="0-3"/>
    <x v="15"/>
    <m/>
  </r>
  <r>
    <d v="2026-12-04T00:00:00"/>
    <s v="https://www.etsy.com/ca/listing/4376389783/player-2-baby-romper-gamer-baby-outfit?transaction_id=4904365969"/>
    <s v="Caldet Blue"/>
    <s v="Caldet Blue"/>
    <s v=" 0-3M (short-sleeve)"/>
    <s v="United States"/>
    <s v="Romper Short"/>
    <n v="12"/>
    <n v="49"/>
    <s v="Christmas"/>
    <s v="0-3"/>
    <x v="38"/>
    <m/>
  </r>
  <r>
    <d v="2026-12-05T00:00:00"/>
    <s v="https://www.etsy.com/ca/listing/4330485404/cat-face-embroidered-baby-romper-funny?transaction_id=4888419906"/>
    <s v="Sage Green"/>
    <s v="Sage Green"/>
    <s v=" 0-3M (short-sleeve)"/>
    <s v="United States"/>
    <s v="Romper Short"/>
    <n v="12"/>
    <n v="49"/>
    <s v="Christmas"/>
    <s v="0-3"/>
    <x v="13"/>
    <m/>
  </r>
  <r>
    <d v="2026-12-06T00:00:00"/>
    <s v="https://www.etsy.com/ca/listing/4347880114/funny-baby-romper-sorry-i-tooted-outfit?transaction_id=4888668946"/>
    <s v="Caldet Blue"/>
    <s v="Caldet Blue"/>
    <s v="3-6M (short-sleeve)"/>
    <s v="United States"/>
    <s v="Romper Short"/>
    <n v="12"/>
    <n v="50"/>
    <s v="Christmas"/>
    <s v="3-6"/>
    <x v="29"/>
    <m/>
  </r>
  <r>
    <d v="2026-12-07T00:00:00"/>
    <s v="https://www.etsy.com/ca/listing/4330488178/embroidered-golf-baby-romper-new-to-the?transaction_id=4904939281"/>
    <s v="Dusty Pink"/>
    <s v="Dusty Pink"/>
    <s v=" 3-6M (long-sleeve)"/>
    <s v="United States"/>
    <s v="Romper Longer"/>
    <n v="12"/>
    <n v="50"/>
    <s v="Christmas"/>
    <s v="3-6"/>
    <x v="8"/>
    <m/>
  </r>
  <r>
    <d v="2026-12-08T00:00:00"/>
    <s v="https://www.etsy.com/ca/listing/4371125103/personalized-dog-baby-bodysuit-custom?transaction_id=4889058720"/>
    <s v="Sage Green"/>
    <s v="Sage Green"/>
    <s v=" 0-3M (long-sleeve)"/>
    <s v="United States"/>
    <s v="Romper Longer"/>
    <n v="12"/>
    <n v="50"/>
    <s v="Christmas"/>
    <s v="0-3"/>
    <x v="5"/>
    <m/>
  </r>
  <r>
    <d v="2026-12-09T00:00:00"/>
    <s v="https://www.etsy.com/ca/listing/4371125103/personalized-dog-baby-bodysuit-custom?transaction_id=4905085873"/>
    <s v="Cream"/>
    <s v="Cream"/>
    <s v=" 0-3M (long-sleeve)"/>
    <s v="United States"/>
    <s v="Romper Longer"/>
    <n v="12"/>
    <n v="50"/>
    <s v="Christmas"/>
    <s v="0-3"/>
    <x v="2"/>
    <m/>
  </r>
  <r>
    <d v="2026-12-10T00:00:00"/>
    <s v="https://www.etsy.com/ca/listing/4376399899/the-littlest-book-club-member-baby?transaction_id=4905456551"/>
    <s v="Sage Green"/>
    <s v="Sage Green"/>
    <s v="3-6M (short-sleeve)"/>
    <s v="United States"/>
    <s v="Romper Short"/>
    <n v="12"/>
    <n v="50"/>
    <s v="Christmas"/>
    <s v="3-6"/>
    <x v="24"/>
    <m/>
  </r>
  <r>
    <d v="2026-12-11T00:00:00"/>
    <s v="https://www.etsy.com/ca/listing/4336902854/personalized-football-baby-romper-daddys?transaction_id=4905764655"/>
    <s v="Cream"/>
    <s v="Cream"/>
    <s v="6-12M (short-sleeve)"/>
    <s v="United States"/>
    <s v="Romper Short"/>
    <n v="12"/>
    <n v="50"/>
    <s v="Christmas"/>
    <s v="6-12"/>
    <x v="47"/>
    <m/>
  </r>
  <r>
    <d v="2026-12-12T00:00:00"/>
    <s v="https://www.etsy.com/ca/listing/4330488178/embroidered-golf-baby-romper-new-to-the?transaction_id=4889924102"/>
    <s v="Cream"/>
    <s v="Cream"/>
    <s v=" 0-3M (short-sleeve)"/>
    <s v="United States"/>
    <s v="Romper Short"/>
    <n v="12"/>
    <n v="50"/>
    <s v="Christmas"/>
    <s v="0-3"/>
    <x v="15"/>
    <m/>
  </r>
  <r>
    <d v="2026-12-13T00:00:00"/>
    <s v="https://www.etsy.com/ca/listing/4330485404/cat-face-embroidered-baby-romper-funny?transaction_id=4890004286"/>
    <s v="Cream"/>
    <s v="Cream"/>
    <s v=" 0-3M (short-sleeve)"/>
    <s v="United States"/>
    <s v="Romper Short"/>
    <n v="12"/>
    <n v="51"/>
    <s v="Christmas"/>
    <s v="0-3"/>
    <x v="15"/>
    <m/>
  </r>
  <r>
    <d v="2026-12-14T00:00:00"/>
    <s v="https://www.etsy.com/ca/listing/4376399899/the-littlest-book-club-member-baby?transaction_id=4905962443"/>
    <s v="Coffee"/>
    <s v="Coffee"/>
    <s v=" 0-3M (short-sleeve)"/>
    <s v="United States"/>
    <s v="Romper Short"/>
    <n v="12"/>
    <n v="51"/>
    <s v="Christmas"/>
    <s v="0-3"/>
    <x v="14"/>
    <m/>
  </r>
  <r>
    <d v="2026-12-15T00:00:00"/>
    <s v="https://www.etsy.com/ca/listing/4371125103/personalized-dog-baby-bodysuit-custom?transaction_id=4890169652"/>
    <s v="Cream"/>
    <s v="Cream"/>
    <s v=" 0-3M (long-sleeve)"/>
    <s v="United States"/>
    <s v="Romper Longer"/>
    <n v="12"/>
    <n v="51"/>
    <s v="Christmas"/>
    <s v="0-3"/>
    <x v="2"/>
    <m/>
  </r>
  <r>
    <d v="2026-12-16T00:00:00"/>
    <s v="https://www.etsy.com/ca/listing/4376399899/the-littlest-book-club-member-baby?transaction_id=4906081031"/>
    <s v="Sage Green"/>
    <s v="Sage Green"/>
    <s v=" 0-3M (long-sleeve)"/>
    <s v="United States"/>
    <s v="Romper Longer"/>
    <n v="12"/>
    <n v="51"/>
    <s v="Christmas"/>
    <s v="0-3"/>
    <x v="5"/>
    <m/>
  </r>
  <r>
    <d v="2026-12-17T00:00:00"/>
    <s v="https://www.etsy.com/ca/listing/4371125103/personalized-dog-baby-bodysuit-custom?transaction_id=4890198310"/>
    <s v="Cream"/>
    <s v="Cream"/>
    <s v=" 0-3M (long-sleeve)"/>
    <s v="United States"/>
    <s v="Romper Longer"/>
    <n v="12"/>
    <n v="51"/>
    <s v="Christmas"/>
    <s v="0-3"/>
    <x v="2"/>
    <m/>
  </r>
  <r>
    <d v="2026-12-18T00:00:00"/>
    <s v="https://www.etsy.com/ca/listing/4392932100/born-to-ride-with-my-daddy-embroidered?transaction_id=4906190347"/>
    <s v="Forest Green"/>
    <s v="Forest Green"/>
    <s v="12-18M (short-sleeve)"/>
    <s v="United States"/>
    <s v="Romper Short"/>
    <n v="12"/>
    <n v="51"/>
    <s v="Christmas"/>
    <s v="12-18"/>
    <x v="62"/>
    <m/>
  </r>
  <r>
    <d v="2026-12-19T00:00:00"/>
    <s v="https://www.etsy.com/ca/listing/4347894651/giraffe-baby-bodysuit-you-bet-giraffe-im?transaction_id=4906289639"/>
    <s v="Sage Green"/>
    <s v="Sage Green"/>
    <s v=" 3-6M (long-sleeve)"/>
    <s v="United States"/>
    <s v="Romper Longer"/>
    <n v="12"/>
    <n v="51"/>
    <s v="Christmas"/>
    <s v="3-6"/>
    <x v="7"/>
    <m/>
  </r>
  <r>
    <d v="2026-12-20T00:00:00"/>
    <s v="https://www.etsy.com/ca/listing/4344235128/new-to-the-hive-baby-romper-embroidered?transaction_id=4890987802"/>
    <s v="Cream"/>
    <s v="Cream"/>
    <s v=" 0-3M (long-sleeve)"/>
    <s v="United States"/>
    <s v="Romper Longer"/>
    <n v="12"/>
    <n v="52"/>
    <s v="Christmas"/>
    <s v="0-3"/>
    <x v="2"/>
    <m/>
  </r>
  <r>
    <d v="2026-12-21T00:00:00"/>
    <s v="https://www.etsy.com/ca/listing/4376399899/the-littlest-book-club-member-baby?transaction_id=4906829363"/>
    <s v="Sage Green"/>
    <s v="Sage Green"/>
    <s v="6-12M (short-sleeve)"/>
    <s v="United States"/>
    <s v="Romper Short"/>
    <n v="12"/>
    <n v="52"/>
    <s v="Christmas"/>
    <s v="6-12"/>
    <x v="19"/>
    <m/>
  </r>
  <r>
    <d v="2026-12-22T00:00:00"/>
    <s v="https://www.etsy.com/ca/listing/4371125103/personalized-dog-baby-bodysuit-custom?transaction_id=4891360288"/>
    <s v="Sage Green"/>
    <s v="Sage Green"/>
    <s v=" 0-3M (long-sleeve)"/>
    <s v="United States"/>
    <s v="Romper Longer"/>
    <n v="12"/>
    <n v="52"/>
    <s v="Christmas"/>
    <s v="0-3"/>
    <x v="5"/>
    <m/>
  </r>
  <r>
    <d v="2026-12-23T00:00:00"/>
    <s v="https://www.etsy.com/ca/listing/4330488178/embroidered-golf-baby-romper-new-to-the?transaction_id=4891446486"/>
    <s v="Cream"/>
    <s v="Cream"/>
    <s v=" 3-6M (long-sleeve)"/>
    <s v="United States"/>
    <s v="Romper Longer"/>
    <n v="12"/>
    <n v="52"/>
    <s v="Christmas"/>
    <s v="3-6"/>
    <x v="1"/>
    <m/>
  </r>
  <r>
    <d v="2026-12-24T00:00:00"/>
    <s v="https://www.etsy.com/ca/listing/4344231895/embroidered-baby-romper-shhh-im-reading?transaction_id=4907374827"/>
    <s v="Watermelon"/>
    <s v="Watermelon"/>
    <s v=" 0-3M (short-sleeve)"/>
    <s v="United States"/>
    <s v="Romper Short"/>
    <n v="12"/>
    <n v="52"/>
    <s v="Christmas"/>
    <s v="0-3"/>
    <x v="65"/>
    <m/>
  </r>
  <r>
    <d v="2026-12-25T00:00:00"/>
    <s v="https://www.etsy.com/ca/listing/4392935796/box-box-for-fresh-diapers-embroidered?transaction_id=4891710306"/>
    <s v="Cream"/>
    <s v="Cream"/>
    <s v="12-18M (short-sleeve)"/>
    <s v="United States"/>
    <s v="Romper Short"/>
    <n v="12"/>
    <n v="52"/>
    <s v="Christmas"/>
    <s v="12-18"/>
    <x v="26"/>
    <m/>
  </r>
  <r>
    <d v="2026-12-26T00:00:00"/>
    <s v="https://www.etsy.com/ca/listing/4371125103/personalized-dog-baby-bodysuit-custom?transaction_id=4891841484"/>
    <s v="Caldet Blue"/>
    <s v="Caldet Blue"/>
    <s v=" 0-3M (long-sleeve)"/>
    <s v="United States"/>
    <s v="Romper Longer"/>
    <n v="12"/>
    <n v="52"/>
    <s v="Christmas"/>
    <s v="0-3"/>
    <x v="9"/>
    <m/>
  </r>
  <r>
    <d v="2026-12-27T00:00:00"/>
    <s v="https://www.etsy.com/ca/listing/4371125103/personalized-dog-baby-bodysuit-custom?transaction_id=4891874040"/>
    <s v="Sage Green"/>
    <s v="Sage Green"/>
    <s v=" 3-6M (long-sleeve)"/>
    <s v="United States"/>
    <s v="Romper Longer"/>
    <n v="12"/>
    <n v="53"/>
    <s v="Christmas"/>
    <s v="3-6"/>
    <x v="7"/>
    <m/>
  </r>
  <r>
    <d v="2026-12-28T00:00:00"/>
    <s v="https://www.etsy.com/ca/listing/4330488178/embroidered-golf-baby-romper-new-to-the?transaction_id=4892172430"/>
    <s v="Cream"/>
    <s v="Cream"/>
    <s v=" 3-6M (long-sleeve)"/>
    <s v="United States"/>
    <s v="Romper Longer"/>
    <n v="12"/>
    <n v="53"/>
    <s v="Christmas"/>
    <s v="3-6"/>
    <x v="1"/>
    <m/>
  </r>
  <r>
    <d v="2026-12-29T00:00:00"/>
    <s v="https://www.etsy.com/ca/listing/4392936688/shhh-im-watching-motogp-with-daddy?transaction_id=4892399532"/>
    <s v="Salmon"/>
    <s v="Salmon"/>
    <s v="3-6M (short-sleeve)"/>
    <s v="United States"/>
    <s v="Romper Short"/>
    <n v="12"/>
    <n v="53"/>
    <s v="Christmas"/>
    <s v="3-6"/>
    <x v="50"/>
    <m/>
  </r>
  <r>
    <d v="2026-12-30T00:00:00"/>
    <s v="https://www.etsy.com/ca/listing/4376399899/the-littlest-book-club-member-baby?transaction_id=4892824690"/>
    <s v="Sage Green"/>
    <s v="Sage Green"/>
    <s v="6-12M (short-sleeve)"/>
    <s v="United States"/>
    <s v="Romper Short"/>
    <n v="12"/>
    <n v="53"/>
    <s v="Christmas"/>
    <s v="6-12"/>
    <x v="19"/>
    <m/>
  </r>
  <r>
    <d v="2026-12-31T00:00:00"/>
    <s v="https://www.etsy.com/ca/listing/4371125103/personalized-dog-baby-bodysuit-custom?transaction_id=4908650725"/>
    <s v="Cream"/>
    <s v="Cream"/>
    <s v=" 0-3M (long-sleeve)"/>
    <s v="United States"/>
    <s v="Romper Longer"/>
    <n v="12"/>
    <n v="53"/>
    <s v="Christmas"/>
    <s v="0-3"/>
    <x v="2"/>
    <m/>
  </r>
  <r>
    <d v="2027-01-01T00:00:00"/>
    <s v="https://www.etsy.com/ca/listing/4344231895/embroidered-baby-romper-shhh-im-reading?transaction_id=4893159412"/>
    <s v="Sage Green"/>
    <s v="Sage Green"/>
    <s v=" 3-6M (long-sleeve)"/>
    <s v="United States"/>
    <s v="Romper Longer"/>
    <n v="1"/>
    <n v="1"/>
    <s v="NewYear"/>
    <s v="3-6"/>
    <x v="7"/>
    <m/>
  </r>
  <r>
    <d v="2027-01-02T00:00:00"/>
    <s v="https://www.etsy.com/ca/listing/4369781522/crawl-walk-putt-baby-romper-funny-golf?transaction_id=4893187168"/>
    <s v="Sage Green"/>
    <s v="Sage Green"/>
    <s v=" 0-3M (short-sleeve)"/>
    <s v="United States"/>
    <s v="Romper Short"/>
    <n v="1"/>
    <n v="1"/>
    <s v="NewYear"/>
    <s v="0-3"/>
    <x v="13"/>
    <m/>
  </r>
  <r>
    <d v="2027-01-03T00:00:00"/>
    <s v="https://www.etsy.com/ca/listing/4330485404/cat-face-embroidered-baby-romper-funny?transaction_id=4908988809"/>
    <s v="Sage Green"/>
    <s v="Sage Green"/>
    <s v=" 0-3M (short-sleeve)"/>
    <s v="United States"/>
    <s v="Romper Short"/>
    <n v="1"/>
    <n v="2"/>
    <s v="NewYear"/>
    <s v="0-3"/>
    <x v="13"/>
    <m/>
  </r>
  <r>
    <d v="2027-01-04T00:00:00"/>
    <s v="https://www.etsy.com/ca/listing/4376399899/the-littlest-book-club-member-baby?transaction_id=4909072273"/>
    <s v="Forest Green"/>
    <s v="Forest Green"/>
    <s v=" 3-6M (long-sleeve)"/>
    <s v="United States"/>
    <s v="Romper Longer"/>
    <n v="1"/>
    <n v="2"/>
    <s v="NewYear"/>
    <s v="3-6"/>
    <x v="4"/>
    <m/>
  </r>
  <r>
    <d v="2027-01-05T00:00:00"/>
    <s v="https://www.etsy.com/ca/listing/4376392339/funny-baby-romper-my-brand-of-formula?transaction_id=4893858456"/>
    <s v="White"/>
    <s v="White"/>
    <s v=" 0-3M (long-sleeve)"/>
    <s v="United States"/>
    <s v="Romper Longer"/>
    <n v="1"/>
    <n v="2"/>
    <s v="NewYear"/>
    <s v="0-3"/>
    <x v="54"/>
    <m/>
  </r>
  <r>
    <d v="2027-01-06T00:00:00"/>
    <s v="https://www.etsy.com/ca/listing/4392935796/box-box-for-fresh-diapers-embroidered?transaction_id=4893858454"/>
    <s v="White"/>
    <s v="White"/>
    <s v=" 0-3M (long-sleeve)"/>
    <s v="United States"/>
    <s v="Romper Longer"/>
    <n v="1"/>
    <n v="2"/>
    <s v="NewYear"/>
    <s v="0-3"/>
    <x v="54"/>
    <m/>
  </r>
  <r>
    <d v="2027-01-07T00:00:00"/>
    <s v="https://www.etsy.com/ca/listing/4392935796/box-box-for-fresh-diapers-embroidered?transaction_id=4909436883"/>
    <s v="Cream"/>
    <s v="Cream"/>
    <s v=" 0-3M (short-sleeve)"/>
    <s v="United States"/>
    <s v="Romper Short"/>
    <n v="1"/>
    <n v="2"/>
    <s v="NewYear"/>
    <s v="0-3"/>
    <x v="15"/>
    <m/>
  </r>
  <r>
    <d v="2027-01-08T00:00:00"/>
    <s v="https://www.etsy.com/ca/listing/4392935796/box-box-for-fresh-diapers-embroidered?transaction_id=4894144848"/>
    <s v="Caldet Blue"/>
    <s v="Caldet Blue"/>
    <s v="3-6M (short-sleeve)"/>
    <s v="United States"/>
    <s v="Romper Short"/>
    <n v="1"/>
    <n v="2"/>
    <s v="NewYear"/>
    <s v="3-6"/>
    <x v="29"/>
    <m/>
  </r>
  <r>
    <d v="2027-01-09T00:00:00"/>
    <s v="https://www.etsy.com/ca/listing/4330480699/little-prince-baby-romper-embroidered?transaction_id=4909578467"/>
    <s v="Cream"/>
    <s v="Cream"/>
    <s v=" 0-3M (long-sleeve)"/>
    <s v="United States"/>
    <s v="Romper Longer"/>
    <n v="1"/>
    <n v="2"/>
    <s v="NewYear"/>
    <s v="0-3"/>
    <x v="2"/>
    <m/>
  </r>
  <r>
    <d v="2027-01-10T00:00:00"/>
    <s v="https://www.etsy.com/ca/listing/4392936921/apparently-i-like-golf-embroidered?transaction_id=4894391404"/>
    <s v="Cream"/>
    <s v="Cream"/>
    <s v=" 3-6M (long-sleeve)"/>
    <s v="United States"/>
    <s v="Romper Longer"/>
    <n v="1"/>
    <n v="3"/>
    <s v="NewYear"/>
    <s v="3-6"/>
    <x v="1"/>
    <m/>
  </r>
  <r>
    <d v="2027-01-11T00:00:00"/>
    <s v="https://www.etsy.com/ca/listing/4376399899/the-littlest-book-club-member-baby?transaction_id=4894582318"/>
    <s v="Sage Green"/>
    <s v="Sage Green"/>
    <s v="6-12M (short-sleeve)"/>
    <s v="United States"/>
    <s v="Romper Short"/>
    <n v="1"/>
    <n v="3"/>
    <s v="NewYear"/>
    <s v="6-12"/>
    <x v="19"/>
    <m/>
  </r>
  <r>
    <d v="2027-01-12T00:00:00"/>
    <s v="https://www.etsy.com/ca/listing/4333134764/wizard-font-baby-romper-personalized?transaction_id=4894647988"/>
    <s v="Salmon"/>
    <s v="Salmon"/>
    <s v="12-18M (long-sleeve)"/>
    <s v="United States"/>
    <s v="Romper Longer"/>
    <n v="1"/>
    <n v="3"/>
    <s v="NewYear"/>
    <s v="12-18"/>
    <x v="103"/>
    <m/>
  </r>
  <r>
    <d v="2027-01-13T00:00:00"/>
    <s v="https://www.etsy.com/ca/listing/4371125103/personalized-dog-baby-bodysuit-custom?transaction_id=4895047350"/>
    <s v="Sage Green"/>
    <s v="Sage Green"/>
    <s v=" 0-3M (short-sleeve)"/>
    <s v="United States"/>
    <s v="Romper Short"/>
    <n v="1"/>
    <n v="3"/>
    <s v="NewYear"/>
    <s v="0-3"/>
    <x v="13"/>
    <m/>
  </r>
  <r>
    <d v="2027-01-14T00:00:00"/>
    <s v="https://www.etsy.com/ca/listing/4392935796/box-box-for-fresh-diapers-embroidered?transaction_id=4895102070"/>
    <s v="Caldet Blue"/>
    <s v="Caldet Blue"/>
    <s v=" 6-12M (long-sleeve)"/>
    <s v="United States"/>
    <s v="Romper Longer"/>
    <n v="1"/>
    <n v="3"/>
    <s v="NewYear"/>
    <s v="6-12"/>
    <x v="25"/>
    <m/>
  </r>
  <r>
    <d v="2027-01-15T00:00:00"/>
    <s v="https://www.etsy.com/ca/listing/4344230374/food-critic-baby-bodysuit-funny-newborn?transaction_id=4910519761"/>
    <s v="Cream"/>
    <s v="Cream"/>
    <s v="12-18M (long-sleeve)"/>
    <s v="United States"/>
    <s v="Romper Longer"/>
    <n v="1"/>
    <n v="3"/>
    <s v="NewYear"/>
    <s v="12-18"/>
    <x v="53"/>
    <m/>
  </r>
  <r>
    <d v="2027-01-16T00:00:00"/>
    <s v="https://www.etsy.com/ca/listing/4333134764/wizard-font-baby-romper-personalized?transaction_id=4896168384"/>
    <s v="Forest Green"/>
    <s v="Forest Green"/>
    <s v="12-18M (short-sleeve)"/>
    <s v="United States"/>
    <s v="Romper Short"/>
    <n v="1"/>
    <n v="3"/>
    <s v="NewYear"/>
    <s v="12-18"/>
    <x v="62"/>
    <m/>
  </r>
  <r>
    <d v="2027-01-17T00:00:00"/>
    <s v="https://www.etsy.com/ca/listing/4333134764/wizard-font-baby-romper-personalized?transaction_id=4896169562"/>
    <s v="Forest Green"/>
    <s v="Forest Green"/>
    <s v="6-12M (short-sleeve)"/>
    <s v="United States"/>
    <s v="Romper Short"/>
    <n v="1"/>
    <n v="4"/>
    <s v="NewYear"/>
    <s v="6-12"/>
    <x v="56"/>
    <m/>
  </r>
  <r>
    <d v="2027-01-18T00:00:00"/>
    <s v="https://www.etsy.com/ca/listing/4330485404/cat-face-embroidered-baby-romper-funny?transaction_id=4896327986"/>
    <s v="Watermelon"/>
    <s v="Watermelon"/>
    <s v=" 0-3M (short-sleeve)"/>
    <s v="United States"/>
    <s v="Romper Short"/>
    <n v="1"/>
    <n v="4"/>
    <s v="NewYear"/>
    <s v="0-3"/>
    <x v="65"/>
    <m/>
  </r>
  <r>
    <d v="2027-01-19T00:00:00"/>
    <s v="https://www.etsy.com/ca/listing/4330492936/a-roar-able-dinosaur-baby-bodysuit-cute?transaction_id=4911523903"/>
    <s v="Sage Green"/>
    <s v="Sage Green"/>
    <s v=" 0-3M (short-sleeve)"/>
    <s v="United States"/>
    <s v="Romper Short"/>
    <n v="1"/>
    <n v="4"/>
    <s v="NewYear"/>
    <s v="0-3"/>
    <x v="13"/>
    <m/>
  </r>
  <r>
    <d v="2027-01-20T00:00:00"/>
    <s v="https://www.etsy.com/ca/listing/4330479964/personalized-fox-baby-bodysuit-custom?transaction_id=4896682888"/>
    <s v="Forest Green"/>
    <s v="Forest Green"/>
    <s v=" 3-6M (long-sleeve)"/>
    <s v="United States"/>
    <s v="Romper Longer"/>
    <n v="1"/>
    <n v="4"/>
    <s v="NewYear"/>
    <s v="3-6"/>
    <x v="4"/>
    <m/>
  </r>
  <r>
    <d v="2027-01-21T00:00:00"/>
    <s v="https://www.etsy.com/ca/listing/4344232490/freshly-brewed-baby-bodysuit-cute-coffee?transaction_id=4896684618"/>
    <s v="Salmon"/>
    <s v="Salmon"/>
    <s v=" 0-3M (long-sleeve)"/>
    <s v="United States"/>
    <s v="Romper Longer"/>
    <n v="1"/>
    <n v="4"/>
    <s v="NewYear"/>
    <s v="0-3"/>
    <x v="84"/>
    <m/>
  </r>
  <r>
    <d v="2027-01-22T00:00:00"/>
    <s v="https://www.etsy.com/ca/listing/4392935796/box-box-for-fresh-diapers-embroidered?transaction_id=4896775706"/>
    <s v="Cream"/>
    <s v="Cream"/>
    <s v=" 0-3M (long-sleeve)"/>
    <s v="United States"/>
    <s v="Romper Longer"/>
    <n v="1"/>
    <n v="4"/>
    <s v="NewYear"/>
    <s v="0-3"/>
    <x v="2"/>
    <m/>
  </r>
  <r>
    <d v="2027-01-23T00:00:00"/>
    <s v="https://www.etsy.com/ca/listing/4376389783/player-2-baby-romper-gamer-baby-outfit?transaction_id=4896775704"/>
    <s v="Sage Green"/>
    <s v="Sage Green"/>
    <s v=" 0-3M (short-sleeve)"/>
    <s v="United States"/>
    <s v="Romper Short"/>
    <n v="1"/>
    <n v="4"/>
    <s v="NewYear"/>
    <s v="0-3"/>
    <x v="13"/>
    <m/>
  </r>
  <r>
    <d v="2027-01-24T00:00:00"/>
    <s v="https://www.etsy.com/ca/listing/4369781522/crawl-walk-putt-baby-romper-funny-golf?transaction_id=4911845381"/>
    <s v="Sage Green"/>
    <s v="Sage Green"/>
    <s v=" 6-12M (long-sleeve)"/>
    <s v="United States"/>
    <s v="Romper Longer"/>
    <n v="1"/>
    <n v="5"/>
    <s v="NewYear"/>
    <s v="6-12"/>
    <x v="3"/>
    <m/>
  </r>
  <r>
    <d v="2027-01-25T00:00:00"/>
    <s v="https://www.etsy.com/ca/listing/4371125103/personalized-dog-baby-bodysuit-custom?transaction_id=4911903625"/>
    <s v="Sage Green"/>
    <s v="Sage Green"/>
    <s v=" 0-3M (long-sleeve)"/>
    <s v="United States"/>
    <s v="Romper Longer"/>
    <n v="1"/>
    <n v="5"/>
    <s v="NewYear"/>
    <s v="0-3"/>
    <x v="5"/>
    <m/>
  </r>
  <r>
    <d v="2027-01-26T00:00:00"/>
    <s v="https://www.etsy.com/ca/listing/4330492512/funny-goose-embroidered-baby-romper?transaction_id=4897117934"/>
    <s v="Dusty Pink"/>
    <s v="Dusty Pink"/>
    <s v=" 6-12M (long-sleeve)"/>
    <s v="United States"/>
    <s v="Romper Longer"/>
    <n v="1"/>
    <n v="5"/>
    <s v="NewYear"/>
    <s v="6-12"/>
    <x v="51"/>
    <m/>
  </r>
  <r>
    <d v="2027-01-27T00:00:00"/>
    <s v="https://www.etsy.com/ca/listing/4371125103/personalized-dog-baby-bodysuit-custom?transaction_id=4897273812"/>
    <s v="Dusty Pink"/>
    <s v="Dusty Pink"/>
    <s v=" 3-6M (long-sleeve)"/>
    <s v="United States"/>
    <s v="Romper Longer"/>
    <n v="1"/>
    <n v="5"/>
    <s v="NewYear"/>
    <s v="3-6"/>
    <x v="8"/>
    <m/>
  </r>
  <r>
    <d v="2027-01-28T00:00:00"/>
    <s v="https://www.etsy.com/ca/listing/4376399899/the-littlest-book-club-member-baby?transaction_id=4897633698"/>
    <s v="Sage Green"/>
    <s v="Sage Green"/>
    <s v="3-6M (short-sleeve)"/>
    <s v="United States"/>
    <s v="Romper Short"/>
    <n v="1"/>
    <n v="5"/>
    <s v="NewYear"/>
    <s v="3-6"/>
    <x v="24"/>
    <m/>
  </r>
  <r>
    <d v="2027-01-29T00:00:00"/>
    <s v="https://www.etsy.com/ca/listing/4371125103/personalized-dog-baby-bodysuit-custom?transaction_id=4912448601"/>
    <s v="Sage Green"/>
    <s v="Sage Green"/>
    <s v=" 0-3M (long-sleeve)"/>
    <s v="United States"/>
    <s v="Romper Longer"/>
    <n v="1"/>
    <n v="5"/>
    <s v="NewYear"/>
    <s v="0-3"/>
    <x v="5"/>
    <m/>
  </r>
  <r>
    <d v="2027-01-30T00:00:00"/>
    <s v="https://www.etsy.com/ca/listing/4376389783/player-2-baby-romper-gamer-baby-outfit?transaction_id=4912729553"/>
    <s v="Dusty Pink"/>
    <s v="Dusty Pink"/>
    <s v=" 0-3M (long-sleeve)"/>
    <s v="United States"/>
    <s v="Romper Longer"/>
    <n v="1"/>
    <n v="5"/>
    <s v="NewYear"/>
    <s v="0-3"/>
    <x v="45"/>
    <m/>
  </r>
  <r>
    <d v="2027-01-31T00:00:00"/>
    <s v="https://www.etsy.com/ca/listing/4369781522/crawl-walk-putt-baby-romper-funny-golf?transaction_id=4897928606"/>
    <s v="Forest Green"/>
    <s v="Forest Green"/>
    <s v=" 3-6M (long-sleeve)"/>
    <s v="United States"/>
    <s v="Romper Longer"/>
    <n v="1"/>
    <n v="6"/>
    <s v="NewYear"/>
    <s v="3-6"/>
    <x v="4"/>
    <m/>
  </r>
  <r>
    <d v="2027-02-01T00:00:00"/>
    <s v="https://www.etsy.com/ca/listing/4347270071/baby-coming-soon-romper-personalized?transaction_id=4912990617"/>
    <s v="Coffee"/>
    <s v="Coffee"/>
    <s v=" 0-3M (long-sleeve)"/>
    <s v="United States"/>
    <s v="Romper Longer"/>
    <n v="2"/>
    <n v="6"/>
    <s v="Valentine"/>
    <s v="0-3"/>
    <x v="28"/>
    <m/>
  </r>
  <r>
    <d v="2027-02-02T00:00:00"/>
    <s v="https://www.etsy.com/ca/listing/4330488178/embroidered-golf-baby-romper-new-to-the?transaction_id=4898202570"/>
    <s v="Cream"/>
    <s v="Cream"/>
    <s v=" 0-3M (long-sleeve)"/>
    <s v="United States"/>
    <s v="Romper Longer"/>
    <n v="2"/>
    <n v="6"/>
    <s v="Valentine"/>
    <s v="0-3"/>
    <x v="2"/>
    <m/>
  </r>
  <r>
    <d v="2027-02-03T00:00:00"/>
    <s v="https://www.etsy.com/ca/listing/4371125103/personalized-dog-baby-bodysuit-custom?transaction_id=4913108645"/>
    <s v="Forest Green"/>
    <s v="Forest Green"/>
    <s v=" 3-6M (long-sleeve)"/>
    <s v="United States"/>
    <s v="Romper Longer"/>
    <n v="2"/>
    <n v="6"/>
    <s v="Valentine"/>
    <s v="3-6"/>
    <x v="4"/>
    <m/>
  </r>
  <r>
    <d v="2027-02-04T00:00:00"/>
    <s v="https://www.etsy.com/ca/listing/4392935796/box-box-for-fresh-diapers-embroidered?transaction_id=4913282091"/>
    <s v="Cream"/>
    <s v="Cream"/>
    <s v=" 0-3M (long-sleeve)"/>
    <s v="United States"/>
    <s v="Romper Longer"/>
    <n v="2"/>
    <n v="6"/>
    <s v="Valentine"/>
    <s v="0-3"/>
    <x v="2"/>
    <m/>
  </r>
  <r>
    <d v="2027-02-05T00:00:00"/>
    <s v="https://www.etsy.com/ca/listing/4346126210/daddys-future-lifting-buddy-romper-baby?transaction_id=4898581806"/>
    <s v="Sage Green"/>
    <s v="Sage Green"/>
    <s v="3-6M (short-sleeve)"/>
    <s v="United States"/>
    <s v="Romper Short"/>
    <n v="2"/>
    <n v="6"/>
    <s v="Valentine"/>
    <s v="3-6"/>
    <x v="24"/>
    <m/>
  </r>
  <r>
    <d v="2027-02-06T00:00:00"/>
    <s v="https://www.etsy.com/ca/listing/4369764524/embroidered-snowman-baby-romper?transaction_id=4898751622"/>
    <s v="Cream"/>
    <s v="Cream"/>
    <s v=" 6-12M (long-sleeve)"/>
    <s v="United States"/>
    <s v="Romper Longer"/>
    <n v="2"/>
    <n v="6"/>
    <s v="Valentine"/>
    <s v="6-12"/>
    <x v="17"/>
    <m/>
  </r>
  <r>
    <d v="2027-02-07T00:00:00"/>
    <s v="https://www.etsy.com/ca/listing/4330485404/cat-face-embroidered-baby-romper-funny?transaction_id=4898873668"/>
    <s v="Salmon"/>
    <s v="Salmon"/>
    <s v=" 0-3M (short-sleeve)"/>
    <s v="United States"/>
    <s v="Romper Short"/>
    <n v="2"/>
    <n v="7"/>
    <s v="Valentine"/>
    <s v="0-3"/>
    <x v="32"/>
    <m/>
  </r>
  <r>
    <d v="2027-02-08T00:00:00"/>
    <s v="https://www.etsy.com/ca/listing/4376399899/the-littlest-book-club-member-baby?transaction_id=4898938420"/>
    <s v="White"/>
    <s v="White"/>
    <s v=" 3-6M (long-sleeve)"/>
    <s v="United States"/>
    <s v="Romper Longer"/>
    <n v="2"/>
    <n v="7"/>
    <s v="Valentine"/>
    <s v="3-6"/>
    <x v="70"/>
    <m/>
  </r>
  <r>
    <d v="2027-02-09T00:00:00"/>
    <s v="https://www.etsy.com/ca/listing/4330488178/embroidered-golf-baby-romper-new-to-the?transaction_id=4899080770"/>
    <s v="Cream"/>
    <s v="Cream"/>
    <s v="6-12M (short-sleeve)"/>
    <s v="United States"/>
    <s v="Romper Short"/>
    <n v="2"/>
    <n v="7"/>
    <s v="Valentine"/>
    <s v="6-12"/>
    <x v="47"/>
    <m/>
  </r>
  <r>
    <d v="2027-02-10T00:00:00"/>
    <s v="https://www.etsy.com/ca/listing/4371125103/personalized-dog-baby-bodysuit-custom?transaction_id=4913884533"/>
    <s v="Forest Green"/>
    <s v="Forest Green"/>
    <s v="3-6M (short-sleeve)"/>
    <s v="United States"/>
    <s v="Romper Short"/>
    <n v="2"/>
    <n v="7"/>
    <s v="Valentine"/>
    <s v="3-6"/>
    <x v="6"/>
    <m/>
  </r>
  <r>
    <d v="2027-02-11T00:00:00"/>
    <s v="https://www.etsy.com/ca/listing/4376399899/the-littlest-book-club-member-baby?transaction_id=4899385354"/>
    <s v="Sage Green"/>
    <s v="Sage Green"/>
    <s v=" 6-12M (long-sleeve)"/>
    <s v="United States"/>
    <s v="Romper Longer"/>
    <n v="2"/>
    <n v="7"/>
    <s v="Valentine"/>
    <s v="6-12"/>
    <x v="3"/>
    <m/>
  </r>
  <r>
    <d v="2027-02-12T00:00:00"/>
    <s v="https://www.etsy.com/ca/listing/4392935796/box-box-for-fresh-diapers-embroidered?transaction_id=4914202407"/>
    <s v="Caldet Blue"/>
    <s v="Caldet Blue"/>
    <s v="12-18M (short-sleeve)"/>
    <s v="United States"/>
    <s v="Romper Short"/>
    <n v="2"/>
    <n v="7"/>
    <s v="Valentine"/>
    <s v="12-18"/>
    <x v="72"/>
    <m/>
  </r>
  <r>
    <d v="2027-02-13T00:00:00"/>
    <s v="https://www.etsy.com/ca/listing/4376399899/the-littlest-book-club-member-baby?transaction_id=4914235745"/>
    <s v="Dusty Pink"/>
    <s v="Dusty Pink"/>
    <s v=" 3-6M (long-sleeve)"/>
    <s v="United States"/>
    <s v="Romper Longer"/>
    <n v="2"/>
    <n v="7"/>
    <s v="Valentine"/>
    <s v="3-6"/>
    <x v="8"/>
    <m/>
  </r>
  <r>
    <d v="2027-02-14T00:00:00"/>
    <s v="https://www.etsy.com/ca/listing/4371112234/personalized-pet-line-art-baby-bodysuit?transaction_id=4914363683"/>
    <s v="Cream"/>
    <s v="Cream"/>
    <s v=" 6-12M (long-sleeve)"/>
    <s v="United States"/>
    <s v="Romper Longer"/>
    <n v="2"/>
    <n v="8"/>
    <s v="Valentine"/>
    <s v="6-12"/>
    <x v="17"/>
    <m/>
  </r>
  <r>
    <d v="2027-02-15T00:00:00"/>
    <s v="https://www.etsy.com/ca/listing/4343133680/embroidered-bowling-baby-bodysuit-crawl?transaction_id=4914495857"/>
    <s v="Mauve Taupe"/>
    <s v="Mauve Taupe"/>
    <s v="6-12M (short-sleeve)"/>
    <s v="United States"/>
    <s v="Romper Short"/>
    <n v="2"/>
    <n v="8"/>
    <s v="Valentine"/>
    <s v="6-12"/>
    <x v="98"/>
    <m/>
  </r>
  <r>
    <d v="2027-02-16T00:00:00"/>
    <s v="https://www.etsy.com/ca/listing/4344231895/embroidered-baby-romper-shhh-im-reading?transaction_id=4914516239"/>
    <s v="Dusty Pink"/>
    <s v="Dusty Pink"/>
    <s v=" 0-3M (long-sleeve)"/>
    <s v="United States"/>
    <s v="Romper Longer"/>
    <n v="2"/>
    <n v="8"/>
    <s v="Valentine"/>
    <s v="0-3"/>
    <x v="45"/>
    <m/>
  </r>
  <r>
    <d v="2027-02-17T00:00:00"/>
    <s v="https://www.etsy.com/ca/listing/4330485404/cat-face-embroidered-baby-romper-funny?transaction_id=4914529823"/>
    <s v="Salmon"/>
    <s v="Salmon"/>
    <s v="12-18M (long-sleeve)"/>
    <s v="United States"/>
    <s v="Romper Longer"/>
    <n v="2"/>
    <n v="8"/>
    <s v="Valentine"/>
    <s v="12-18"/>
    <x v="103"/>
    <m/>
  </r>
  <r>
    <d v="2027-02-18T00:00:00"/>
    <s v="https://www.etsy.com/ca/listing/4369764524/embroidered-snowman-baby-romper?transaction_id=4914703323"/>
    <s v="Dusty Pink"/>
    <s v="Dusty Pink"/>
    <s v="3-6M (short-sleeve)"/>
    <s v="United States"/>
    <s v="Romper Short"/>
    <n v="2"/>
    <n v="8"/>
    <s v="Valentine"/>
    <s v="3-6"/>
    <x v="31"/>
    <m/>
  </r>
  <r>
    <d v="2027-02-19T00:00:00"/>
    <s v="https://www.etsy.com/ca/listing/4376399899/the-littlest-book-club-member-baby?transaction_id=4900250912"/>
    <s v="Sage Green"/>
    <s v="Sage Green"/>
    <s v=" 6-12M (long-sleeve)"/>
    <s v="United States"/>
    <s v="Romper Longer"/>
    <n v="2"/>
    <n v="8"/>
    <s v="Valentine"/>
    <s v="6-12"/>
    <x v="3"/>
    <m/>
  </r>
  <r>
    <d v="2027-02-20T00:00:00"/>
    <s v="https://www.etsy.com/ca/listing/4371125103/personalized-dog-baby-bodysuit-custom?transaction_id=4914809919"/>
    <s v="Cream"/>
    <s v="Cream"/>
    <s v=" 0-3M (long-sleeve)"/>
    <s v="United States"/>
    <s v="Romper Longer"/>
    <n v="2"/>
    <n v="8"/>
    <s v="Valentine"/>
    <s v="0-3"/>
    <x v="2"/>
    <m/>
  </r>
  <r>
    <d v="2027-02-21T00:00:00"/>
    <s v="https://www.etsy.com/ca/listing/4330504943/embroidered-tennis-baby-romper-daddys?transaction_id=4900441922"/>
    <s v="White"/>
    <s v="White"/>
    <s v=" 0-3M (long-sleeve)"/>
    <s v="United States"/>
    <s v="Romper Longer"/>
    <n v="2"/>
    <n v="9"/>
    <s v="Valentine"/>
    <s v="0-3"/>
    <x v="54"/>
    <m/>
  </r>
  <r>
    <d v="2027-02-22T00:00:00"/>
    <s v="https://www.etsy.com/ca/listing/4344232490/freshly-brewed-baby-bodysuit-cute-coffee?transaction_id=4900522506"/>
    <s v="Cream"/>
    <s v="Cream"/>
    <s v="3-6M (short-sleeve)"/>
    <s v="United States"/>
    <s v="Romper Short"/>
    <n v="2"/>
    <n v="9"/>
    <s v="Valentine"/>
    <s v="3-6"/>
    <x v="0"/>
    <m/>
  </r>
  <r>
    <d v="2027-02-23T00:00:00"/>
    <s v="https://www.etsy.com/ca/listing/4392935796/box-box-for-fresh-diapers-embroidered?transaction_id=4915183043"/>
    <s v="White"/>
    <s v="White"/>
    <s v=" 0-3M (short-sleeve)"/>
    <s v="United States"/>
    <s v="Romper Short"/>
    <n v="2"/>
    <n v="9"/>
    <s v="Valentine"/>
    <s v="0-3"/>
    <x v="21"/>
    <m/>
  </r>
  <r>
    <d v="2027-02-24T00:00:00"/>
    <s v="https://www.etsy.com/ca/listing/4376399899/the-littlest-book-club-member-baby?transaction_id=4900682960"/>
    <s v="Watermelon"/>
    <s v="Watermelon"/>
    <s v="3-6M (short-sleeve)"/>
    <s v="United States"/>
    <s v="Romper Short"/>
    <n v="2"/>
    <n v="9"/>
    <s v="Valentine"/>
    <s v="3-6"/>
    <x v="39"/>
    <m/>
  </r>
  <r>
    <d v="2027-02-25T00:00:00"/>
    <s v="https://www.etsy.com/ca/listing/4372350408/my-first-football-season-baby-romper?transaction_id=4915439999"/>
    <s v="Dusty Pink"/>
    <s v="Dusty Pink"/>
    <s v=" 6-12M (long-sleeve)"/>
    <s v="United States"/>
    <s v="Romper Longer"/>
    <n v="2"/>
    <n v="9"/>
    <s v="Valentine"/>
    <s v="6-12"/>
    <x v="51"/>
    <m/>
  </r>
  <r>
    <d v="2027-02-26T00:00:00"/>
    <s v="https://www.etsy.com/ca/listing/4371125103/personalized-dog-baby-bodysuit-custom?transaction_id=4915486773"/>
    <s v="Cream"/>
    <s v="Cream"/>
    <s v=" 0-3M (short-sleeve)"/>
    <s v="United States"/>
    <s v="Romper Short"/>
    <n v="2"/>
    <n v="9"/>
    <s v="Valentine"/>
    <s v="0-3"/>
    <x v="15"/>
    <m/>
  </r>
  <r>
    <d v="2027-02-27T00:00:00"/>
    <s v="https://www.etsy.com/ca/listing/4330477824/embroidered-crocodile-baby-bodysuit?transaction_id=4901215620"/>
    <s v="Coffee"/>
    <s v="Coffee"/>
    <s v="3-6M (short-sleeve)"/>
    <s v="United States"/>
    <s v="Romper Short"/>
    <n v="2"/>
    <n v="9"/>
    <s v="Valentine"/>
    <s v="3-6"/>
    <x v="18"/>
    <m/>
  </r>
  <r>
    <d v="2027-02-28T00:00:00"/>
    <s v="https://www.etsy.com/ca/listing/4393819210/sweet-dreams-are-made-of-cheese?transaction_id=4915695277"/>
    <s v="Cream"/>
    <s v="Cream"/>
    <s v="12-18M (long-sleeve)"/>
    <s v="United States"/>
    <s v="Romper Longer"/>
    <n v="2"/>
    <n v="10"/>
    <s v="Valentine"/>
    <s v="12-18"/>
    <x v="53"/>
    <m/>
  </r>
  <r>
    <d v="2027-03-01T00:00:00"/>
    <s v="https://www.etsy.com/ca/listing/4376399899/the-littlest-book-club-member-baby?transaction_id=4915751627"/>
    <s v="Dusty Pink"/>
    <s v="Dusty Pink"/>
    <s v="12-18M (short-sleeve)"/>
    <s v="United States"/>
    <s v="Romper Short"/>
    <n v="3"/>
    <n v="10"/>
    <s v="Easter"/>
    <s v="12-18"/>
    <x v="44"/>
    <m/>
  </r>
  <r>
    <d v="2027-03-02T00:00:00"/>
    <s v="https://www.etsy.com/ca/listing/4344237213/mamas-coffee-date-baby-bodysuit-funny?transaction_id=4916049657"/>
    <s v="Watermelon"/>
    <s v="Watermelon"/>
    <s v=" 0-3M (long-sleeve)"/>
    <s v="United States"/>
    <s v="Romper Longer"/>
    <n v="3"/>
    <n v="10"/>
    <s v="Easter"/>
    <s v="0-3"/>
    <x v="36"/>
    <m/>
  </r>
  <r>
    <d v="2027-03-03T00:00:00"/>
    <s v="https://www.etsy.com/ca/listing/4344232490/freshly-brewed-baby-bodysuit-cute-coffee?transaction_id=4901647892"/>
    <s v="Cream"/>
    <s v="Cream"/>
    <s v=" 0-3M (long-sleeve)"/>
    <s v="United States"/>
    <s v="Romper Longer"/>
    <n v="3"/>
    <n v="10"/>
    <s v="Easter"/>
    <s v="0-3"/>
    <x v="2"/>
    <m/>
  </r>
  <r>
    <d v="2027-03-04T00:00:00"/>
    <s v="https://www.etsy.com/ca/listing/4371125103/personalized-dog-baby-bodysuit-custom?transaction_id=4901458798"/>
    <s v="Salmon"/>
    <s v="Salmon"/>
    <s v=" 0-3M (long-sleeve)"/>
    <s v="United States"/>
    <s v="Romper Longer"/>
    <n v="3"/>
    <n v="10"/>
    <s v="Easter"/>
    <s v="0-3"/>
    <x v="84"/>
    <m/>
  </r>
  <r>
    <d v="2027-03-05T00:00:00"/>
    <s v="https://www.etsy.com/ca/listing/4343133641/golf-skills-loading-embroidered-baby?transaction_id=4901865972"/>
    <s v="Dusty Pink"/>
    <s v="Dusty Pink"/>
    <s v=" 3-6M (long-sleeve)"/>
    <s v="United States"/>
    <s v="Romper Longer"/>
    <n v="3"/>
    <n v="10"/>
    <s v="Easter"/>
    <s v="3-6"/>
    <x v="8"/>
    <m/>
  </r>
  <r>
    <d v="2027-03-06T00:00:00"/>
    <s v="https://www.etsy.com/ca/listing/4371125103/personalized-dog-baby-bodysuit-custom?transaction_id=4916299425"/>
    <s v="Forest Green"/>
    <s v="Forest Green"/>
    <s v=" 3-6M (long-sleeve)"/>
    <s v="United States"/>
    <s v="Romper Longer"/>
    <n v="3"/>
    <n v="10"/>
    <s v="Easter"/>
    <s v="3-6"/>
    <x v="4"/>
    <m/>
  </r>
  <r>
    <d v="2027-03-07T00:00:00"/>
    <s v="https://www.etsy.com/ca/listing/4371125103/personalized-dog-baby-bodysuit-custom?transaction_id=4901964620"/>
    <s v="Caldet Blue"/>
    <s v="Caldet Blue"/>
    <s v=" 3-6M (long-sleeve)"/>
    <s v="United States"/>
    <s v="Romper Longer"/>
    <n v="3"/>
    <n v="11"/>
    <s v="Easter"/>
    <s v="3-6"/>
    <x v="23"/>
    <m/>
  </r>
  <r>
    <d v="2027-03-08T00:00:00"/>
    <s v="https://www.etsy.com/ca/listing/4347265018/made-with-love-baby-romper-funny-baby?transaction_id=4916378947"/>
    <s v="Dusty Pink"/>
    <s v="Dusty Pink"/>
    <s v=" 3-6M (long-sleeve)"/>
    <s v="United States"/>
    <s v="Romper Longer"/>
    <n v="3"/>
    <n v="11"/>
    <s v="Easter"/>
    <s v="3-6"/>
    <x v="8"/>
    <m/>
  </r>
  <r>
    <d v="2027-03-09T00:00:00"/>
    <s v="https://www.etsy.com/ca/listing/4371125103/personalized-dog-baby-bodysuit-custom?transaction_id=4916381469"/>
    <s v="Coffee"/>
    <s v="Coffee"/>
    <s v=" 6-12M (long-sleeve)"/>
    <s v="United States"/>
    <s v="Romper Longer"/>
    <n v="3"/>
    <n v="11"/>
    <s v="Easter"/>
    <s v="6-12"/>
    <x v="86"/>
    <m/>
  </r>
  <r>
    <d v="2027-03-10T00:00:00"/>
    <s v="https://www.etsy.com/ca/listing/4330478867/personalized-hippo-baby-bodysuit-custom?transaction_id=4902125888"/>
    <s v="Caldet Blue"/>
    <s v="Caldet Blue"/>
    <s v=" 0-3M (long-sleeve)"/>
    <s v="United States"/>
    <s v="Romper Longer"/>
    <n v="3"/>
    <n v="11"/>
    <s v="Easter"/>
    <s v="0-3"/>
    <x v="9"/>
    <m/>
  </r>
  <r>
    <d v="2027-03-11T00:00:00"/>
    <s v="https://www.etsy.com/ca/listing/4344231895/embroidered-baby-romper-shhh-im-reading?transaction_id=4902143884"/>
    <s v="Dusty Pink"/>
    <s v="Dusty Pink"/>
    <s v="18-24M (short-sleeve)"/>
    <s v="United States"/>
    <s v="Romper Short"/>
    <n v="3"/>
    <n v="11"/>
    <s v="Easter"/>
    <s v="18-24"/>
    <x v="95"/>
    <m/>
  </r>
  <r>
    <d v="2027-03-12T00:00:00"/>
    <s v="https://www.etsy.com/ca/listing/4376399899/the-littlest-book-club-member-baby?transaction_id=4916760109"/>
    <s v="Sage Green"/>
    <s v="Sage Green"/>
    <s v=" 3-6M (long-sleeve)"/>
    <s v="United States"/>
    <s v="Romper Longer"/>
    <n v="3"/>
    <n v="11"/>
    <s v="Easter"/>
    <s v="3-6"/>
    <x v="7"/>
    <m/>
  </r>
  <r>
    <d v="2027-03-13T00:00:00"/>
    <s v="https://www.etsy.com/ca/listing/4330495722/embroidered-golf-baby-romper-custom?transaction_id=4902770108"/>
    <s v="Cream"/>
    <s v="Cream"/>
    <s v=" 0-3M (short-sleeve)"/>
    <s v="United States"/>
    <s v="Romper Short"/>
    <n v="3"/>
    <n v="11"/>
    <s v="Easter"/>
    <s v="0-3"/>
    <x v="15"/>
    <m/>
  </r>
  <r>
    <d v="2027-03-14T00:00:00"/>
    <s v="https://www.etsy.com/ca/listing/4344232490/freshly-brewed-baby-bodysuit-cute-coffee?transaction_id=4902810008"/>
    <s v="Cream"/>
    <s v="Cream"/>
    <s v=" 0-3M (long-sleeve)"/>
    <s v="United States"/>
    <s v="Romper Longer"/>
    <n v="3"/>
    <n v="12"/>
    <s v="Easter"/>
    <s v="0-3"/>
    <x v="2"/>
    <m/>
  </r>
  <r>
    <d v="2027-03-15T00:00:00"/>
    <s v="https://www.etsy.com/ca/listing/4372360540/taco-bout-cute-baby-romper-funny-food?transaction_id=4902844386"/>
    <s v="Watermelon"/>
    <s v="Watermelon"/>
    <s v="12-18M (long-sleeve)"/>
    <s v="United States"/>
    <s v="Romper Longer"/>
    <n v="3"/>
    <n v="12"/>
    <s v="Easter"/>
    <s v="12-18"/>
    <x v="78"/>
    <m/>
  </r>
  <r>
    <d v="2027-03-16T00:00:00"/>
    <s v="https://www.etsy.com/ca/listing/4343133641/golf-skills-loading-embroidered-baby?transaction_id=4917301321"/>
    <s v="Dusty Pink"/>
    <s v="Dusty Pink"/>
    <s v=" 0-3M (long-sleeve)"/>
    <s v="United States"/>
    <s v="Romper Longer"/>
    <n v="3"/>
    <n v="12"/>
    <s v="Easter"/>
    <s v="0-3"/>
    <x v="45"/>
    <m/>
  </r>
  <r>
    <d v="2027-03-17T00:00:00"/>
    <s v="https://www.etsy.com/ca/listing/4343133641/golf-skills-loading-embroidered-baby?transaction_id=4903092920"/>
    <s v="Texas Orange"/>
    <s v="Texas Orange"/>
    <s v=" 0-3M (long-sleeve)"/>
    <s v="United States"/>
    <s v="Romper Longer"/>
    <n v="3"/>
    <n v="12"/>
    <s v="Easter"/>
    <s v="0-3"/>
    <x v="83"/>
    <m/>
  </r>
  <r>
    <d v="2027-03-18T00:00:00"/>
    <s v="https://www.etsy.com/ca/listing/4346126210/daddys-future-lifting-buddy-romper-baby?transaction_id=4917367705"/>
    <s v="Cream"/>
    <s v="Cream"/>
    <s v="6-12M (short-sleeve)"/>
    <s v="United States"/>
    <s v="Romper Short"/>
    <n v="3"/>
    <n v="12"/>
    <s v="Easter"/>
    <s v="6-12"/>
    <x v="47"/>
    <m/>
  </r>
  <r>
    <d v="2027-03-19T00:00:00"/>
    <s v="https://www.etsy.com/ca/listing/4371125103/personalized-dog-baby-bodysuit-custom?transaction_id=4903341950"/>
    <s v="Sage Green"/>
    <s v="Sage Green"/>
    <s v=" 6-12M (long-sleeve)"/>
    <s v="United States"/>
    <s v="Romper Longer"/>
    <n v="3"/>
    <n v="12"/>
    <s v="Easter"/>
    <s v="6-12"/>
    <x v="3"/>
    <m/>
  </r>
  <r>
    <d v="2027-03-20T00:00:00"/>
    <s v="https://www.etsy.com/ca/listing/4392935796/box-box-for-fresh-diapers-embroidered?transaction_id=4917701081"/>
    <s v="Cream"/>
    <s v="Cream"/>
    <s v="3-6M (short-sleeve)"/>
    <s v="United States"/>
    <s v="Romper Short"/>
    <n v="3"/>
    <n v="12"/>
    <s v="Easter"/>
    <s v="3-6"/>
    <x v="0"/>
    <m/>
  </r>
  <r>
    <d v="2027-03-21T00:00:00"/>
    <s v="https://www.etsy.com/ca/listing/4376399899/the-littlest-book-club-member-baby?transaction_id=4917745355"/>
    <s v="Sage Green"/>
    <s v="Sage Green"/>
    <s v="3-6M (short-sleeve)"/>
    <s v="United States"/>
    <s v="Romper Short"/>
    <n v="3"/>
    <n v="13"/>
    <s v="Easter"/>
    <s v="3-6"/>
    <x v="24"/>
    <m/>
  </r>
  <r>
    <d v="2027-03-22T00:00:00"/>
    <s v="https://www.etsy.com/ca/listing/4376399899/the-littlest-book-club-member-baby?transaction_id=4903598262"/>
    <s v="Cream"/>
    <s v="Cream"/>
    <s v=" 6-12M (long-sleeve)"/>
    <s v="United States"/>
    <s v="Romper Longer"/>
    <n v="3"/>
    <n v="13"/>
    <s v="Easter"/>
    <s v="6-12"/>
    <x v="17"/>
    <m/>
  </r>
  <r>
    <d v="2027-03-23T00:00:00"/>
    <s v="https://www.etsy.com/ca/listing/4376399899/the-littlest-book-club-member-baby?transaction_id=4917792051"/>
    <s v="Sage Green"/>
    <s v="Sage Green"/>
    <s v="3-6M (short-sleeve)"/>
    <s v="United States"/>
    <s v="Romper Short"/>
    <n v="3"/>
    <n v="13"/>
    <s v="Easter"/>
    <s v="3-6"/>
    <x v="24"/>
    <m/>
  </r>
  <r>
    <d v="2027-03-24T00:00:00"/>
    <s v="https://www.etsy.com/ca/listing/4330488178/embroidered-golf-baby-romper-new-to-the?transaction_id=4903720986"/>
    <s v="Cream"/>
    <s v="Cream"/>
    <s v=" 3-6M (long-sleeve)"/>
    <s v="United States"/>
    <s v="Romper Longer"/>
    <n v="3"/>
    <n v="13"/>
    <s v="Easter"/>
    <s v="3-6"/>
    <x v="1"/>
    <m/>
  </r>
  <r>
    <d v="2027-03-25T00:00:00"/>
    <s v="https://www.etsy.com/ca/listing/4330488178/embroidered-golf-baby-romper-new-to-the?transaction_id=4903847702"/>
    <s v="White"/>
    <s v="White"/>
    <s v=" 0-3M (long-sleeve)"/>
    <s v="United States"/>
    <s v="Romper Longer"/>
    <n v="3"/>
    <n v="13"/>
    <s v="Easter"/>
    <s v="0-3"/>
    <x v="54"/>
    <m/>
  </r>
  <r>
    <d v="2027-03-26T00:00:00"/>
    <s v="https://www.etsy.com/ca/listing/4330488178/embroidered-golf-baby-romper-new-to-the?transaction_id=4918020125"/>
    <s v="Cream"/>
    <s v="Cream"/>
    <s v=" 0-3M (long-sleeve)"/>
    <s v="United States"/>
    <s v="Romper Longer"/>
    <n v="3"/>
    <n v="13"/>
    <s v="Easter"/>
    <s v="0-3"/>
    <x v="2"/>
    <m/>
  </r>
  <r>
    <d v="2027-03-27T00:00:00"/>
    <s v="https://www.etsy.com/ca/listing/4392936921/apparently-i-like-golf-embroidered?transaction_id=4903920838"/>
    <s v="Sage Green"/>
    <s v="Sage Green"/>
    <s v=" 0-3M (long-sleeve)"/>
    <s v="United States"/>
    <s v="Romper Longer"/>
    <n v="3"/>
    <n v="13"/>
    <s v="Easter"/>
    <s v="0-3"/>
    <x v="5"/>
    <m/>
  </r>
  <r>
    <d v="2027-03-28T00:00:00"/>
    <s v="https://www.etsy.com/ca/listing/4330488178/embroidered-golf-baby-romper-new-to-the?transaction_id=4904201578"/>
    <s v="Cream"/>
    <s v="Cream"/>
    <s v="12-18M (long-sleeve)"/>
    <s v="United States"/>
    <s v="Romper Longer"/>
    <n v="3"/>
    <n v="14"/>
    <s v="Easter"/>
    <s v="12-18"/>
    <x v="53"/>
    <m/>
  </r>
  <r>
    <d v="2027-03-29T00:00:00"/>
    <s v="https://www.etsy.com/ca/listing/4376399899/the-littlest-book-club-member-baby?transaction_id=4918307199"/>
    <s v="Cream"/>
    <s v="Cream"/>
    <s v=" 0-3M (long-sleeve)"/>
    <s v="United States"/>
    <s v="Romper Longer"/>
    <n v="3"/>
    <n v="14"/>
    <s v="Easter"/>
    <s v="0-3"/>
    <x v="2"/>
    <m/>
  </r>
  <r>
    <d v="2027-03-30T00:00:00"/>
    <s v="https://www.etsy.com/ca/listing/4333134764/wizard-font-baby-romper-personalized?transaction_id=4918491641"/>
    <s v="Salmon"/>
    <s v="Salmon"/>
    <s v="3-6M (short-sleeve)"/>
    <s v="United States"/>
    <s v="Romper Short"/>
    <n v="3"/>
    <n v="14"/>
    <s v="Easter"/>
    <s v="3-6"/>
    <x v="50"/>
    <m/>
  </r>
  <r>
    <d v="2027-03-31T00:00:00"/>
    <s v="https://www.etsy.com/ca/listing/4333134764/wizard-font-baby-romper-personalized?transaction_id=4904405986"/>
    <s v="Sage Green"/>
    <s v="Sage Green"/>
    <s v="3-6M (short-sleeve)"/>
    <s v="United States"/>
    <s v="Romper Short"/>
    <n v="3"/>
    <n v="14"/>
    <s v="Easter"/>
    <s v="3-6"/>
    <x v="24"/>
    <m/>
  </r>
  <r>
    <d v="2027-04-01T00:00:00"/>
    <s v="https://www.etsy.com/ca/listing/4333134764/wizard-font-baby-romper-personalized?transaction_id=4918532157"/>
    <s v="Forest Green"/>
    <s v="Forest Green"/>
    <s v="3-6M (short-sleeve)"/>
    <s v="United States"/>
    <s v="Romper Short"/>
    <n v="4"/>
    <n v="14"/>
    <s v="Easter"/>
    <s v="3-6"/>
    <x v="6"/>
    <m/>
  </r>
  <r>
    <d v="2027-04-02T00:00:00"/>
    <s v="https://www.etsy.com/ca/listing/4392936688/shhh-im-watching-motogp-with-daddy?transaction_id=4918662347"/>
    <s v="Caldet Blue"/>
    <s v="Caldet Blue"/>
    <s v="6-12M (short-sleeve)"/>
    <s v="United States"/>
    <s v="Romper Short"/>
    <n v="4"/>
    <n v="14"/>
    <s v="Easter"/>
    <s v="6-12"/>
    <x v="63"/>
    <m/>
  </r>
  <r>
    <d v="2027-04-03T00:00:00"/>
    <s v="https://www.etsy.com/ca/listing/4372352286/silly-goose-baby-romper-funny-infant?transaction_id=4918798903"/>
    <s v="Cream"/>
    <s v="Cream"/>
    <s v=" 3-6M (long-sleeve)"/>
    <s v="United States"/>
    <s v="Romper Longer"/>
    <n v="4"/>
    <n v="14"/>
    <s v="Easter"/>
    <s v="3-6"/>
    <x v="1"/>
    <m/>
  </r>
  <r>
    <d v="2027-04-04T00:00:00"/>
    <s v="https://www.etsy.com/ca/listing/4376399899/the-littlest-book-club-member-baby?transaction_id=4905160166"/>
    <s v="Sage Green"/>
    <s v="Sage Green"/>
    <s v="3-6M (short-sleeve)"/>
    <s v="United States"/>
    <s v="Romper Short"/>
    <n v="4"/>
    <n v="15"/>
    <s v="Easter"/>
    <s v="3-6"/>
    <x v="24"/>
    <m/>
  </r>
  <r>
    <d v="2027-04-05T00:00:00"/>
    <s v="https://www.etsy.com/ca/listing/4376392339/funny-baby-romper-my-brand-of-formula?transaction_id=4919165019"/>
    <s v="Cream"/>
    <s v="Cream"/>
    <s v="3-6M (short-sleeve)"/>
    <s v="United States"/>
    <s v="Romper Short"/>
    <n v="4"/>
    <n v="15"/>
    <s v="Easter"/>
    <s v="3-6"/>
    <x v="0"/>
    <m/>
  </r>
  <r>
    <d v="2027-04-06T00:00:00"/>
    <s v="https://www.etsy.com/ca/listing/4392936921/apparently-i-like-golf-embroidered?transaction_id=4905165954"/>
    <s v="Cream"/>
    <s v="Cream"/>
    <s v=" 6-12M (long-sleeve)"/>
    <s v="United States"/>
    <s v="Romper Longer"/>
    <n v="4"/>
    <n v="15"/>
    <s v="Easter"/>
    <s v="6-12"/>
    <x v="17"/>
    <m/>
  </r>
  <r>
    <d v="2027-04-07T00:00:00"/>
    <s v="https://www.etsy.com/ca/listing/4376389783/player-2-baby-romper-gamer-baby-outfit?transaction_id=4905193530"/>
    <s v="Sage Green"/>
    <s v="Sage Green"/>
    <s v=" 3-6M (long-sleeve)"/>
    <s v="United States"/>
    <s v="Romper Longer"/>
    <n v="4"/>
    <n v="15"/>
    <s v="Easter"/>
    <s v="3-6"/>
    <x v="7"/>
    <m/>
  </r>
  <r>
    <d v="2027-04-08T00:00:00"/>
    <s v="https://www.etsy.com/ca/listing/4376399899/the-littlest-book-club-member-baby?transaction_id=4919206035"/>
    <s v="Cream"/>
    <s v="Cream"/>
    <s v=" 6-12M (long-sleeve)"/>
    <s v="United States"/>
    <s v="Romper Longer"/>
    <n v="4"/>
    <n v="15"/>
    <s v="Easter"/>
    <s v="6-12"/>
    <x v="17"/>
    <m/>
  </r>
  <r>
    <d v="2027-04-09T00:00:00"/>
    <s v="https://www.etsy.com/ca/listing/4376399899/the-littlest-book-club-member-baby?transaction_id=4919435813"/>
    <s v="Dusty Pink"/>
    <s v="Dusty Pink"/>
    <s v="3-6M (short-sleeve)"/>
    <s v="United States"/>
    <s v="Romper Short"/>
    <n v="4"/>
    <n v="15"/>
    <s v="Easter"/>
    <s v="3-6"/>
    <x v="31"/>
    <m/>
  </r>
  <r>
    <d v="2027-04-10T00:00:00"/>
    <s v="https://www.etsy.com/ca/listing/4376392339/funny-baby-romper-my-brand-of-formula?transaction_id=4905498500"/>
    <s v="Cream"/>
    <s v="Cream"/>
    <s v=" 0-3M (short-sleeve)"/>
    <s v="United States"/>
    <s v="Romper Short"/>
    <n v="4"/>
    <n v="15"/>
    <s v="Easter"/>
    <s v="0-3"/>
    <x v="15"/>
    <m/>
  </r>
  <r>
    <d v="2027-04-11T00:00:00"/>
    <s v="https://www.etsy.com/ca/listing/4330488178/embroidered-golf-baby-romper-new-to-the?transaction_id=4905545492"/>
    <s v="Dusty Pink"/>
    <s v="Dusty Pink"/>
    <s v="6-12M (short-sleeve)"/>
    <s v="United States"/>
    <s v="Romper Short"/>
    <n v="4"/>
    <n v="16"/>
    <s v="Easter"/>
    <s v="6-12"/>
    <x v="35"/>
    <m/>
  </r>
  <r>
    <d v="2025-08-11T00:00:00"/>
    <s v="https://www.etsy.com/ca/listing/4392935796/box-box-for-fresh-diapers-embroidered?transaction_id=4919511625"/>
    <s v="Cream"/>
    <s v="Cream"/>
    <s v=" 0-3M (long-sleeve)"/>
    <s v="United States"/>
    <s v="Romper Longer"/>
    <n v="8"/>
    <n v="33"/>
    <s v="Summer"/>
    <s v="0-3"/>
    <x v="2"/>
    <m/>
  </r>
  <r>
    <d v="2025-08-12T00:00:00"/>
    <s v="https://www.etsy.com/ca/listing/4392936921/apparently-i-like-golf-embroidered?transaction_id=4919519099"/>
    <s v="Dusty Pink"/>
    <s v="Dusty Pink"/>
    <s v=" 0-3M (short-sleeve)"/>
    <s v="United States"/>
    <s v="Romper Short"/>
    <n v="8"/>
    <n v="33"/>
    <s v="Summer"/>
    <s v="0-3"/>
    <x v="34"/>
    <m/>
  </r>
  <r>
    <d v="2025-08-13T00:00:00"/>
    <s v="https://www.etsy.com/ca/listing/4376399899/the-littlest-book-club-member-baby?transaction_id=4905571542"/>
    <s v="Cream"/>
    <s v="Cream"/>
    <s v=" 3-6M (long-sleeve)"/>
    <s v="United States"/>
    <s v="Romper Longer"/>
    <n v="8"/>
    <n v="33"/>
    <s v="Summer"/>
    <s v="3-6"/>
    <x v="1"/>
    <m/>
  </r>
  <r>
    <d v="2025-08-14T00:00:00"/>
    <s v="https://www.etsy.com/ca/listing/4347263856/besties-baby-romper-matching-baby-outfit?transaction_id=4919675315"/>
    <s v="Dusty Pink"/>
    <s v="Dusty Pink"/>
    <s v=" 6-12M (long-sleeve)"/>
    <s v="United States"/>
    <s v="Romper Longer"/>
    <n v="8"/>
    <n v="33"/>
    <s v="Summer"/>
    <s v="6-12"/>
    <x v="51"/>
    <m/>
  </r>
  <r>
    <d v="2025-08-15T00:00:00"/>
    <s v="https://www.etsy.com/ca/listing/4347263856/besties-baby-romper-matching-baby-outfit?transaction_id=4919675313"/>
    <s v="Caldet Blue"/>
    <s v="Caldet Blue"/>
    <s v=" 3-6M (long-sleeve)"/>
    <s v="United States"/>
    <s v="Romper Longer"/>
    <n v="8"/>
    <n v="33"/>
    <s v="Summer"/>
    <s v="3-6"/>
    <x v="23"/>
    <m/>
  </r>
  <r>
    <d v="2025-08-16T00:00:00"/>
    <s v="https://www.etsy.com/ca/listing/4347263856/besties-baby-romper-matching-baby-outfit?transaction_id=4905727382"/>
    <s v="Dusty Pink"/>
    <s v="Dusty Pink"/>
    <s v=" 3-6M (long-sleeve)"/>
    <s v="United States"/>
    <s v="Romper Longer"/>
    <n v="8"/>
    <n v="33"/>
    <s v="Summer"/>
    <s v="3-6"/>
    <x v="8"/>
    <m/>
  </r>
  <r>
    <d v="2025-08-17T00:00:00"/>
    <s v="https://www.etsy.com/ca/listing/4347263856/besties-baby-romper-matching-baby-outfit?transaction_id=4905727380"/>
    <s v="Caldet Blue"/>
    <s v="Caldet Blue"/>
    <s v=" 6-12M (long-sleeve)"/>
    <s v="United States"/>
    <s v="Romper Longer"/>
    <n v="8"/>
    <n v="34"/>
    <s v="Summer"/>
    <s v="6-12"/>
    <x v="25"/>
    <m/>
  </r>
  <r>
    <d v="2025-08-18T00:00:00"/>
    <s v="https://www.etsy.com/ca/listing/4371125103/personalized-dog-baby-bodysuit-custom?transaction_id=4919767563"/>
    <s v="Cream"/>
    <s v="Cream"/>
    <s v=" 3-6M (long-sleeve)"/>
    <s v="United States"/>
    <s v="Romper Longer"/>
    <n v="8"/>
    <n v="34"/>
    <s v="Summer"/>
    <s v="3-6"/>
    <x v="1"/>
    <m/>
  </r>
  <r>
    <d v="2025-08-19T00:00:00"/>
    <s v="https://www.etsy.com/ca/listing/4376399899/the-littlest-book-club-member-baby?transaction_id=4905846156"/>
    <s v="Cream"/>
    <s v="Cream"/>
    <s v=" 0-3M (long-sleeve)"/>
    <s v="United States"/>
    <s v="Romper Longer"/>
    <n v="8"/>
    <n v="34"/>
    <s v="Summer"/>
    <s v="0-3"/>
    <x v="2"/>
    <m/>
  </r>
  <r>
    <d v="2025-08-20T00:00:00"/>
    <s v="https://www.etsy.com/ca/listing/4347263856/besties-baby-romper-matching-baby-outfit?transaction_id=4883381966"/>
    <s v="White"/>
    <s v="White"/>
    <s v=" 0-3M (short-sleeve)"/>
    <s v="United States"/>
    <s v="Romper Short"/>
    <n v="8"/>
    <n v="34"/>
    <s v="Summer"/>
    <s v="0-3"/>
    <x v="21"/>
    <m/>
  </r>
  <r>
    <d v="2025-08-21T00:00:00"/>
    <s v="https://www.etsy.com/ca/listing/4347263856/besties-baby-romper-matching-baby-outfit?transaction_id=4883381966"/>
    <s v="White"/>
    <s v="White"/>
    <s v=" 0-3M (short-sleeve)"/>
    <s v="United States"/>
    <s v="Romper Short"/>
    <n v="8"/>
    <n v="34"/>
    <s v="Summer"/>
    <s v="0-3"/>
    <x v="21"/>
    <m/>
  </r>
  <r>
    <d v="2025-08-22T00:00:00"/>
    <s v="https://www.etsy.com/ca/listing/4347885967/gigis-bestie-baby-bodysuit-baby-shower?transaction_id=4910107281"/>
    <s v="Watermelon"/>
    <s v="Watermelon"/>
    <s v=" 0-3M (long-sleeve)"/>
    <s v="United States"/>
    <s v="Romper Longer"/>
    <n v="8"/>
    <n v="34"/>
    <s v="Summer"/>
    <s v="0-3"/>
    <x v="36"/>
    <m/>
  </r>
  <r>
    <d v="2025-08-23T00:00:00"/>
    <s v="https://www.etsy.com/ca/listing/4330485404/cat-face-embroidered-baby-romper-funny?transaction_id=4890004286"/>
    <s v="Cream"/>
    <s v="Cream"/>
    <s v=" 0-3M (short-sleeve)"/>
    <s v="United States"/>
    <s v="Romper Short"/>
    <n v="8"/>
    <n v="34"/>
    <s v="Summer"/>
    <s v="0-3"/>
    <x v="15"/>
    <m/>
  </r>
  <r>
    <d v="2025-08-24T00:00:00"/>
    <s v="https://www.etsy.com/ca/listing/4344231895/embroidered-baby-romper-shhh-im-reading?transaction_id=4921154513"/>
    <s v="Forest Green"/>
    <s v="Forest Green"/>
    <s v="3-6M (short-sleeve)"/>
    <s v="United States"/>
    <s v="Romper Short"/>
    <n v="8"/>
    <n v="35"/>
    <s v="Summer"/>
    <s v="3-6"/>
    <x v="6"/>
    <m/>
  </r>
  <r>
    <d v="2025-08-25T00:00:00"/>
    <s v="https://www.etsy.com/ca/listing/4376399899/the-littlest-book-club-member-baby?transaction_id=4901145602"/>
    <s v="Caldet Blue"/>
    <s v="Caldet Blue"/>
    <s v=" 0-3M (short-sleeve)"/>
    <s v="United States"/>
    <s v="Romper Short"/>
    <n v="8"/>
    <n v="35"/>
    <s v="Summer"/>
    <s v="0-3"/>
    <x v="38"/>
    <m/>
  </r>
  <r>
    <d v="2025-08-26T00:00:00"/>
    <s v="https://www.etsy.com/ca/listing/4330485404/cat-face-embroidered-baby-romper-funny?transaction_id=4920029057"/>
    <s v="Cream"/>
    <s v="Cream"/>
    <s v="3-6M (short-sleeve)"/>
    <s v="United States"/>
    <s v="Romper Short"/>
    <n v="8"/>
    <n v="35"/>
    <s v="Summer"/>
    <s v="3-6"/>
    <x v="0"/>
    <m/>
  </r>
  <r>
    <d v="2025-08-27T00:00:00"/>
    <s v="https://www.etsy.com/ca/listing/4351827687/handsome-just-like-daddy-baby-romper?transaction_id=4920029055"/>
    <s v="Coffee"/>
    <s v="Coffee"/>
    <s v="3-6M (short-sleeve)"/>
    <s v="United States"/>
    <s v="Romper Short"/>
    <n v="8"/>
    <n v="35"/>
    <s v="Summer"/>
    <s v="3-6"/>
    <x v="18"/>
    <m/>
  </r>
  <r>
    <d v="2025-08-28T00:00:00"/>
    <s v="https://www.etsy.com/ca/listing/4376399899/the-littlest-book-club-member-baby?transaction_id=4906130344"/>
    <s v="Sage Green"/>
    <s v="Sage Green"/>
    <s v=" 0-3M (long-sleeve)"/>
    <s v="United States"/>
    <s v="Romper Longer"/>
    <n v="8"/>
    <n v="35"/>
    <s v="Summer"/>
    <s v="0-3"/>
    <x v="5"/>
    <m/>
  </r>
  <r>
    <d v="2025-08-29T00:00:00"/>
    <s v="https://www.etsy.com/ca/listing/4392935796/box-box-for-fresh-diapers-embroidered?transaction_id=4920075451"/>
    <s v="Sage Green"/>
    <s v="Sage Green"/>
    <s v="3-6M (short-sleeve)"/>
    <s v="United States"/>
    <s v="Romper Short"/>
    <n v="8"/>
    <n v="35"/>
    <s v="Summer"/>
    <s v="3-6"/>
    <x v="24"/>
    <m/>
  </r>
  <r>
    <d v="2025-08-30T00:00:00"/>
    <s v="https://www.etsy.com/ca/listing/4392935796/box-box-for-fresh-diapers-embroidered?transaction_id=4906180570"/>
    <s v="Sage Green"/>
    <s v="Sage Green"/>
    <s v=" 6-12M (long-sleeve)"/>
    <s v="United States"/>
    <s v="Romper Longer"/>
    <n v="8"/>
    <n v="35"/>
    <s v="Summer"/>
    <s v="6-12"/>
    <x v="3"/>
    <m/>
  </r>
  <r>
    <d v="2025-08-31T00:00:00"/>
    <s v="https://www.etsy.com/ca/listing/4376389783/player-2-baby-romper-gamer-baby-outfit?transaction_id=4906432830"/>
    <s v="Cream"/>
    <s v="Cream"/>
    <s v=" 3-6M (long-sleeve)"/>
    <s v="United States"/>
    <s v="Romper Longer"/>
    <n v="8"/>
    <n v="36"/>
    <s v="Summer"/>
    <s v="3-6"/>
    <x v="1"/>
    <m/>
  </r>
  <r>
    <d v="2025-09-01T00:00:00"/>
    <s v="https://www.etsy.com/ca/listing/4330504943/embroidered-tennis-baby-romper-daddys?transaction_id=4906519306"/>
    <s v="Cream"/>
    <s v="Cream"/>
    <s v=" 6-12M (long-sleeve)"/>
    <s v="United States"/>
    <s v="Romper Longer"/>
    <n v="9"/>
    <n v="36"/>
    <s v="Normal"/>
    <s v="6-12"/>
    <x v="17"/>
    <m/>
  </r>
  <r>
    <d v="2025-09-02T00:00:00"/>
    <s v="https://www.etsy.com/ca/listing/4376399899/the-littlest-book-club-member-baby?transaction_id=4920405157"/>
    <s v="Caldet Blue"/>
    <s v="Caldet Blue"/>
    <s v="3-6M (short-sleeve)"/>
    <s v="United States"/>
    <s v="Romper Short"/>
    <n v="9"/>
    <n v="36"/>
    <s v="Normal"/>
    <s v="3-6"/>
    <x v="29"/>
    <m/>
  </r>
  <r>
    <d v="2025-09-03T00:00:00"/>
    <s v="https://www.etsy.com/ca/listing/4371125103/personalized-dog-baby-bodysuit-custom?transaction_id=4920477005"/>
    <s v="Caldet Blue"/>
    <s v="Caldet Blue"/>
    <s v="3-6M (short-sleeve)"/>
    <s v="United States"/>
    <s v="Romper Short"/>
    <n v="9"/>
    <n v="36"/>
    <s v="Normal"/>
    <s v="3-6"/>
    <x v="29"/>
    <m/>
  </r>
  <r>
    <d v="2025-09-04T00:00:00"/>
    <s v="https://www.etsy.com/ca/listing/4376399899/the-littlest-book-club-member-baby?transaction_id=4920493027"/>
    <s v="Sage Green"/>
    <s v="Sage Green"/>
    <s v="6-12M (short-sleeve)"/>
    <s v="United States"/>
    <s v="Romper Short"/>
    <n v="9"/>
    <n v="36"/>
    <s v="Normal"/>
    <s v="6-12"/>
    <x v="19"/>
    <m/>
  </r>
  <r>
    <d v="2025-09-05T00:00:00"/>
    <s v="https://www.etsy.com/ca/listing/4330504943/embroidered-tennis-baby-romper-daddys?transaction_id=4920675535"/>
    <s v="Cream"/>
    <s v="Cream"/>
    <s v="3-6M (short-sleeve)"/>
    <s v="United States"/>
    <s v="Romper Short"/>
    <n v="9"/>
    <n v="36"/>
    <s v="Normal"/>
    <s v="3-6"/>
    <x v="0"/>
    <m/>
  </r>
  <r>
    <d v="2025-09-06T00:00:00"/>
    <s v="https://www.etsy.com/ca/listing/4376399899/the-littlest-book-club-member-baby?transaction_id=4906846794"/>
    <s v="Dusty Pink"/>
    <s v="Dusty Pink"/>
    <s v=" 0-3M (long-sleeve)"/>
    <s v="United States"/>
    <s v="Romper Longer"/>
    <n v="9"/>
    <n v="36"/>
    <s v="Normal"/>
    <s v="0-3"/>
    <x v="45"/>
    <m/>
  </r>
  <r>
    <d v="2025-09-07T00:00:00"/>
    <s v="https://www.etsy.com/ca/listing/4392962015/cant-wait-to-jam-with-daddy-embroidered?transaction_id=4906864300"/>
    <s v="Cream"/>
    <s v="Cream"/>
    <s v=" 0-3M (short-sleeve)"/>
    <s v="United States"/>
    <s v="Romper Short"/>
    <n v="9"/>
    <n v="37"/>
    <s v="Normal"/>
    <s v="0-3"/>
    <x v="15"/>
    <m/>
  </r>
  <r>
    <d v="2025-09-08T00:00:00"/>
    <s v="https://www.etsy.com/ca/listing/4372350408/my-first-football-season-baby-romper?transaction_id=4920786839"/>
    <s v="Cream"/>
    <s v="Cream"/>
    <s v=" 3-6M (long-sleeve)"/>
    <s v="United States"/>
    <s v="Romper Longer"/>
    <n v="9"/>
    <n v="37"/>
    <s v="Normal"/>
    <s v="3-6"/>
    <x v="1"/>
    <m/>
  </r>
  <r>
    <d v="2025-09-09T00:00:00"/>
    <s v="https://www.etsy.com/ca/listing/4376399899/the-littlest-book-club-member-baby?transaction_id=4906985906"/>
    <s v="Cream"/>
    <s v="Cream"/>
    <s v="3-6M (short-sleeve)"/>
    <s v="United States"/>
    <s v="Romper Short"/>
    <n v="9"/>
    <n v="37"/>
    <s v="Normal"/>
    <s v="3-6"/>
    <x v="0"/>
    <m/>
  </r>
  <r>
    <d v="2025-09-10T00:00:00"/>
    <s v="https://www.etsy.com/ca/listing/4330488178/embroidered-golf-baby-romper-new-to-the?transaction_id=4920892779"/>
    <s v="Cream"/>
    <s v="Cream"/>
    <s v=" 3-6M (long-sleeve)"/>
    <s v="United States"/>
    <s v="Romper Longer"/>
    <n v="9"/>
    <n v="37"/>
    <s v="Normal"/>
    <s v="3-6"/>
    <x v="1"/>
    <m/>
  </r>
  <r>
    <d v="2025-09-11T00:00:00"/>
    <s v="https://www.etsy.com/ca/listing/4376399899/the-littlest-book-club-member-baby?transaction_id=4907113370"/>
    <s v="Sage Green"/>
    <s v="Sage Green"/>
    <s v="3-6M (short-sleeve)"/>
    <s v="United States"/>
    <s v="Romper Short"/>
    <n v="9"/>
    <n v="37"/>
    <s v="Normal"/>
    <s v="3-6"/>
    <x v="24"/>
    <m/>
  </r>
  <r>
    <d v="2025-09-12T00:00:00"/>
    <s v="https://www.etsy.com/ca/listing/4376399899/the-littlest-book-club-member-baby?transaction_id=4907184016"/>
    <s v="Cream"/>
    <s v="Cream"/>
    <s v="3-6M (short-sleeve)"/>
    <s v="United States"/>
    <s v="Romper Short"/>
    <n v="9"/>
    <n v="37"/>
    <s v="Normal"/>
    <s v="3-6"/>
    <x v="0"/>
    <m/>
  </r>
  <r>
    <d v="2025-09-13T00:00:00"/>
    <s v="https://www.etsy.com/ca/listing/4376399899/the-littlest-book-club-member-baby?transaction_id=4907236086"/>
    <s v="Forest Green"/>
    <s v="Forest Green"/>
    <s v=" 6-12M (long-sleeve)"/>
    <s v="United States"/>
    <s v="Romper Longer"/>
    <n v="9"/>
    <n v="37"/>
    <s v="Normal"/>
    <s v="6-12"/>
    <x v="30"/>
    <m/>
  </r>
  <r>
    <d v="2025-09-14T00:00:00"/>
    <s v="https://www.etsy.com/ca/listing/4371125103/personalized-dog-baby-bodysuit-custom?transaction_id=4907529194"/>
    <s v="Dusty Pink"/>
    <s v="Dusty Pink"/>
    <s v=" 0-3M (long-sleeve)"/>
    <s v="United States"/>
    <s v="Romper Longer"/>
    <n v="9"/>
    <n v="38"/>
    <s v="Normal"/>
    <s v="0-3"/>
    <x v="45"/>
    <m/>
  </r>
  <r>
    <d v="2025-09-15T00:00:00"/>
    <s v="https://www.etsy.com/ca/listing/4376399899/the-littlest-book-club-member-baby?transaction_id=4907718928"/>
    <s v="Dusty Pink"/>
    <s v="Dusty Pink"/>
    <s v=" 0-3M (long-sleeve)"/>
    <s v="United States"/>
    <s v="Romper Longer"/>
    <n v="9"/>
    <n v="38"/>
    <s v="Normal"/>
    <s v="0-3"/>
    <x v="45"/>
    <m/>
  </r>
  <r>
    <d v="2025-09-16T00:00:00"/>
    <s v="https://www.etsy.com/ca/listing/4376399899/the-littlest-book-club-member-baby?transaction_id=4921495783"/>
    <s v="Cream"/>
    <s v="Cream"/>
    <s v=" 0-3M (short-sleeve)"/>
    <s v="United States"/>
    <s v="Romper Short"/>
    <n v="9"/>
    <n v="38"/>
    <s v="Normal"/>
    <s v="0-3"/>
    <x v="15"/>
    <m/>
  </r>
  <r>
    <d v="2025-09-17T00:00:00"/>
    <s v="https://www.etsy.com/ca/listing/4330488178/embroidered-golf-baby-romper-new-to-the?transaction_id=4907827022"/>
    <s v="Dusty Pink"/>
    <s v="Dusty Pink"/>
    <s v="3-6M (short-sleeve)"/>
    <s v="United States"/>
    <s v="Romper Short"/>
    <n v="9"/>
    <n v="38"/>
    <s v="Normal"/>
    <s v="3-6"/>
    <x v="31"/>
    <m/>
  </r>
  <r>
    <d v="2025-09-18T00:00:00"/>
    <s v="https://www.etsy.com/ca/listing/4376399899/the-littlest-book-club-member-baby?transaction_id=4908043188"/>
    <s v="Forest Green"/>
    <s v="Forest Green"/>
    <s v=" 3-6M (long-sleeve)"/>
    <s v="United States"/>
    <s v="Romper Longer"/>
    <n v="9"/>
    <n v="38"/>
    <s v="Normal"/>
    <s v="3-6"/>
    <x v="4"/>
    <m/>
  </r>
  <r>
    <d v="2025-09-19T00:00:00"/>
    <s v="https://www.etsy.com/ca/listing/4330488178/embroidered-golf-baby-romper-new-to-the?transaction_id=4921823849"/>
    <s v="Cream"/>
    <s v="Cream"/>
    <s v=" 3-6M (long-sleeve)"/>
    <s v="United States"/>
    <s v="Romper Longer"/>
    <n v="9"/>
    <n v="38"/>
    <s v="Normal"/>
    <s v="3-6"/>
    <x v="1"/>
    <m/>
  </r>
  <r>
    <d v="2025-09-20T00:00:00"/>
    <s v="https://www.etsy.com/ca/listing/4392962015/cant-wait-to-jam-with-daddy-embroidered?transaction_id=4908129704"/>
    <s v="Cream"/>
    <s v="Cream"/>
    <s v=" 3-6M (long-sleeve)"/>
    <s v="United States"/>
    <s v="Romper Longer"/>
    <n v="9"/>
    <n v="38"/>
    <s v="Normal"/>
    <s v="3-6"/>
    <x v="1"/>
    <m/>
  </r>
  <r>
    <d v="2025-09-21T00:00:00"/>
    <s v="https://www.etsy.com/ca/listing/4330485404/cat-face-embroidered-baby-romper-funny?transaction_id=4921866851"/>
    <s v="Cream"/>
    <s v="Cream"/>
    <s v=" 3-6M (long-sleeve)"/>
    <s v="United States"/>
    <s v="Romper Longer"/>
    <n v="9"/>
    <n v="39"/>
    <s v="Normal"/>
    <s v="3-6"/>
    <x v="1"/>
    <m/>
  </r>
  <r>
    <d v="2025-09-22T00:00:00"/>
    <s v="https://www.etsy.com/ca/listing/4376399899/the-littlest-book-club-member-baby?transaction_id=4921965303"/>
    <s v="Cream"/>
    <s v="Cream"/>
    <s v=" 6-12M (long-sleeve)"/>
    <s v="United States"/>
    <s v="Romper Longer"/>
    <n v="9"/>
    <n v="39"/>
    <s v="Normal"/>
    <s v="6-12"/>
    <x v="17"/>
    <m/>
  </r>
  <r>
    <d v="2025-09-23T00:00:00"/>
    <s v="https://www.etsy.com/ca/listing/4392935796/box-box-for-fresh-diapers-embroidered?transaction_id=4908422220"/>
    <s v="Caldet Blue"/>
    <s v="Caldet Blue"/>
    <s v="18-24M (long-sleeve)"/>
    <s v="United States"/>
    <s v="Romper Longer"/>
    <n v="9"/>
    <n v="39"/>
    <s v="Normal"/>
    <s v="18-24"/>
    <x v="106"/>
    <m/>
  </r>
  <r>
    <d v="2025-09-24T00:00:00"/>
    <s v="https://www.etsy.com/ca/listing/4376399899/the-littlest-book-club-member-baby?transaction_id=4908433664"/>
    <s v="Sage Green"/>
    <s v="Sage Green"/>
    <s v=" 0-3M (long-sleeve)"/>
    <s v="United States"/>
    <s v="Romper Longer"/>
    <n v="9"/>
    <n v="39"/>
    <s v="Normal"/>
    <s v="0-3"/>
    <x v="5"/>
    <m/>
  </r>
  <r>
    <d v="2025-09-25T00:00:00"/>
    <s v="https://www.etsy.com/ca/listing/4379182759/golf-baby-outfit-custom-name-golf-cart?transaction_id=4908467814"/>
    <s v="Cream"/>
    <s v="Cream"/>
    <s v=" 6-12M (long-sleeve)"/>
    <s v="United States"/>
    <s v="Romper Longer"/>
    <n v="9"/>
    <n v="39"/>
    <s v="Normal"/>
    <s v="6-12"/>
    <x v="17"/>
    <m/>
  </r>
  <r>
    <d v="2025-09-26T00:00:00"/>
    <s v="https://www.etsy.com/ca/listing/4347266987/hi-im-new-here-romper-newborn-baby?transaction_id=4908569896"/>
    <s v="Cream"/>
    <s v="Cream"/>
    <s v=" 0-3M (long-sleeve)"/>
    <s v="United States"/>
    <s v="Romper Longer"/>
    <n v="9"/>
    <n v="39"/>
    <s v="Normal"/>
    <s v="0-3"/>
    <x v="2"/>
    <m/>
  </r>
  <r>
    <d v="2025-09-27T00:00:00"/>
    <s v="https://www.etsy.com/ca/listing/4371125103/personalized-dog-baby-bodysuit-custom?transaction_id=4908792180"/>
    <s v="Caldet Blue"/>
    <s v="Caldet Blue"/>
    <s v="3-6M (short-sleeve)"/>
    <s v="United States"/>
    <s v="Romper Short"/>
    <n v="9"/>
    <n v="39"/>
    <s v="Normal"/>
    <s v="3-6"/>
    <x v="29"/>
    <m/>
  </r>
  <r>
    <d v="2025-09-28T00:00:00"/>
    <s v="https://www.etsy.com/ca/listing/4347894651/giraffe-baby-bodysuit-you-bet-giraffe-im?transaction_id=4922544503"/>
    <s v="Sage Green"/>
    <s v="Sage Green"/>
    <s v="12-18M (long-sleeve)"/>
    <s v="United States"/>
    <s v="Romper Longer"/>
    <n v="9"/>
    <n v="40"/>
    <s v="Normal"/>
    <s v="12-18"/>
    <x v="22"/>
    <m/>
  </r>
  <r>
    <d v="2025-09-29T00:00:00"/>
    <s v="https://www.etsy.com/ca/listing/4344231895/embroidered-baby-romper-shhh-im-reading?transaction_id=4922637407"/>
    <s v="Mauve Taupe"/>
    <s v="Mauve Taupe"/>
    <s v=" 3-6M (long-sleeve)"/>
    <s v="United States"/>
    <s v="Romper Longer"/>
    <n v="9"/>
    <n v="40"/>
    <s v="Normal"/>
    <s v="3-6"/>
    <x v="10"/>
    <m/>
  </r>
  <r>
    <d v="2025-09-30T00:00:00"/>
    <s v="https://www.etsy.com/ca/listing/4330488178/embroidered-golf-baby-romper-new-to-the?transaction_id=4909038078"/>
    <s v="Cream"/>
    <s v="Cream"/>
    <s v=" 0-3M (long-sleeve)"/>
    <s v="United States"/>
    <s v="Romper Longer"/>
    <n v="9"/>
    <n v="40"/>
    <s v="Normal"/>
    <s v="0-3"/>
    <x v="2"/>
    <m/>
  </r>
  <r>
    <d v="2025-10-01T00:00:00"/>
    <s v="https://www.etsy.com/ca/listing/4376399899/the-littlest-book-club-member-baby?transaction_id=4922853019"/>
    <s v="Forest Green"/>
    <s v="Forest Green"/>
    <s v=" 6-12M (long-sleeve)"/>
    <s v="United States"/>
    <s v="Romper Longer"/>
    <n v="10"/>
    <n v="40"/>
    <s v="Halloween"/>
    <s v="6-12"/>
    <x v="30"/>
    <m/>
  </r>
  <r>
    <d v="2025-10-02T00:00:00"/>
    <s v="https://www.etsy.com/ca/listing/4344235495/new-kid-on-the-block-baby-bodysuit-funny?transaction_id=4909611504"/>
    <s v="Cream"/>
    <s v="Cream"/>
    <s v=" 0-3M (long-sleeve)"/>
    <s v="United States"/>
    <s v="Romper Longer"/>
    <n v="10"/>
    <n v="40"/>
    <s v="Halloween"/>
    <s v="0-3"/>
    <x v="2"/>
    <m/>
  </r>
  <r>
    <d v="2025-10-03T00:00:00"/>
    <s v="https://www.etsy.com/ca/listing/4376389783/player-2-baby-romper-gamer-baby-outfit?transaction_id=4909620142"/>
    <s v="Cream"/>
    <s v="Cream"/>
    <s v=" 6-12M (long-sleeve)"/>
    <s v="United States"/>
    <s v="Romper Longer"/>
    <n v="10"/>
    <n v="40"/>
    <s v="Halloween"/>
    <s v="6-12"/>
    <x v="17"/>
    <m/>
  </r>
  <r>
    <d v="2025-10-04T00:00:00"/>
    <s v="https://www.etsy.com/ca/listing/4330483435/embroidered-coffee-bean-baby-romper?transaction_id=4909628892"/>
    <s v="Cream"/>
    <s v="Cream"/>
    <s v=" 0-3M (long-sleeve)"/>
    <s v="United States"/>
    <s v="Romper Longer"/>
    <n v="10"/>
    <n v="40"/>
    <s v="Halloween"/>
    <s v="0-3"/>
    <x v="2"/>
    <m/>
  </r>
  <r>
    <d v="2025-10-05T00:00:00"/>
    <s v="https://www.etsy.com/ca/listing/4333134764/wizard-font-baby-romper-personalized?transaction_id=4909635090"/>
    <s v="Sage Green"/>
    <s v="Sage Green"/>
    <s v=" 6-12M (long-sleeve)"/>
    <s v="United States"/>
    <s v="Romper Longer"/>
    <n v="10"/>
    <n v="41"/>
    <s v="Halloween"/>
    <s v="6-12"/>
    <x v="3"/>
    <m/>
  </r>
  <r>
    <d v="2025-10-06T00:00:00"/>
    <s v="https://www.etsy.com/ca/listing/4393855716/lil-chef-embroidered-romper-cute-baby?transaction_id=4923228875"/>
    <s v="Forest Green"/>
    <s v="Forest Green"/>
    <s v=" 0-3M (short-sleeve)"/>
    <s v="United States"/>
    <s v="Romper Short"/>
    <n v="10"/>
    <n v="41"/>
    <s v="Halloween"/>
    <s v="0-3"/>
    <x v="52"/>
    <m/>
  </r>
  <r>
    <d v="2025-10-07T00:00:00"/>
    <s v="https://www.etsy.com/ca/listing/4344235128/new-to-the-hive-baby-romper-embroidered?transaction_id=4923428919"/>
    <s v="Cream"/>
    <s v="Cream"/>
    <s v=" 3-6M (long-sleeve)"/>
    <s v="United States"/>
    <s v="Romper Longer"/>
    <n v="10"/>
    <n v="41"/>
    <s v="Halloween"/>
    <s v="3-6"/>
    <x v="1"/>
    <m/>
  </r>
  <r>
    <d v="2025-10-08T00:00:00"/>
    <s v="https://www.etsy.com/ca/listing/4376389783/player-2-baby-romper-gamer-baby-outfit?transaction_id=4923481771"/>
    <s v="Caldet Blue"/>
    <s v="Caldet Blue"/>
    <s v=" 0-3M (long-sleeve)"/>
    <s v="United States"/>
    <s v="Romper Longer"/>
    <n v="10"/>
    <n v="41"/>
    <s v="Halloween"/>
    <s v="0-3"/>
    <x v="9"/>
    <m/>
  </r>
  <r>
    <d v="2025-10-09T00:00:00"/>
    <s v="https://www.etsy.com/ca/listing/4376389783/player-2-baby-romper-gamer-baby-outfit?transaction_id=4923599623"/>
    <s v="Cream"/>
    <s v="Cream"/>
    <s v="12-18M (long-sleeve)"/>
    <s v="United States"/>
    <s v="Romper Longer"/>
    <n v="10"/>
    <n v="41"/>
    <s v="Halloween"/>
    <s v="12-18"/>
    <x v="53"/>
    <m/>
  </r>
  <r>
    <d v="2025-10-10T00:00:00"/>
    <s v="https://www.etsy.com/ca/listing/4371125103/personalized-dog-baby-bodysuit-custom?transaction_id=4923604555"/>
    <s v="Forest Green"/>
    <s v="Forest Green"/>
    <s v=" 0-3M (long-sleeve)"/>
    <s v="United States"/>
    <s v="Romper Longer"/>
    <n v="10"/>
    <n v="41"/>
    <s v="Halloween"/>
    <s v="0-3"/>
    <x v="41"/>
    <m/>
  </r>
  <r>
    <d v="2025-10-11T00:00:00"/>
    <s v="https://www.etsy.com/ca/listing/4371125103/personalized-dog-baby-bodysuit-custom?transaction_id=4910096792"/>
    <s v="Sage Green"/>
    <s v="Sage Green"/>
    <s v=" 6-12M (long-sleeve)"/>
    <s v="United States"/>
    <s v="Romper Longer"/>
    <n v="10"/>
    <n v="41"/>
    <s v="Halloween"/>
    <s v="6-12"/>
    <x v="3"/>
    <m/>
  </r>
  <r>
    <d v="2025-10-12T00:00:00"/>
    <s v="https://www.etsy.com/ca/listing/4330486464/crawl-walk-hunt-baby-romper-embroidered?transaction_id=4910100320"/>
    <s v="Cream"/>
    <s v="Cream"/>
    <s v=" 6-12M (long-sleeve)"/>
    <s v="United States"/>
    <s v="Romper Longer"/>
    <n v="10"/>
    <n v="42"/>
    <s v="Halloween"/>
    <s v="6-12"/>
    <x v="17"/>
    <m/>
  </r>
  <r>
    <d v="2025-10-13T00:00:00"/>
    <s v="https://www.etsy.com/ca/listing/4330488178/embroidered-golf-baby-romper-new-to-the?transaction_id=4910112184"/>
    <s v="Cream"/>
    <s v="Cream"/>
    <s v=" 0-3M (short-sleeve)"/>
    <s v="United States"/>
    <s v="Romper Short"/>
    <n v="10"/>
    <n v="42"/>
    <s v="Halloween"/>
    <s v="0-3"/>
    <x v="15"/>
    <m/>
  </r>
  <r>
    <d v="2025-10-14T00:00:00"/>
    <s v="https://www.etsy.com/ca/listing/4372352286/silly-goose-baby-romper-funny-infant?transaction_id=4923781369"/>
    <s v="Sage Green"/>
    <s v="Sage Green"/>
    <s v=" 0-3M (short-sleeve)"/>
    <s v="United States"/>
    <s v="Romper Short"/>
    <n v="10"/>
    <n v="42"/>
    <s v="Halloween"/>
    <s v="0-3"/>
    <x v="13"/>
    <m/>
  </r>
  <r>
    <d v="2025-10-15T00:00:00"/>
    <s v="https://www.etsy.com/ca/listing/4371125103/personalized-dog-baby-bodysuit-custom?transaction_id=4910742938"/>
    <s v="Caldet Blue"/>
    <s v="Caldet Blue"/>
    <s v=" 0-3M (long-sleeve)"/>
    <s v="United States"/>
    <s v="Romper Longer"/>
    <n v="10"/>
    <n v="42"/>
    <s v="Halloween"/>
    <s v="0-3"/>
    <x v="9"/>
    <m/>
  </r>
  <r>
    <d v="2025-10-16T00:00:00"/>
    <s v="https://www.etsy.com/ca/listing/4371125103/personalized-dog-baby-bodysuit-custom?transaction_id=4910763674"/>
    <s v="Sage Green"/>
    <s v="Sage Green"/>
    <s v=" 6-12M (long-sleeve)"/>
    <s v="United States"/>
    <s v="Romper Longer"/>
    <n v="10"/>
    <n v="42"/>
    <s v="Halloween"/>
    <s v="6-12"/>
    <x v="3"/>
    <m/>
  </r>
  <r>
    <d v="2025-10-17T00:00:00"/>
    <s v="https://www.etsy.com/ca/listing/4376399899/the-littlest-book-club-member-baby?transaction_id=4924296761"/>
    <s v="Cream"/>
    <s v="Cream"/>
    <s v="3-6M (short-sleeve)"/>
    <s v="United States"/>
    <s v="Romper Short"/>
    <n v="10"/>
    <n v="42"/>
    <s v="Halloween"/>
    <s v="3-6"/>
    <x v="0"/>
    <m/>
  </r>
  <r>
    <d v="2025-10-18T00:00:00"/>
    <s v="https://www.etsy.com/ca/listing/4376399899/the-littlest-book-club-member-baby?transaction_id=4910883698"/>
    <s v="Sage Green"/>
    <s v="Sage Green"/>
    <s v=" 3-6M (long-sleeve)"/>
    <s v="United States"/>
    <s v="Romper Longer"/>
    <n v="10"/>
    <n v="42"/>
    <s v="Halloween"/>
    <s v="3-6"/>
    <x v="7"/>
    <m/>
  </r>
  <r>
    <d v="2025-10-19T00:00:00"/>
    <s v="https://www.etsy.com/ca/listing/4344231895/embroidered-baby-romper-shhh-im-reading?transaction_id=4910883696"/>
    <s v="Cream"/>
    <s v="Cream"/>
    <s v=" 6-12M (long-sleeve)"/>
    <s v="United States"/>
    <s v="Romper Longer"/>
    <n v="10"/>
    <n v="43"/>
    <s v="Halloween"/>
    <s v="6-12"/>
    <x v="17"/>
    <m/>
  </r>
  <r>
    <d v="2025-10-20T00:00:00"/>
    <s v="https://www.etsy.com/ca/listing/4330488178/embroidered-golf-baby-romper-new-to-the?transaction_id=4911031194"/>
    <s v="Cream"/>
    <s v="Cream"/>
    <s v=" 3-6M (long-sleeve)"/>
    <s v="United States"/>
    <s v="Romper Longer"/>
    <n v="10"/>
    <n v="43"/>
    <s v="Halloween"/>
    <s v="3-6"/>
    <x v="1"/>
    <m/>
  </r>
  <r>
    <d v="2025-10-21T00:00:00"/>
    <s v="https://www.etsy.com/ca/listing/4344231895/embroidered-baby-romper-shhh-im-reading?transaction_id=4854621734"/>
    <s v="Coffee"/>
    <s v="Coffee"/>
    <s v=" 0-3M (long-sleeve)"/>
    <s v="United States"/>
    <s v="Romper Longer"/>
    <n v="10"/>
    <n v="43"/>
    <s v="Halloween"/>
    <s v="0-3"/>
    <x v="28"/>
    <m/>
  </r>
  <r>
    <d v="2025-10-22T00:00:00"/>
    <s v="https://www.etsy.com/ca/listing/4330488178/embroidered-golf-baby-romper-new-to-the?transaction_id=4913668135"/>
    <s v="Cream"/>
    <s v="Cream"/>
    <s v=" 3-6M (long-sleeve)"/>
    <s v="United States"/>
    <s v="Romper Longer"/>
    <n v="10"/>
    <n v="43"/>
    <s v="Halloween"/>
    <s v="3-6"/>
    <x v="1"/>
    <m/>
  </r>
  <r>
    <d v="2025-10-23T00:00:00"/>
    <s v="https://www.etsy.com/ca/listing/4330474476/so-ducking-cute-embroidered-baby-romper?transaction_id=4902805283"/>
    <s v="Cream"/>
    <s v="Cream"/>
    <s v=" 0-3M (long-sleeve)"/>
    <s v="United States"/>
    <s v="Romper Longer"/>
    <n v="10"/>
    <n v="43"/>
    <s v="Halloween"/>
    <s v="0-3"/>
    <x v="2"/>
    <m/>
  </r>
  <r>
    <d v="2025-10-24T00:00:00"/>
    <s v="https://www.etsy.com/ca/listing/4330504155/born-to-play-like-my-daddy-baby-romper?transaction_id=4902872733"/>
    <s v="Dusty Pink"/>
    <s v="Dusty Pink"/>
    <s v=" 3-6M (long-sleeve)"/>
    <s v="United States"/>
    <s v="Romper Longer"/>
    <n v="10"/>
    <n v="43"/>
    <s v="Halloween"/>
    <s v="3-6"/>
    <x v="8"/>
    <m/>
  </r>
  <r>
    <d v="2025-10-25T00:00:00"/>
    <s v="https://www.etsy.com/ca/listing/4371125103/personalized-dog-baby-bodysuit-custom?transaction_id=4924711357"/>
    <s v="Cream"/>
    <s v="Cream"/>
    <s v=" 0-3M (long-sleeve)"/>
    <s v="United States"/>
    <s v="Romper Longer"/>
    <n v="10"/>
    <n v="43"/>
    <s v="Halloween"/>
    <s v="0-3"/>
    <x v="2"/>
    <m/>
  </r>
  <r>
    <d v="2025-10-26T00:00:00"/>
    <s v="https://www.etsy.com/ca/listing/4376399899/the-littlest-book-club-member-baby?transaction_id=4911440988"/>
    <s v="Sage Green"/>
    <s v="Sage Green"/>
    <s v="12-18M (long-sleeve)"/>
    <s v="United States"/>
    <s v="Romper Longer"/>
    <n v="10"/>
    <n v="44"/>
    <s v="Halloween"/>
    <s v="12-18"/>
    <x v="22"/>
    <m/>
  </r>
  <r>
    <d v="2025-10-27T00:00:00"/>
    <s v="https://www.etsy.com/ca/listing/4371125103/personalized-dog-baby-bodysuit-custom?transaction_id=4911462386"/>
    <s v="Cream"/>
    <s v="Cream"/>
    <s v=" 0-3M (long-sleeve)"/>
    <s v="United States"/>
    <s v="Romper Longer"/>
    <n v="10"/>
    <n v="44"/>
    <s v="Halloween"/>
    <s v="0-3"/>
    <x v="2"/>
    <m/>
  </r>
  <r>
    <d v="2025-10-28T00:00:00"/>
    <s v="https://www.etsy.com/ca/listing/4376399899/the-littlest-book-club-member-baby?transaction_id=4924992383"/>
    <s v="Forest Green"/>
    <s v="Forest Green"/>
    <s v=" 6-12M (long-sleeve)"/>
    <s v="United States"/>
    <s v="Romper Longer"/>
    <n v="10"/>
    <n v="44"/>
    <s v="Halloween"/>
    <s v="6-12"/>
    <x v="30"/>
    <m/>
  </r>
  <r>
    <d v="2025-10-29T00:00:00"/>
    <s v="https://www.etsy.com/ca/listing/4371125103/personalized-dog-baby-bodysuit-custom?transaction_id=4911714908"/>
    <s v="Mauve Taupe"/>
    <s v="Mauve Taupe"/>
    <s v=" 3-6M (long-sleeve)"/>
    <s v="United States"/>
    <s v="Romper Longer"/>
    <n v="10"/>
    <n v="44"/>
    <s v="Halloween"/>
    <s v="3-6"/>
    <x v="10"/>
    <m/>
  </r>
  <r>
    <d v="2025-10-30T00:00:00"/>
    <s v="https://www.etsy.com/ca/listing/4371125103/personalized-dog-baby-bodysuit-custom?transaction_id=4925099751"/>
    <s v="Cream"/>
    <s v="Cream"/>
    <s v=" 3-6M (long-sleeve)"/>
    <s v="United States"/>
    <s v="Romper Longer"/>
    <n v="10"/>
    <n v="44"/>
    <s v="Halloween"/>
    <s v="3-6"/>
    <x v="1"/>
    <m/>
  </r>
  <r>
    <d v="2025-10-31T00:00:00"/>
    <s v="https://www.etsy.com/ca/listing/4330495722/embroidered-golf-baby-romper-custom?transaction_id=4911855082"/>
    <s v="Sage Green"/>
    <s v="Sage Green"/>
    <s v=" 6-12M (long-sleeve)"/>
    <s v="United States"/>
    <s v="Romper Longer"/>
    <n v="10"/>
    <n v="44"/>
    <s v="Halloween"/>
    <s v="6-12"/>
    <x v="3"/>
    <m/>
  </r>
  <r>
    <d v="2025-11-01T00:00:00"/>
    <s v="https://www.etsy.com/ca/listing/4346124881/little-turkey-baby-romper-embroidered?transaction_id=4925250699"/>
    <s v="Cream"/>
    <s v="Cream"/>
    <s v=" 6-12M (long-sleeve)"/>
    <s v="United States"/>
    <s v="Romper Longer"/>
    <n v="11"/>
    <n v="44"/>
    <s v="Christmas"/>
    <s v="6-12"/>
    <x v="17"/>
    <m/>
  </r>
  <r>
    <d v="2025-11-02T00:00:00"/>
    <s v="https://www.etsy.com/ca/listing/4344231895/embroidered-baby-romper-shhh-im-reading?transaction_id=4911898974"/>
    <s v="Mauve Taupe"/>
    <s v="Mauve Taupe"/>
    <s v="3-6M (short-sleeve)"/>
    <s v="United States"/>
    <s v="Romper Short"/>
    <n v="11"/>
    <n v="45"/>
    <s v="Christmas"/>
    <s v="3-6"/>
    <x v="67"/>
    <m/>
  </r>
  <r>
    <d v="2025-11-03T00:00:00"/>
    <s v="https://www.etsy.com/ca/listing/4392935796/box-box-for-fresh-diapers-embroidered?transaction_id=4925350807"/>
    <s v="Cream"/>
    <s v="Cream"/>
    <s v=" 0-3M (long-sleeve)"/>
    <s v="United States"/>
    <s v="Romper Longer"/>
    <n v="11"/>
    <n v="45"/>
    <s v="Christmas"/>
    <s v="0-3"/>
    <x v="2"/>
    <m/>
  </r>
  <r>
    <d v="2025-11-04T00:00:00"/>
    <s v="https://www.etsy.com/ca/listing/4344231895/embroidered-baby-romper-shhh-im-reading?transaction_id=4912076660"/>
    <s v="Sage Green"/>
    <s v="Sage Green"/>
    <s v="18-24M (long-sleeve)"/>
    <s v="United States"/>
    <s v="Romper Longer"/>
    <n v="11"/>
    <n v="45"/>
    <s v="Christmas"/>
    <s v="18-24"/>
    <x v="11"/>
    <m/>
  </r>
  <r>
    <d v="2025-11-05T00:00:00"/>
    <s v="https://www.etsy.com/ca/listing/4333134764/wizard-font-baby-romper-personalized?transaction_id=4925553009"/>
    <s v="Caldet Blue"/>
    <s v="Caldet Blue"/>
    <s v="3-6M (short-sleeve)"/>
    <s v="United States"/>
    <s v="Romper Short"/>
    <n v="11"/>
    <n v="45"/>
    <s v="Christmas"/>
    <s v="3-6"/>
    <x v="29"/>
    <m/>
  </r>
  <r>
    <d v="2025-11-06T00:00:00"/>
    <s v="https://www.etsy.com/ca/listing/4376399899/the-littlest-book-club-member-baby?transaction_id=4925653123"/>
    <s v="Cream"/>
    <s v="Cream"/>
    <s v=" 0-3M (short-sleeve)"/>
    <s v="United States"/>
    <s v="Romper Short"/>
    <n v="11"/>
    <n v="45"/>
    <s v="Christmas"/>
    <s v="0-3"/>
    <x v="15"/>
    <m/>
  </r>
  <r>
    <d v="2025-11-07T00:00:00"/>
    <s v="https://www.etsy.com/ca/listing/4330488178/embroidered-golf-baby-romper-new-to-the?transaction_id=4912469202"/>
    <s v="Cream"/>
    <s v="Cream"/>
    <s v=" 0-3M (long-sleeve)"/>
    <s v="United States"/>
    <s v="Romper Longer"/>
    <n v="11"/>
    <n v="45"/>
    <s v="Christmas"/>
    <s v="0-3"/>
    <x v="2"/>
    <m/>
  </r>
  <r>
    <d v="2025-11-08T00:00:00"/>
    <s v="https://www.etsy.com/ca/listing/4371125103/personalized-dog-baby-bodysuit-custom?transaction_id=4925982433"/>
    <s v="Cream"/>
    <s v="Cream"/>
    <s v=" 0-3M (long-sleeve)"/>
    <s v="United States"/>
    <s v="Romper Longer"/>
    <n v="11"/>
    <n v="45"/>
    <s v="Christmas"/>
    <s v="0-3"/>
    <x v="2"/>
    <m/>
  </r>
  <r>
    <d v="2025-11-09T00:00:00"/>
    <s v="https://www.etsy.com/ca/listing/4344231895/embroidered-baby-romper-shhh-im-reading?transaction_id=4912734196"/>
    <s v="Dusty Pink"/>
    <s v="Dusty Pink"/>
    <s v="3-6M (short-sleeve)"/>
    <s v="United States"/>
    <s v="Romper Short"/>
    <n v="11"/>
    <n v="46"/>
    <s v="Christmas"/>
    <s v="3-6"/>
    <x v="31"/>
    <m/>
  </r>
  <r>
    <d v="2025-11-10T00:00:00"/>
    <s v="https://www.etsy.com/ca/listing/4376399899/the-littlest-book-club-member-baby?transaction_id=4912801296"/>
    <s v="Dusty Pink"/>
    <s v="Dusty Pink"/>
    <s v=" 0-3M (long-sleeve)"/>
    <s v="United States"/>
    <s v="Romper Longer"/>
    <n v="11"/>
    <n v="46"/>
    <s v="Christmas"/>
    <s v="0-3"/>
    <x v="45"/>
    <m/>
  </r>
  <r>
    <d v="2025-11-11T00:00:00"/>
    <s v="https://www.etsy.com/ca/listing/4330488178/embroidered-golf-baby-romper-new-to-the?transaction_id=4913277232"/>
    <s v="Cream"/>
    <s v="Cream"/>
    <s v=" 0-3M (long-sleeve)"/>
    <s v="United States"/>
    <s v="Romper Longer"/>
    <n v="11"/>
    <n v="46"/>
    <s v="Christmas"/>
    <s v="0-3"/>
    <x v="2"/>
    <m/>
  </r>
  <r>
    <d v="2025-11-12T00:00:00"/>
    <s v="https://www.etsy.com/ca/listing/4330479964/personalized-fox-baby-bodysuit-custom?transaction_id=4926479825"/>
    <s v="Mauve Taupe"/>
    <s v="Mauve Taupe"/>
    <s v=" 0-3M (long-sleeve)"/>
    <s v="United States"/>
    <s v="Romper Longer"/>
    <n v="11"/>
    <n v="46"/>
    <s v="Christmas"/>
    <s v="0-3"/>
    <x v="40"/>
    <m/>
  </r>
  <r>
    <d v="2025-11-13T00:00:00"/>
    <s v="https://www.etsy.com/ca/listing/4376399899/the-littlest-book-club-member-baby?transaction_id=4926491751"/>
    <s v="Forest Green"/>
    <s v="Forest Green"/>
    <s v="12-18M (long-sleeve)"/>
    <s v="United States"/>
    <s v="Romper Longer"/>
    <n v="11"/>
    <n v="46"/>
    <s v="Christmas"/>
    <s v="12-18"/>
    <x v="37"/>
    <m/>
  </r>
  <r>
    <d v="2025-11-14T00:00:00"/>
    <s v="https://www.etsy.com/ca/listing/4347265018/made-with-love-baby-romper-funny-baby?transaction_id=4913411008"/>
    <s v="Caldet Blue"/>
    <s v="Caldet Blue"/>
    <s v="3-6M (short-sleeve)"/>
    <s v="United States"/>
    <s v="Romper Short"/>
    <n v="11"/>
    <n v="46"/>
    <s v="Christmas"/>
    <s v="3-6"/>
    <x v="29"/>
    <m/>
  </r>
  <r>
    <d v="2025-11-15T00:00:00"/>
    <s v="https://www.etsy.com/ca/listing/4371125103/personalized-dog-baby-bodysuit-custom?transaction_id=4926593223"/>
    <s v="Sage Green"/>
    <s v="Sage Green"/>
    <s v="3-6M (short-sleeve)"/>
    <s v="United States"/>
    <s v="Romper Short"/>
    <n v="11"/>
    <n v="46"/>
    <s v="Christmas"/>
    <s v="3-6"/>
    <x v="24"/>
    <m/>
  </r>
  <r>
    <d v="2025-11-16T00:00:00"/>
    <s v="https://www.etsy.com/ca/listing/4371125103/personalized-dog-baby-bodysuit-custom?transaction_id=4913424120"/>
    <s v="Caldet Blue"/>
    <s v="Caldet Blue"/>
    <s v=" 0-3M (long-sleeve)"/>
    <s v="United States"/>
    <s v="Romper Longer"/>
    <n v="11"/>
    <n v="47"/>
    <s v="Christmas"/>
    <s v="0-3"/>
    <x v="9"/>
    <m/>
  </r>
  <r>
    <d v="2025-11-17T00:00:00"/>
    <s v="https://www.etsy.com/ca/listing/4376399899/the-littlest-book-club-member-baby?transaction_id=4913439056"/>
    <s v="Sage Green"/>
    <s v="Sage Green"/>
    <s v="12-18M (short-sleeve)"/>
    <s v="United States"/>
    <s v="Romper Short"/>
    <n v="11"/>
    <n v="47"/>
    <s v="Christmas"/>
    <s v="12-18"/>
    <x v="74"/>
    <m/>
  </r>
  <r>
    <d v="2025-11-18T00:00:00"/>
    <s v="https://www.etsy.com/ca/listing/4376399899/the-littlest-book-club-member-baby?transaction_id=4913626072"/>
    <s v="Caldet Blue"/>
    <s v="Caldet Blue"/>
    <s v=" 0-3M (long-sleeve)"/>
    <s v="United States"/>
    <s v="Romper Longer"/>
    <n v="11"/>
    <n v="47"/>
    <s v="Christmas"/>
    <s v="0-3"/>
    <x v="9"/>
    <m/>
  </r>
  <r>
    <d v="2025-11-19T00:00:00"/>
    <s v="https://www.etsy.com/ca/listing/4376399899/the-littlest-book-club-member-baby?transaction_id=4913817910"/>
    <s v="Cream"/>
    <s v="Cream"/>
    <s v="3-6M (short-sleeve)"/>
    <s v="United States"/>
    <s v="Romper Short"/>
    <n v="11"/>
    <n v="47"/>
    <s v="Christmas"/>
    <s v="3-6"/>
    <x v="0"/>
    <m/>
  </r>
  <r>
    <d v="2025-11-20T00:00:00"/>
    <s v="https://www.etsy.com/ca/listing/4372352286/silly-goose-baby-romper-funny-infant?transaction_id=4927202423"/>
    <s v="Forest Green"/>
    <s v="Forest Green"/>
    <s v="12-18M (long-sleeve)"/>
    <s v="United States"/>
    <s v="Romper Longer"/>
    <n v="11"/>
    <n v="47"/>
    <s v="Christmas"/>
    <s v="12-18"/>
    <x v="37"/>
    <m/>
  </r>
  <r>
    <d v="2025-11-21T00:00:00"/>
    <s v="https://www.etsy.com/ca/listing/4330504943/embroidered-tennis-baby-romper-daddys?transaction_id=4914506494"/>
    <s v="Cream"/>
    <s v="Cream"/>
    <s v=" 0-3M (long-sleeve)"/>
    <s v="United States"/>
    <s v="Romper Longer"/>
    <n v="11"/>
    <n v="47"/>
    <s v="Christmas"/>
    <s v="0-3"/>
    <x v="2"/>
    <m/>
  </r>
  <r>
    <d v="2025-11-22T00:00:00"/>
    <s v="https://www.etsy.com/ca/listing/4392929794/little-latke-embroidered-romper-hanukkah?transaction_id=4914581308"/>
    <s v="Cream"/>
    <s v="Cream"/>
    <s v=" 3-6M (long-sleeve)"/>
    <s v="United States"/>
    <s v="Romper Longer"/>
    <n v="11"/>
    <n v="47"/>
    <s v="Christmas"/>
    <s v="3-6"/>
    <x v="1"/>
    <m/>
  </r>
  <r>
    <d v="2025-11-23T00:00:00"/>
    <s v="https://www.etsy.com/ca/listing/4347263856/besties-baby-romper-matching-baby-outfit?transaction_id=4927766087"/>
    <s v="Cream"/>
    <s v="Cream"/>
    <s v=" 6-12M (long-sleeve)"/>
    <s v="United States"/>
    <s v="Romper Longer"/>
    <n v="11"/>
    <n v="48"/>
    <s v="Christmas"/>
    <s v="6-12"/>
    <x v="17"/>
    <m/>
  </r>
  <r>
    <d v="2025-11-24T00:00:00"/>
    <s v="https://www.etsy.com/ca/listing/4330488178/embroidered-golf-baby-romper-new-to-the?transaction_id=4914796862"/>
    <s v="Forest Green"/>
    <s v="Forest Green"/>
    <s v=" 0-3M (short-sleeve)"/>
    <s v="United States"/>
    <s v="Romper Short"/>
    <n v="11"/>
    <n v="48"/>
    <s v="Christmas"/>
    <s v="0-3"/>
    <x v="52"/>
    <m/>
  </r>
  <r>
    <d v="2025-11-25T00:00:00"/>
    <s v="https://www.etsy.com/ca/listing/4376399899/the-littlest-book-club-member-baby?transaction_id=4914909730"/>
    <s v="Cream"/>
    <s v="Cream"/>
    <s v=" 0-3M (long-sleeve)"/>
    <s v="United States"/>
    <s v="Romper Longer"/>
    <n v="11"/>
    <n v="48"/>
    <s v="Christmas"/>
    <s v="0-3"/>
    <x v="2"/>
    <m/>
  </r>
  <r>
    <d v="2025-11-26T00:00:00"/>
    <s v="https://www.etsy.com/ca/listing/4371125103/personalized-dog-baby-bodysuit-custom?transaction_id=4927947279"/>
    <s v="Caldet Blue"/>
    <s v="Caldet Blue"/>
    <s v="12-18M (long-sleeve)"/>
    <s v="United States"/>
    <s v="Romper Longer"/>
    <n v="11"/>
    <n v="48"/>
    <s v="Christmas"/>
    <s v="12-18"/>
    <x v="60"/>
    <m/>
  </r>
  <r>
    <d v="2025-11-27T00:00:00"/>
    <s v="https://www.etsy.com/ca/listing/4371125103/personalized-dog-baby-bodysuit-custom?transaction_id=4927950787"/>
    <s v="Forest Green"/>
    <s v="Forest Green"/>
    <s v=" 6-12M (long-sleeve)"/>
    <s v="United States"/>
    <s v="Romper Longer"/>
    <n v="11"/>
    <n v="48"/>
    <s v="Christmas"/>
    <s v="6-12"/>
    <x v="30"/>
    <m/>
  </r>
  <r>
    <d v="2025-11-28T00:00:00"/>
    <s v="https://www.etsy.com/ca/listing/4344237213/mamas-coffee-date-baby-bodysuit-funny?transaction_id=4915279976"/>
    <s v="Forest Green"/>
    <s v="Forest Green"/>
    <s v=" 6-12M (long-sleeve)"/>
    <s v="United States"/>
    <s v="Romper Longer"/>
    <n v="11"/>
    <n v="48"/>
    <s v="Christmas"/>
    <s v="6-12"/>
    <x v="30"/>
    <m/>
  </r>
  <r>
    <d v="2025-11-29T00:00:00"/>
    <s v="https://www.etsy.com/ca/listing/4330488178/embroidered-golf-baby-romper-new-to-the?transaction_id=4928252855"/>
    <s v="Cream"/>
    <s v="Cream"/>
    <s v=" 0-3M (short-sleeve)"/>
    <s v="United States"/>
    <s v="Romper Short"/>
    <n v="11"/>
    <n v="48"/>
    <s v="Christmas"/>
    <s v="0-3"/>
    <x v="15"/>
    <m/>
  </r>
  <r>
    <d v="2025-11-30T00:00:00"/>
    <s v="https://www.etsy.com/ca/listing/4392935796/box-box-for-fresh-diapers-embroidered?transaction_id=4928305065"/>
    <s v="Sage Green"/>
    <s v="Sage Green"/>
    <s v=" 0-3M (short-sleeve)"/>
    <s v="United States"/>
    <s v="Romper Short"/>
    <n v="11"/>
    <n v="49"/>
    <s v="Christmas"/>
    <s v="0-3"/>
    <x v="13"/>
    <m/>
  </r>
  <r>
    <d v="2025-12-01T00:00:00"/>
    <s v="https://www.etsy.com/ca/listing/4392935796/box-box-for-fresh-diapers-embroidered?transaction_id=4928305065"/>
    <s v="Coffee"/>
    <s v="Coffee"/>
    <s v=" 0-3M (short-sleeve)"/>
    <s v="United States"/>
    <s v="Romper Short"/>
    <n v="12"/>
    <n v="49"/>
    <s v="Christmas"/>
    <s v="0-3"/>
    <x v="14"/>
    <m/>
  </r>
  <r>
    <d v="2025-12-02T00:00:00"/>
    <s v="https://www.etsy.com/ca/listing/4330504943/embroidered-tennis-baby-romper-daddys?transaction_id=4915455604"/>
    <s v="White"/>
    <s v="White"/>
    <s v=" 3-6M (long-sleeve)"/>
    <s v="United States"/>
    <s v="Romper Longer"/>
    <n v="12"/>
    <n v="49"/>
    <s v="Christmas"/>
    <s v="3-6"/>
    <x v="70"/>
    <m/>
  </r>
  <r>
    <d v="2025-12-03T00:00:00"/>
    <s v="https://www.etsy.com/ca/listing/4344231895/embroidered-baby-romper-shhh-im-reading?transaction_id=4928400879"/>
    <s v="Salmon"/>
    <s v="Salmon"/>
    <s v="6-12M (short-sleeve)"/>
    <s v="United States"/>
    <s v="Romper Short"/>
    <n v="12"/>
    <n v="49"/>
    <s v="Christmas"/>
    <s v="6-12"/>
    <x v="102"/>
    <m/>
  </r>
  <r>
    <d v="2025-12-04T00:00:00"/>
    <s v="https://www.etsy.com/ca/listing/4371125103/personalized-dog-baby-bodysuit-custom?transaction_id=4915656510"/>
    <s v="Cream"/>
    <s v="Cream"/>
    <s v=" 3-6M (long-sleeve)"/>
    <s v="United States"/>
    <s v="Romper Longer"/>
    <n v="12"/>
    <n v="49"/>
    <s v="Christmas"/>
    <s v="3-6"/>
    <x v="1"/>
    <m/>
  </r>
  <r>
    <d v="2025-12-05T00:00:00"/>
    <s v="https://www.etsy.com/ca/listing/4330504943/embroidered-tennis-baby-romper-daddys?transaction_id=4915660114"/>
    <s v="Cream"/>
    <s v="Cream"/>
    <s v=" 3-6M (long-sleeve)"/>
    <s v="United States"/>
    <s v="Romper Longer"/>
    <n v="12"/>
    <n v="49"/>
    <s v="Christmas"/>
    <s v="3-6"/>
    <x v="1"/>
    <m/>
  </r>
  <r>
    <d v="2025-12-06T00:00:00"/>
    <s v="https://www.etsy.com/ca/listing/4330485404/cat-face-embroidered-baby-romper-funny?transaction_id=4928870997"/>
    <s v="Dusty Pink"/>
    <s v="Dusty Pink"/>
    <s v="3-6M (short-sleeve)"/>
    <s v="United States"/>
    <s v="Romper Short"/>
    <n v="12"/>
    <n v="49"/>
    <s v="Christmas"/>
    <s v="3-6"/>
    <x v="31"/>
    <m/>
  </r>
  <r>
    <d v="2025-12-07T00:00:00"/>
    <s v="https://www.etsy.com/ca/listing/4376392339/funny-baby-romper-my-brand-of-formula?transaction_id=4916041924"/>
    <s v="Cream"/>
    <s v="Cream"/>
    <s v=" 6-12M (long-sleeve)"/>
    <s v="United States"/>
    <s v="Romper Longer"/>
    <n v="12"/>
    <n v="50"/>
    <s v="Christmas"/>
    <s v="6-12"/>
    <x v="17"/>
    <m/>
  </r>
  <r>
    <d v="2025-12-08T00:00:00"/>
    <s v="https://www.etsy.com/ca/listing/4376399899/the-littlest-book-club-member-baby?transaction_id=4928913677"/>
    <s v="Forest Green"/>
    <s v="Forest Green"/>
    <s v=" 0-3M (long-sleeve)"/>
    <s v="United States"/>
    <s v="Romper Longer"/>
    <n v="12"/>
    <n v="50"/>
    <s v="Christmas"/>
    <s v="0-3"/>
    <x v="41"/>
    <m/>
  </r>
  <r>
    <d v="2025-12-09T00:00:00"/>
    <s v="https://www.etsy.com/ca/listing/4330477824/embroidered-crocodile-baby-bodysuit?transaction_id=4928916289"/>
    <s v="Cream"/>
    <s v="Cream"/>
    <s v=" 3-6M (long-sleeve)"/>
    <s v="United States"/>
    <s v="Romper Longer"/>
    <n v="12"/>
    <n v="50"/>
    <s v="Christmas"/>
    <s v="3-6"/>
    <x v="1"/>
    <m/>
  </r>
  <r>
    <d v="2025-12-10T00:00:00"/>
    <s v="https://www.etsy.com/ca/listing/4343133680/embroidered-bowling-baby-bodysuit-crawl?transaction_id=4928980733"/>
    <s v="Dusty Pink"/>
    <s v="Dusty Pink"/>
    <s v=" 0-3M (short-sleeve)"/>
    <s v="United States"/>
    <s v="Romper Short"/>
    <n v="12"/>
    <n v="50"/>
    <s v="Christmas"/>
    <s v="0-3"/>
    <x v="34"/>
    <m/>
  </r>
  <r>
    <d v="2025-12-11T00:00:00"/>
    <s v="https://www.etsy.com/ca/listing/4392936921/apparently-i-like-golf-embroidered?transaction_id=4916186250"/>
    <s v="Salmon"/>
    <s v="Salmon"/>
    <s v=" 3-6M (long-sleeve)"/>
    <s v="United States"/>
    <s v="Romper Longer"/>
    <n v="12"/>
    <n v="50"/>
    <s v="Christmas"/>
    <s v="3-6"/>
    <x v="49"/>
    <m/>
  </r>
  <r>
    <d v="2025-12-12T00:00:00"/>
    <s v="https://www.etsy.com/ca/listing/4376399899/the-littlest-book-club-member-baby?transaction_id=4916194860"/>
    <s v="Cream"/>
    <s v="Cream"/>
    <s v=" 0-3M (short-sleeve)"/>
    <s v="United States"/>
    <s v="Romper Short"/>
    <n v="12"/>
    <n v="50"/>
    <s v="Christmas"/>
    <s v="0-3"/>
    <x v="15"/>
    <m/>
  </r>
  <r>
    <d v="2025-12-13T00:00:00"/>
    <s v="https://www.etsy.com/ca/listing/4392936688/shhh-im-watching-motogp-with-daddy?transaction_id=4929058759"/>
    <s v="Forest Green"/>
    <s v="Forest Green"/>
    <s v="3-6M (short-sleeve)"/>
    <s v="United States"/>
    <s v="Romper Short"/>
    <n v="12"/>
    <n v="50"/>
    <s v="Christmas"/>
    <s v="3-6"/>
    <x v="6"/>
    <m/>
  </r>
  <r>
    <d v="2025-12-14T00:00:00"/>
    <s v="https://www.etsy.com/ca/listing/4330488178/embroidered-golf-baby-romper-new-to-the?transaction_id=4929269839"/>
    <s v="Cream"/>
    <s v="Cream"/>
    <s v=" 0-3M (long-sleeve)"/>
    <s v="United States"/>
    <s v="Romper Longer"/>
    <n v="12"/>
    <n v="51"/>
    <s v="Christmas"/>
    <s v="0-3"/>
    <x v="2"/>
    <m/>
  </r>
  <r>
    <d v="2025-12-15T00:00:00"/>
    <s v="https://www.etsy.com/ca/listing/4376399899/the-littlest-book-club-member-baby?transaction_id=4916593066"/>
    <s v="Sage Green"/>
    <s v="Sage Green"/>
    <s v=" 0-3M (long-sleeve)"/>
    <s v="United States"/>
    <s v="Romper Longer"/>
    <n v="12"/>
    <n v="51"/>
    <s v="Christmas"/>
    <s v="0-3"/>
    <x v="5"/>
    <m/>
  </r>
  <r>
    <d v="2025-12-16T00:00:00"/>
    <s v="https://www.etsy.com/ca/listing/4330493015/embroidered-mini-golfer-baby-romper?transaction_id=4916652108"/>
    <s v="Sage Green"/>
    <s v="Sage Green"/>
    <s v="3-6M (short-sleeve)"/>
    <s v="United States"/>
    <s v="Romper Short"/>
    <n v="12"/>
    <n v="51"/>
    <s v="Christmas"/>
    <s v="3-6"/>
    <x v="24"/>
    <m/>
  </r>
  <r>
    <d v="2025-12-17T00:00:00"/>
    <s v="https://www.etsy.com/ca/listing/4392935796/box-box-for-fresh-diapers-embroidered?transaction_id=4929439039"/>
    <s v="Cream"/>
    <s v="Cream"/>
    <s v="12-18M (long-sleeve)"/>
    <s v="United States"/>
    <s v="Romper Longer"/>
    <n v="12"/>
    <n v="51"/>
    <s v="Christmas"/>
    <s v="12-18"/>
    <x v="53"/>
    <m/>
  </r>
  <r>
    <d v="2025-12-18T00:00:00"/>
    <s v="https://www.etsy.com/ca/listing/4336903235/personalized-tennis-baby-romper?transaction_id=4916679504"/>
    <s v="Caldet Blue"/>
    <s v="Caldet Blue"/>
    <s v=" 0-3M (long-sleeve)"/>
    <s v="United States"/>
    <s v="Romper Longer"/>
    <n v="12"/>
    <n v="51"/>
    <s v="Christmas"/>
    <s v="0-3"/>
    <x v="9"/>
    <m/>
  </r>
  <r>
    <d v="2025-12-19T00:00:00"/>
    <s v="https://www.etsy.com/ca/listing/4392929794/little-latke-embroidered-romper-hanukkah?transaction_id=4929701579"/>
    <s v="Cream"/>
    <s v="Cream"/>
    <s v=" 0-3M (long-sleeve)"/>
    <s v="United States"/>
    <s v="Romper Longer"/>
    <n v="12"/>
    <n v="51"/>
    <s v="Christmas"/>
    <s v="0-3"/>
    <x v="2"/>
    <m/>
  </r>
  <r>
    <d v="2025-12-20T00:00:00"/>
    <s v="https://www.etsy.com/ca/listing/4330488178/embroidered-golf-baby-romper-new-to-the?transaction_id=4917313042"/>
    <s v="Cream"/>
    <s v="Cream"/>
    <s v=" 0-3M (short-sleeve)"/>
    <s v="United States"/>
    <s v="Romper Short"/>
    <n v="12"/>
    <n v="51"/>
    <s v="Christmas"/>
    <s v="0-3"/>
    <x v="15"/>
    <m/>
  </r>
  <r>
    <d v="2025-12-21T00:00:00"/>
    <s v="https://www.etsy.com/ca/listing/4371125103/personalized-dog-baby-bodysuit-custom?transaction_id=4930125953"/>
    <s v="Dusty Pink"/>
    <s v="Dusty Pink"/>
    <s v=" 0-3M (long-sleeve)"/>
    <s v="United States"/>
    <s v="Romper Longer"/>
    <n v="12"/>
    <n v="52"/>
    <s v="Christmas"/>
    <s v="0-3"/>
    <x v="45"/>
    <m/>
  </r>
  <r>
    <d v="2025-12-22T00:00:00"/>
    <s v="https://www.etsy.com/ca/listing/4330488178/embroidered-golf-baby-romper-new-to-the?transaction_id=4917444630"/>
    <s v="Cream"/>
    <s v="Cream"/>
    <s v="3-6M (short-sleeve)"/>
    <s v="United States"/>
    <s v="Romper Short"/>
    <n v="12"/>
    <n v="52"/>
    <s v="Christmas"/>
    <s v="3-6"/>
    <x v="0"/>
    <m/>
  </r>
  <r>
    <d v="2025-12-23T00:00:00"/>
    <s v="https://www.etsy.com/ca/listing/4376389783/player-2-baby-romper-gamer-baby-outfit?transaction_id=4917475768"/>
    <s v="Caldet Blue"/>
    <s v="Caldet Blue"/>
    <s v="3-6M (short-sleeve)"/>
    <s v="United States"/>
    <s v="Romper Short"/>
    <n v="12"/>
    <n v="52"/>
    <s v="Christmas"/>
    <s v="3-6"/>
    <x v="29"/>
    <m/>
  </r>
  <r>
    <d v="2025-12-24T00:00:00"/>
    <s v="https://www.etsy.com/ca/listing/4330485404/cat-face-embroidered-baby-romper-funny?transaction_id=4917572764"/>
    <s v="White"/>
    <s v="White"/>
    <s v="3-6M (short-sleeve)"/>
    <s v="United States"/>
    <s v="Romper Short"/>
    <n v="12"/>
    <n v="52"/>
    <s v="Christmas"/>
    <s v="3-6"/>
    <x v="69"/>
    <m/>
  </r>
  <r>
    <d v="2025-12-25T00:00:00"/>
    <s v="https://www.etsy.com/ca/listing/4376399899/the-littlest-book-club-member-baby?transaction_id=4917624230"/>
    <s v="Cream"/>
    <s v="Cream"/>
    <s v=" 3-6M (long-sleeve)"/>
    <s v="United States"/>
    <s v="Romper Longer"/>
    <n v="12"/>
    <n v="52"/>
    <s v="Christmas"/>
    <s v="3-6"/>
    <x v="1"/>
    <m/>
  </r>
  <r>
    <d v="2025-12-26T00:00:00"/>
    <s v="https://www.etsy.com/ca/listing/4371125103/personalized-dog-baby-bodysuit-custom?transaction_id=4917737476"/>
    <s v="Cream"/>
    <s v="Cream"/>
    <s v="6-12M (short-sleeve)"/>
    <s v="United States"/>
    <s v="Romper Short"/>
    <n v="12"/>
    <n v="52"/>
    <s v="Christmas"/>
    <s v="6-12"/>
    <x v="47"/>
    <m/>
  </r>
  <r>
    <d v="2025-12-27T00:00:00"/>
    <s v="https://www.etsy.com/ca/listing/4371125103/personalized-dog-baby-bodysuit-custom?transaction_id=4917822614"/>
    <s v="Cream"/>
    <s v="Cream"/>
    <s v=" 3-6M (long-sleeve)"/>
    <s v="United States"/>
    <s v="Romper Longer"/>
    <n v="12"/>
    <n v="52"/>
    <s v="Christmas"/>
    <s v="3-6"/>
    <x v="1"/>
    <m/>
  </r>
  <r>
    <d v="2025-12-28T00:00:00"/>
    <s v="https://www.etsy.com/ca/listing/4330488178/embroidered-golf-baby-romper-new-to-the?transaction_id=4930632145"/>
    <s v="White"/>
    <s v="White"/>
    <s v=" 0-3M (short-sleeve)"/>
    <s v="United States"/>
    <s v="Romper Short"/>
    <n v="12"/>
    <n v="53"/>
    <s v="Christmas"/>
    <s v="0-3"/>
    <x v="21"/>
    <m/>
  </r>
  <r>
    <d v="2025-12-29T00:00:00"/>
    <s v="https://www.etsy.com/ca/listing/4330488178/embroidered-golf-baby-romper-new-to-the?transaction_id=4918008072"/>
    <s v="Cream"/>
    <s v="Cream"/>
    <s v=" 0-3M (long-sleeve)"/>
    <s v="United States"/>
    <s v="Romper Longer"/>
    <n v="12"/>
    <n v="53"/>
    <s v="Christmas"/>
    <s v="0-3"/>
    <x v="2"/>
    <m/>
  </r>
  <r>
    <d v="2025-12-30T00:00:00"/>
    <s v="https://www.etsy.com/ca/listing/4371125103/personalized-dog-baby-bodysuit-custom?transaction_id=4918230022"/>
    <s v="Cream"/>
    <s v="Cream"/>
    <s v=" 0-3M (long-sleeve)"/>
    <s v="United States"/>
    <s v="Romper Longer"/>
    <n v="12"/>
    <n v="53"/>
    <s v="Christmas"/>
    <s v="0-3"/>
    <x v="2"/>
    <m/>
  </r>
  <r>
    <d v="2025-12-31T00:00:00"/>
    <s v="https://www.etsy.com/ca/listing/4372352286/silly-goose-baby-romper-funny-infant?transaction_id=4918397822"/>
    <s v="Sage Green"/>
    <s v="Sage Green"/>
    <s v=" 0-3M (long-sleeve)"/>
    <s v="United States"/>
    <s v="Romper Longer"/>
    <n v="12"/>
    <n v="53"/>
    <s v="Christmas"/>
    <s v="0-3"/>
    <x v="5"/>
    <m/>
  </r>
  <r>
    <d v="2026-01-01T00:00:00"/>
    <s v="https://www.etsy.com/ca/listing/4392935796/box-box-for-fresh-diapers-embroidered?transaction_id=4931078809"/>
    <s v="Cream"/>
    <s v="Cream"/>
    <s v=" 3-6M (long-sleeve)"/>
    <s v="United States"/>
    <s v="Romper Longer"/>
    <n v="1"/>
    <n v="1"/>
    <s v="NewYear"/>
    <s v="3-6"/>
    <x v="1"/>
    <m/>
  </r>
  <r>
    <d v="2026-01-02T00:00:00"/>
    <s v="https://www.etsy.com/ca/listing/4344232490/freshly-brewed-baby-bodysuit-cute-coffee?transaction_id=4931162473"/>
    <s v="White"/>
    <s v="White"/>
    <s v=" 3-6M (long-sleeve)"/>
    <s v="United States"/>
    <s v="Romper Longer"/>
    <n v="1"/>
    <n v="1"/>
    <s v="NewYear"/>
    <s v="3-6"/>
    <x v="70"/>
    <m/>
  </r>
  <r>
    <d v="2026-01-03T00:00:00"/>
    <s v="https://www.etsy.com/ca/listing/4376399899/the-littlest-book-club-member-baby?transaction_id=4931173335"/>
    <s v="Salmon"/>
    <s v="Salmon"/>
    <s v="6-12M (short-sleeve)"/>
    <s v="United States"/>
    <s v="Romper Short"/>
    <n v="1"/>
    <n v="1"/>
    <s v="NewYear"/>
    <s v="6-12"/>
    <x v="102"/>
    <m/>
  </r>
  <r>
    <d v="2025-05-05T00:00:00"/>
    <s v="https://www.etsy.com/ca/listing/4330488178/embroidered-golf-baby-romper-new-to-the?transaction_id=4918704666"/>
    <s v="Cream"/>
    <s v="Cream"/>
    <s v=" 3-6M (long-sleeve)"/>
    <s v="United States"/>
    <s v="Romper Longer"/>
    <n v="5"/>
    <n v="19"/>
    <s v="MothersDay"/>
    <s v="3-6"/>
    <x v="1"/>
    <m/>
  </r>
  <r>
    <d v="2025-05-06T00:00:00"/>
    <s v="https://www.etsy.com/ca/listing/4376399899/the-littlest-book-club-member-baby?transaction_id=4918797382"/>
    <s v="Sage Green"/>
    <s v="Sage Green"/>
    <s v="3-6M (short-sleeve)"/>
    <s v="United States"/>
    <s v="Romper Short"/>
    <n v="5"/>
    <n v="19"/>
    <s v="MothersDay"/>
    <s v="3-6"/>
    <x v="24"/>
    <m/>
  </r>
  <r>
    <d v="2025-05-07T00:00:00"/>
    <s v="https://www.etsy.com/ca/listing/4376392339/funny-baby-romper-my-brand-of-formula?transaction_id=4901980596"/>
    <s v="Sage Green"/>
    <s v="Sage Green"/>
    <s v=" 6-12M (long-sleeve)"/>
    <s v="United States"/>
    <s v="Romper Longer"/>
    <n v="5"/>
    <n v="19"/>
    <s v="MothersDay"/>
    <s v="6-12"/>
    <x v="3"/>
    <m/>
  </r>
  <r>
    <d v="2025-05-08T00:00:00"/>
    <s v="https://www.etsy.com/ca/listing/4376399899/the-littlest-book-club-member-baby?transaction_id=4931550561"/>
    <s v="Sage Green"/>
    <s v="Sage Green"/>
    <s v=" 6-12M (long-sleeve)"/>
    <s v="United States"/>
    <s v="Romper Longer"/>
    <n v="5"/>
    <n v="19"/>
    <s v="MothersDay"/>
    <s v="6-12"/>
    <x v="3"/>
    <m/>
  </r>
  <r>
    <d v="2025-05-09T00:00:00"/>
    <s v="https://www.etsy.com/ca/listing/4369781409/burpee-machine-baby-bodysuit-funny-baby?transaction_id=4918960126"/>
    <s v="Dusty Pink"/>
    <s v="Dusty Pink"/>
    <s v="6-12M (short-sleeve)"/>
    <s v="United States"/>
    <s v="Romper Short"/>
    <n v="5"/>
    <n v="19"/>
    <s v="MothersDay"/>
    <s v="6-12"/>
    <x v="35"/>
    <m/>
  </r>
  <r>
    <d v="2025-05-10T00:00:00"/>
    <s v="https://www.etsy.com/ca/listing/4330488178/embroidered-golf-baby-romper-new-to-the?transaction_id=4931624881"/>
    <s v="Cream"/>
    <s v="Cream"/>
    <s v=" 0-3M (short-sleeve)"/>
    <s v="United States"/>
    <s v="Romper Short"/>
    <n v="5"/>
    <n v="19"/>
    <s v="MothersDay"/>
    <s v="0-3"/>
    <x v="15"/>
    <m/>
  </r>
  <r>
    <d v="2025-05-11T00:00:00"/>
    <s v="https://www.etsy.com/ca/listing/4344235128/new-to-the-hive-baby-romper-embroidered?transaction_id=4931644031"/>
    <s v="Cream"/>
    <s v="Cream"/>
    <s v="3-6M (short-sleeve)"/>
    <s v="United States"/>
    <s v="Romper Short"/>
    <n v="5"/>
    <n v="20"/>
    <s v="MothersDay"/>
    <s v="3-6"/>
    <x v="0"/>
    <m/>
  </r>
  <r>
    <d v="2025-05-12T00:00:00"/>
    <s v="https://www.etsy.com/ca/listing/4371125103/personalized-dog-baby-bodysuit-custom?transaction_id=4931911275"/>
    <s v="Sage Green"/>
    <s v="Sage Green"/>
    <s v=" 3-6M (long-sleeve)"/>
    <s v="United States"/>
    <s v="Romper Longer"/>
    <n v="5"/>
    <n v="20"/>
    <s v="MothersDay"/>
    <s v="3-6"/>
    <x v="7"/>
    <m/>
  </r>
  <r>
    <d v="2025-05-13T00:00:00"/>
    <s v="https://www.etsy.com/ca/listing/4376399899/the-littlest-book-club-member-baby?transaction_id=4931985051"/>
    <s v="Cream"/>
    <s v="Cream"/>
    <s v="3-6M (short-sleeve)"/>
    <s v="United States"/>
    <s v="Romper Short"/>
    <n v="5"/>
    <n v="20"/>
    <s v="MothersDay"/>
    <s v="3-6"/>
    <x v="0"/>
    <m/>
  </r>
  <r>
    <d v="2025-05-14T00:00:00"/>
    <s v="https://www.etsy.com/ca/listing/4376399899/the-littlest-book-club-member-baby?transaction_id=4932184329"/>
    <s v="Cream"/>
    <s v="Cream"/>
    <s v=" 3-6M (long-sleeve)"/>
    <s v="United States"/>
    <s v="Romper Longer"/>
    <n v="5"/>
    <n v="20"/>
    <s v="MothersDay"/>
    <s v="3-6"/>
    <x v="1"/>
    <m/>
  </r>
  <r>
    <d v="2025-05-15T00:00:00"/>
    <s v="https://www.etsy.com/ca/listing/4346126210/daddys-future-lifting-buddy-romper-baby?transaction_id=4932211689"/>
    <s v="Dusty Pink"/>
    <s v="Dusty Pink"/>
    <s v="3-6M (short-sleeve)"/>
    <s v="United States"/>
    <s v="Romper Short"/>
    <n v="5"/>
    <n v="20"/>
    <s v="MothersDay"/>
    <s v="3-6"/>
    <x v="31"/>
    <m/>
  </r>
  <r>
    <d v="2025-05-16T00:00:00"/>
    <s v="https://www.etsy.com/ca/listing/4376399899/the-littlest-book-club-member-baby?transaction_id=4919639814"/>
    <s v="Caldet Blue"/>
    <s v="Caldet Blue"/>
    <s v="6-12M (short-sleeve)"/>
    <s v="United States"/>
    <s v="Romper Short"/>
    <n v="5"/>
    <n v="20"/>
    <s v="MothersDay"/>
    <s v="6-12"/>
    <x v="63"/>
    <m/>
  </r>
  <r>
    <d v="2025-05-17T00:00:00"/>
    <s v="https://www.etsy.com/ca/listing/4330488178/embroidered-golf-baby-romper-new-to-the?transaction_id=4919681510"/>
    <s v="Sage Green"/>
    <s v="Sage Green"/>
    <s v=" 0-3M (long-sleeve)"/>
    <s v="United States"/>
    <s v="Romper Longer"/>
    <n v="5"/>
    <n v="20"/>
    <s v="MothersDay"/>
    <s v="0-3"/>
    <x v="5"/>
    <m/>
  </r>
  <r>
    <d v="2025-05-18T00:00:00"/>
    <s v="https://www.etsy.com/ca/listing/4376389783/player-2-baby-romper-gamer-baby-outfit?transaction_id=4932375397"/>
    <s v="Forest Green"/>
    <s v="Forest Green"/>
    <s v=" 3-6M (long-sleeve)"/>
    <s v="United States"/>
    <s v="Romper Longer"/>
    <n v="5"/>
    <n v="21"/>
    <s v="MothersDay"/>
    <s v="3-6"/>
    <x v="4"/>
    <m/>
  </r>
  <r>
    <d v="2025-05-19T00:00:00"/>
    <s v="https://www.etsy.com/ca/listing/4376399899/the-littlest-book-club-member-baby?transaction_id=4932380357"/>
    <s v="Mauve Taupe"/>
    <s v="Mauve Taupe"/>
    <s v=" 0-3M (short-sleeve)"/>
    <s v="United States"/>
    <s v="Romper Short"/>
    <n v="5"/>
    <n v="21"/>
    <s v="MothersDay"/>
    <s v="0-3"/>
    <x v="71"/>
    <m/>
  </r>
  <r>
    <d v="2025-05-20T00:00:00"/>
    <s v="https://www.etsy.com/ca/listing/4371125103/personalized-dog-baby-bodysuit-custom?transaction_id=4932443569"/>
    <s v="Watermelon"/>
    <s v="Watermelon"/>
    <s v=" 3-6M (long-sleeve)"/>
    <s v="United States"/>
    <s v="Romper Longer"/>
    <n v="5"/>
    <n v="21"/>
    <s v="MothersDay"/>
    <s v="3-6"/>
    <x v="20"/>
    <m/>
  </r>
  <r>
    <d v="2025-05-21T00:00:00"/>
    <s v="https://www.etsy.com/ca/listing/4330488178/embroidered-golf-baby-romper-new-to-the?transaction_id=4919915038"/>
    <s v="Cream"/>
    <s v="Cream"/>
    <s v="6-12M (short-sleeve)"/>
    <s v="United States"/>
    <s v="Romper Short"/>
    <n v="5"/>
    <n v="21"/>
    <s v="MothersDay"/>
    <s v="6-12"/>
    <x v="47"/>
    <m/>
  </r>
  <r>
    <d v="2025-05-22T00:00:00"/>
    <s v="https://www.etsy.com/ca/listing/4392935796/box-box-for-fresh-diapers-embroidered?transaction_id=4920258280"/>
    <s v="Dusty Pink"/>
    <s v="Dusty Pink"/>
    <s v=" 0-3M (long-sleeve)"/>
    <s v="United States"/>
    <s v="Romper Longer"/>
    <n v="5"/>
    <n v="21"/>
    <s v="MothersDay"/>
    <s v="0-3"/>
    <x v="45"/>
    <m/>
  </r>
  <r>
    <d v="2025-05-23T00:00:00"/>
    <s v="https://www.etsy.com/ca/listing/4330504943/embroidered-tennis-baby-romper-daddys?transaction_id=4920353512"/>
    <s v="Cream"/>
    <s v="Cream"/>
    <s v=" 0-3M (short-sleeve)"/>
    <s v="United States"/>
    <s v="Romper Short"/>
    <n v="5"/>
    <n v="21"/>
    <s v="MothersDay"/>
    <s v="0-3"/>
    <x v="15"/>
    <m/>
  </r>
  <r>
    <d v="2025-05-24T00:00:00"/>
    <s v="https://www.etsy.com/ca/listing/4330504943/embroidered-tennis-baby-romper-daddys?transaction_id=4933029773"/>
    <s v="Cream"/>
    <s v="Cream"/>
    <s v=" 3-6M (long-sleeve)"/>
    <s v="United States"/>
    <s v="Romper Longer"/>
    <n v="5"/>
    <n v="21"/>
    <s v="MothersDay"/>
    <s v="3-6"/>
    <x v="1"/>
    <m/>
  </r>
  <r>
    <d v="2025-05-25T00:00:00"/>
    <s v="https://www.etsy.com/ca/listing/4344231895/embroidered-baby-romper-shhh-im-reading?transaction_id=4920491746"/>
    <s v="Sage Green"/>
    <s v="Sage Green"/>
    <s v=" 3-6M (long-sleeve)"/>
    <s v="United States"/>
    <s v="Romper Longer"/>
    <n v="5"/>
    <n v="22"/>
    <s v="MothersDay"/>
    <s v="3-6"/>
    <x v="7"/>
    <m/>
  </r>
  <r>
    <d v="2025-05-26T00:00:00"/>
    <s v="https://www.etsy.com/ca/listing/4376399899/the-littlest-book-club-member-baby?transaction_id=4920504094"/>
    <s v="Sage Green"/>
    <s v="Sage Green"/>
    <s v=" 0-3M (short-sleeve)"/>
    <s v="United States"/>
    <s v="Romper Short"/>
    <n v="5"/>
    <n v="22"/>
    <s v="MothersDay"/>
    <s v="0-3"/>
    <x v="13"/>
    <m/>
  </r>
  <r>
    <d v="2025-05-27T00:00:00"/>
    <s v="https://www.etsy.com/ca/listing/4376399899/the-littlest-book-club-member-baby?transaction_id=4920673408"/>
    <s v="Cream"/>
    <s v="Cream"/>
    <s v=" 6-12M (long-sleeve)"/>
    <s v="United States"/>
    <s v="Romper Longer"/>
    <n v="5"/>
    <n v="22"/>
    <s v="MothersDay"/>
    <s v="6-12"/>
    <x v="17"/>
    <m/>
  </r>
  <r>
    <d v="2025-05-28T00:00:00"/>
    <s v="https://www.etsy.com/ca/listing/4352935112/custom-baby-romper-personalized-newborn?transaction_id=4920730680"/>
    <s v="Dusty Pink"/>
    <s v="Dusty Pink"/>
    <s v=" 0-3M (long-sleeve)"/>
    <s v="United States"/>
    <s v="Romper Longer"/>
    <n v="5"/>
    <n v="22"/>
    <s v="MothersDay"/>
    <s v="0-3"/>
    <x v="45"/>
    <m/>
  </r>
  <r>
    <d v="2025-05-29T00:00:00"/>
    <s v="https://www.etsy.com/ca/listing/4371125103/personalized-dog-baby-bodysuit-custom?transaction_id=4933394095"/>
    <s v="Cream"/>
    <s v="Cream"/>
    <s v=" 3-6M (long-sleeve)"/>
    <s v="United States"/>
    <s v="Romper Longer"/>
    <n v="5"/>
    <n v="22"/>
    <s v="MothersDay"/>
    <s v="3-6"/>
    <x v="1"/>
    <m/>
  </r>
  <r>
    <d v="2025-05-30T00:00:00"/>
    <s v="https://www.etsy.com/ca/listing/4330488178/embroidered-golf-baby-romper-new-to-the?transaction_id=4933408151"/>
    <s v="Cream"/>
    <s v="Cream"/>
    <s v=" 0-3M (long-sleeve)"/>
    <s v="United States"/>
    <s v="Romper Longer"/>
    <n v="5"/>
    <n v="22"/>
    <s v="MothersDay"/>
    <s v="0-3"/>
    <x v="2"/>
    <m/>
  </r>
  <r>
    <d v="2025-05-31T00:00:00"/>
    <s v="https://www.etsy.com/ca/listing/4376399899/the-littlest-book-club-member-baby?transaction_id=4920880818"/>
    <s v="Sage Green"/>
    <s v="Sage Green"/>
    <s v="3-6M (short-sleeve)"/>
    <s v="United States"/>
    <s v="Romper Short"/>
    <n v="5"/>
    <n v="22"/>
    <s v="MothersDay"/>
    <s v="3-6"/>
    <x v="24"/>
    <m/>
  </r>
  <r>
    <d v="2025-06-01T00:00:00"/>
    <s v="https://www.etsy.com/ca/listing/4376392339/funny-baby-romper-my-brand-of-formula?transaction_id=4920891376"/>
    <s v="Salmon"/>
    <s v="Salmon"/>
    <s v="3-6M (short-sleeve)"/>
    <s v="United States"/>
    <s v="Romper Short"/>
    <n v="6"/>
    <n v="23"/>
    <s v="FathersDay"/>
    <s v="3-6"/>
    <x v="50"/>
    <m/>
  </r>
  <r>
    <d v="2025-06-02T00:00:00"/>
    <s v="https://www.etsy.com/ca/listing/4371125103/personalized-dog-baby-bodysuit-custom?transaction_id=4920980924"/>
    <s v="Sage Green"/>
    <s v="Sage Green"/>
    <s v="18-24M (long-sleeve)"/>
    <s v="United States"/>
    <s v="Romper Longer"/>
    <n v="6"/>
    <n v="23"/>
    <s v="FathersDay"/>
    <s v="18-24"/>
    <x v="11"/>
    <m/>
  </r>
  <r>
    <d v="2025-06-03T00:00:00"/>
    <s v="https://www.etsy.com/ca/listing/4376399899/the-littlest-book-club-member-baby?transaction_id=4921084850"/>
    <s v="Sage Green"/>
    <s v="Sage Green"/>
    <s v=" 0-3M (long-sleeve)"/>
    <s v="United States"/>
    <s v="Romper Longer"/>
    <n v="6"/>
    <n v="23"/>
    <s v="FathersDay"/>
    <s v="0-3"/>
    <x v="5"/>
    <m/>
  </r>
  <r>
    <d v="2025-06-04T00:00:00"/>
    <s v="https://www.etsy.com/ca/listing/4346126210/daddys-future-lifting-buddy-romper-baby?transaction_id=4933651949"/>
    <m/>
    <s v=""/>
    <s v=" 3-6M (long-sleeve)"/>
    <s v="United States"/>
    <s v="Romper Longer"/>
    <n v="6"/>
    <n v="23"/>
    <s v="FathersDay"/>
    <s v="3-6"/>
    <x v="107"/>
    <m/>
  </r>
  <r>
    <d v="2025-06-05T00:00:00"/>
    <s v="https://www.etsy.com/ca/listing/4330485404/cat-face-embroidered-baby-romper-funny?transaction_id=4921211826"/>
    <s v="White"/>
    <s v="White"/>
    <s v="3-6M (short-sleeve)"/>
    <s v="United States"/>
    <s v="Romper Short"/>
    <n v="6"/>
    <n v="23"/>
    <s v="FathersDay"/>
    <s v="3-6"/>
    <x v="69"/>
    <m/>
  </r>
  <r>
    <d v="2025-06-06T00:00:00"/>
    <s v="https://www.etsy.com/ca/listing/4376399899/the-littlest-book-club-member-baby?transaction_id=4933797719"/>
    <s v="Sage Green"/>
    <s v="Sage Green"/>
    <s v=" 0-3M (short-sleeve)"/>
    <s v="United States"/>
    <s v="Romper Short"/>
    <n v="6"/>
    <n v="23"/>
    <s v="FathersDay"/>
    <s v="0-3"/>
    <x v="13"/>
    <m/>
  </r>
  <r>
    <d v="2025-06-07T00:00:00"/>
    <s v="https://www.etsy.com/ca/listing/4371125103/personalized-dog-baby-bodysuit-custom?transaction_id=4921253960"/>
    <s v="Salmon"/>
    <s v="Salmon"/>
    <s v=" 3-6M (long-sleeve)"/>
    <s v="United States"/>
    <s v="Romper Longer"/>
    <n v="6"/>
    <n v="23"/>
    <s v="FathersDay"/>
    <s v="3-6"/>
    <x v="49"/>
    <m/>
  </r>
  <r>
    <d v="2025-06-08T00:00:00"/>
    <s v="https://www.etsy.com/ca/listing/4376399899/the-littlest-book-club-member-baby?transaction_id=4900682960"/>
    <s v="Cream"/>
    <s v="Cream"/>
    <s v="3-6M (short-sleeve)"/>
    <s v="United States"/>
    <s v="Romper Short"/>
    <n v="6"/>
    <n v="24"/>
    <s v="FathersDay"/>
    <s v="3-6"/>
    <x v="0"/>
    <m/>
  </r>
  <r>
    <d v="2025-06-09T00:00:00"/>
    <s v="https://www.etsy.com/ca/listing/4344237213/mamas-coffee-date-baby-bodysuit-funny?transaction_id=4916049657"/>
    <s v="Watermelon"/>
    <s v="Watermelon"/>
    <s v=" 0-3M (long-sleeve)"/>
    <s v="United States"/>
    <s v="Romper Longer"/>
    <n v="6"/>
    <n v="24"/>
    <s v="FathersDay"/>
    <s v="0-3"/>
    <x v="36"/>
    <m/>
  </r>
  <r>
    <d v="2025-06-10T00:00:00"/>
    <s v="https://www.etsy.com/ca/listing/4344232490/freshly-brewed-baby-bodysuit-cute-coffee?transaction_id=4901647892"/>
    <s v="Cream"/>
    <s v="Cream"/>
    <s v=" 0-3M (long-sleeve)"/>
    <s v="United States"/>
    <s v="Romper Longer"/>
    <n v="6"/>
    <n v="24"/>
    <s v="FathersDay"/>
    <s v="0-3"/>
    <x v="2"/>
    <m/>
  </r>
  <r>
    <d v="2025-06-11T00:00:00"/>
    <s v="https://www.etsy.com/ca/listing/4376392339/funny-baby-romper-my-brand-of-formula?transaction_id=4921358584"/>
    <s v="White"/>
    <s v="White"/>
    <s v="6-12M (short-sleeve)"/>
    <s v="United States"/>
    <s v="Romper Short"/>
    <n v="6"/>
    <n v="24"/>
    <s v="FathersDay"/>
    <s v="6-12"/>
    <x v="42"/>
    <m/>
  </r>
  <r>
    <d v="2025-06-12T00:00:00"/>
    <s v="https://www.etsy.com/ca/listing/4376399899/the-littlest-book-club-member-baby?transaction_id=4921575824"/>
    <s v="Sage Green"/>
    <s v="Sage Green"/>
    <s v=" 3-6M (long-sleeve)"/>
    <s v="United States"/>
    <s v="Romper Longer"/>
    <n v="6"/>
    <n v="24"/>
    <s v="FathersDay"/>
    <s v="3-6"/>
    <x v="7"/>
    <m/>
  </r>
  <r>
    <d v="2025-06-13T00:00:00"/>
    <s v="https://www.etsy.com/ca/listing/4376389783/player-2-baby-romper-gamer-baby-outfit?transaction_id=4921714902"/>
    <s v="Watermelon"/>
    <s v="Watermelon"/>
    <s v=" 3-6M (long-sleeve)"/>
    <s v="United States"/>
    <s v="Romper Longer"/>
    <n v="6"/>
    <n v="24"/>
    <s v="FathersDay"/>
    <s v="3-6"/>
    <x v="20"/>
    <m/>
  </r>
  <r>
    <d v="2025-06-14T00:00:00"/>
    <s v="https://www.etsy.com/ca/listing/4376399899/the-littlest-book-club-member-baby?transaction_id=4934468511"/>
    <s v="Sage Green"/>
    <s v="Sage Green"/>
    <s v=" 0-3M (long-sleeve)"/>
    <s v="United States"/>
    <s v="Romper Longer"/>
    <n v="6"/>
    <n v="24"/>
    <s v="FathersDay"/>
    <s v="0-3"/>
    <x v="5"/>
    <m/>
  </r>
  <r>
    <d v="2025-06-15T00:00:00"/>
    <s v="https://www.etsy.com/ca/listing/4371125103/personalized-dog-baby-bodysuit-custom?transaction_id=4922093452"/>
    <s v="Caldet Blue"/>
    <s v="Caldet Blue"/>
    <s v=" 6-12M (long-sleeve)"/>
    <s v="United States"/>
    <s v="Romper Longer"/>
    <n v="6"/>
    <n v="25"/>
    <s v="FathersDay"/>
    <s v="6-12"/>
    <x v="25"/>
    <m/>
  </r>
  <r>
    <d v="2025-06-16T00:00:00"/>
    <s v="https://www.etsy.com/ca/listing/4376399899/the-littlest-book-club-member-baby?transaction_id=4922187892"/>
    <s v="Sage Green"/>
    <s v="Sage Green"/>
    <s v=" 6-12M (long-sleeve)"/>
    <s v="United States"/>
    <s v="Romper Longer"/>
    <n v="6"/>
    <n v="25"/>
    <s v="FathersDay"/>
    <s v="6-12"/>
    <x v="3"/>
    <m/>
  </r>
  <r>
    <d v="2025-06-17T00:00:00"/>
    <s v="https://www.etsy.com/ca/listing/4330488178/embroidered-golf-baby-romper-new-to-the?transaction_id=4934616519"/>
    <s v="Cream"/>
    <s v="Cream"/>
    <s v=" 3-6M (long-sleeve)"/>
    <s v="United States"/>
    <s v="Romper Longer"/>
    <n v="6"/>
    <n v="25"/>
    <s v="FathersDay"/>
    <s v="3-6"/>
    <x v="1"/>
    <m/>
  </r>
  <r>
    <d v="2025-06-18T00:00:00"/>
    <s v="https://www.etsy.com/ca/listing/4346126210/daddys-future-lifting-buddy-romper-baby?transaction_id=4934669023"/>
    <s v="White"/>
    <s v="White"/>
    <s v="3-6M (short-sleeve)"/>
    <s v="United States"/>
    <s v="Romper Short"/>
    <n v="6"/>
    <n v="25"/>
    <s v="FathersDay"/>
    <s v="3-6"/>
    <x v="69"/>
    <m/>
  </r>
  <r>
    <d v="2025-06-19T00:00:00"/>
    <s v="https://www.etsy.com/ca/listing/4330488178/embroidered-golf-baby-romper-new-to-the?transaction_id=4922299592"/>
    <s v="Cream"/>
    <s v="Cream"/>
    <s v=" 0-3M (long-sleeve)"/>
    <s v="United States"/>
    <s v="Romper Longer"/>
    <n v="6"/>
    <n v="25"/>
    <s v="FathersDay"/>
    <s v="0-3"/>
    <x v="2"/>
    <m/>
  </r>
  <r>
    <d v="2025-06-20T00:00:00"/>
    <s v="www.etsy.com/ca/listing/4392932100/born-to-ride-with-my-daddy-embroidered?transaction_id=4922447106"/>
    <s v="Watermelon"/>
    <s v="Watermelon"/>
    <s v="6-12M (short-sleeve)"/>
    <s v="United States"/>
    <s v="Romper Short"/>
    <n v="6"/>
    <n v="25"/>
    <s v="FathersDay"/>
    <s v="6-12"/>
    <x v="76"/>
    <m/>
  </r>
  <r>
    <d v="2025-06-21T00:00:00"/>
    <s v="https://www.etsy.com/ca/listing/4347260564/football-baby-romper-game-day-baby?transaction_id=4922588540"/>
    <s v="Cream"/>
    <s v="Cream"/>
    <s v=" 6-12M (long-sleeve)"/>
    <s v="United States"/>
    <s v="Romper Longer"/>
    <n v="6"/>
    <n v="25"/>
    <s v="FathersDay"/>
    <s v="6-12"/>
    <x v="17"/>
    <m/>
  </r>
  <r>
    <d v="2025-06-22T00:00:00"/>
    <s v="https://www.etsy.com/ca/listing/4371125103/personalized-dog-baby-bodysuit-custom?transaction_id=4934958577"/>
    <s v="Sage Green"/>
    <s v="Sage Green"/>
    <s v="3-6M (short-sleeve)"/>
    <s v="United States"/>
    <s v="Romper Short"/>
    <n v="6"/>
    <n v="26"/>
    <s v="FathersDay"/>
    <s v="3-6"/>
    <x v="24"/>
    <m/>
  </r>
  <r>
    <d v="2025-06-23T00:00:00"/>
    <s v="https://www.etsy.com/ca/listing/4376399899/the-littlest-book-club-member-baby?transaction_id=4934997299"/>
    <s v="Sage Green"/>
    <s v="Sage Green"/>
    <s v=" 0-3M (short-sleeve)"/>
    <s v="United States"/>
    <s v="Romper Short"/>
    <n v="6"/>
    <n v="26"/>
    <s v="FathersDay"/>
    <s v="0-3"/>
    <x v="13"/>
    <m/>
  </r>
  <r>
    <d v="2025-06-24T00:00:00"/>
    <s v="https://www.etsy.com/ca/listing/4376399899/the-littlest-book-club-member-baby?transaction_id=4923068010"/>
    <s v="Mauve Taupe"/>
    <s v="Mauve Taupe"/>
    <s v=" 3-6M (long-sleeve)"/>
    <s v="United States"/>
    <s v="Romper Longer"/>
    <n v="6"/>
    <n v="26"/>
    <s v="FathersDay"/>
    <s v="3-6"/>
    <x v="10"/>
    <m/>
  </r>
  <r>
    <d v="2025-06-25T00:00:00"/>
    <s v="https://www.etsy.com/ca/listing/4376399899/the-littlest-book-club-member-baby?transaction_id=4935411681"/>
    <s v="Mauve Taupe"/>
    <s v="Mauve Taupe"/>
    <s v=" 0-3M (long-sleeve)"/>
    <s v="United States"/>
    <s v="Romper Longer"/>
    <n v="6"/>
    <n v="26"/>
    <s v="FathersDay"/>
    <s v="0-3"/>
    <x v="40"/>
    <m/>
  </r>
  <r>
    <d v="2025-06-26T00:00:00"/>
    <s v="https://www.etsy.com/ca/listing/4376399899/the-littlest-book-club-member-baby?transaction_id=4923270804"/>
    <s v="Dusty Pink"/>
    <s v="Dusty Pink"/>
    <s v="3-6M (short-sleeve)"/>
    <s v="United States"/>
    <s v="Romper Short"/>
    <n v="6"/>
    <n v="26"/>
    <s v="FathersDay"/>
    <s v="3-6"/>
    <x v="31"/>
    <m/>
  </r>
  <r>
    <d v="2025-06-27T00:00:00"/>
    <s v="https://www.etsy.com/ca/listing/4330488178/embroidered-golf-baby-romper-new-to-the?transaction_id=4923272972"/>
    <s v="Cream"/>
    <s v="Cream"/>
    <s v=" 0-3M (long-sleeve)"/>
    <s v="United States"/>
    <s v="Romper Longer"/>
    <n v="6"/>
    <n v="26"/>
    <s v="FathersDay"/>
    <s v="0-3"/>
    <x v="2"/>
    <m/>
  </r>
  <r>
    <d v="2025-06-28T00:00:00"/>
    <s v="https://www.etsy.com/ca/listing/4330488178/embroidered-golf-baby-romper-new-to-the?transaction_id=4935627263"/>
    <s v="White"/>
    <s v="White"/>
    <s v=" 0-3M (short-sleeve)"/>
    <s v="United States"/>
    <s v="Romper Short"/>
    <n v="6"/>
    <n v="26"/>
    <s v="FathersDay"/>
    <s v="0-3"/>
    <x v="21"/>
    <m/>
  </r>
  <r>
    <d v="2025-06-29T00:00:00"/>
    <s v="https://www.etsy.com/ca/listing/4376399899/the-littlest-book-club-member-baby?transaction_id=4935705741"/>
    <s v="Sage Green"/>
    <s v="Sage Green"/>
    <s v="3-6M (short-sleeve)"/>
    <s v="United States"/>
    <s v="Romper Short"/>
    <n v="6"/>
    <n v="27"/>
    <s v="FathersDay"/>
    <s v="3-6"/>
    <x v="24"/>
    <m/>
  </r>
  <r>
    <d v="2025-06-30T00:00:00"/>
    <s v="https://www.etsy.com/ca/listing/4346126210/daddys-future-lifting-buddy-romper-baby?transaction_id=4923481588"/>
    <s v="Cream"/>
    <s v="Cream"/>
    <s v="6-12M (short-sleeve)"/>
    <s v="United States"/>
    <s v="Romper Short"/>
    <n v="6"/>
    <n v="27"/>
    <s v="FathersDay"/>
    <s v="6-12"/>
    <x v="47"/>
    <m/>
  </r>
  <r>
    <d v="2025-07-01T00:00:00"/>
    <s v="https://www.etsy.com/ca/listing/4392932100/born-to-ride-with-my-daddy-embroidered?transaction_id=4935795997"/>
    <s v="Sage Green"/>
    <s v="Sage Green"/>
    <s v="3-6M (short-sleeve)"/>
    <s v="United States"/>
    <s v="Romper Short"/>
    <n v="7"/>
    <n v="27"/>
    <s v="Summer"/>
    <s v="3-6"/>
    <x v="24"/>
    <m/>
  </r>
  <r>
    <d v="2025-07-02T00:00:00"/>
    <s v="https://www.etsy.com/ca/listing/4392962015/cant-wait-to-jam-with-daddy-embroidered?transaction_id=4935812517"/>
    <s v="Caldet Blue"/>
    <s v="Caldet Blue"/>
    <s v="3-6M (short-sleeve)"/>
    <s v="United States"/>
    <s v="Romper Short"/>
    <n v="7"/>
    <n v="27"/>
    <s v="Summer"/>
    <s v="3-6"/>
    <x v="29"/>
    <m/>
  </r>
  <r>
    <d v="2025-07-03T00:00:00"/>
    <s v="https://www.etsy.com/ca/listing/4372375963/whaley-cute-baby-romper-funny-whale-baby?transaction_id=4923708192"/>
    <s v="Sage Green"/>
    <s v="Sage Green"/>
    <s v=" 0-3M (short-sleeve)"/>
    <s v="United States"/>
    <s v="Romper Short"/>
    <n v="7"/>
    <n v="27"/>
    <s v="Summer"/>
    <s v="0-3"/>
    <x v="13"/>
    <m/>
  </r>
  <r>
    <d v="2025-07-04T00:00:00"/>
    <s v="https://www.etsy.com/ca/listing/4376389783/player-2-baby-romper-gamer-baby-outfit?transaction_id=4936002325"/>
    <s v="Forest Green"/>
    <s v="Forest Green"/>
    <s v=" 0-3M (short-sleeve)"/>
    <s v="United States"/>
    <s v="Romper Short"/>
    <n v="7"/>
    <n v="27"/>
    <s v="Summer"/>
    <s v="0-3"/>
    <x v="52"/>
    <m/>
  </r>
  <r>
    <d v="2025-07-05T00:00:00"/>
    <s v="https://www.etsy.com/ca/listing/4333134764/wizard-font-baby-romper-personalized?transaction_id=4923833174"/>
    <s v="Sage Green"/>
    <s v="Sage Green"/>
    <s v="18-24M (long-sleeve)"/>
    <s v="United States"/>
    <s v="Romper Longer"/>
    <n v="7"/>
    <n v="27"/>
    <s v="Summer"/>
    <s v="18-24"/>
    <x v="11"/>
    <m/>
  </r>
  <r>
    <d v="2025-07-06T00:00:00"/>
    <s v="https://www.etsy.com/ca/listing/4372352286/silly-goose-baby-romper-funny-infant?transaction_id=4923871728"/>
    <s v="Forest Green"/>
    <s v="Forest Green"/>
    <s v=" 0-3M (long-sleeve)"/>
    <s v="United States"/>
    <s v="Romper Longer"/>
    <n v="7"/>
    <n v="28"/>
    <s v="Summer"/>
    <s v="0-3"/>
    <x v="41"/>
    <m/>
  </r>
  <r>
    <d v="2025-07-07T00:00:00"/>
    <s v="https://www.etsy.com/ca/listing/4376399899/the-littlest-book-club-member-baby?transaction_id=4923896498"/>
    <s v="Sage Green"/>
    <s v="Sage Green"/>
    <s v=" 0-3M (short-sleeve)"/>
    <s v="United States"/>
    <s v="Romper Short"/>
    <n v="7"/>
    <n v="28"/>
    <s v="Summer"/>
    <s v="0-3"/>
    <x v="13"/>
    <m/>
  </r>
  <r>
    <d v="2025-07-08T00:00:00"/>
    <s v="https://www.etsy.com/ca/listing/4379194627/new-to-the-farm-embroidered-romper-baby?transaction_id=4923976912"/>
    <s v="Sage Green"/>
    <s v="Sage Green"/>
    <s v=" 0-3M (long-sleeve)"/>
    <s v="United States"/>
    <s v="Romper Longer"/>
    <n v="7"/>
    <n v="28"/>
    <s v="Summer"/>
    <s v="0-3"/>
    <x v="5"/>
    <m/>
  </r>
  <r>
    <d v="2025-07-09T00:00:00"/>
    <s v="https://www.etsy.com/ca/listing/4371125103/personalized-dog-baby-bodysuit-custom?transaction_id=4913108645"/>
    <s v="Forest Green"/>
    <s v="Forest Green"/>
    <s v=" 3-6M (long-sleeve)"/>
    <s v="United States"/>
    <s v="Romper Longer"/>
    <n v="7"/>
    <n v="28"/>
    <s v="Summer"/>
    <s v="3-6"/>
    <x v="4"/>
    <m/>
  </r>
  <r>
    <d v="2025-07-10T00:00:00"/>
    <s v="https://www.etsy.com/ca/listing/4393819210/sweet-dreams-are-made-of-cheese?transaction_id=4915695277"/>
    <s v="Cream"/>
    <s v="Cream"/>
    <s v="12-18M (long-sleeve)"/>
    <s v="United States"/>
    <s v="Romper Longer"/>
    <n v="7"/>
    <n v="28"/>
    <s v="Summer"/>
    <s v="12-18"/>
    <x v="53"/>
    <m/>
  </r>
  <r>
    <d v="2025-07-11T00:00:00"/>
    <s v="https://www.etsy.com/ca/listing/4392935796/box-box-for-fresh-diapers-embroidered?transaction_id=4915183043"/>
    <s v="White"/>
    <s v="White"/>
    <s v=" 0-3M (short-sleeve)"/>
    <s v="United States"/>
    <s v="Romper Short"/>
    <n v="7"/>
    <n v="28"/>
    <s v="Summer"/>
    <s v="0-3"/>
    <x v="21"/>
    <m/>
  </r>
  <r>
    <d v="2025-07-12T00:00:00"/>
    <s v="https://www.etsy.com/ca/listing/4372350408/my-first-football-season-baby-romper?transaction_id=4915439999"/>
    <s v="Dusty Pink"/>
    <s v="Dusty Pink"/>
    <s v=" 6-12M (long-sleeve)"/>
    <s v="United States"/>
    <s v="Romper Longer"/>
    <n v="7"/>
    <n v="28"/>
    <s v="Summer"/>
    <s v="6-12"/>
    <x v="51"/>
    <m/>
  </r>
  <r>
    <d v="2025-07-13T00:00:00"/>
    <s v="https://www.etsy.com/ca/listing/4371125103/personalized-dog-baby-bodysuit-custom?transaction_id=4908650725"/>
    <s v="Cream"/>
    <s v="Cream"/>
    <s v=" 0-3M (long-sleeve)"/>
    <s v="United States"/>
    <s v="Romper Longer"/>
    <n v="7"/>
    <n v="29"/>
    <s v="Summer"/>
    <s v="0-3"/>
    <x v="2"/>
    <m/>
  </r>
  <r>
    <d v="2025-07-14T00:00:00"/>
    <s v="https://www.etsy.com/ca/listing/4371125103/personalized-dog-baby-bodysuit-custom?transaction_id=4897273812"/>
    <s v="Dusty Pink"/>
    <s v="Dusty Pink"/>
    <s v=" 3-6M (long-sleeve)"/>
    <s v="United States"/>
    <s v="Romper Longer"/>
    <n v="7"/>
    <n v="29"/>
    <s v="Summer"/>
    <s v="3-6"/>
    <x v="8"/>
    <m/>
  </r>
  <r>
    <d v="2025-07-15T00:00:00"/>
    <s v="https://www.etsy.com/ca/listing/4376399899/the-littlest-book-club-member-baby?transaction_id=4899385354"/>
    <s v="Sage Green"/>
    <s v="Sage Green"/>
    <s v=" 6-12M (long-sleeve)"/>
    <s v="United States"/>
    <s v="Romper Longer"/>
    <n v="7"/>
    <n v="29"/>
    <s v="Summer"/>
    <s v="6-12"/>
    <x v="3"/>
    <m/>
  </r>
  <r>
    <d v="2025-07-16T00:00:00"/>
    <s v="https://www.etsy.com/ca/listing/4376392339/funny-baby-romper-my-brand-of-formula?transaction_id=4936287457"/>
    <s v="White"/>
    <s v="White"/>
    <s v="3-6M (short-sleeve)"/>
    <s v="United States"/>
    <s v="Romper Short"/>
    <n v="7"/>
    <n v="29"/>
    <s v="Summer"/>
    <s v="3-6"/>
    <x v="69"/>
    <m/>
  </r>
  <r>
    <d v="2025-07-17T00:00:00"/>
    <s v="https://www.etsy.com/ca/listing/4376389783/player-2-baby-romper-gamer-baby-outfit?transaction_id=4924402406"/>
    <s v="Cream"/>
    <s v="Cream"/>
    <s v=" 6-12M (long-sleeve)"/>
    <s v="United States"/>
    <s v="Romper Longer"/>
    <n v="7"/>
    <n v="29"/>
    <s v="Summer"/>
    <s v="6-12"/>
    <x v="17"/>
    <m/>
  </r>
  <r>
    <d v="2025-07-18T00:00:00"/>
    <s v="https://www.etsy.com/ca/listing/4336907597/custom-running-baby-romper-daddys-future?transaction_id=4924469510"/>
    <s v="Mauve Taupe"/>
    <s v="Mauve Taupe"/>
    <s v="3-6M (short-sleeve)"/>
    <s v="United States"/>
    <s v="Romper Short"/>
    <n v="7"/>
    <n v="29"/>
    <s v="Summer"/>
    <s v="3-6"/>
    <x v="67"/>
    <m/>
  </r>
  <r>
    <d v="2025-07-19T00:00:00"/>
    <s v="https://www.etsy.com/ca/listing/4371125103/personalized-dog-baby-bodysuit-custom?transaction_id=4924486628"/>
    <s v="Coffee"/>
    <s v="Coffee"/>
    <s v=" 0-3M (long-sleeve)"/>
    <s v="United States"/>
    <s v="Romper Longer"/>
    <n v="7"/>
    <n v="29"/>
    <s v="Summer"/>
    <s v="0-3"/>
    <x v="28"/>
    <m/>
  </r>
  <r>
    <d v="2025-07-20T00:00:00"/>
    <s v="https://www.etsy.com/ca/listing/4392936921/apparently-i-like-golf-embroidered?transaction_id=4924599848"/>
    <s v="Dusty Pink"/>
    <s v="Dusty Pink"/>
    <s v=" 6-12M (long-sleeve)"/>
    <s v="United States"/>
    <s v="Romper Longer"/>
    <n v="7"/>
    <n v="30"/>
    <s v="Summer"/>
    <s v="6-12"/>
    <x v="51"/>
    <m/>
  </r>
  <r>
    <d v="2025-07-21T00:00:00"/>
    <s v="https://www.etsy.com/ca/listing/4376399899/the-littlest-book-club-member-baby?transaction_id=4924604958"/>
    <s v="Cream"/>
    <s v="Cream"/>
    <s v=" 0-3M (long-sleeve)"/>
    <s v="United States"/>
    <s v="Romper Longer"/>
    <n v="7"/>
    <n v="30"/>
    <s v="Summer"/>
    <s v="0-3"/>
    <x v="2"/>
    <m/>
  </r>
  <r>
    <d v="2025-07-22T00:00:00"/>
    <s v="https://www.etsy.com/ca/listing/4371125103/personalized-dog-baby-bodysuit-custom?transaction_id=4936769747"/>
    <s v="Sage Green"/>
    <s v="Sage Green"/>
    <s v=" 3-6M (long-sleeve)"/>
    <s v="United States"/>
    <s v="Romper Longer"/>
    <n v="7"/>
    <n v="30"/>
    <s v="Summer"/>
    <s v="3-6"/>
    <x v="7"/>
    <m/>
  </r>
  <r>
    <d v="2025-07-23T00:00:00"/>
    <s v="https://www.etsy.com/ca/listing/4392935796/box-box-for-fresh-diapers-embroidered?transaction_id=4936823369"/>
    <s v="Caldet Blue"/>
    <s v="Caldet Blue"/>
    <s v=" 3-6M (long-sleeve)"/>
    <s v="United States"/>
    <s v="Romper Longer"/>
    <n v="7"/>
    <n v="30"/>
    <s v="Summer"/>
    <s v="3-6"/>
    <x v="23"/>
    <m/>
  </r>
  <r>
    <d v="2025-07-24T00:00:00"/>
    <s v="https://www.etsy.com/ca/listing/4376392339/funny-baby-romper-my-brand-of-formula?transaction_id=4924684448"/>
    <s v="Sage Green"/>
    <s v="Sage Green"/>
    <s v="6-12M (short-sleeve)"/>
    <s v="United States"/>
    <s v="Romper Short"/>
    <n v="7"/>
    <n v="30"/>
    <s v="Summer"/>
    <s v="6-12"/>
    <x v="19"/>
    <m/>
  </r>
  <r>
    <d v="2025-07-25T00:00:00"/>
    <s v="https://www.etsy.com/ca/listing/4371125103/personalized-dog-baby-bodysuit-custom?transaction_id=4936866023"/>
    <s v="Dusty Pink"/>
    <s v="Dusty Pink"/>
    <s v="6-12M (short-sleeve)"/>
    <s v="United States"/>
    <s v="Romper Short"/>
    <n v="7"/>
    <n v="30"/>
    <s v="Summer"/>
    <s v="6-12"/>
    <x v="35"/>
    <m/>
  </r>
  <r>
    <d v="2025-07-26T00:00:00"/>
    <s v="https://www.etsy.com/ca/listing/4392932100/born-to-ride-with-my-daddy-embroidered?transaction_id=4937078099"/>
    <s v="Dusty Pink"/>
    <s v="Dusty Pink"/>
    <s v=" 3-6M (long-sleeve)"/>
    <s v="United States"/>
    <s v="Romper Longer"/>
    <n v="7"/>
    <n v="30"/>
    <s v="Summer"/>
    <s v="3-6"/>
    <x v="8"/>
    <m/>
  </r>
  <r>
    <d v="2025-07-27T00:00:00"/>
    <s v="https://www.etsy.com/ca/listing/4330488178/embroidered-golf-baby-romper-new-to-the?transaction_id=4937303065"/>
    <s v="Cream"/>
    <s v="Cream"/>
    <s v=" 0-3M (long-sleeve)"/>
    <s v="United States"/>
    <s v="Romper Longer"/>
    <n v="7"/>
    <n v="31"/>
    <s v="Summer"/>
    <s v="0-3"/>
    <x v="2"/>
    <m/>
  </r>
  <r>
    <d v="2025-07-28T00:00:00"/>
    <s v="https://www.etsy.com/ca/listing/4330488178/embroidered-golf-baby-romper-new-to-the?transaction_id=4925280890"/>
    <s v="Dusty Pink"/>
    <s v="Dusty Pink"/>
    <s v=" 0-3M (short-sleeve)"/>
    <s v="United States"/>
    <s v="Romper Short"/>
    <n v="7"/>
    <n v="31"/>
    <s v="Summer"/>
    <s v="0-3"/>
    <x v="34"/>
    <m/>
  </r>
  <r>
    <d v="2025-07-29T00:00:00"/>
    <s v="https://www.etsy.com/ca/listing/4392935796/box-box-for-fresh-diapers-embroidered?transaction_id=4925815098"/>
    <s v="Cream"/>
    <s v="Cream"/>
    <s v=" 3-6M (long-sleeve)"/>
    <s v="United States"/>
    <s v="Romper Longer"/>
    <n v="7"/>
    <n v="31"/>
    <s v="Summer"/>
    <s v="3-6"/>
    <x v="1"/>
    <m/>
  </r>
  <r>
    <d v="2025-07-30T00:00:00"/>
    <s v="https://www.etsy.com/ca/listing/4330504943/embroidered-tennis-baby-romper-daddys?transaction_id=4937884731"/>
    <s v="Dusty Pink"/>
    <s v="Dusty Pink"/>
    <s v=" 0-3M (short-sleeve)"/>
    <s v="United States"/>
    <s v="Romper Short"/>
    <n v="7"/>
    <n v="31"/>
    <s v="Summer"/>
    <s v="0-3"/>
    <x v="34"/>
    <m/>
  </r>
  <r>
    <d v="2025-07-31T00:00:00"/>
    <s v="https://www.etsy.com/ca/listing/4330488178/embroidered-golf-baby-romper-new-to-the?transaction_id=4937890871"/>
    <s v="White"/>
    <s v="White"/>
    <s v=" 0-3M (short-sleeve)"/>
    <s v="United States"/>
    <s v="Romper Short"/>
    <n v="7"/>
    <n v="31"/>
    <s v="Summer"/>
    <s v="0-3"/>
    <x v="21"/>
    <m/>
  </r>
  <r>
    <d v="2025-08-01T00:00:00"/>
    <s v="https://www.etsy.com/ca/listing/4330488178/embroidered-golf-baby-romper-new-to-the?transaction_id=4926017414"/>
    <s v="Forest Green"/>
    <s v="Forest Green"/>
    <s v=" 0-3M (long-sleeve)"/>
    <s v="United States"/>
    <s v="Romper Longer"/>
    <n v="8"/>
    <n v="31"/>
    <s v="Summer"/>
    <s v="0-3"/>
    <x v="41"/>
    <m/>
  </r>
  <r>
    <d v="2025-08-02T00:00:00"/>
    <s v="https://www.etsy.com/ca/listing/4371125103/personalized-dog-baby-bodysuit-custom?transaction_id=4926141350"/>
    <s v="White"/>
    <s v="White"/>
    <s v=" 3-6M (long-sleeve)"/>
    <s v="United States"/>
    <s v="Romper Longer"/>
    <n v="8"/>
    <n v="31"/>
    <s v="Summer"/>
    <s v="3-6"/>
    <x v="70"/>
    <m/>
  </r>
  <r>
    <d v="2025-08-03T00:00:00"/>
    <s v="https://www.etsy.com/ca/listing/4376389783/player-2-baby-romper-gamer-baby-outfit?transaction_id=4926358382"/>
    <s v="Watermelon"/>
    <s v="Watermelon"/>
    <s v=" 3-6M (long-sleeve)"/>
    <s v="United States"/>
    <s v="Romper Longer"/>
    <n v="8"/>
    <n v="32"/>
    <s v="Summer"/>
    <s v="3-6"/>
    <x v="20"/>
    <m/>
  </r>
  <r>
    <d v="2025-08-04T00:00:00"/>
    <s v="https://www.etsy.com/ca/listing/4392962015/cant-wait-to-jam-with-daddy-embroidered?transaction_id=4926608214"/>
    <s v="Caldet Blue"/>
    <s v="Caldet Blue"/>
    <s v="3-6M (short-sleeve)"/>
    <s v="United States"/>
    <s v="Romper Short"/>
    <n v="8"/>
    <n v="32"/>
    <s v="Summer"/>
    <s v="3-6"/>
    <x v="29"/>
    <m/>
  </r>
  <r>
    <d v="2025-08-05T00:00:00"/>
    <s v="https://www.etsy.com/ca/listing/4392932100/born-to-ride-with-my-daddy-embroidered?transaction_id=4927044608"/>
    <s v="Salmon"/>
    <s v="Salmon"/>
    <s v=" 6-12M (long-sleeve)"/>
    <s v="United States"/>
    <s v="Romper Longer"/>
    <n v="8"/>
    <n v="32"/>
    <s v="Summer"/>
    <s v="6-12"/>
    <x v="59"/>
    <m/>
  </r>
  <r>
    <d v="2025-08-06T00:00:00"/>
    <s v="https://www.etsy.com/ca/listing/4376399899/the-littlest-book-club-member-baby?transaction_id=4927178010"/>
    <s v="Sage Green"/>
    <s v="Sage Green"/>
    <s v=" 3-6M (long-sleeve)"/>
    <s v="United States"/>
    <s v="Romper Longer"/>
    <n v="8"/>
    <n v="32"/>
    <s v="Summer"/>
    <s v="3-6"/>
    <x v="7"/>
    <m/>
  </r>
  <r>
    <d v="2025-08-07T00:00:00"/>
    <s v="https://www.etsy.com/ca/listing/4346126210/daddys-future-lifting-buddy-romper-baby?transaction_id=4939329249"/>
    <s v="Caldet Blue"/>
    <s v="Caldet Blue"/>
    <s v=" 0-3M (short-sleeve)"/>
    <s v="United States"/>
    <s v="Romper Short"/>
    <n v="8"/>
    <n v="32"/>
    <s v="Summer"/>
    <s v="0-3"/>
    <x v="38"/>
    <m/>
  </r>
  <r>
    <d v="2025-08-08T00:00:00"/>
    <s v="https://www.etsy.com/ca/listing/4376399899/the-littlest-book-club-member-baby?transaction_id=4939394421"/>
    <s v="Coffee"/>
    <s v="Coffee"/>
    <s v=" 3-6M (long-sleeve)"/>
    <s v="United States"/>
    <s v="Romper Longer"/>
    <n v="8"/>
    <n v="32"/>
    <s v="Summer"/>
    <s v="3-6"/>
    <x v="12"/>
    <m/>
  </r>
  <r>
    <d v="2025-08-09T00:00:00"/>
    <s v="https://www.etsy.com/ca/listing/4344231895/embroidered-baby-romper-shhh-im-reading?transaction_id=4927485328"/>
    <s v="Cream"/>
    <s v="Cream"/>
    <s v=" 0-3M (long-sleeve)"/>
    <s v="United States"/>
    <s v="Romper Longer"/>
    <n v="8"/>
    <n v="32"/>
    <s v="Summer"/>
    <s v="0-3"/>
    <x v="2"/>
    <m/>
  </r>
  <r>
    <d v="2025-08-10T00:00:00"/>
    <s v="https://www.etsy.com/ca/listing/4330488178/embroidered-golf-baby-romper-new-to-the?transaction_id=4939555643"/>
    <s v="Cream"/>
    <s v="Cream"/>
    <s v=" 0-3M (long-sleeve)"/>
    <s v="United States"/>
    <s v="Romper Longer"/>
    <n v="8"/>
    <n v="33"/>
    <s v="Summer"/>
    <s v="0-3"/>
    <x v="2"/>
    <m/>
  </r>
  <r>
    <d v="2025-08-11T00:00:00"/>
    <s v="https://www.etsy.com/ca/listing/4371125103/personalized-dog-baby-bodysuit-custom?transaction_id=4927672868"/>
    <s v="Caldet Blue"/>
    <s v="Caldet Blue"/>
    <s v=" 3-6M (long-sleeve)"/>
    <s v="United States"/>
    <s v="Romper Longer"/>
    <n v="8"/>
    <n v="33"/>
    <s v="Summer"/>
    <s v="3-6"/>
    <x v="23"/>
    <m/>
  </r>
  <r>
    <d v="2025-08-12T00:00:00"/>
    <s v="https://www.etsy.com/ca/listing/4376389783/player-2-baby-romper-gamer-baby-outfit?transaction_id=4927682244"/>
    <s v="Sage Green"/>
    <s v="Sage Green"/>
    <s v="3-6M (short-sleeve)"/>
    <s v="United States"/>
    <s v="Romper Short"/>
    <n v="8"/>
    <n v="33"/>
    <s v="Summer"/>
    <s v="3-6"/>
    <x v="24"/>
    <m/>
  </r>
  <r>
    <d v="2025-08-13T00:00:00"/>
    <s v="https://www.etsy.com/ca/listing/4330483435/embroidered-coffee-bean-baby-romper?transaction_id=4939811131"/>
    <s v="Cream"/>
    <s v="Cream"/>
    <s v=" 0-3M (short-sleeve)"/>
    <s v="United States"/>
    <s v="Romper Short"/>
    <n v="8"/>
    <n v="33"/>
    <s v="Summer"/>
    <s v="0-3"/>
    <x v="15"/>
    <m/>
  </r>
  <r>
    <d v="2025-08-14T00:00:00"/>
    <s v="https://www.etsy.com/ca/listing/4330488178/embroidered-golf-baby-romper-new-to-the?transaction_id=4939830787"/>
    <s v="Dusty Pink"/>
    <s v="Dusty Pink"/>
    <s v=" 0-3M (short-sleeve)"/>
    <s v="United States"/>
    <s v="Romper Short"/>
    <n v="8"/>
    <n v="33"/>
    <s v="Summer"/>
    <s v="0-3"/>
    <x v="34"/>
    <m/>
  </r>
  <r>
    <d v="2025-08-15T00:00:00"/>
    <s v="https://www.etsy.com/ca/listing/4330485404/cat-face-embroidered-baby-romper-funny?transaction_id=4939867685"/>
    <s v="Cream"/>
    <s v="Cream"/>
    <s v=" 0-3M (short-sleeve)"/>
    <s v="United States"/>
    <s v="Romper Short"/>
    <n v="8"/>
    <n v="33"/>
    <s v="Summer"/>
    <s v="0-3"/>
    <x v="15"/>
    <m/>
  </r>
  <r>
    <d v="2025-08-16T00:00:00"/>
    <s v="https://www.etsy.com/ca/listing/4344231895/embroidered-baby-romper-shhh-im-reading?transaction_id=4912734196"/>
    <s v="Dusty Pink"/>
    <s v="Dusty Pink"/>
    <s v="3-6M (short-sleeve)"/>
    <s v="United States"/>
    <s v="Romper Short"/>
    <n v="8"/>
    <n v="33"/>
    <s v="Summer"/>
    <s v="3-6"/>
    <x v="31"/>
    <m/>
  </r>
  <r>
    <d v="2025-08-17T00:00:00"/>
    <s v="https://www.etsy.com/ca/listing/4392936688/shhh-im-watching-motogp-with-daddy?transaction_id=4928159008"/>
    <s v="Texas Orange"/>
    <s v="Texas Orange"/>
    <s v=" 6-12M (long-sleeve)"/>
    <s v="United States"/>
    <s v="Romper Longer"/>
    <n v="8"/>
    <n v="34"/>
    <s v="Summer"/>
    <s v="6-12"/>
    <x v="61"/>
    <m/>
  </r>
  <r>
    <d v="2025-08-18T00:00:00"/>
    <s v="https://www.etsy.com/ca/listing/4376399899/the-littlest-book-club-member-baby?transaction_id=4940500239"/>
    <s v="Sage Green"/>
    <s v="Sage Green"/>
    <s v=" 3-6M (long-sleeve)"/>
    <s v="United States"/>
    <s v="Romper Longer"/>
    <n v="8"/>
    <n v="34"/>
    <s v="Summer"/>
    <s v="3-6"/>
    <x v="7"/>
    <m/>
  </r>
  <r>
    <d v="2025-08-19T00:00:00"/>
    <s v="https://www.etsy.com/ca/listing/4371125103/personalized-dog-baby-bodysuit-custom?transaction_id=4940653097"/>
    <s v="Sage Green"/>
    <s v="Sage Green"/>
    <s v=" 6-12M (long-sleeve)"/>
    <s v="United States"/>
    <s v="Romper Longer"/>
    <n v="8"/>
    <n v="34"/>
    <s v="Summer"/>
    <s v="6-12"/>
    <x v="3"/>
    <m/>
  </r>
  <r>
    <d v="2025-08-20T00:00:00"/>
    <s v="https://www.etsy.com/ca/listing/4376399899/the-littlest-book-club-member-baby?transaction_id=4928736924"/>
    <s v="Sage Green"/>
    <s v="Sage Green"/>
    <s v="3-6M (short-sleeve)"/>
    <s v="United States"/>
    <s v="Romper Short"/>
    <n v="8"/>
    <n v="34"/>
    <s v="Summer"/>
    <s v="3-6"/>
    <x v="24"/>
    <m/>
  </r>
  <r>
    <d v="2025-08-21T00:00:00"/>
    <s v="https://www.etsy.com/ca/listing/4376399899/the-littlest-book-club-member-baby?transaction_id=4940795585"/>
    <s v="White"/>
    <s v="White"/>
    <s v="3-6M (short-sleeve)"/>
    <s v="United States"/>
    <s v="Romper Short"/>
    <n v="8"/>
    <n v="34"/>
    <s v="Summer"/>
    <s v="3-6"/>
    <x v="69"/>
    <m/>
  </r>
  <r>
    <d v="2025-08-22T00:00:00"/>
    <s v="https://www.etsy.com/ca/listing/4371125103/personalized-dog-baby-bodysuit-custom?transaction_id=4940894543"/>
    <s v="White"/>
    <s v="White"/>
    <s v=" 0-3M (long-sleeve)"/>
    <s v="United States"/>
    <s v="Romper Longer"/>
    <n v="8"/>
    <n v="34"/>
    <s v="Summer"/>
    <s v="0-3"/>
    <x v="54"/>
    <m/>
  </r>
  <r>
    <d v="2025-08-23T00:00:00"/>
    <s v="https://www.etsy.com/ca/listing/4392962015/cant-wait-to-jam-with-daddy-embroidered?transaction_id=4929049130"/>
    <s v="Cream"/>
    <s v="Cream"/>
    <s v=" 3-6M (long-sleeve)"/>
    <s v="United States"/>
    <s v="Romper Longer"/>
    <n v="8"/>
    <n v="34"/>
    <s v="Summer"/>
    <s v="3-6"/>
    <x v="1"/>
    <m/>
  </r>
  <r>
    <d v="2025-08-24T00:00:00"/>
    <s v="https://www.etsy.com/ca/listing/4346126210/daddys-future-lifting-buddy-romper-baby?transaction_id=4929289232"/>
    <s v="Watermelon"/>
    <s v="Watermelon"/>
    <s v=" 0-3M (long-sleeve)"/>
    <s v="United States"/>
    <s v="Romper Longer"/>
    <n v="8"/>
    <n v="35"/>
    <s v="Summer"/>
    <s v="0-3"/>
    <x v="36"/>
    <m/>
  </r>
  <r>
    <d v="2025-08-25T00:00:00"/>
    <s v="https://www.etsy.com/ca/listing/4371125103/personalized-dog-baby-bodysuit-custom?transaction_id=4941630649"/>
    <s v="Cream"/>
    <s v="Cream"/>
    <s v=" 3-6M (long-sleeve)"/>
    <s v="United States"/>
    <s v="Romper Longer"/>
    <n v="8"/>
    <n v="35"/>
    <s v="Summer"/>
    <s v="3-6"/>
    <x v="1"/>
    <m/>
  </r>
  <r>
    <d v="2025-08-26T00:00:00"/>
    <s v="https://www.etsy.com/ca/listing/4330488178/embroidered-golf-baby-romper-new-to-the?transaction_id=4929807872"/>
    <s v="Cream"/>
    <s v="Cream"/>
    <s v="3-6M (short-sleeve)"/>
    <s v="United States"/>
    <s v="Romper Short"/>
    <n v="8"/>
    <n v="35"/>
    <s v="Summer"/>
    <s v="3-6"/>
    <x v="0"/>
    <m/>
  </r>
  <r>
    <d v="2025-08-27T00:00:00"/>
    <s v="https://www.etsy.com/ca/listing/4371125103/personalized-dog-baby-bodysuit-custom?transaction_id=4941696781"/>
    <s v="Sage Green"/>
    <s v="Sage Green"/>
    <s v="3-6M (short-sleeve)"/>
    <s v="United States"/>
    <s v="Romper Short"/>
    <n v="8"/>
    <n v="35"/>
    <s v="Summer"/>
    <s v="3-6"/>
    <x v="24"/>
    <m/>
  </r>
  <r>
    <d v="2025-08-28T00:00:00"/>
    <s v="https://www.etsy.com/ca/listing/4392935796/box-box-for-fresh-diapers-embroidered?transaction_id=4929837982"/>
    <s v="Cream"/>
    <s v="Cream"/>
    <s v="3-6M (short-sleeve)"/>
    <s v="United States"/>
    <s v="Romper Short"/>
    <n v="8"/>
    <n v="35"/>
    <s v="Summer"/>
    <s v="3-6"/>
    <x v="0"/>
    <m/>
  </r>
  <r>
    <d v="2025-08-29T00:00:00"/>
    <s v="https://www.etsy.com/ca/listing/4376399899/the-littlest-book-club-member-baby?transaction_id=4941737155"/>
    <s v="Dusty Pink"/>
    <s v="Dusty Pink"/>
    <s v=" 6-12M (long-sleeve)"/>
    <s v="United States"/>
    <s v="Romper Longer"/>
    <n v="8"/>
    <n v="35"/>
    <s v="Summer"/>
    <s v="6-12"/>
    <x v="51"/>
    <m/>
  </r>
  <r>
    <d v="2025-08-30T00:00:00"/>
    <s v="https://www.etsy.com/ca/listing/4330488178/embroidered-golf-baby-romper-new-to-the?transaction_id=4930180770"/>
    <s v="Cream"/>
    <s v="Cream"/>
    <s v=" 3-6M (long-sleeve)"/>
    <s v="United States"/>
    <s v="Romper Longer"/>
    <n v="8"/>
    <n v="35"/>
    <s v="Summer"/>
    <s v="3-6"/>
    <x v="1"/>
    <m/>
  </r>
  <r>
    <d v="2025-08-31T00:00:00"/>
    <s v="https://www.etsy.com/ca/listing/4376399899/the-littlest-book-club-member-baby?transaction_id=4930197818"/>
    <s v="Sage Green"/>
    <s v="Sage Green"/>
    <s v=" 6-12M (long-sleeve)"/>
    <s v="United States"/>
    <s v="Romper Longer"/>
    <n v="8"/>
    <n v="36"/>
    <s v="Summer"/>
    <s v="6-12"/>
    <x v="3"/>
    <m/>
  </r>
  <r>
    <d v="2025-09-01T00:00:00"/>
    <s v="https://www.etsy.com/ca/listing/4330488178/embroidered-golf-baby-romper-new-to-the?transaction_id=4942112259"/>
    <s v="Cream"/>
    <s v="Cream"/>
    <s v=" 0-3M (long-sleeve)"/>
    <s v="United States"/>
    <s v="Romper Longer"/>
    <n v="9"/>
    <n v="36"/>
    <s v="Normal"/>
    <s v="0-3"/>
    <x v="2"/>
    <m/>
  </r>
  <r>
    <d v="2025-09-02T00:00:00"/>
    <s v="https://www.etsy.com/ca/listing/4369779608/baby-vampire-halloween-romper-funny?transaction_id=4942275265"/>
    <s v="Cream"/>
    <s v="Cream"/>
    <s v=" 3-6M (long-sleeve)"/>
    <s v="United States"/>
    <s v="Romper Longer"/>
    <n v="9"/>
    <n v="36"/>
    <s v="Normal"/>
    <s v="3-6"/>
    <x v="1"/>
    <m/>
  </r>
  <r>
    <d v="2025-09-03T00:00:00"/>
    <s v="https://www.etsy.com/ca/listing/4392935796/box-box-for-fresh-diapers-embroidered?transaction_id=4930470896"/>
    <s v="Salmon"/>
    <s v="Salmon"/>
    <s v="3-6M (short-sleeve)"/>
    <s v="United States"/>
    <s v="Romper Short"/>
    <n v="9"/>
    <n v="36"/>
    <s v="Normal"/>
    <s v="3-6"/>
    <x v="50"/>
    <m/>
  </r>
  <r>
    <d v="2025-09-04T00:00:00"/>
    <s v="https://www.etsy.com/ca/listing/4330485404/cat-face-embroidered-baby-romper-funny?transaction_id=4930507880"/>
    <s v="Cream"/>
    <s v="Cream"/>
    <s v="3-6M (short-sleeve)"/>
    <s v="United States"/>
    <s v="Romper Short"/>
    <n v="9"/>
    <n v="36"/>
    <s v="Normal"/>
    <s v="3-6"/>
    <x v="0"/>
    <m/>
  </r>
  <r>
    <d v="2025-09-05T00:00:00"/>
    <s v="https://www.etsy.com/ca/listing/4371125103/personalized-dog-baby-bodysuit-custom?transaction_id=4942424475"/>
    <s v="Sage Green"/>
    <s v="Sage Green"/>
    <s v="3-6M (short-sleeve)"/>
    <s v="United States"/>
    <s v="Romper Short"/>
    <n v="9"/>
    <n v="36"/>
    <s v="Normal"/>
    <s v="3-6"/>
    <x v="24"/>
    <m/>
  </r>
  <r>
    <d v="2025-09-06T00:00:00"/>
    <s v="https://www.etsy.com/ca/listing/4371125103/personalized-dog-baby-bodysuit-custom?transaction_id=4930676674"/>
    <s v="Sage Green"/>
    <s v="Sage Green"/>
    <s v=" 6-12M (long-sleeve)"/>
    <s v="United States"/>
    <s v="Romper Longer"/>
    <n v="9"/>
    <n v="36"/>
    <s v="Normal"/>
    <s v="6-12"/>
    <x v="3"/>
    <m/>
  </r>
  <r>
    <d v="2025-09-07T00:00:00"/>
    <s v="https://www.etsy.com/ca/listing/4347260564/football-baby-romper-game-day-baby?transaction_id=4942491783"/>
    <s v="Cream"/>
    <s v="Cream"/>
    <s v=" 0-3M (long-sleeve)"/>
    <s v="United States"/>
    <s v="Romper Longer"/>
    <n v="9"/>
    <n v="37"/>
    <s v="Normal"/>
    <s v="0-3"/>
    <x v="2"/>
    <m/>
  </r>
  <r>
    <d v="2025-09-08T00:00:00"/>
    <s v="https://www.etsy.com/ca/listing/4376399899/the-littlest-book-club-member-baby?transaction_id=4930821512"/>
    <s v="Sage Green"/>
    <s v="Sage Green"/>
    <s v=" 0-3M (long-sleeve)"/>
    <s v="United States"/>
    <s v="Romper Longer"/>
    <n v="9"/>
    <n v="37"/>
    <s v="Normal"/>
    <s v="0-3"/>
    <x v="5"/>
    <m/>
  </r>
  <r>
    <d v="2025-09-09T00:00:00"/>
    <s v="https://www.etsy.com/ca/listing/4330463387/embroidered-baby-romper-relax-mommy-is-a?transaction_id=4942606753"/>
    <s v="Salmon"/>
    <s v="Salmon"/>
    <s v=" 3-6M (long-sleeve)"/>
    <s v="United States"/>
    <s v="Romper Longer"/>
    <n v="9"/>
    <n v="37"/>
    <s v="Normal"/>
    <s v="3-6"/>
    <x v="49"/>
    <m/>
  </r>
  <r>
    <d v="2025-09-10T00:00:00"/>
    <s v="https://www.etsy.com/ca/listing/4346126210/daddys-future-lifting-buddy-romper-baby?transaction_id=4942768509"/>
    <s v="Cream"/>
    <s v="Cream"/>
    <s v=" 0-3M (long-sleeve)"/>
    <s v="United States"/>
    <s v="Romper Longer"/>
    <n v="9"/>
    <n v="37"/>
    <s v="Normal"/>
    <s v="0-3"/>
    <x v="2"/>
    <m/>
  </r>
  <r>
    <d v="2025-09-11T00:00:00"/>
    <s v="https://www.etsy.com/ca/listing/4392935796/box-box-for-fresh-diapers-embroidered?transaction_id=4931293952"/>
    <s v="White"/>
    <s v="White"/>
    <s v=" 3-6M (long-sleeve)"/>
    <s v="United States"/>
    <s v="Romper Longer"/>
    <n v="9"/>
    <n v="37"/>
    <s v="Normal"/>
    <s v="3-6"/>
    <x v="70"/>
    <m/>
  </r>
  <r>
    <d v="2025-09-12T00:00:00"/>
    <s v="https://www.etsy.com/ca/listing/4371125103/personalized-dog-baby-bodysuit-custom?transaction_id=4931330072"/>
    <s v="Caldet Blue"/>
    <s v="Caldet Blue"/>
    <s v=" 0-3M (short-sleeve)"/>
    <s v="United States"/>
    <s v="Romper Short"/>
    <n v="9"/>
    <n v="37"/>
    <s v="Normal"/>
    <s v="0-3"/>
    <x v="38"/>
    <m/>
  </r>
  <r>
    <d v="2025-09-13T00:00:00"/>
    <s v="https://www.etsy.com/ca/listing/4376392339/funny-baby-romper-my-brand-of-formula?transaction_id=4931593090"/>
    <s v="Cream"/>
    <s v="Cream"/>
    <s v="3-6M (short-sleeve)"/>
    <s v="United States"/>
    <s v="Romper Short"/>
    <n v="9"/>
    <n v="37"/>
    <s v="Normal"/>
    <s v="3-6"/>
    <x v="0"/>
    <m/>
  </r>
  <r>
    <d v="2025-09-14T00:00:00"/>
    <s v="https://www.etsy.com/ca/listing/4371125103/personalized-dog-baby-bodysuit-custom?transaction_id=4943641677"/>
    <s v="Dusty Pink"/>
    <s v="Dusty Pink"/>
    <s v=" 0-3M (short-sleeve)"/>
    <s v="United States"/>
    <s v="Romper Short"/>
    <n v="9"/>
    <n v="38"/>
    <s v="Normal"/>
    <s v="0-3"/>
    <x v="34"/>
    <m/>
  </r>
  <r>
    <d v="2025-09-15T00:00:00"/>
    <s v="https://www.etsy.com/ca/listing/4371125103/personalized-dog-baby-bodysuit-custom?transaction_id=4932321700"/>
    <s v="White"/>
    <s v="White"/>
    <s v=" 3-6M (long-sleeve)"/>
    <s v="United States"/>
    <s v="Romper Longer"/>
    <n v="9"/>
    <n v="38"/>
    <s v="Normal"/>
    <s v="3-6"/>
    <x v="70"/>
    <m/>
  </r>
  <r>
    <d v="2025-09-16T00:00:00"/>
    <s v="https://www.etsy.com/ca/listing/4371125103/personalized-dog-baby-bodysuit-custom?transaction_id=4943922629"/>
    <s v="Dusty Pink"/>
    <s v="Dusty Pink"/>
    <s v="3-6M (short-sleeve)"/>
    <s v="United States"/>
    <s v="Romper Short"/>
    <n v="9"/>
    <n v="38"/>
    <s v="Normal"/>
    <s v="3-6"/>
    <x v="31"/>
    <m/>
  </r>
  <r>
    <d v="2025-09-17T00:00:00"/>
    <s v="https://www.etsy.com/ca/listing/4371125103/personalized-dog-baby-bodysuit-custom?transaction_id=4944144695"/>
    <s v="Cream"/>
    <s v="Cream"/>
    <s v=" 0-3M (long-sleeve)"/>
    <s v="United States"/>
    <s v="Romper Longer"/>
    <n v="9"/>
    <n v="38"/>
    <s v="Normal"/>
    <s v="0-3"/>
    <x v="2"/>
    <m/>
  </r>
  <r>
    <d v="2025-09-18T00:00:00"/>
    <s v="https://www.etsy.com/ca/listing/4347885967/gigis-bestie-baby-bodysuit-baby-shower?transaction_id=4932709620"/>
    <s v="Sage Green"/>
    <s v="Sage Green"/>
    <s v=" 3-6M (long-sleeve)"/>
    <s v="United States"/>
    <s v="Romper Longer"/>
    <n v="9"/>
    <n v="38"/>
    <s v="Normal"/>
    <s v="3-6"/>
    <x v="7"/>
    <m/>
  </r>
  <r>
    <d v="2025-09-19T00:00:00"/>
    <s v="https://www.etsy.com/ca/listing/4371125103/personalized-dog-baby-bodysuit-custom?transaction_id=4903341950"/>
    <s v="Sage Green"/>
    <s v="Sage Green"/>
    <s v=" 6-12M (long-sleeve)"/>
    <s v="United States"/>
    <s v="Romper Longer"/>
    <n v="9"/>
    <n v="38"/>
    <s v="Normal"/>
    <s v="6-12"/>
    <x v="3"/>
    <m/>
  </r>
  <r>
    <d v="2025-09-20T00:00:00"/>
    <s v="https://www.etsy.com/ca/listing/4376399899/the-littlest-book-club-member-baby?transaction_id=4944380147"/>
    <s v="Sage Green"/>
    <s v="Sage Green"/>
    <s v=" 0-3M (long-sleeve)"/>
    <s v="United States"/>
    <s v="Romper Longer"/>
    <n v="9"/>
    <n v="38"/>
    <s v="Normal"/>
    <s v="0-3"/>
    <x v="5"/>
    <m/>
  </r>
  <r>
    <d v="2025-09-21T00:00:00"/>
    <s v="https://www.etsy.com/ca/listing/4371125103/personalized-dog-baby-bodysuit-custom?transaction_id=4932920272"/>
    <s v="Cream"/>
    <s v="Cream"/>
    <s v=" 6-12M (long-sleeve)"/>
    <s v="United States"/>
    <s v="Romper Longer"/>
    <n v="9"/>
    <n v="39"/>
    <s v="Normal"/>
    <s v="6-12"/>
    <x v="17"/>
    <m/>
  </r>
  <r>
    <d v="2025-09-22T00:00:00"/>
    <s v="https://www.etsy.com/ca/listing/4330481826/bee-kind-baby-romper-embroidered-infant?transaction_id=4944486241"/>
    <s v="Watermelon"/>
    <s v="Watermelon"/>
    <s v=" 3-6M (long-sleeve)"/>
    <s v="United States"/>
    <s v="Romper Longer"/>
    <n v="9"/>
    <n v="39"/>
    <s v="Normal"/>
    <s v="3-6"/>
    <x v="20"/>
    <m/>
  </r>
  <r>
    <d v="2025-09-23T00:00:00"/>
    <s v="https://www.etsy.com/ca/listing/4376399899/the-littlest-book-club-member-baby?transaction_id=4933121020"/>
    <s v="Sage Green"/>
    <s v="Sage Green"/>
    <s v=" 0-3M (long-sleeve)"/>
    <s v="United States"/>
    <s v="Romper Longer"/>
    <n v="9"/>
    <n v="39"/>
    <s v="Normal"/>
    <s v="0-3"/>
    <x v="5"/>
    <m/>
  </r>
  <r>
    <d v="2025-09-24T00:00:00"/>
    <s v="https://www.etsy.com/ca/listing/4376392339/funny-baby-romper-my-brand-of-formula?transaction_id=4933182068"/>
    <s v="Sage Green"/>
    <s v="Sage Green"/>
    <s v=" 3-6M (long-sleeve)"/>
    <s v="United States"/>
    <s v="Romper Longer"/>
    <n v="9"/>
    <n v="39"/>
    <s v="Normal"/>
    <s v="3-6"/>
    <x v="7"/>
    <m/>
  </r>
  <r>
    <d v="2025-09-25T00:00:00"/>
    <s v="https://www.etsy.com/ca/listing/4376399899/the-littlest-book-club-member-baby?transaction_id=4944838599"/>
    <s v="Mauve Taupe"/>
    <s v="Mauve Taupe"/>
    <s v=" 3-6M (long-sleeve)"/>
    <s v="United States"/>
    <s v="Romper Longer"/>
    <n v="9"/>
    <n v="39"/>
    <s v="Normal"/>
    <s v="3-6"/>
    <x v="10"/>
    <m/>
  </r>
  <r>
    <d v="2025-09-26T00:00:00"/>
    <s v="https://www.etsy.com/ca/listing/4336907597/custom-running-baby-romper-daddys-future?transaction_id=4933341456"/>
    <s v="Dusty Pink"/>
    <s v="Dusty Pink"/>
    <s v=" 3-6M (long-sleeve)"/>
    <s v="United States"/>
    <s v="Romper Longer"/>
    <n v="9"/>
    <n v="39"/>
    <s v="Normal"/>
    <s v="3-6"/>
    <x v="8"/>
    <m/>
  </r>
  <r>
    <d v="2025-09-27T00:00:00"/>
    <s v="https://www.etsy.com/ca/listing/4371125103/personalized-dog-baby-bodysuit-custom?transaction_id=4933394230"/>
    <s v="Sage Green"/>
    <s v="Sage Green"/>
    <s v=" 6-12M (long-sleeve)"/>
    <s v="United States"/>
    <s v="Romper Longer"/>
    <n v="9"/>
    <n v="39"/>
    <s v="Normal"/>
    <s v="6-12"/>
    <x v="3"/>
    <m/>
  </r>
  <r>
    <d v="2025-09-28T00:00:00"/>
    <s v="https://www.etsy.com/ca/listing/4371125103/personalized-dog-baby-bodysuit-custom?transaction_id=4945037437"/>
    <s v="Cream"/>
    <s v="Cream"/>
    <s v=" 0-3M (long-sleeve)"/>
    <s v="United States"/>
    <s v="Romper Longer"/>
    <n v="9"/>
    <n v="40"/>
    <s v="Normal"/>
    <s v="0-3"/>
    <x v="2"/>
    <m/>
  </r>
  <r>
    <d v="2025-09-29T00:00:00"/>
    <s v="https://www.etsy.com/ca/listing/4372352286/silly-goose-baby-romper-funny-infant?transaction_id=4934064286"/>
    <s v="Sage Green"/>
    <s v="Sage Green"/>
    <s v=" 0-3M (short-sleeve)"/>
    <s v="United States"/>
    <s v="Romper Short"/>
    <n v="9"/>
    <n v="40"/>
    <s v="Normal"/>
    <s v="0-3"/>
    <x v="13"/>
    <m/>
  </r>
  <r>
    <d v="2025-09-30T00:00:00"/>
    <s v="https://www.etsy.com/ca/listing/4393855716/lil-chef-embroidered-romper-cute-baby?transaction_id=4934134598"/>
    <s v="Dusty Pink"/>
    <s v="Dusty Pink"/>
    <s v=" 3-6M (long-sleeve)"/>
    <s v="United States"/>
    <s v="Romper Longer"/>
    <n v="9"/>
    <n v="40"/>
    <s v="Normal"/>
    <s v="3-6"/>
    <x v="8"/>
    <m/>
  </r>
  <r>
    <d v="2025-10-01T00:00:00"/>
    <s v="https://www.etsy.com/ca/listing/4371125103/personalized-dog-baby-bodysuit-custom?transaction_id=4934190034"/>
    <s v="Sage Green"/>
    <s v="Sage Green"/>
    <s v=" 0-3M (long-sleeve)"/>
    <s v="United States"/>
    <s v="Romper Longer"/>
    <n v="10"/>
    <n v="40"/>
    <s v="Halloween"/>
    <s v="0-3"/>
    <x v="5"/>
    <m/>
  </r>
  <r>
    <d v="2025-10-02T00:00:00"/>
    <s v="https://www.etsy.com/ca/listing/4344239173/little-pumpkin-baby-romper-fall?transaction_id=4945647767"/>
    <s v="White"/>
    <s v="White"/>
    <s v=" 0-3M (short-sleeve)"/>
    <s v="United States"/>
    <s v="Romper Short"/>
    <n v="10"/>
    <n v="40"/>
    <s v="Halloween"/>
    <s v="0-3"/>
    <x v="21"/>
    <m/>
  </r>
  <r>
    <d v="2025-10-03T00:00:00"/>
    <s v="https://www.etsy.com/ca/listing/4330485404/cat-face-embroidered-baby-romper-funny?transaction_id=4934227168"/>
    <s v="Cream"/>
    <s v="Cream"/>
    <s v=" 0-3M (short-sleeve)"/>
    <s v="United States"/>
    <s v="Romper Short"/>
    <n v="10"/>
    <n v="40"/>
    <s v="Halloween"/>
    <s v="0-3"/>
    <x v="15"/>
    <m/>
  </r>
  <r>
    <d v="2025-10-04T00:00:00"/>
    <s v="https://www.etsy.com/ca/listing/4376399899/the-littlest-book-club-member-baby?transaction_id=4934258022"/>
    <s v="Cream"/>
    <s v="Cream"/>
    <s v=" 3-6M (long-sleeve)"/>
    <s v="United States"/>
    <s v="Romper Longer"/>
    <n v="10"/>
    <n v="40"/>
    <s v="Halloween"/>
    <s v="3-6"/>
    <x v="1"/>
    <m/>
  </r>
  <r>
    <d v="2025-10-05T00:00:00"/>
    <s v="https://www.etsy.com/ca/listing/4376389783/player-2-baby-romper-gamer-baby-outfit?transaction_id=4945888955"/>
    <s v="Mauve Taupe"/>
    <s v="Mauve Taupe"/>
    <s v=" 0-3M (short-sleeve)"/>
    <s v="United States"/>
    <s v="Romper Short"/>
    <n v="10"/>
    <n v="41"/>
    <s v="Halloween"/>
    <s v="0-3"/>
    <x v="71"/>
    <m/>
  </r>
  <r>
    <d v="2025-10-06T00:00:00"/>
    <s v="https://www.etsy.com/ca/listing/4371125103/personalized-dog-baby-bodysuit-custom?transaction_id=4934852272"/>
    <s v="Cream"/>
    <s v="Cream"/>
    <s v="3-6M (short-sleeve)"/>
    <s v="United States"/>
    <s v="Romper Short"/>
    <n v="10"/>
    <n v="41"/>
    <s v="Halloween"/>
    <s v="3-6"/>
    <x v="0"/>
    <m/>
  </r>
  <r>
    <d v="2025-10-07T00:00:00"/>
    <s v="https://www.etsy.com/ca/listing/4376399899/the-littlest-book-club-member-baby?transaction_id=4946458149"/>
    <s v="Forest Green"/>
    <s v="Forest Green"/>
    <s v=" 6-12M (long-sleeve)"/>
    <s v="United States"/>
    <s v="Romper Longer"/>
    <n v="10"/>
    <n v="41"/>
    <s v="Halloween"/>
    <s v="6-12"/>
    <x v="30"/>
    <m/>
  </r>
  <r>
    <d v="2025-10-08T00:00:00"/>
    <s v="https://www.etsy.com/ca/listing/4392932100/born-to-ride-with-my-daddy-embroidered?transaction_id=4935352762"/>
    <s v="Coffee"/>
    <s v="Coffee"/>
    <s v=" 0-3M (long-sleeve)"/>
    <s v="United States"/>
    <s v="Romper Longer"/>
    <n v="10"/>
    <n v="41"/>
    <s v="Halloween"/>
    <s v="0-3"/>
    <x v="28"/>
    <m/>
  </r>
  <r>
    <d v="2025-10-09T00:00:00"/>
    <s v="https://www.etsy.com/ca/listing/4376399899/the-littlest-book-club-member-baby?transaction_id=4946789667"/>
    <s v="Watermelon"/>
    <s v="Watermelon"/>
    <s v=" 3-6M (long-sleeve)"/>
    <s v="United States"/>
    <s v="Romper Longer"/>
    <n v="10"/>
    <n v="41"/>
    <s v="Halloween"/>
    <s v="3-6"/>
    <x v="20"/>
    <m/>
  </r>
  <r>
    <d v="2025-10-10T00:00:00"/>
    <s v="https://www.etsy.com/ca/listing/4371125103/personalized-dog-baby-bodysuit-custom?transaction_id=4946819219"/>
    <s v="Dusty Pink"/>
    <s v="Dusty Pink"/>
    <s v="12-18M (short-sleeve)"/>
    <s v="United States"/>
    <s v="Romper Short"/>
    <n v="10"/>
    <n v="41"/>
    <s v="Halloween"/>
    <s v="12-18"/>
    <x v="44"/>
    <m/>
  </r>
  <r>
    <d v="2025-10-11T00:00:00"/>
    <s v="https://www.etsy.com/ca/listing/4347263856/besties-baby-romper-matching-baby-outfit?transaction_id=4927766087"/>
    <s v="Cream"/>
    <s v="Cream"/>
    <s v=" 6-12M (long-sleeve)"/>
    <s v="United States"/>
    <s v="Romper Longer"/>
    <n v="10"/>
    <n v="41"/>
    <s v="Halloween"/>
    <s v="6-12"/>
    <x v="17"/>
    <m/>
  </r>
  <r>
    <d v="2025-10-12T00:00:00"/>
    <s v="https://www.etsy.com/ca/listing/4392936688/shhh-im-watching-motogp-with-daddy?transaction_id=4935705774"/>
    <s v="Sage Green"/>
    <s v="Sage Green"/>
    <s v="3-6M (short-sleeve)"/>
    <s v="United States"/>
    <s v="Romper Short"/>
    <n v="10"/>
    <n v="42"/>
    <s v="Halloween"/>
    <s v="3-6"/>
    <x v="24"/>
    <m/>
  </r>
  <r>
    <d v="2025-10-13T00:00:00"/>
    <s v="https://www.etsy.com/ca/listing/4371125103/personalized-dog-baby-bodysuit-custom?transaction_id=4947136669"/>
    <s v="Mauve Taupe"/>
    <s v="Mauve Taupe"/>
    <s v=" 0-3M (short-sleeve)"/>
    <s v="United States"/>
    <s v="Romper Short"/>
    <n v="10"/>
    <n v="42"/>
    <s v="Halloween"/>
    <s v="0-3"/>
    <x v="71"/>
    <m/>
  </r>
  <r>
    <d v="2025-10-14T00:00:00"/>
    <s v="https://www.etsy.com/ca/listing/4369766034/funny-golf-baby-romper-i-just-shanked-my?transaction_id=4935828606"/>
    <s v="Cream"/>
    <s v="Cream"/>
    <s v=" 0-3M (short-sleeve)"/>
    <s v="United States"/>
    <s v="Romper Short"/>
    <n v="10"/>
    <n v="42"/>
    <s v="Halloween"/>
    <s v="0-3"/>
    <x v="15"/>
    <m/>
  </r>
  <r>
    <d v="2025-10-15T00:00:00"/>
    <s v="https://www.etsy.com/ca/listing/4330488178/embroidered-golf-baby-romper-new-to-the?transaction_id=4935857716"/>
    <s v="Cream"/>
    <s v="Cream"/>
    <s v=" 0-3M (long-sleeve)"/>
    <s v="United States"/>
    <s v="Romper Longer"/>
    <n v="10"/>
    <n v="42"/>
    <s v="Halloween"/>
    <s v="0-3"/>
    <x v="2"/>
    <m/>
  </r>
  <r>
    <d v="2025-10-16T00:00:00"/>
    <s v="https://www.etsy.com/ca/listing/4371125103/personalized-dog-baby-bodysuit-custom?transaction_id=4935924508"/>
    <s v="Mauve Taupe"/>
    <s v="Mauve Taupe"/>
    <s v=" 0-3M (short-sleeve)"/>
    <s v="United States"/>
    <s v="Romper Short"/>
    <n v="10"/>
    <n v="42"/>
    <s v="Halloween"/>
    <s v="0-3"/>
    <x v="71"/>
    <m/>
  </r>
  <r>
    <d v="2025-10-17T00:00:00"/>
    <s v="https://www.etsy.com/ca/listing/4376399899/the-littlest-book-club-member-baby?transaction_id=4947412855"/>
    <s v="Cream"/>
    <s v="Cream"/>
    <s v="6-12M (short-sleeve)"/>
    <s v="United States"/>
    <s v="Romper Short"/>
    <n v="10"/>
    <n v="42"/>
    <s v="Halloween"/>
    <s v="6-12"/>
    <x v="47"/>
    <m/>
  </r>
  <r>
    <d v="2025-10-18T00:00:00"/>
    <s v="https://www.etsy.com/ca/listing/4330485404/cat-face-embroidered-baby-romper-funny?transaction_id=4947501121"/>
    <s v="Watermelon"/>
    <s v="Watermelon"/>
    <s v="3-6M (short-sleeve)"/>
    <s v="United States"/>
    <s v="Romper Short"/>
    <n v="10"/>
    <n v="42"/>
    <s v="Halloween"/>
    <s v="3-6"/>
    <x v="39"/>
    <m/>
  </r>
  <r>
    <d v="2025-10-19T00:00:00"/>
    <s v="https://www.etsy.com/ca/listing/4376399899/the-littlest-book-club-member-baby?transaction_id=4936190030"/>
    <s v="Mauve Taupe"/>
    <s v="Mauve Taupe"/>
    <s v="3-6M (short-sleeve)"/>
    <s v="United States"/>
    <s v="Romper Short"/>
    <n v="10"/>
    <n v="43"/>
    <s v="Halloween"/>
    <s v="3-6"/>
    <x v="67"/>
    <m/>
  </r>
  <r>
    <d v="2025-10-20T00:00:00"/>
    <s v="https://www.etsy.com/ca/listing/4346126210/daddys-future-lifting-buddy-romper-baby?transaction_id=4947867441"/>
    <s v="Coffee"/>
    <s v="Coffee"/>
    <s v=" 0-3M (long-sleeve)"/>
    <s v="United States"/>
    <s v="Romper Longer"/>
    <n v="10"/>
    <n v="43"/>
    <s v="Halloween"/>
    <s v="0-3"/>
    <x v="28"/>
    <m/>
  </r>
  <r>
    <d v="2025-10-21T00:00:00"/>
    <s v="https://www.etsy.com/ca/listing/4393855716/lil-chef-embroidered-romper-cute-baby?transaction_id=4948066033"/>
    <s v="Cream"/>
    <s v="Cream"/>
    <s v=" 0-3M (long-sleeve)"/>
    <s v="United States"/>
    <s v="Romper Longer"/>
    <n v="10"/>
    <n v="43"/>
    <s v="Halloween"/>
    <s v="0-3"/>
    <x v="2"/>
    <m/>
  </r>
  <r>
    <d v="2025-10-22T00:00:00"/>
    <s v="https://www.etsy.com/ca/listing/4376399899/the-littlest-book-club-member-baby?transaction_id=4936799448"/>
    <s v="Sage Green"/>
    <s v="Sage Green"/>
    <s v=" 6-12M (long-sleeve)"/>
    <s v="United States"/>
    <s v="Romper Longer"/>
    <n v="10"/>
    <n v="43"/>
    <s v="Halloween"/>
    <s v="6-12"/>
    <x v="3"/>
    <m/>
  </r>
  <r>
    <d v="2025-10-23T00:00:00"/>
    <s v="https://www.etsy.com/ca/listing/4376399899/the-littlest-book-club-member-baby?transaction_id=4936925444"/>
    <s v="Cream"/>
    <s v="Cream"/>
    <s v=" 0-3M (short-sleeve)"/>
    <s v="United States"/>
    <s v="Romper Short"/>
    <n v="10"/>
    <n v="43"/>
    <s v="Halloween"/>
    <s v="0-3"/>
    <x v="15"/>
    <m/>
  </r>
  <r>
    <d v="2025-10-24T00:00:00"/>
    <s v="https://www.etsy.com/ca/listing/4371125103/personalized-dog-baby-bodysuit-custom?transaction_id=4937100754"/>
    <s v="Dusty Pink"/>
    <s v="Dusty Pink"/>
    <s v=" 6-12M (long-sleeve)"/>
    <s v="United States"/>
    <s v="Romper Longer"/>
    <n v="10"/>
    <n v="43"/>
    <s v="Halloween"/>
    <s v="6-12"/>
    <x v="51"/>
    <m/>
  </r>
  <r>
    <d v="2025-10-25T00:00:00"/>
    <s v="https://www.etsy.com/ca/listing/4330463387/embroidered-baby-romper-relax-mommy-is-a?transaction_id=4948557231"/>
    <s v="Salmon"/>
    <s v="Salmon"/>
    <s v=" 3-6M (long-sleeve)"/>
    <s v="United States"/>
    <s v="Romper Longer"/>
    <n v="10"/>
    <n v="43"/>
    <s v="Halloween"/>
    <s v="3-6"/>
    <x v="49"/>
    <m/>
  </r>
  <r>
    <d v="2025-10-26T00:00:00"/>
    <s v="https://www.etsy.com/ca/listing/4330483435/embroidered-coffee-bean-baby-romper?transaction_id=4937294586"/>
    <s v="Cream"/>
    <s v="Cream"/>
    <s v=" 0-3M (short-sleeve)"/>
    <s v="United States"/>
    <s v="Romper Short"/>
    <n v="10"/>
    <n v="44"/>
    <s v="Halloween"/>
    <s v="0-3"/>
    <x v="15"/>
    <m/>
  </r>
  <r>
    <d v="2025-10-27T00:00:00"/>
    <s v="https://www.etsy.com/ca/listing/4344231895/embroidered-baby-romper-shhh-im-reading?transaction_id=4937339238"/>
    <s v="Cream"/>
    <s v="Cream"/>
    <s v=" 6-12M (long-sleeve)"/>
    <s v="United States"/>
    <s v="Romper Longer"/>
    <n v="10"/>
    <n v="44"/>
    <s v="Halloween"/>
    <s v="6-12"/>
    <x v="17"/>
    <m/>
  </r>
  <r>
    <d v="2025-10-28T00:00:00"/>
    <s v="https://www.etsy.com/ca/listing/4371125103/personalized-dog-baby-bodysuit-custom?transaction_id=4948787769"/>
    <s v="Sage Green"/>
    <s v="Sage Green"/>
    <s v=" 0-3M (short-sleeve)"/>
    <s v="United States"/>
    <s v="Romper Short"/>
    <n v="10"/>
    <n v="44"/>
    <s v="Halloween"/>
    <s v="0-3"/>
    <x v="13"/>
    <m/>
  </r>
  <r>
    <d v="2025-10-29T00:00:00"/>
    <s v="https://www.etsy.com/ca/listing/4371125103/personalized-dog-baby-bodysuit-custom?transaction_id=4948936101"/>
    <s v="Cream"/>
    <s v="Cream"/>
    <s v="3-6M (short-sleeve)"/>
    <s v="United States"/>
    <s v="Romper Short"/>
    <n v="10"/>
    <n v="44"/>
    <s v="Halloween"/>
    <s v="3-6"/>
    <x v="0"/>
    <m/>
  </r>
  <r>
    <d v="2025-10-30T00:00:00"/>
    <s v="https://www.etsy.com/ca/listing/4376401181/challah-at-your-girl-baby-bodysuit-funny?transaction_id=4937634946"/>
    <s v="Salmon"/>
    <s v="Salmon"/>
    <s v=" 6-12M (long-sleeve)"/>
    <s v="United States"/>
    <s v="Romper Longer"/>
    <n v="10"/>
    <n v="44"/>
    <s v="Halloween"/>
    <s v="6-12"/>
    <x v="59"/>
    <m/>
  </r>
  <r>
    <d v="2025-10-31T00:00:00"/>
    <s v="https://www.etsy.com/ca/listing/4330488178/embroidered-golf-baby-romper-new-to-the?transaction_id=4937813930"/>
    <s v="Cream"/>
    <s v="Cream"/>
    <s v=" 3-6M (long-sleeve)"/>
    <s v="United States"/>
    <s v="Romper Longer"/>
    <n v="10"/>
    <n v="44"/>
    <s v="Halloween"/>
    <s v="3-6"/>
    <x v="1"/>
    <m/>
  </r>
  <r>
    <d v="2025-11-01T00:00:00"/>
    <s v="https://www.etsy.com/ca/listing/4371125103/personalized-dog-baby-bodysuit-custom?transaction_id=4937872456"/>
    <s v="Dusty Pink"/>
    <s v="Dusty Pink"/>
    <s v=" 3-6M (long-sleeve)"/>
    <s v="United States"/>
    <s v="Romper Longer"/>
    <n v="11"/>
    <n v="44"/>
    <s v="Christmas"/>
    <s v="3-6"/>
    <x v="8"/>
    <m/>
  </r>
  <r>
    <d v="2025-11-02T00:00:00"/>
    <s v="https://www.etsy.com/ca/listing/4376399899/the-littlest-book-club-member-baby?transaction_id=4949190889"/>
    <s v="Cream"/>
    <s v="Cream"/>
    <s v="3-6M (short-sleeve)"/>
    <s v="United States"/>
    <s v="Romper Short"/>
    <n v="11"/>
    <n v="45"/>
    <s v="Christmas"/>
    <s v="3-6"/>
    <x v="0"/>
    <m/>
  </r>
  <r>
    <d v="2025-11-03T00:00:00"/>
    <s v="https://www.etsy.com/ca/listing/4347263856/besties-baby-romper-matching-baby-outfit?transaction_id=4883381966"/>
    <s v="White"/>
    <s v="White"/>
    <s v=" 0-3M (short-sleeve)"/>
    <s v="United States"/>
    <s v="Romper Short"/>
    <n v="11"/>
    <n v="45"/>
    <s v="Christmas"/>
    <s v="0-3"/>
    <x v="21"/>
    <m/>
  </r>
  <r>
    <d v="2025-11-04T00:00:00"/>
    <s v="https://www.etsy.com/ca/listing/4347263856/besties-baby-romper-matching-baby-outfit?transaction_id=4883381966"/>
    <s v="White"/>
    <s v="White"/>
    <s v=" 0-3M (short-sleeve)"/>
    <s v="United States"/>
    <s v="Romper Short"/>
    <n v="11"/>
    <n v="45"/>
    <s v="Christmas"/>
    <s v="0-3"/>
    <x v="21"/>
    <m/>
  </r>
  <r>
    <d v="2025-11-05T00:00:00"/>
    <s v="https://www.etsy.com/ca/listing/4344235128/new-to-the-hive-baby-romper-embroidered?transaction_id=4949368105"/>
    <s v="Dusty Pink"/>
    <s v="Dusty Pink"/>
    <s v=" 3-6M (long-sleeve)"/>
    <s v="United States"/>
    <s v="Romper Longer"/>
    <n v="11"/>
    <n v="45"/>
    <s v="Christmas"/>
    <s v="3-6"/>
    <x v="8"/>
    <m/>
  </r>
  <r>
    <d v="2025-11-06T00:00:00"/>
    <s v="https://www.etsy.com/ca/listing/4392936921/apparently-i-like-golf-embroidered?transaction_id=4949584817"/>
    <s v="Dusty Pink"/>
    <s v="Dusty Pink"/>
    <s v=" 0-3M (long-sleeve)"/>
    <s v="United States"/>
    <s v="Romper Longer"/>
    <n v="11"/>
    <n v="45"/>
    <s v="Christmas"/>
    <s v="0-3"/>
    <x v="45"/>
    <m/>
  </r>
  <r>
    <d v="2025-11-07T00:00:00"/>
    <s v="https://www.etsy.com/ca/listing/4371125103/personalized-dog-baby-bodysuit-custom?transaction_id=4938416818"/>
    <s v="Cream"/>
    <s v="Cream"/>
    <s v=" 0-3M (short-sleeve)"/>
    <s v="United States"/>
    <s v="Romper Short"/>
    <n v="11"/>
    <n v="45"/>
    <s v="Christmas"/>
    <s v="0-3"/>
    <x v="15"/>
    <m/>
  </r>
  <r>
    <d v="2025-11-08T00:00:00"/>
    <s v="https://www.etsy.com/ca/listing/4371125103/personalized-dog-baby-bodysuit-custom?transaction_id=4938416818"/>
    <s v="Caldet Blue"/>
    <s v="Caldet Blue"/>
    <s v=" 3-6M (long-sleeve)"/>
    <s v="United States"/>
    <s v="Romper Longer"/>
    <n v="11"/>
    <n v="45"/>
    <s v="Christmas"/>
    <s v="3-6"/>
    <x v="23"/>
    <m/>
  </r>
  <r>
    <d v="2025-11-09T00:00:00"/>
    <s v="https://www.etsy.com/ca/listing/4371125103/personalized-dog-baby-bodysuit-custom?transaction_id=4938416818"/>
    <s v="Cream"/>
    <s v="Cream"/>
    <s v=" 3-6M (long-sleeve)"/>
    <s v="United States"/>
    <s v="Romper Longer"/>
    <n v="11"/>
    <n v="46"/>
    <s v="Christmas"/>
    <s v="3-6"/>
    <x v="1"/>
    <m/>
  </r>
  <r>
    <d v="2025-11-10T00:00:00"/>
    <s v="https://www.etsy.com/ca/listing/4330488178/embroidered-golf-baby-romper-new-to-the?transaction_id=4938703208"/>
    <s v="Cream"/>
    <s v="Cream"/>
    <s v=" 3-6M (long-sleeve)"/>
    <s v="United States"/>
    <s v="Romper Longer"/>
    <n v="11"/>
    <n v="46"/>
    <s v="Christmas"/>
    <s v="3-6"/>
    <x v="1"/>
    <m/>
  </r>
  <r>
    <d v="2025-11-11T00:00:00"/>
    <s v="https://www.etsy.com/ca/listing/4392962015/cant-wait-to-jam-with-daddy-embroidered?transaction_id=4938896016"/>
    <s v="Cream"/>
    <s v="Cream"/>
    <s v=" 0-3M (short-sleeve)"/>
    <s v="United States"/>
    <s v="Romper Short"/>
    <n v="11"/>
    <n v="46"/>
    <s v="Christmas"/>
    <s v="0-3"/>
    <x v="15"/>
    <m/>
  </r>
  <r>
    <d v="2025-11-12T00:00:00"/>
    <s v="https://www.etsy.com/ca/listing/4347260564/football-baby-romper-game-day-baby?transaction_id=4938950258"/>
    <s v="Cream"/>
    <s v="Cream"/>
    <s v="6-12M (short-sleeve)"/>
    <s v="United States"/>
    <s v="Romper Short"/>
    <n v="11"/>
    <n v="46"/>
    <s v="Christmas"/>
    <s v="6-12"/>
    <x v="47"/>
    <m/>
  </r>
  <r>
    <d v="2025-11-13T00:00:00"/>
    <s v="https://www.etsy.com/ca/listing/4330495722/embroidered-golf-baby-romper-custom?transaction_id=4939137062"/>
    <s v="Cream"/>
    <s v="Cream"/>
    <s v=" 3-6M (long-sleeve)"/>
    <s v="United States"/>
    <s v="Romper Longer"/>
    <n v="11"/>
    <n v="46"/>
    <s v="Christmas"/>
    <s v="3-6"/>
    <x v="1"/>
    <m/>
  </r>
  <r>
    <d v="2025-11-14T00:00:00"/>
    <s v="https://www.etsy.com/ca/listing/4344231895/embroidered-baby-romper-shhh-im-reading?transaction_id=4950441467"/>
    <s v="Sage Green"/>
    <s v="Sage Green"/>
    <s v="3-6M (short-sleeve)"/>
    <s v="United States"/>
    <s v="Romper Short"/>
    <n v="11"/>
    <n v="46"/>
    <s v="Christmas"/>
    <s v="3-6"/>
    <x v="24"/>
    <m/>
  </r>
  <r>
    <d v="2025-11-15T00:00:00"/>
    <s v="https://www.etsy.com/ca/listing/4376399899/the-littlest-book-club-member-baby?transaction_id=4950449971"/>
    <s v="Coffee"/>
    <s v="Coffee"/>
    <s v=" 6-12M (long-sleeve)"/>
    <s v="United States"/>
    <s v="Romper Longer"/>
    <n v="11"/>
    <n v="46"/>
    <s v="Christmas"/>
    <s v="6-12"/>
    <x v="86"/>
    <m/>
  </r>
  <r>
    <d v="2025-11-16T00:00:00"/>
    <s v="https://www.etsy.com/ca/listing/4371125103/personalized-dog-baby-bodysuit-custom?transaction_id=4950485645"/>
    <s v="Sage Green"/>
    <s v="Sage Green"/>
    <s v=" 6-12M (long-sleeve)"/>
    <s v="United States"/>
    <s v="Romper Longer"/>
    <n v="11"/>
    <n v="47"/>
    <s v="Christmas"/>
    <s v="6-12"/>
    <x v="3"/>
    <m/>
  </r>
  <r>
    <d v="2025-11-17T00:00:00"/>
    <s v="https://www.etsy.com/ca/listing/4330504400/embroidered-bicycle-baby-romper-born-to?transaction_id=4950853851"/>
    <s v="Cream"/>
    <s v="Cream"/>
    <s v=" 3-6M (long-sleeve)"/>
    <s v="United States"/>
    <s v="Romper Longer"/>
    <n v="11"/>
    <n v="47"/>
    <s v="Christmas"/>
    <s v="3-6"/>
    <x v="1"/>
    <m/>
  </r>
  <r>
    <d v="2025-11-18T00:00:00"/>
    <s v="https://www.etsy.com/ca/listing/4330488178/embroidered-golf-baby-romper-new-to-the?transaction_id=4939683906"/>
    <s v="Cream"/>
    <s v="Cream"/>
    <s v=" 6-12M (long-sleeve)"/>
    <s v="United States"/>
    <s v="Romper Longer"/>
    <n v="11"/>
    <n v="47"/>
    <s v="Christmas"/>
    <s v="6-12"/>
    <x v="17"/>
    <m/>
  </r>
  <r>
    <d v="2025-11-19T00:00:00"/>
    <s v="https://www.etsy.com/ca/listing/4372360540/taco-bout-cute-baby-romper-funny-food?transaction_id=4939711726"/>
    <s v="Dusty Pink"/>
    <s v="Dusty Pink"/>
    <s v=" 0-3M (long-sleeve)"/>
    <s v="United States"/>
    <s v="Romper Longer"/>
    <n v="11"/>
    <n v="47"/>
    <s v="Christmas"/>
    <s v="0-3"/>
    <x v="45"/>
    <m/>
  </r>
  <r>
    <d v="2025-11-20T00:00:00"/>
    <s v="https://www.etsy.com/ca/listing/4393855716/lil-chef-embroidered-romper-cute-baby?transaction_id=4939711724"/>
    <s v="Sage Green"/>
    <s v="Sage Green"/>
    <s v=" 0-3M (long-sleeve)"/>
    <s v="United States"/>
    <s v="Romper Longer"/>
    <n v="11"/>
    <n v="47"/>
    <s v="Christmas"/>
    <s v="0-3"/>
    <x v="5"/>
    <m/>
  </r>
  <r>
    <d v="2025-11-21T00:00:00"/>
    <s v="https://www.etsy.com/ca/listing/4344230374/food-critic-baby-bodysuit-funny-newborn?transaction_id=4939711722"/>
    <s v="Salmon"/>
    <s v="Salmon"/>
    <s v="3-6M (short-sleeve)"/>
    <s v="United States"/>
    <s v="Romper Short"/>
    <n v="11"/>
    <n v="47"/>
    <s v="Christmas"/>
    <s v="3-6"/>
    <x v="50"/>
    <m/>
  </r>
  <r>
    <d v="2025-11-22T00:00:00"/>
    <s v="https://www.etsy.com/ca/listing/4376399899/the-littlest-book-club-member-baby?transaction_id=4939763814"/>
    <s v="Sage Green"/>
    <s v="Sage Green"/>
    <s v=" 0-3M (long-sleeve)"/>
    <s v="United States"/>
    <s v="Romper Longer"/>
    <n v="11"/>
    <n v="47"/>
    <s v="Christmas"/>
    <s v="0-3"/>
    <x v="5"/>
    <m/>
  </r>
  <r>
    <d v="2025-11-23T00:00:00"/>
    <s v="https://www.etsy.com/ca/listing/4330474831/embroidered-hedgehog-baby-bodysuit?transaction_id=4951378649"/>
    <s v="Cream"/>
    <s v="Cream"/>
    <s v=" 6-12M (long-sleeve)"/>
    <s v="United States"/>
    <s v="Romper Longer"/>
    <n v="11"/>
    <n v="48"/>
    <s v="Christmas"/>
    <s v="6-12"/>
    <x v="17"/>
    <m/>
  </r>
  <r>
    <d v="2025-11-24T00:00:00"/>
    <s v="https://www.etsy.com/ca/listing/4372352286/silly-goose-baby-romper-funny-infant?transaction_id=4940475060"/>
    <s v="Sage Green"/>
    <s v="Sage Green"/>
    <s v="6-12M (short-sleeve)"/>
    <s v="United States"/>
    <s v="Romper Short"/>
    <n v="11"/>
    <n v="48"/>
    <s v="Christmas"/>
    <s v="6-12"/>
    <x v="19"/>
    <m/>
  </r>
  <r>
    <d v="2025-11-25T00:00:00"/>
    <s v="https://www.etsy.com/ca/listing/4372352286/silly-goose-baby-romper-funny-infant?transaction_id=4951754127"/>
    <s v="Sage Green"/>
    <s v="Sage Green"/>
    <s v="3-6M (short-sleeve)"/>
    <s v="United States"/>
    <s v="Romper Short"/>
    <n v="11"/>
    <n v="48"/>
    <s v="Christmas"/>
    <s v="3-6"/>
    <x v="24"/>
    <m/>
  </r>
  <r>
    <d v="2025-11-26T00:00:00"/>
    <s v="https://www.etsy.com/ca/listing/4371125103/personalized-dog-baby-bodysuit-custom?transaction_id=4940707550"/>
    <s v="White"/>
    <s v="White"/>
    <s v=" 3-6M (long-sleeve)"/>
    <s v="United States"/>
    <s v="Romper Longer"/>
    <n v="11"/>
    <n v="48"/>
    <s v="Christmas"/>
    <s v="3-6"/>
    <x v="70"/>
    <m/>
  </r>
  <r>
    <d v="2025-11-27T00:00:00"/>
    <s v="https://www.etsy.com/ca/listing/4376399899/the-littlest-book-club-member-baby?transaction_id=4952040509"/>
    <s v="Cream"/>
    <s v="Cream"/>
    <s v=" 0-3M (short-sleeve)"/>
    <s v="United States"/>
    <s v="Romper Short"/>
    <n v="11"/>
    <n v="48"/>
    <s v="Christmas"/>
    <s v="0-3"/>
    <x v="15"/>
    <m/>
  </r>
  <r>
    <d v="2025-11-28T00:00:00"/>
    <s v="https://www.etsy.com/ca/listing/4376399899/the-littlest-book-club-member-baby?transaction_id=4952040509"/>
    <s v="Forest Green"/>
    <s v="Forest Green"/>
    <s v=" 0-3M (long-sleeve)"/>
    <s v="United States"/>
    <s v="Romper Longer"/>
    <n v="11"/>
    <n v="48"/>
    <s v="Christmas"/>
    <s v="0-3"/>
    <x v="41"/>
    <m/>
  </r>
  <r>
    <d v="2025-11-29T00:00:00"/>
    <s v="https://www.etsy.com/ca/listing/4371125103/personalized-dog-baby-bodysuit-custom?transaction_id=4941213470"/>
    <s v="Cream"/>
    <s v="Cream"/>
    <s v=" 0-3M (short-sleeve)"/>
    <s v="United States"/>
    <s v="Romper Short"/>
    <n v="11"/>
    <n v="48"/>
    <s v="Christmas"/>
    <s v="0-3"/>
    <x v="15"/>
    <m/>
  </r>
  <r>
    <d v="2025-11-30T00:00:00"/>
    <s v="https://www.etsy.com/ca/listing/4376399899/the-littlest-book-club-member-baby?transaction_id=4941230498"/>
    <s v="Cream"/>
    <s v="Cream"/>
    <s v="3-6M (short-sleeve)"/>
    <s v="United States"/>
    <s v="Romper Short"/>
    <n v="11"/>
    <n v="49"/>
    <s v="Christmas"/>
    <s v="3-6"/>
    <x v="0"/>
    <m/>
  </r>
  <r>
    <d v="2025-12-01T00:00:00"/>
    <s v="https://www.etsy.com/ca/listing/4330488178/embroidered-golf-baby-romper-new-to-the?transaction_id=4952362953"/>
    <s v="Cream"/>
    <s v="Cream"/>
    <s v="3-6M (short-sleeve)"/>
    <s v="United States"/>
    <s v="Romper Short"/>
    <n v="12"/>
    <n v="49"/>
    <s v="Christmas"/>
    <s v="3-6"/>
    <x v="0"/>
    <m/>
  </r>
  <r>
    <d v="2025-12-02T00:00:00"/>
    <s v="https://www.etsy.com/ca/listing/4371125103/personalized-dog-baby-bodysuit-custom?transaction_id=4941369252"/>
    <s v="Cream"/>
    <s v="Cream"/>
    <s v=" 0-3M (long-sleeve)"/>
    <s v="United States"/>
    <s v="Romper Longer"/>
    <n v="12"/>
    <n v="49"/>
    <s v="Christmas"/>
    <s v="0-3"/>
    <x v="2"/>
    <m/>
  </r>
  <r>
    <d v="2025-12-03T00:00:00"/>
    <s v="https://www.etsy.com/ca/listing/4371125103/personalized-dog-baby-bodysuit-custom?transaction_id=4953646437"/>
    <s v="Watermelon"/>
    <s v="Watermelon"/>
    <s v=" 3-6M (long-sleeve)"/>
    <s v="United States"/>
    <s v="Romper Longer"/>
    <n v="12"/>
    <n v="49"/>
    <s v="Christmas"/>
    <s v="3-6"/>
    <x v="20"/>
    <m/>
  </r>
  <r>
    <d v="2025-12-04T00:00:00"/>
    <s v="https://www.etsy.com/ca/listing/4330488178/embroidered-golf-baby-romper-new-to-the?transaction_id=4953865813"/>
    <s v="Cream"/>
    <s v="Cream"/>
    <s v=" 0-3M (long-sleeve)"/>
    <s v="United States"/>
    <s v="Romper Longer"/>
    <n v="12"/>
    <n v="49"/>
    <s v="Christmas"/>
    <s v="0-3"/>
    <x v="2"/>
    <m/>
  </r>
  <r>
    <d v="2025-12-05T00:00:00"/>
    <s v="https://www.etsy.com/ca/listing/4392932100/born-to-ride-with-my-daddy-embroidered?transaction_id=4953933831"/>
    <s v="Cream"/>
    <s v="Cream"/>
    <s v=" 0-3M (long-sleeve)"/>
    <s v="United States"/>
    <s v="Romper Longer"/>
    <n v="12"/>
    <n v="49"/>
    <s v="Christmas"/>
    <s v="0-3"/>
    <x v="2"/>
    <m/>
  </r>
  <r>
    <d v="2025-12-06T00:00:00"/>
    <s v="https://www.etsy.com/ca/listing/4330488178/embroidered-golf-baby-romper-new-to-the?transaction_id=4954037833"/>
    <s v="Watermelon"/>
    <s v="Watermelon"/>
    <s v=" 3-6M (long-sleeve)"/>
    <s v="United States"/>
    <s v="Romper Longer"/>
    <n v="12"/>
    <n v="49"/>
    <s v="Christmas"/>
    <s v="3-6"/>
    <x v="20"/>
    <m/>
  </r>
  <r>
    <d v="2025-12-07T00:00:00"/>
    <s v="https://www.etsy.com/ca/listing/4371125103/personalized-dog-baby-bodysuit-custom?transaction_id=4953646437"/>
    <s v="Cream"/>
    <s v="Cream"/>
    <s v="3-6M (short-sleeve)"/>
    <s v="United States"/>
    <s v="Romper Short"/>
    <n v="12"/>
    <n v="50"/>
    <s v="Christmas"/>
    <s v="3-6"/>
    <x v="0"/>
    <m/>
  </r>
  <r>
    <d v="2025-12-08T00:00:00"/>
    <s v="https://www.etsy.com/ca/listing/4330488178/embroidered-golf-baby-romper-new-to-the?transaction_id=4954187879"/>
    <s v="Cream"/>
    <s v="Cream"/>
    <s v=" 3-6M (long-sleeve)"/>
    <s v="United States"/>
    <s v="Romper Longer"/>
    <n v="12"/>
    <n v="50"/>
    <s v="Christmas"/>
    <s v="3-6"/>
    <x v="1"/>
    <m/>
  </r>
  <r>
    <d v="2025-12-09T00:00:00"/>
    <s v="https://www.etsy.com/ca/listing/4392935796/box-box-for-fresh-diapers-embroidered?transaction_id=4943340888"/>
    <s v="Texas Orange"/>
    <s v="Texas Orange"/>
    <s v="3-6M (short-sleeve)"/>
    <s v="United States"/>
    <s v="Romper Short"/>
    <n v="12"/>
    <n v="50"/>
    <s v="Christmas"/>
    <s v="3-6"/>
    <x v="66"/>
    <m/>
  </r>
  <r>
    <d v="2025-12-10T00:00:00"/>
    <s v="https://www.etsy.com/ca/listing/4392936921/apparently-i-like-golf-embroidered?transaction_id=4954304013"/>
    <s v="Cream"/>
    <s v="Cream"/>
    <s v=" 0-3M (long-sleeve)"/>
    <s v="United States"/>
    <s v="Romper Longer"/>
    <n v="12"/>
    <n v="50"/>
    <s v="Christmas"/>
    <s v="0-3"/>
    <x v="2"/>
    <m/>
  </r>
  <r>
    <d v="2025-12-11T00:00:00"/>
    <s v="https://www.etsy.com/ca/listing/4330488178/embroidered-golf-baby-romper-new-to-the?transaction_id=4954187879"/>
    <s v="Cream"/>
    <s v="Cream"/>
    <s v=" 0-3M (short-sleeve)"/>
    <s v="United States"/>
    <s v="Romper Short"/>
    <n v="12"/>
    <n v="50"/>
    <s v="Christmas"/>
    <s v="0-3"/>
    <x v="15"/>
    <m/>
  </r>
  <r>
    <d v="2025-12-12T00:00:00"/>
    <s v="https://www.etsy.com/ca/listing/4344231895/embroidered-baby-romper-shhh-im-reading?transaction_id=4943396514"/>
    <s v="Caldet Blue"/>
    <s v="Caldet Blue"/>
    <s v=" 0-3M (short-sleeve)"/>
    <s v="United States"/>
    <s v="Romper Short"/>
    <n v="12"/>
    <n v="50"/>
    <s v="Christmas"/>
    <s v="0-3"/>
    <x v="38"/>
    <m/>
  </r>
  <r>
    <d v="2025-12-13T00:00:00"/>
    <s v="https://www.etsy.com/ca/listing/4392962015/cant-wait-to-jam-with-daddy-embroidered?transaction_id=4954361285"/>
    <s v="Cream"/>
    <s v="Cream"/>
    <s v="6-12M (short-sleeve)"/>
    <s v="United States"/>
    <s v="Romper Short"/>
    <n v="12"/>
    <n v="50"/>
    <s v="Christmas"/>
    <s v="6-12"/>
    <x v="47"/>
    <m/>
  </r>
  <r>
    <d v="2025-12-14T00:00:00"/>
    <s v="https://www.etsy.com/ca/listing/4376399899/the-littlest-book-club-member-baby?transaction_id=4943476692"/>
    <s v="Sage Green"/>
    <s v="Sage Green"/>
    <s v=" 0-3M (long-sleeve)"/>
    <s v="United States"/>
    <s v="Romper Longer"/>
    <n v="12"/>
    <n v="51"/>
    <s v="Christmas"/>
    <s v="0-3"/>
    <x v="5"/>
    <m/>
  </r>
  <r>
    <d v="2025-12-15T00:00:00"/>
    <s v="https://www.etsy.com/ca/listing/4330488178/embroidered-golf-baby-romper-new-to-the?transaction_id=4943574960"/>
    <s v="Sage Green"/>
    <s v="Sage Green"/>
    <s v=" 6-12M (long-sleeve)"/>
    <s v="United States"/>
    <s v="Romper Longer"/>
    <n v="12"/>
    <n v="51"/>
    <s v="Christmas"/>
    <s v="6-12"/>
    <x v="3"/>
    <m/>
  </r>
  <r>
    <d v="2025-12-16T00:00:00"/>
    <s v="https://www.etsy.com/ca/listing/4344231895/embroidered-baby-romper-shhh-im-reading?transaction_id=4954560307"/>
    <s v="Sage Green"/>
    <s v="Sage Green"/>
    <s v="3-6M (short-sleeve)"/>
    <s v="United States"/>
    <s v="Romper Short"/>
    <n v="12"/>
    <n v="51"/>
    <s v="Christmas"/>
    <s v="3-6"/>
    <x v="24"/>
    <m/>
  </r>
  <r>
    <d v="2025-12-17T00:00:00"/>
    <s v="https://www.etsy.com/ca/listing/4330495722/embroidered-golf-baby-romper-custom?transaction_id=4954744177"/>
    <s v="Dusty Pink"/>
    <s v="Dusty Pink"/>
    <s v=" 6-12M (long-sleeve)"/>
    <s v="United States"/>
    <s v="Romper Longer"/>
    <n v="12"/>
    <n v="51"/>
    <s v="Christmas"/>
    <s v="6-12"/>
    <x v="51"/>
    <m/>
  </r>
  <r>
    <d v="2025-12-18T00:00:00"/>
    <s v="https://www.etsy.com/ca/listing/4376389783/player-2-baby-romper-gamer-baby-outfit?transaction_id=4954748377"/>
    <s v="Sage Green"/>
    <s v="Sage Green"/>
    <s v="3-6M (short-sleeve)"/>
    <s v="United States"/>
    <s v="Romper Short"/>
    <n v="12"/>
    <n v="51"/>
    <s v="Christmas"/>
    <s v="3-6"/>
    <x v="24"/>
    <m/>
  </r>
  <r>
    <d v="2025-12-19T00:00:00"/>
    <s v="https://www.etsy.com/ca/listing/4330488178/embroidered-golf-baby-romper-new-to-the?transaction_id=4943939322"/>
    <s v="Cream"/>
    <s v="Cream"/>
    <s v=" 3-6M (long-sleeve)"/>
    <s v="United States"/>
    <s v="Romper Longer"/>
    <n v="12"/>
    <n v="51"/>
    <s v="Christmas"/>
    <s v="3-6"/>
    <x v="1"/>
    <m/>
  </r>
  <r>
    <d v="2025-12-20T00:00:00"/>
    <s v="https://www.etsy.com/ca/listing/4392929794/little-latke-embroidered-romper-hanukkah?transaction_id=4954906977"/>
    <s v="Dusty Pink"/>
    <s v="Dusty Pink"/>
    <s v=" 0-3M (short-sleeve)"/>
    <s v="United States"/>
    <s v="Romper Short"/>
    <n v="12"/>
    <n v="51"/>
    <s v="Christmas"/>
    <s v="0-3"/>
    <x v="34"/>
    <m/>
  </r>
  <r>
    <d v="2025-12-21T00:00:00"/>
    <s v="https://www.etsy.com/ca/listing/4376401181/challah-at-your-girl-baby-bodysuit-funny?transaction_id=4954906975"/>
    <s v="Watermelon"/>
    <s v="Watermelon"/>
    <s v=" 0-3M (short-sleeve)"/>
    <s v="United States"/>
    <s v="Romper Short"/>
    <n v="12"/>
    <n v="52"/>
    <s v="Christmas"/>
    <s v="0-3"/>
    <x v="65"/>
    <m/>
  </r>
  <r>
    <d v="2025-12-22T00:00:00"/>
    <s v="https://www.etsy.com/ca/listing/4392932100/born-to-ride-with-my-daddy-embroidered?transaction_id=4944021678"/>
    <s v="Cream"/>
    <s v="Cream"/>
    <s v=" 0-3M (short-sleeve)"/>
    <s v="United States"/>
    <s v="Romper Short"/>
    <n v="12"/>
    <n v="52"/>
    <s v="Christmas"/>
    <s v="0-3"/>
    <x v="15"/>
    <m/>
  </r>
  <r>
    <d v="2025-12-23T00:00:00"/>
    <s v="https://www.etsy.com/ca/listing/4344237213/mamas-coffee-date-baby-bodysuit-funny?transaction_id=4944021676"/>
    <s v="Mauve Taupe"/>
    <s v="Mauve Taupe"/>
    <s v=" 0-3M (short-sleeve)"/>
    <s v="United States"/>
    <s v="Romper Short"/>
    <n v="12"/>
    <n v="52"/>
    <s v="Christmas"/>
    <s v="0-3"/>
    <x v="71"/>
    <m/>
  </r>
  <r>
    <d v="2025-12-24T00:00:00"/>
    <s v="https://www.etsy.com/ca/listing/4376399899/the-littlest-book-club-member-baby?transaction_id=4954939199"/>
    <s v="Caldet Blue"/>
    <s v="Caldet Blue"/>
    <s v="12-18M (long-sleeve)"/>
    <s v="United States"/>
    <s v="Romper Longer"/>
    <n v="12"/>
    <n v="52"/>
    <s v="Christmas"/>
    <s v="12-18"/>
    <x v="60"/>
    <m/>
  </r>
  <r>
    <d v="2025-12-25T00:00:00"/>
    <s v="https://www.etsy.com/ca/listing/4371125103/personalized-dog-baby-bodysuit-custom?transaction_id=4954997697"/>
    <s v="Watermelon"/>
    <s v="Watermelon"/>
    <s v="3-6M (short-sleeve)"/>
    <s v="United States"/>
    <s v="Romper Short"/>
    <n v="12"/>
    <n v="52"/>
    <s v="Christmas"/>
    <s v="3-6"/>
    <x v="39"/>
    <m/>
  </r>
  <r>
    <d v="2025-12-26T00:00:00"/>
    <s v="https://www.etsy.com/ca/listing/4371125103/personalized-dog-baby-bodysuit-custom?transaction_id=4954997697"/>
    <s v="Dusty Pink"/>
    <s v="Dusty Pink"/>
    <s v=" 6-12M (long-sleeve)"/>
    <s v="United States"/>
    <s v="Romper Longer"/>
    <n v="12"/>
    <n v="52"/>
    <s v="Christmas"/>
    <s v="6-12"/>
    <x v="51"/>
    <m/>
  </r>
  <r>
    <d v="2025-12-27T00:00:00"/>
    <s v="https://www.etsy.com/ca/listing/4376399899/the-littlest-book-club-member-baby?transaction_id=4944321220"/>
    <s v="Caldet Blue"/>
    <s v="Caldet Blue"/>
    <s v=" 0-3M (short-sleeve)"/>
    <s v="United States"/>
    <s v="Romper Short"/>
    <n v="12"/>
    <n v="52"/>
    <s v="Christmas"/>
    <s v="0-3"/>
    <x v="38"/>
    <m/>
  </r>
  <r>
    <d v="2025-12-28T00:00:00"/>
    <s v="https://www.etsy.com/ca/listing/4371125103/personalized-dog-baby-bodysuit-custom?transaction_id=4944369360"/>
    <s v="Sage Green"/>
    <s v="Sage Green"/>
    <s v=" 3-6M (long-sleeve)"/>
    <s v="United States"/>
    <s v="Romper Longer"/>
    <n v="12"/>
    <n v="53"/>
    <s v="Christmas"/>
    <s v="3-6"/>
    <x v="7"/>
    <m/>
  </r>
  <r>
    <d v="2025-12-29T00:00:00"/>
    <s v="https://www.etsy.com/ca/listing/4330485404/cat-face-embroidered-baby-romper-funny?transaction_id=4955249583"/>
    <s v="Dusty Pink"/>
    <s v="Dusty Pink"/>
    <s v=" 6-12M (long-sleeve)"/>
    <s v="United States"/>
    <s v="Romper Longer"/>
    <n v="12"/>
    <n v="53"/>
    <s v="Christmas"/>
    <s v="6-12"/>
    <x v="51"/>
    <m/>
  </r>
  <r>
    <d v="2025-12-30T00:00:00"/>
    <s v="https://www.etsy.com/ca/listing/4376399899/the-littlest-book-club-member-baby?transaction_id=4955541305"/>
    <s v="Sage Green"/>
    <s v="Sage Green"/>
    <s v=" 0-3M (long-sleeve)"/>
    <s v="United States"/>
    <s v="Romper Longer"/>
    <n v="12"/>
    <n v="53"/>
    <s v="Christmas"/>
    <s v="0-3"/>
    <x v="5"/>
    <m/>
  </r>
  <r>
    <d v="2025-12-31T00:00:00"/>
    <s v="https://www.etsy.com/ca/listing/4330488178/embroidered-golf-baby-romper-new-to-the?transaction_id=4944719110"/>
    <s v="Cream"/>
    <s v="Cream"/>
    <s v="18-24M (long-sleeve)"/>
    <s v="United States"/>
    <s v="Romper Longer"/>
    <n v="12"/>
    <n v="53"/>
    <s v="Christmas"/>
    <s v="18-24"/>
    <x v="55"/>
    <m/>
  </r>
  <r>
    <d v="2026-01-01T00:00:00"/>
    <s v="https://www.etsy.com/ca/listing/4376399899/the-littlest-book-club-member-baby?transaction_id=4944755382"/>
    <s v="Sage Green"/>
    <s v="Sage Green"/>
    <s v="3-6M (short-sleeve)"/>
    <s v="United States"/>
    <s v="Romper Short"/>
    <n v="1"/>
    <n v="1"/>
    <s v="NewYear"/>
    <s v="3-6"/>
    <x v="24"/>
    <m/>
  </r>
  <r>
    <d v="2026-01-02T00:00:00"/>
    <s v="https://www.etsy.com/ca/listing/4376399899/the-littlest-book-club-member-baby?transaction_id=4945116826"/>
    <s v="Sage Green"/>
    <s v="Sage Green"/>
    <s v=" 0-3M (long-sleeve)"/>
    <s v="United States"/>
    <s v="Romper Longer"/>
    <n v="1"/>
    <n v="1"/>
    <s v="NewYear"/>
    <s v="0-3"/>
    <x v="5"/>
    <m/>
  </r>
  <r>
    <d v="2026-01-03T00:00:00"/>
    <s v="https://www.etsy.com/ca/listing/4376399899/the-littlest-book-club-member-baby?transaction_id=4945116826"/>
    <s v="Dusty Pink"/>
    <s v="Dusty Pink"/>
    <s v=" 0-3M (long-sleeve)"/>
    <s v="United States"/>
    <s v="Romper Longer"/>
    <n v="1"/>
    <n v="1"/>
    <s v="NewYear"/>
    <s v="0-3"/>
    <x v="45"/>
    <m/>
  </r>
  <r>
    <d v="2026-01-04T00:00:00"/>
    <s v="https://www.etsy.com/ca/listing/4376399899/the-littlest-book-club-member-baby?transaction_id=4945116826"/>
    <s v="Cream"/>
    <s v="Cream"/>
    <s v=" 0-3M (short-sleeve)"/>
    <s v="United States"/>
    <s v="Romper Short"/>
    <n v="1"/>
    <n v="2"/>
    <s v="NewYear"/>
    <s v="0-3"/>
    <x v="15"/>
    <m/>
  </r>
  <r>
    <d v="2026-01-05T00:00:00"/>
    <s v="https://www.etsy.com/ca/listing/4376399899/the-littlest-book-club-member-baby?transaction_id=4945116826"/>
    <s v="Sage Green"/>
    <s v="Sage Green"/>
    <s v=" 0-3M (long-sleeve)"/>
    <s v="United States"/>
    <s v="Romper Longer"/>
    <n v="1"/>
    <n v="2"/>
    <s v="NewYear"/>
    <s v="0-3"/>
    <x v="5"/>
    <m/>
  </r>
  <r>
    <d v="2026-01-06T00:00:00"/>
    <s v="https://www.etsy.com/ca/listing/4376399899/the-littlest-book-club-member-baby?transaction_id=4945116826"/>
    <s v="Mauve Taupe"/>
    <s v="Mauve Taupe"/>
    <s v=" 6-12M (long-sleeve)"/>
    <s v="United States"/>
    <s v="Romper Longer"/>
    <n v="1"/>
    <n v="2"/>
    <s v="NewYear"/>
    <s v="6-12"/>
    <x v="85"/>
    <m/>
  </r>
  <r>
    <d v="2026-01-07T00:00:00"/>
    <s v="https://www.etsy.com/ca/listing/4330488178/embroidered-golf-baby-romper-new-to-the?transaction_id=4945948024"/>
    <s v="Cream"/>
    <s v="Cream"/>
    <s v=" 3-6M (long-sleeve)"/>
    <s v="United States"/>
    <s v="Romper Longer"/>
    <n v="1"/>
    <n v="2"/>
    <s v="NewYear"/>
    <s v="3-6"/>
    <x v="1"/>
    <m/>
  </r>
  <r>
    <d v="2026-01-08T00:00:00"/>
    <s v="https://www.etsy.com/ca/listing/4376399899/the-littlest-book-club-member-baby?transaction_id=4956768673"/>
    <s v="Cream"/>
    <s v="Cream"/>
    <s v=" 3-6M (long-sleeve)"/>
    <s v="United States"/>
    <s v="Romper Longer"/>
    <n v="1"/>
    <n v="2"/>
    <s v="NewYear"/>
    <s v="3-6"/>
    <x v="1"/>
    <m/>
  </r>
  <r>
    <d v="2026-01-09T00:00:00"/>
    <s v="https://www.etsy.com/ca/listing/4344231895/embroidered-baby-romper-shhh-im-reading?transaction_id=4956860027"/>
    <s v="Caldet Blue"/>
    <s v="Caldet Blue"/>
    <s v=" 6-12M (long-sleeve)"/>
    <s v="United States"/>
    <s v="Romper Longer"/>
    <n v="1"/>
    <n v="2"/>
    <s v="NewYear"/>
    <s v="6-12"/>
    <x v="25"/>
    <m/>
  </r>
  <r>
    <d v="2026-01-10T00:00:00"/>
    <s v="https://www.etsy.com/ca/listing/4371125103/personalized-dog-baby-bodysuit-custom?transaction_id=4956918187"/>
    <s v="Sage Green"/>
    <s v="Sage Green"/>
    <s v=" 6-12M (long-sleeve)"/>
    <s v="United States"/>
    <s v="Romper Longer"/>
    <n v="1"/>
    <n v="2"/>
    <s v="NewYear"/>
    <s v="6-12"/>
    <x v="3"/>
    <m/>
  </r>
  <r>
    <d v="2026-01-11T00:00:00"/>
    <s v="https://www.etsy.com/ca/listing/4376399899/the-littlest-book-club-member-baby?transaction_id=4946207220"/>
    <s v="Cream"/>
    <s v="Cream"/>
    <s v=" 6-12M (long-sleeve)"/>
    <s v="United States"/>
    <s v="Romper Longer"/>
    <n v="1"/>
    <n v="3"/>
    <s v="NewYear"/>
    <s v="6-12"/>
    <x v="17"/>
    <m/>
  </r>
  <r>
    <d v="2026-01-12T00:00:00"/>
    <s v="https://www.etsy.com/ca/listing/4330463387/embroidered-baby-romper-relax-mommy-is-a?transaction_id=4946211706"/>
    <s v="Cream"/>
    <s v="Cream"/>
    <s v=" 0-3M (long-sleeve)"/>
    <s v="United States"/>
    <s v="Romper Longer"/>
    <n v="1"/>
    <n v="3"/>
    <s v="NewYear"/>
    <s v="0-3"/>
    <x v="2"/>
    <m/>
  </r>
  <r>
    <d v="2026-01-13T00:00:00"/>
    <s v="https://www.etsy.com/ca/listing/4330495722/embroidered-golf-baby-romper-custom?transaction_id=4946380996"/>
    <s v="Cream"/>
    <s v="Cream"/>
    <s v=" 0-3M (long-sleeve)"/>
    <s v="United States"/>
    <s v="Romper Longer"/>
    <n v="1"/>
    <n v="3"/>
    <s v="NewYear"/>
    <s v="0-3"/>
    <x v="2"/>
    <m/>
  </r>
  <r>
    <d v="2026-01-14T00:00:00"/>
    <s v="https://www.etsy.com/ca/listing/4346124431/small-and-spicy-baby-romper-embroidered?transaction_id=4946403960"/>
    <s v="White"/>
    <s v="White"/>
    <s v=" 0-3M (short-sleeve)"/>
    <s v="United States"/>
    <s v="Romper Short"/>
    <n v="1"/>
    <n v="3"/>
    <s v="NewYear"/>
    <s v="0-3"/>
    <x v="21"/>
    <m/>
  </r>
  <r>
    <d v="2026-01-15T00:00:00"/>
    <s v="https://www.etsy.com/ca/listing/4371125103/personalized-dog-baby-bodysuit-custom?transaction_id=4946567950"/>
    <s v="Sage Green"/>
    <s v="Sage Green"/>
    <s v=" 3-6M (long-sleeve)"/>
    <s v="United States"/>
    <s v="Romper Longer"/>
    <n v="1"/>
    <n v="3"/>
    <s v="NewYear"/>
    <s v="3-6"/>
    <x v="7"/>
    <m/>
  </r>
  <r>
    <d v="2026-01-16T00:00:00"/>
    <s v="https://www.etsy.com/ca/listing/4376399899/the-littlest-book-club-member-baby?transaction_id=4957508621"/>
    <s v="Dusty Pink"/>
    <s v="Dusty Pink"/>
    <s v=" 0-3M (short-sleeve)"/>
    <s v="United States"/>
    <s v="Romper Short"/>
    <n v="1"/>
    <n v="3"/>
    <s v="NewYear"/>
    <s v="0-3"/>
    <x v="34"/>
    <m/>
  </r>
  <r>
    <d v="2026-01-17T00:00:00"/>
    <s v="https://www.etsy.com/ca/listing/4392932100/born-to-ride-with-my-daddy-embroidered?transaction_id=4946792538"/>
    <s v="Sage Green"/>
    <s v="Sage Green"/>
    <s v="12-18M (long-sleeve)"/>
    <s v="United States"/>
    <s v="Romper Longer"/>
    <n v="1"/>
    <n v="3"/>
    <s v="NewYear"/>
    <s v="12-18"/>
    <x v="22"/>
    <m/>
  </r>
  <r>
    <d v="2026-01-18T00:00:00"/>
    <s v="https://www.etsy.com/ca/listing/4376399899/the-littlest-book-club-member-baby?transaction_id=4946833486"/>
    <s v="Sage Green"/>
    <s v="Sage Green"/>
    <s v="6-12M (short-sleeve)"/>
    <s v="United States"/>
    <s v="Romper Short"/>
    <n v="1"/>
    <n v="4"/>
    <s v="NewYear"/>
    <s v="6-12"/>
    <x v="19"/>
    <m/>
  </r>
  <r>
    <d v="2026-01-19T00:00:00"/>
    <s v="https://www.etsy.com/ca/listing/4346126210/daddys-future-lifting-buddy-romper-baby?transaction_id=4947002586"/>
    <s v="Caldet Blue"/>
    <s v="Caldet Blue"/>
    <s v="3-6M (short-sleeve)"/>
    <s v="United States"/>
    <s v="Romper Short"/>
    <n v="1"/>
    <n v="4"/>
    <s v="NewYear"/>
    <s v="3-6"/>
    <x v="29"/>
    <m/>
  </r>
  <r>
    <d v="2026-01-20T00:00:00"/>
    <s v="https://www.etsy.com/ca/listing/4330495722/embroidered-golf-baby-romper-custom?transaction_id=4957846909"/>
    <s v="Cream"/>
    <s v="Cream"/>
    <s v=" 0-3M (long-sleeve)"/>
    <s v="United States"/>
    <s v="Romper Longer"/>
    <n v="1"/>
    <n v="4"/>
    <s v="NewYear"/>
    <s v="0-3"/>
    <x v="2"/>
    <m/>
  </r>
  <r>
    <d v="2026-01-21T00:00:00"/>
    <s v="https://www.etsy.com/ca/listing/4330485404/cat-face-embroidered-baby-romper-funny?transaction_id=4947257836"/>
    <s v="Cream"/>
    <s v="Cream"/>
    <s v="6-12M (short-sleeve)"/>
    <s v="United States"/>
    <s v="Romper Short"/>
    <n v="1"/>
    <n v="4"/>
    <s v="NewYear"/>
    <s v="6-12"/>
    <x v="47"/>
    <m/>
  </r>
  <r>
    <d v="2026-01-22T00:00:00"/>
    <s v="https://www.etsy.com/ca/listing/4336907597/custom-running-baby-romper-daddys-future?transaction_id=4947301536"/>
    <s v="Salmon"/>
    <s v="Salmon"/>
    <s v="6-12M (short-sleeve)"/>
    <s v="United States"/>
    <s v="Romper Short"/>
    <n v="1"/>
    <n v="4"/>
    <s v="NewYear"/>
    <s v="6-12"/>
    <x v="102"/>
    <m/>
  </r>
  <r>
    <d v="2026-01-23T00:00:00"/>
    <s v="https://www.etsy.com/ca/listing/4330488178/embroidered-golf-baby-romper-new-to-the?transaction_id=4958333001"/>
    <s v="White"/>
    <s v="White"/>
    <s v=" 3-6M (long-sleeve)"/>
    <s v="United States"/>
    <s v="Romper Longer"/>
    <n v="1"/>
    <n v="4"/>
    <s v="NewYear"/>
    <s v="3-6"/>
    <x v="70"/>
    <m/>
  </r>
  <r>
    <d v="2026-01-24T00:00:00"/>
    <s v="https://www.etsy.com/ca/listing/4371125103/personalized-dog-baby-bodysuit-custom?transaction_id=4947729168"/>
    <s v="Sage Green"/>
    <s v="Sage Green"/>
    <s v=" 6-12M (long-sleeve)"/>
    <s v="United States"/>
    <s v="Romper Longer"/>
    <n v="1"/>
    <n v="4"/>
    <s v="NewYear"/>
    <s v="6-12"/>
    <x v="3"/>
    <m/>
  </r>
  <r>
    <d v="2026-01-25T00:00:00"/>
    <s v="https://www.etsy.com/ca/listing/4344235128/new-to-the-hive-baby-romper-embroidered?transaction_id=4958450773"/>
    <s v="Forest Green"/>
    <s v="Forest Green"/>
    <s v="3-6M (short-sleeve)"/>
    <s v="United States"/>
    <s v="Romper Short"/>
    <n v="1"/>
    <n v="5"/>
    <s v="NewYear"/>
    <s v="3-6"/>
    <x v="6"/>
    <m/>
  </r>
  <r>
    <d v="2026-01-26T00:00:00"/>
    <s v="https://www.etsy.com/ca/listing/4393855716/lil-chef-embroidered-romper-cute-baby?transaction_id=4958454981"/>
    <s v="Forest Green"/>
    <s v="Forest Green"/>
    <s v=" 6-12M (long-sleeve)"/>
    <s v="United States"/>
    <s v="Romper Longer"/>
    <n v="1"/>
    <n v="5"/>
    <s v="NewYear"/>
    <s v="6-12"/>
    <x v="30"/>
    <m/>
  </r>
  <r>
    <d v="2026-01-27T00:00:00"/>
    <s v="https://www.etsy.com/ca/listing/4330504943/embroidered-tennis-baby-romper-daddys?transaction_id=4958554841"/>
    <s v="Cream"/>
    <s v="Cream"/>
    <s v="6-12M (short-sleeve)"/>
    <s v="United States"/>
    <s v="Romper Short"/>
    <n v="1"/>
    <n v="5"/>
    <s v="NewYear"/>
    <s v="6-12"/>
    <x v="47"/>
    <m/>
  </r>
  <r>
    <d v="2026-01-28T00:00:00"/>
    <s v="https://www.etsy.com/ca/listing/4330485404/cat-face-embroidered-baby-romper-funny?transaction_id=4958584327"/>
    <s v="Cream"/>
    <s v="Cream"/>
    <s v=" 3-6M (long-sleeve)"/>
    <s v="United States"/>
    <s v="Romper Longer"/>
    <n v="1"/>
    <n v="5"/>
    <s v="NewYear"/>
    <s v="3-6"/>
    <x v="1"/>
    <m/>
  </r>
  <r>
    <d v="2026-01-29T00:00:00"/>
    <s v="https://www.etsy.com/ca/listing/4371125103/personalized-dog-baby-bodysuit-custom?transaction_id=4948085356"/>
    <s v="Cream"/>
    <s v="Cream"/>
    <s v=" 3-6M (long-sleeve)"/>
    <s v="United States"/>
    <s v="Romper Longer"/>
    <n v="1"/>
    <n v="5"/>
    <s v="NewYear"/>
    <s v="3-6"/>
    <x v="1"/>
    <m/>
  </r>
  <r>
    <d v="2026-01-30T00:00:00"/>
    <s v="https://www.etsy.com/ca/listing/4379194627/new-to-the-farm-embroidered-romper-baby?transaction_id=4948949194"/>
    <s v="Cream"/>
    <s v="Cream"/>
    <s v="3-6M (short-sleeve)"/>
    <s v="United States"/>
    <s v="Romper Short"/>
    <n v="1"/>
    <n v="5"/>
    <s v="NewYear"/>
    <s v="3-6"/>
    <x v="0"/>
    <s v="s"/>
  </r>
  <r>
    <d v="2026-01-31T00:00:00"/>
    <s v="https://www.etsy.com/ca/listing/4330485404/cat-face-embroidered-baby-romper-funny?transaction_id=4948995038"/>
    <s v="Texas Orange"/>
    <s v="Texas Orange"/>
    <s v=" 3-6M (long-sleeve)"/>
    <s v="United States"/>
    <s v="Romper Longer"/>
    <n v="1"/>
    <n v="5"/>
    <s v="NewYear"/>
    <s v="3-6"/>
    <x v="82"/>
    <m/>
  </r>
  <r>
    <d v="2026-02-01T00:00:00"/>
    <s v="https://www.etsy.com/ca/listing/4376399899/the-littlest-book-club-member-baby?transaction_id=4949115684"/>
    <s v="Cream"/>
    <s v="Cream"/>
    <s v=" 3-6M (long-sleeve)"/>
    <s v="United States"/>
    <s v="Romper Longer"/>
    <n v="2"/>
    <n v="6"/>
    <s v="Valentine"/>
    <s v="3-6"/>
    <x v="1"/>
    <m/>
  </r>
  <r>
    <d v="2026-02-02T00:00:00"/>
    <s v="https://www.etsy.com/ca/listing/4376399899/the-littlest-book-club-member-baby?transaction_id=4949228434"/>
    <s v="Forest Green"/>
    <s v="Forest Green"/>
    <s v=" 3-6M (long-sleeve)"/>
    <s v="United States"/>
    <s v="Romper Longer"/>
    <n v="2"/>
    <n v="6"/>
    <s v="Valentine"/>
    <s v="3-6"/>
    <x v="4"/>
    <m/>
  </r>
  <r>
    <d v="2026-02-03T00:00:00"/>
    <s v="https://www.etsy.com/ca/listing/4371125103/personalized-dog-baby-bodysuit-custom?transaction_id=4960008691"/>
    <s v="Sage Green"/>
    <s v="Sage Green"/>
    <s v=" 0-3M (long-sleeve)"/>
    <s v="United States"/>
    <s v="Romper Longer"/>
    <n v="2"/>
    <n v="6"/>
    <s v="Valentine"/>
    <s v="0-3"/>
    <x v="5"/>
    <m/>
  </r>
  <r>
    <d v="2026-02-04T00:00:00"/>
    <s v="https://www.etsy.com/ca/listing/4376392339/funny-baby-romper-my-brand-of-formula?transaction_id=4950258100"/>
    <s v="Cream"/>
    <s v="Cream"/>
    <s v=" 0-3M (short-sleeve)"/>
    <s v="United States"/>
    <s v="Romper Short"/>
    <n v="2"/>
    <n v="6"/>
    <s v="Valentine"/>
    <s v="0-3"/>
    <x v="15"/>
    <m/>
  </r>
  <r>
    <d v="2026-02-05T00:00:00"/>
    <s v="https://www.etsy.com/ca/listing/4376399899/the-littlest-book-club-member-baby?transaction_id=4960957605"/>
    <s v="Dusty Pink"/>
    <s v="Dusty Pink"/>
    <s v=" 0-3M (short-sleeve)"/>
    <s v="United States"/>
    <s v="Romper Short"/>
    <n v="2"/>
    <n v="6"/>
    <s v="Valentine"/>
    <s v="0-3"/>
    <x v="34"/>
    <m/>
  </r>
  <r>
    <d v="2026-02-06T00:00:00"/>
    <s v="https://www.etsy.com/ca/listing/4376399899/the-littlest-book-club-member-baby?transaction_id=4961268877"/>
    <s v="Sage Green"/>
    <s v="Sage Green"/>
    <s v=" 3-6M (long-sleeve)"/>
    <s v="United States"/>
    <s v="Romper Longer"/>
    <n v="2"/>
    <n v="6"/>
    <s v="Valentine"/>
    <s v="3-6"/>
    <x v="7"/>
    <m/>
  </r>
  <r>
    <d v="2026-02-07T00:00:00"/>
    <s v="https://www.etsy.com/ca/listing/4392935796/box-box-for-fresh-diapers-embroidered?transaction_id=4950625242"/>
    <s v="Cream"/>
    <s v="Cream"/>
    <s v=" 0-3M (short-sleeve)"/>
    <s v="United States"/>
    <s v="Romper Short"/>
    <n v="2"/>
    <n v="6"/>
    <s v="Valentine"/>
    <s v="0-3"/>
    <x v="15"/>
    <m/>
  </r>
  <r>
    <d v="2026-02-08T00:00:00"/>
    <s v="https://www.etsy.com/ca/listing/4372352286/silly-goose-baby-romper-funny-infant?transaction_id=4950678606"/>
    <s v="Texas Orange"/>
    <s v="Texas Orange"/>
    <s v=" 6-12M (long-sleeve)"/>
    <s v="United States"/>
    <s v="Romper Longer"/>
    <n v="2"/>
    <n v="7"/>
    <s v="Valentine"/>
    <s v="6-12"/>
    <x v="61"/>
    <m/>
  </r>
  <r>
    <d v="2026-02-09T00:00:00"/>
    <s v="https://www.etsy.com/ca/listing/4344231895/embroidered-baby-romper-shhh-im-reading?transaction_id=4961379893"/>
    <s v="Cream"/>
    <s v="Cream"/>
    <s v=" 3-6M (long-sleeve)"/>
    <s v="United States"/>
    <s v="Romper Longer"/>
    <n v="2"/>
    <n v="7"/>
    <s v="Valentine"/>
    <s v="3-6"/>
    <x v="1"/>
    <m/>
  </r>
  <r>
    <d v="2026-02-10T00:00:00"/>
    <s v="https://www.etsy.com/ca/listing/4376399899/the-littlest-book-club-member-baby?transaction_id=4961460265"/>
    <s v="Mauve Taupe"/>
    <s v="Mauve Taupe"/>
    <s v=" 0-3M (short-sleeve)"/>
    <s v="United States"/>
    <s v="Romper Short"/>
    <n v="2"/>
    <n v="7"/>
    <s v="Valentine"/>
    <s v="0-3"/>
    <x v="71"/>
    <m/>
  </r>
  <r>
    <d v="2026-02-11T00:00:00"/>
    <s v="https://www.etsy.com/ca/listing/4347260564/football-baby-romper-game-day-baby?transaction_id=4961623597"/>
    <s v="Texas Orange"/>
    <s v="Texas Orange"/>
    <s v="3-6M (short-sleeve)"/>
    <s v="United States"/>
    <s v="Romper Short"/>
    <n v="2"/>
    <n v="7"/>
    <s v="Valentine"/>
    <s v="3-6"/>
    <x v="66"/>
    <m/>
  </r>
  <r>
    <d v="2026-02-12T00:00:00"/>
    <s v="https://www.etsy.com/ca/listing/4330480699/little-prince-baby-romper-embroidered?transaction_id=4961690595"/>
    <s v="Cream"/>
    <s v="Cream"/>
    <s v=" 0-3M (long-sleeve)"/>
    <s v="United States"/>
    <s v="Romper Longer"/>
    <n v="2"/>
    <n v="7"/>
    <s v="Valentine"/>
    <s v="0-3"/>
    <x v="2"/>
    <m/>
  </r>
  <r>
    <d v="2026-02-13T00:00:00"/>
    <s v="https://www.etsy.com/ca/listing/4371125103/personalized-dog-baby-bodysuit-custom?transaction_id=4951122238"/>
    <s v="Dusty Pink"/>
    <s v="Dusty Pink"/>
    <s v="6-12M (short-sleeve)"/>
    <s v="United States"/>
    <s v="Romper Short"/>
    <n v="2"/>
    <n v="7"/>
    <s v="Valentine"/>
    <s v="6-12"/>
    <x v="35"/>
    <m/>
  </r>
  <r>
    <d v="2026-02-14T00:00:00"/>
    <s v="https://www.etsy.com/ca/listing/4372352286/silly-goose-baby-romper-funny-infant?transaction_id=4951482928"/>
    <s v="Mauve Taupe"/>
    <s v="Mauve Taupe"/>
    <s v="12-18M (short-sleeve)"/>
    <s v="United States"/>
    <s v="Romper Short"/>
    <n v="2"/>
    <n v="7"/>
    <s v="Valentine"/>
    <s v="12-18"/>
    <x v="108"/>
    <m/>
  </r>
  <r>
    <d v="2026-02-15T00:00:00"/>
    <s v="https://www.etsy.com/ca/listing/4376392339/funny-baby-romper-my-brand-of-formula?transaction_id=4951529346"/>
    <s v="Cream"/>
    <s v="Cream"/>
    <s v="3-6M (short-sleeve)"/>
    <s v="United States"/>
    <s v="Romper Short"/>
    <n v="2"/>
    <n v="8"/>
    <s v="Valentine"/>
    <s v="3-6"/>
    <x v="0"/>
    <m/>
  </r>
  <r>
    <d v="2026-02-16T00:00:00"/>
    <s v="https://www.etsy.com/ca/listing/4376399899/the-littlest-book-club-member-baby?transaction_id=4951554412"/>
    <s v="Sage Green"/>
    <s v="Sage Green"/>
    <s v="3-6M (short-sleeve)"/>
    <s v="United States"/>
    <s v="Romper Short"/>
    <n v="2"/>
    <n v="8"/>
    <s v="Valentine"/>
    <s v="3-6"/>
    <x v="24"/>
    <m/>
  </r>
  <r>
    <d v="2026-02-17T00:00:00"/>
    <s v="https://www.etsy.com/ca/listing/4330488178/embroidered-golf-baby-romper-new-to-the?transaction_id=4962118241"/>
    <s v="Cream"/>
    <s v="Cream"/>
    <s v=" 6-12M (long-sleeve)"/>
    <s v="United States"/>
    <s v="Romper Longer"/>
    <n v="2"/>
    <n v="8"/>
    <s v="Valentine"/>
    <s v="6-12"/>
    <x v="17"/>
    <m/>
  </r>
  <r>
    <d v="2026-02-18T00:00:00"/>
    <s v="https://www.etsy.com/ca/listing/4371125103/personalized-dog-baby-bodysuit-custom?transaction_id=4962121155"/>
    <s v="Sage Green"/>
    <s v="Sage Green"/>
    <s v=" 3-6M (long-sleeve)"/>
    <s v="United States"/>
    <s v="Romper Longer"/>
    <n v="2"/>
    <n v="8"/>
    <s v="Valentine"/>
    <s v="3-6"/>
    <x v="7"/>
    <m/>
  </r>
  <r>
    <d v="2026-02-19T00:00:00"/>
    <s v="https://www.etsy.com/ca/listing/4347260564/football-baby-romper-game-day-baby?transaction_id=4962231587"/>
    <s v="Cream"/>
    <s v="Cream"/>
    <s v=" 6-12M (long-sleeve)"/>
    <s v="United States"/>
    <s v="Romper Longer"/>
    <n v="2"/>
    <n v="8"/>
    <s v="Valentine"/>
    <s v="6-12"/>
    <x v="17"/>
    <m/>
  </r>
  <r>
    <d v="2026-02-20T00:00:00"/>
    <s v="https://www.etsy.com/ca/listing/4376389783/player-2-baby-romper-gamer-baby-outfit?transaction_id=4951751080"/>
    <s v="Cream"/>
    <s v="Cream"/>
    <s v=" 0-3M (long-sleeve)"/>
    <s v="United States"/>
    <s v="Romper Longer"/>
    <n v="2"/>
    <n v="8"/>
    <s v="Valentine"/>
    <s v="0-3"/>
    <x v="2"/>
    <m/>
  </r>
  <r>
    <d v="2026-02-21T00:00:00"/>
    <s v="https://www.etsy.com/ca/listing/4371125103/personalized-dog-baby-bodysuit-custom?transaction_id=4951772494"/>
    <s v="Dusty Pink"/>
    <s v="Dusty Pink"/>
    <s v=" 3-6M (long-sleeve)"/>
    <s v="United States"/>
    <s v="Romper Longer"/>
    <n v="2"/>
    <n v="8"/>
    <s v="Valentine"/>
    <s v="3-6"/>
    <x v="8"/>
    <m/>
  </r>
  <r>
    <d v="2026-02-22T00:00:00"/>
    <s v="https://www.etsy.com/ca/listing/4392935796/box-box-for-fresh-diapers-embroidered?transaction_id=4951798158"/>
    <s v="Cream"/>
    <s v="Cream"/>
    <s v="12-18M (long-sleeve)"/>
    <s v="United States"/>
    <s v="Romper Longer"/>
    <n v="2"/>
    <n v="9"/>
    <s v="Valentine"/>
    <s v="12-18"/>
    <x v="53"/>
    <m/>
  </r>
  <r>
    <d v="2026-02-23T00:00:00"/>
    <s v="https://www.etsy.com/ca/listing/4376389783/player-2-baby-romper-gamer-baby-outfit?transaction_id=4962438723"/>
    <s v="Forest Green"/>
    <s v="Forest Green"/>
    <s v=" 0-3M (long-sleeve)"/>
    <s v="United States"/>
    <s v="Romper Longer"/>
    <n v="2"/>
    <n v="9"/>
    <s v="Valentine"/>
    <s v="0-3"/>
    <x v="41"/>
    <m/>
  </r>
  <r>
    <d v="2026-02-24T00:00:00"/>
    <s v="https://www.etsy.com/ca/listing/4376389783/player-2-baby-romper-gamer-baby-outfit?transaction_id=4962446497"/>
    <s v="Sage Green"/>
    <s v="Sage Green"/>
    <s v=" 0-3M (short-sleeve)"/>
    <s v="United States"/>
    <s v="Romper Short"/>
    <n v="2"/>
    <n v="9"/>
    <s v="Valentine"/>
    <s v="0-3"/>
    <x v="13"/>
    <m/>
  </r>
  <r>
    <d v="2026-02-25T00:00:00"/>
    <s v="https://www.etsy.com/ca/listing/4347260564/football-baby-romper-game-day-baby?transaction_id=4962907159"/>
    <s v="Cream"/>
    <s v="Cream"/>
    <s v=" 3-6M (long-sleeve)"/>
    <s v="United States"/>
    <s v="Romper Longer"/>
    <n v="2"/>
    <n v="9"/>
    <s v="Valentine"/>
    <s v="3-6"/>
    <x v="1"/>
    <m/>
  </r>
  <r>
    <d v="2026-02-26T00:00:00"/>
    <s v="https://www.etsy.com/ca/listing/4376399899/the-littlest-book-club-member-baby?transaction_id=4962909409"/>
    <s v="Watermelon"/>
    <s v="Watermelon"/>
    <s v=" 6-12M (long-sleeve)"/>
    <s v="United States"/>
    <s v="Romper Longer"/>
    <n v="2"/>
    <n v="9"/>
    <s v="Valentine"/>
    <s v="6-12"/>
    <x v="33"/>
    <m/>
  </r>
  <r>
    <d v="2026-02-27T00:00:00"/>
    <s v="https://www.etsy.com/ca/listing/4376399899/the-littlest-book-club-member-baby?transaction_id=4962923615"/>
    <s v="Sage Green"/>
    <s v="Sage Green"/>
    <s v="6-12M (short-sleeve)"/>
    <s v="United States"/>
    <s v="Romper Short"/>
    <n v="2"/>
    <n v="9"/>
    <s v="Valentine"/>
    <s v="6-12"/>
    <x v="19"/>
    <m/>
  </r>
  <r>
    <d v="2026-02-28T00:00:00"/>
    <s v="https://www.etsy.com/ca/listing/4392936688/shhh-im-watching-motogp-with-daddy?transaction_id=4952470784"/>
    <s v="Forest Green"/>
    <s v="Forest Green"/>
    <s v=" 3-6M (long-sleeve)"/>
    <s v="United States"/>
    <s v="Romper Longer"/>
    <n v="2"/>
    <n v="9"/>
    <s v="Valentine"/>
    <s v="3-6"/>
    <x v="4"/>
    <m/>
  </r>
  <r>
    <d v="2026-03-01T00:00:00"/>
    <s v="https://www.etsy.com/ca/listing/4346129239/soccer-baby-romper-embroidered-daddy-and?transaction_id=4963192287"/>
    <s v="Sage Green"/>
    <s v="Sage Green"/>
    <s v=" 0-3M (short-sleeve)"/>
    <s v="United States"/>
    <s v="Romper Short"/>
    <n v="3"/>
    <n v="10"/>
    <s v="Easter"/>
    <s v="0-3"/>
    <x v="13"/>
    <m/>
  </r>
  <r>
    <d v="2026-03-02T00:00:00"/>
    <s v="https://www.etsy.com/ca/listing/4376399899/the-littlest-book-club-member-baby?transaction_id=4963513643"/>
    <s v="Forest Green"/>
    <s v="Forest Green"/>
    <s v=" 6-12M (long-sleeve)"/>
    <s v="United States"/>
    <s v="Romper Longer"/>
    <n v="3"/>
    <n v="10"/>
    <s v="Easter"/>
    <s v="6-12"/>
    <x v="30"/>
    <m/>
  </r>
  <r>
    <d v="2026-03-03T00:00:00"/>
    <s v="https://www.etsy.com/ca/listing/4336902854/personalized-football-baby-romper-daddys?transaction_id=4953131138"/>
    <s v="Cream"/>
    <s v="Cream"/>
    <s v=" 3-6M (long-sleeve)"/>
    <s v="United States"/>
    <s v="Romper Longer"/>
    <n v="3"/>
    <n v="10"/>
    <s v="Easter"/>
    <s v="3-6"/>
    <x v="1"/>
    <m/>
  </r>
  <r>
    <d v="2026-03-04T00:00:00"/>
    <s v="https://www.etsy.com/ca/listing/4376399899/the-littlest-book-club-member-baby?transaction_id=4953363702"/>
    <s v="Sage Green"/>
    <s v="Sage Green"/>
    <s v=" 3-6M (long-sleeve)"/>
    <s v="United States"/>
    <s v="Romper Longer"/>
    <n v="3"/>
    <n v="10"/>
    <s v="Easter"/>
    <s v="3-6"/>
    <x v="7"/>
    <m/>
  </r>
  <r>
    <d v="2026-03-05T00:00:00"/>
    <s v="https://www.etsy.com/ca/listing/4330485404/cat-face-embroidered-baby-romper-funny?transaction_id=4953413984"/>
    <s v="Sage Green"/>
    <s v="Sage Green"/>
    <s v="3-6M (short-sleeve)"/>
    <s v="United States"/>
    <s v="Romper Short"/>
    <n v="3"/>
    <n v="10"/>
    <s v="Easter"/>
    <s v="3-6"/>
    <x v="24"/>
    <m/>
  </r>
  <r>
    <d v="2026-03-06T00:00:00"/>
    <s v="https://www.etsy.com/ca/listing/4392936921/apparently-i-like-golf-embroidered?transaction_id=4963912835"/>
    <s v="Dusty Pink"/>
    <s v="Dusty Pink"/>
    <s v="3-6M (short-sleeve)"/>
    <s v="United States"/>
    <s v="Romper Short"/>
    <n v="3"/>
    <n v="10"/>
    <s v="Easter"/>
    <s v="3-6"/>
    <x v="31"/>
    <m/>
  </r>
  <r>
    <d v="2026-03-07T00:00:00"/>
    <s v="https://www.etsy.com/ca/listing/4371125103/personalized-dog-baby-bodysuit-custom?transaction_id=4948085356"/>
    <s v="Cream"/>
    <s v="Cream"/>
    <s v="3-6M (short-sleeve)"/>
    <s v="United States"/>
    <s v="Romper Short"/>
    <n v="3"/>
    <n v="10"/>
    <s v="Easter"/>
    <s v="3-6"/>
    <x v="0"/>
    <m/>
  </r>
  <r>
    <d v="2026-03-08T00:00:00"/>
    <s v="https://www.etsy.com/ca/listing/4330488178/embroidered-golf-baby-romper-new-to-the?transaction_id=4953802486"/>
    <s v="Cream"/>
    <s v="Cream"/>
    <s v=" 0-3M (long-sleeve)"/>
    <s v="United States"/>
    <s v="Romper Longer"/>
    <n v="3"/>
    <n v="11"/>
    <s v="Easter"/>
    <s v="0-3"/>
    <x v="2"/>
    <m/>
  </r>
  <r>
    <d v="2026-03-09T00:00:00"/>
    <s v="https://www.etsy.com/ca/listing/4376399899/the-littlest-book-club-member-baby?transaction_id=4953938526"/>
    <s v="Dusty Pink"/>
    <s v="Dusty Pink"/>
    <s v=" 0-3M (short-sleeve)"/>
    <s v="United States"/>
    <s v="Romper Short"/>
    <n v="3"/>
    <n v="11"/>
    <s v="Easter"/>
    <s v="0-3"/>
    <x v="34"/>
    <m/>
  </r>
  <r>
    <d v="2026-03-10T00:00:00"/>
    <s v="https://www.etsy.com/ca/listing/4371125103/personalized-dog-baby-bodysuit-custom?transaction_id=4964464741"/>
    <s v="Cream"/>
    <s v="Cream"/>
    <s v=" 0-3M (long-sleeve)"/>
    <s v="United States"/>
    <s v="Romper Longer"/>
    <n v="3"/>
    <n v="11"/>
    <s v="Easter"/>
    <s v="0-3"/>
    <x v="2"/>
    <m/>
  </r>
  <r>
    <d v="2026-03-11T00:00:00"/>
    <s v="https://www.etsy.com/ca/listing/4376389783/player-2-baby-romper-gamer-baby-outfit?transaction_id=4964553225"/>
    <s v="Forest Green"/>
    <s v="Forest Green"/>
    <s v=" 0-3M (short-sleeve)"/>
    <s v="United States"/>
    <s v="Romper Short"/>
    <n v="3"/>
    <n v="11"/>
    <s v="Easter"/>
    <s v="0-3"/>
    <x v="52"/>
    <m/>
  </r>
  <r>
    <d v="2026-03-12T00:00:00"/>
    <s v="https://www.etsy.com/ca/listing/4392932100/born-to-ride-with-my-daddy-embroidered?transaction_id=4954151678 "/>
    <s v="Cream"/>
    <s v="Cream"/>
    <s v=" 0-3M (long-sleeve)"/>
    <s v="United States"/>
    <s v="Romper Longer"/>
    <n v="3"/>
    <n v="11"/>
    <s v="Easter"/>
    <s v="0-3"/>
    <x v="2"/>
    <m/>
  </r>
  <r>
    <d v="2026-03-13T00:00:00"/>
    <s v="https://www.etsy.com/ca/listing/4392935796/box-box-for-fresh-diapers-embroidered?transaction_id=4965091119"/>
    <s v="Cream"/>
    <s v="Cream"/>
    <s v=" 6-12M (long-sleeve)"/>
    <s v="United States"/>
    <s v="Romper Longer"/>
    <n v="3"/>
    <n v="11"/>
    <s v="Easter"/>
    <s v="6-12"/>
    <x v="17"/>
    <m/>
  </r>
  <r>
    <d v="2026-03-14T00:00:00"/>
    <s v="https://www.etsy.com/ca/listing/4330488178/embroidered-golf-baby-romper-new-to-the?transaction_id=4954612558"/>
    <s v="Cream"/>
    <s v="Cream"/>
    <s v=" 0-3M (long-sleeve)"/>
    <s v="United States"/>
    <s v="Romper Longer"/>
    <n v="3"/>
    <n v="11"/>
    <s v="Easter"/>
    <s v="0-3"/>
    <x v="2"/>
    <m/>
  </r>
  <r>
    <d v="2026-03-15T00:00:00"/>
    <s v="https://www.etsy.com/ca/listing/4352935112/custom-baby-romper-personalized-newborn?transaction_id=4953221190"/>
    <s v="Watermelon"/>
    <s v="Watermelon"/>
    <s v=" 6-12M (long-sleeve)"/>
    <s v="United States"/>
    <s v="Romper Longer"/>
    <n v="3"/>
    <n v="12"/>
    <s v="Easter"/>
    <s v="6-12"/>
    <x v="33"/>
    <m/>
  </r>
  <r>
    <d v="2026-03-16T00:00:00"/>
    <s v="https://www.etsy.com/ca/listing/4371125103/personalized-dog-baby-bodysuit-custom?transaction_id=4939193292"/>
    <s v="Sage Green"/>
    <s v="Sage Green"/>
    <s v="3-6M (short-sleeve)"/>
    <s v="United States"/>
    <s v="Romper Short"/>
    <n v="3"/>
    <n v="12"/>
    <s v="Easter"/>
    <s v="3-6"/>
    <x v="24"/>
    <m/>
  </r>
  <r>
    <d v="2026-03-17T00:00:00"/>
    <s v="https://www.etsy.com/ca/listing/4371125103/personalized-dog-baby-bodysuit-custom?transaction_id=4953661118"/>
    <s v="Caldet Blue"/>
    <s v="Caldet Blue"/>
    <s v=" 6-12M (long-sleeve)"/>
    <s v="United States"/>
    <s v="Romper Longer"/>
    <n v="3"/>
    <n v="12"/>
    <s v="Easter"/>
    <s v="6-12"/>
    <x v="25"/>
    <m/>
  </r>
  <r>
    <d v="2026-03-18T00:00:00"/>
    <s v="https://www.etsy.com/ca/listing/4371125103/personalized-dog-baby-bodysuit-custom?transaction_id=4932920272"/>
    <s v="Cream"/>
    <s v="Cream"/>
    <s v=" 6-12M (long-sleeve)"/>
    <s v="United States"/>
    <s v="Romper Longer"/>
    <n v="3"/>
    <n v="12"/>
    <s v="Easter"/>
    <s v="6-12"/>
    <x v="17"/>
    <m/>
  </r>
  <r>
    <d v="2026-03-19T00:00:00"/>
    <s v="https://www.etsy.com/ca/listing/4392962015/cant-wait-to-jam-with-daddy-embroidered?transaction_id=4965571943"/>
    <s v="Sage Green"/>
    <s v="Sage Green"/>
    <s v=" 0-3M (short-sleeve)"/>
    <s v="United States"/>
    <s v="Romper Short"/>
    <n v="3"/>
    <n v="12"/>
    <s v="Easter"/>
    <s v="0-3"/>
    <x v="13"/>
    <m/>
  </r>
  <r>
    <d v="2026-03-20T00:00:00"/>
    <s v="https://www.etsy.com/ca/listing/4376399899/the-littlest-book-club-member-baby?transaction_id=4955231794"/>
    <s v="Cream"/>
    <s v="Cream"/>
    <s v=" 3-6M (long-sleeve)"/>
    <s v="United States"/>
    <s v="Romper Longer"/>
    <n v="3"/>
    <n v="12"/>
    <s v="Easter"/>
    <s v="3-6"/>
    <x v="1"/>
    <m/>
  </r>
  <r>
    <d v="2026-03-21T00:00:00"/>
    <s v="https://www.etsy.com/ca/listing/4376399899/the-littlest-book-club-member-baby?transaction_id=4955261716"/>
    <s v="Watermelon"/>
    <s v="Watermelon"/>
    <s v=" 0-3M (short-sleeve)"/>
    <s v="United States"/>
    <s v="Romper Short"/>
    <n v="3"/>
    <n v="12"/>
    <s v="Easter"/>
    <s v="0-3"/>
    <x v="65"/>
    <m/>
  </r>
  <r>
    <d v="2026-03-22T00:00:00"/>
    <s v="https://www.etsy.com/ca/listing/4371125103/personalized-dog-baby-bodysuit-custom?transaction_id=4955322146"/>
    <s v="Cream"/>
    <s v="Cream"/>
    <s v=" 3-6M (long-sleeve)"/>
    <s v="United States"/>
    <s v="Romper Longer"/>
    <n v="3"/>
    <n v="13"/>
    <s v="Easter"/>
    <s v="3-6"/>
    <x v="1"/>
    <m/>
  </r>
  <r>
    <d v="2026-03-23T00:00:00"/>
    <s v="https://www.etsy.com/ca/listing/4346126210/daddys-future-lifting-buddy-romper-baby?transaction_id=4965849527"/>
    <s v="Cream"/>
    <s v="Cream"/>
    <s v=" 0-3M (long-sleeve)"/>
    <s v="United States"/>
    <s v="Romper Longer"/>
    <n v="3"/>
    <n v="13"/>
    <s v="Easter"/>
    <s v="0-3"/>
    <x v="2"/>
    <m/>
  </r>
  <r>
    <d v="2026-03-24T00:00:00"/>
    <s v="https://www.etsy.com/ca/listing/4392935796/box-box-for-fresh-diapers-embroidered?transaction_id=4966046337"/>
    <s v="Cream"/>
    <s v="Cream"/>
    <s v="3-6M (short-sleeve)"/>
    <s v="United States"/>
    <s v="Romper Short"/>
    <n v="3"/>
    <n v="13"/>
    <s v="Easter"/>
    <s v="3-6"/>
    <x v="0"/>
    <m/>
  </r>
  <r>
    <d v="2026-03-25T00:00:00"/>
    <s v="https://www.etsy.com/ca/listing/4376399899/the-littlest-book-club-member-baby?transaction_id=4955893866"/>
    <s v="Cream"/>
    <s v="Cream"/>
    <s v=" 3-6M (long-sleeve)"/>
    <s v="United States"/>
    <s v="Romper Longer"/>
    <n v="3"/>
    <n v="13"/>
    <s v="Easter"/>
    <s v="3-6"/>
    <x v="1"/>
    <m/>
  </r>
  <r>
    <d v="2026-03-26T00:00:00"/>
    <s v="https://www.etsy.com/ca/listing/4347885967/gigis-bestie-baby-bodysuit-baby-shower?transaction_id=4955920252"/>
    <s v="Cream"/>
    <s v="Cream"/>
    <s v="3-6M (short-sleeve)"/>
    <s v="United States"/>
    <s v="Romper Short"/>
    <n v="3"/>
    <n v="13"/>
    <s v="Easter"/>
    <s v="3-6"/>
    <x v="0"/>
    <m/>
  </r>
  <r>
    <d v="2026-03-27T00:00:00"/>
    <s v="https://www.etsy.com/ca/listing/4376399899/the-littlest-book-club-member-baby?transaction_id=4956296490"/>
    <s v="Forest Green"/>
    <s v="Forest Green"/>
    <s v=" 6-12M (long-sleeve)"/>
    <s v="United States"/>
    <s v="Romper Longer"/>
    <n v="3"/>
    <n v="13"/>
    <s v="Easter"/>
    <s v="6-12"/>
    <x v="30"/>
    <m/>
  </r>
  <r>
    <d v="2026-03-28T00:00:00"/>
    <s v="https://www.etsy.com/ca/listing/4376399899/the-littlest-book-club-member-baby?transaction_id=4967186851"/>
    <s v="Forest Green"/>
    <s v="Forest Green"/>
    <s v="6-12M (short-sleeve)"/>
    <s v="United States"/>
    <s v="Romper Short"/>
    <n v="3"/>
    <n v="13"/>
    <s v="Easter"/>
    <s v="6-12"/>
    <x v="56"/>
    <m/>
  </r>
  <r>
    <d v="2026-03-29T00:00:00"/>
    <s v="https://www.etsy.com/ca/listing/4336902854/personalized-football-baby-romper-daddys?transaction_id=4956866612"/>
    <s v="Cream"/>
    <s v="Cream"/>
    <s v=" 3-6M (long-sleeve)"/>
    <s v="United States"/>
    <s v="Romper Longer"/>
    <n v="3"/>
    <n v="14"/>
    <s v="Easter"/>
    <s v="3-6"/>
    <x v="1"/>
    <m/>
  </r>
  <r>
    <d v="2026-03-30T00:00:00"/>
    <s v="https://www.etsy.com/ca/listing/4347260564/football-baby-romper-game-day-baby?transaction_id=4957152008"/>
    <s v="Cream"/>
    <s v="Cream"/>
    <s v=" 6-12M (long-sleeve)"/>
    <s v="United States"/>
    <s v="Romper Longer"/>
    <n v="3"/>
    <n v="14"/>
    <s v="Easter"/>
    <s v="6-12"/>
    <x v="17"/>
    <m/>
  </r>
  <r>
    <d v="2026-03-31T00:00:00"/>
    <s v="https://www.etsy.com/ca/listing/4372357398/personalized-hunting-baby-romper-custom?transaction_id=4957185078"/>
    <s v="Forest Green"/>
    <s v="Forest Green"/>
    <s v="3-6M (short-sleeve)"/>
    <s v="United States"/>
    <s v="Romper Short"/>
    <n v="3"/>
    <n v="14"/>
    <s v="Easter"/>
    <s v="3-6"/>
    <x v="6"/>
    <m/>
  </r>
  <r>
    <d v="2026-04-01T00:00:00"/>
    <s v="https://www.etsy.com/ca/listing/4376399899/the-littlest-book-club-member-baby?transaction_id=4957199070"/>
    <s v="Mauve Taupe"/>
    <s v="Mauve Taupe"/>
    <s v="12-18M (long-sleeve)"/>
    <s v="United States"/>
    <s v="Romper Longer"/>
    <n v="4"/>
    <n v="14"/>
    <s v="Easter"/>
    <s v="12-18"/>
    <x v="104"/>
    <m/>
  </r>
  <r>
    <d v="2026-04-02T00:00:00"/>
    <s v="https://www.etsy.com/ca/listing/4376392339/funny-baby-romper-my-brand-of-formula?transaction_id=4957277886"/>
    <s v="Texas Orange"/>
    <s v="Texas Orange"/>
    <s v="3-6M (short-sleeve)"/>
    <s v="United States"/>
    <s v="Romper Short"/>
    <n v="4"/>
    <n v="14"/>
    <s v="Easter"/>
    <s v="3-6"/>
    <x v="66"/>
    <m/>
  </r>
  <r>
    <d v="2026-04-03T00:00:00"/>
    <s v="https://www.etsy.com/ca/listing/4392936921/apparently-i-like-golf-embroidered?transaction_id=4957348034"/>
    <s v="Watermelon"/>
    <s v="Watermelon"/>
    <s v=" 3-6M (long-sleeve)"/>
    <s v="United States"/>
    <s v="Romper Longer"/>
    <n v="4"/>
    <n v="14"/>
    <s v="Easter"/>
    <s v="3-6"/>
    <x v="20"/>
    <m/>
  </r>
  <r>
    <d v="2026-04-04T00:00:00"/>
    <s v="https://www.etsy.com/ca/listing/4330492936/a-roar-able-dinosaur-baby-bodysuit-cute?transaction_id=4957445120"/>
    <s v="Cream"/>
    <s v="Cream"/>
    <s v=" 3-6M (long-sleeve)"/>
    <s v="United States"/>
    <s v="Romper Longer"/>
    <n v="4"/>
    <n v="14"/>
    <s v="Easter"/>
    <s v="3-6"/>
    <x v="1"/>
    <m/>
  </r>
  <r>
    <d v="2026-04-05T00:00:00"/>
    <s v="https://www.etsy.com/ca/listing/4376392339/funny-baby-romper-my-brand-of-formula?transaction_id=4967804263"/>
    <s v="Cream"/>
    <s v="Cream"/>
    <s v="6-12M (short-sleeve)"/>
    <s v="United States"/>
    <s v="Romper Short"/>
    <n v="4"/>
    <n v="15"/>
    <s v="Easter"/>
    <s v="6-12"/>
    <x v="47"/>
    <m/>
  </r>
  <r>
    <d v="2026-04-06T00:00:00"/>
    <s v="https://www.etsy.com/ca/listing/4392962015/cant-wait-to-jam-with-daddy-embroidered?transaction_id=4957551862"/>
    <s v="Caldet Blue"/>
    <s v="Caldet Blue"/>
    <s v=" 0-3M (long-sleeve)"/>
    <s v="United States"/>
    <s v="Romper Longer"/>
    <n v="4"/>
    <n v="15"/>
    <s v="Easter"/>
    <s v="0-3"/>
    <x v="9"/>
    <m/>
  </r>
  <r>
    <d v="2026-04-07T00:00:00"/>
    <s v="https://www.etsy.com/ca/listing/4330488178/embroidered-golf-baby-romper-new-to-the?transaction_id=4968070469"/>
    <s v="White"/>
    <s v="White"/>
    <s v="3-6M (short-sleeve)"/>
    <s v="United States"/>
    <s v="Romper Short"/>
    <n v="4"/>
    <n v="15"/>
    <s v="Easter"/>
    <s v="3-6"/>
    <x v="69"/>
    <m/>
  </r>
  <r>
    <d v="2026-04-08T00:00:00"/>
    <s v="https://www.etsy.com/ca/listing/4392936688/shhh-im-watching-motogp-with-daddy?transaction_id=4957789690"/>
    <s v="Sage Green"/>
    <s v="Sage Green"/>
    <s v=" 0-3M (long-sleeve)"/>
    <s v="United States"/>
    <s v="Romper Longer"/>
    <n v="4"/>
    <n v="15"/>
    <s v="Easter"/>
    <s v="0-3"/>
    <x v="5"/>
    <m/>
  </r>
  <r>
    <d v="2026-04-09T00:00:00"/>
    <s v="https://www.etsy.com/ca/listing/4371125103/personalized-dog-baby-bodysuit-custom?transaction_id=4968601961"/>
    <s v="Sage Green"/>
    <s v="Sage Green"/>
    <s v=" 3-6M (long-sleeve)"/>
    <s v="United States"/>
    <s v="Romper Longer"/>
    <n v="4"/>
    <n v="15"/>
    <s v="Easter"/>
    <s v="3-6"/>
    <x v="7"/>
    <m/>
  </r>
  <r>
    <d v="2026-04-10T00:00:00"/>
    <s v="https://www.etsy.com/ca/listing/4392935796/box-box-for-fresh-diapers-embroidered?transaction_id=4968785629"/>
    <s v="Cream"/>
    <s v="Cream"/>
    <s v=" 0-3M (long-sleeve)"/>
    <s v="United States"/>
    <s v="Romper Longer"/>
    <n v="4"/>
    <n v="15"/>
    <s v="Easter"/>
    <s v="0-3"/>
    <x v="2"/>
    <m/>
  </r>
  <r>
    <d v="2026-04-11T00:00:00"/>
    <s v="https://www.etsy.com/ca/listing/4344231159/embroidered-bookworm-baby-romper?transaction_id=4958544660"/>
    <s v="Sage Green"/>
    <s v="Sage Green"/>
    <s v=" 0-3M (long-sleeve)"/>
    <s v="United States"/>
    <s v="Romper Longer"/>
    <n v="4"/>
    <n v="15"/>
    <s v="Easter"/>
    <s v="0-3"/>
    <x v="5"/>
    <m/>
  </r>
  <r>
    <d v="2026-04-12T00:00:00"/>
    <s v="https://www.etsy.com/ca/listing/4330493015/embroidered-mini-golfer-baby-romper?transaction_id=4958877784"/>
    <s v="Forest Green"/>
    <s v="Forest Green"/>
    <s v="3-6M (short-sleeve)"/>
    <s v="United States"/>
    <s v="Romper Short"/>
    <n v="4"/>
    <n v="16"/>
    <s v="Easter"/>
    <s v="3-6"/>
    <x v="6"/>
    <m/>
  </r>
  <r>
    <d v="2026-04-13T00:00:00"/>
    <s v="https://www.etsy.com/ca/listing/4392962015/cant-wait-to-jam-with-daddy-embroidered?transaction_id=4969190867"/>
    <s v="Sage Green"/>
    <s v="Sage Green"/>
    <s v=" 3-6M (long-sleeve)"/>
    <s v="United States"/>
    <s v="Romper Longer"/>
    <n v="4"/>
    <n v="16"/>
    <s v="Easter"/>
    <s v="3-6"/>
    <x v="7"/>
    <m/>
  </r>
  <r>
    <d v="2026-04-14T00:00:00"/>
    <s v="https://www.etsy.com/ca/listing/4330488178/embroidered-golf-baby-romper-new-to-the?transaction_id=4969310693"/>
    <s v="Dusty Pink"/>
    <s v="Dusty Pink"/>
    <s v="3-6M (short-sleeve)"/>
    <s v="United States"/>
    <s v="Romper Short"/>
    <n v="4"/>
    <n v="16"/>
    <s v="Easter"/>
    <s v="3-6"/>
    <x v="31"/>
    <m/>
  </r>
  <r>
    <d v="2026-04-15T00:00:00"/>
    <s v="https://www.etsy.com/ca/listing/4330463387/embroidered-baby-romper-relax-mommy-is-a?transaction_id=4969361475"/>
    <s v="Mauve Taupe"/>
    <s v="Mauve Taupe"/>
    <s v=" 6-12M (long-sleeve)"/>
    <s v="United States"/>
    <s v="Romper Longer"/>
    <n v="4"/>
    <n v="16"/>
    <s v="Easter"/>
    <s v="6-12"/>
    <x v="85"/>
    <m/>
  </r>
  <r>
    <d v="2026-04-16T00:00:00"/>
    <s v="https://www.etsy.com/ca/listing/4392936921/apparently-i-like-golf-embroidered?transaction_id=4969420395"/>
    <s v="Dusty Pink"/>
    <s v="Dusty Pink"/>
    <s v=" 0-3M (short-sleeve)"/>
    <s v="United States"/>
    <s v="Romper Short"/>
    <n v="4"/>
    <n v="16"/>
    <s v="Easter"/>
    <s v="0-3"/>
    <x v="34"/>
    <m/>
  </r>
  <r>
    <d v="2026-04-17T00:00:00"/>
    <s v="https://www.etsy.com/ca/listing/4376392339/funny-baby-romper-my-brand-of-formula?transaction_id=4969471851"/>
    <s v="Cream"/>
    <s v="Cream"/>
    <s v=" 6-12M (long-sleeve)"/>
    <s v="United States"/>
    <s v="Romper Longer"/>
    <n v="4"/>
    <n v="16"/>
    <s v="Easter"/>
    <s v="6-12"/>
    <x v="17"/>
    <m/>
  </r>
  <r>
    <d v="2026-04-18T00:00:00"/>
    <s v="https://www.etsy.com/ca/listing/4330483435/embroidered-coffee-bean-baby-romper?transaction_id=4969680261"/>
    <s v="Cream"/>
    <s v="Cream"/>
    <s v=" 0-3M (long-sleeve)"/>
    <s v="United States"/>
    <s v="Romper Longer"/>
    <n v="4"/>
    <n v="16"/>
    <s v="Easter"/>
    <s v="0-3"/>
    <x v="2"/>
    <m/>
  </r>
  <r>
    <d v="2026-04-19T00:00:00"/>
    <s v="https://www.etsy.com/ca/listing/4392962015/cant-wait-to-jam-with-daddy-embroidered?transaction_id=4959472408"/>
    <s v="Cream"/>
    <s v="Cream"/>
    <s v=" 0-3M (long-sleeve)"/>
    <s v="United States"/>
    <s v="Romper Longer"/>
    <n v="4"/>
    <n v="17"/>
    <s v="Easter"/>
    <s v="0-3"/>
    <x v="2"/>
    <m/>
  </r>
  <r>
    <d v="2026-04-20T00:00:00"/>
    <s v="https://www.etsy.com/ca/listing/4330483435/embroidered-coffee-bean-baby-romper?transaction_id=4969781855"/>
    <s v="Cream"/>
    <s v="Cream"/>
    <s v="3-6M (short-sleeve)"/>
    <s v="United States"/>
    <s v="Romper Short"/>
    <n v="4"/>
    <n v="17"/>
    <s v="Easter"/>
    <s v="3-6"/>
    <x v="0"/>
    <m/>
  </r>
  <r>
    <d v="2026-04-21T00:00:00"/>
    <s v="https://www.etsy.com/ca/listing/4392936688/shhh-im-watching-motogp-with-daddy?transaction_id=4969899993"/>
    <s v="Cream"/>
    <s v="Cream"/>
    <s v=" 0-3M (long-sleeve)"/>
    <s v="United States"/>
    <s v="Romper Longer"/>
    <n v="4"/>
    <n v="17"/>
    <s v="Easter"/>
    <s v="0-3"/>
    <x v="2"/>
    <m/>
  </r>
  <r>
    <d v="2026-04-22T00:00:00"/>
    <s v="https://www.etsy.com/ca/listing/4371125103/personalized-dog-baby-bodysuit-custom?transaction_id=4959743506"/>
    <s v="Cream"/>
    <s v="Cream"/>
    <s v=" 0-3M (long-sleeve)"/>
    <s v="United States"/>
    <s v="Romper Longer"/>
    <n v="4"/>
    <n v="17"/>
    <s v="Easter"/>
    <s v="0-3"/>
    <x v="2"/>
    <m/>
  </r>
  <r>
    <d v="2026-04-23T00:00:00"/>
    <s v="https://www.etsy.com/ca/listing/4392935796/box-box-for-fresh-diapers-embroidered?transaction_id=4970248331"/>
    <s v="Cream"/>
    <s v="Cream"/>
    <s v=" 6-12M (long-sleeve)"/>
    <s v="United States"/>
    <s v="Romper Longer"/>
    <n v="4"/>
    <n v="17"/>
    <s v="Easter"/>
    <s v="6-12"/>
    <x v="17"/>
    <m/>
  </r>
  <r>
    <d v="2026-04-24T00:00:00"/>
    <s v="https://www.etsy.com/ca/listing/4392936921/apparently-i-like-golf-embroidered?transaction_id=4960295990"/>
    <s v="Cream"/>
    <s v="Cream"/>
    <s v=" 6-12M (long-sleeve)"/>
    <s v="United States"/>
    <s v="Romper Longer"/>
    <n v="4"/>
    <n v="17"/>
    <s v="Easter"/>
    <s v="6-12"/>
    <x v="17"/>
    <m/>
  </r>
  <r>
    <d v="2026-04-25T00:00:00"/>
    <s v="https://www.etsy.com/ca/listing/4330483435/embroidered-coffee-bean-baby-romper?transaction_id=4970840657"/>
    <s v="Cream"/>
    <s v="Cream"/>
    <s v=" 0-3M (short-sleeve)"/>
    <s v="United States"/>
    <s v="Romper Short"/>
    <n v="4"/>
    <n v="17"/>
    <s v="Easter"/>
    <s v="0-3"/>
    <x v="15"/>
    <m/>
  </r>
  <r>
    <d v="2026-04-26T00:00:00"/>
    <s v="https://www.etsy.com/ca/listing/4346126210/daddys-future-lifting-buddy-romper-baby?transaction_id=4960733102"/>
    <s v="Cream"/>
    <s v="Cream"/>
    <s v=" 0-3M (short-sleeve)"/>
    <s v="United States"/>
    <s v="Romper Short"/>
    <n v="4"/>
    <n v="18"/>
    <s v="Easter"/>
    <s v="0-3"/>
    <x v="15"/>
    <m/>
  </r>
  <r>
    <d v="2026-04-27T00:00:00"/>
    <s v="https://www.etsy.com/ca/listing/4346126210/daddys-future-lifting-buddy-romper-baby?transaction_id=4961610608"/>
    <s v="Sage Green"/>
    <s v="Sage Green"/>
    <s v=" 3-6M (long-sleeve)"/>
    <s v="United States"/>
    <s v="Romper Longer"/>
    <n v="4"/>
    <n v="18"/>
    <s v="Easter"/>
    <s v="3-6"/>
    <x v="7"/>
    <m/>
  </r>
  <r>
    <d v="2026-04-28T00:00:00"/>
    <s v="https://www.etsy.com/ca/listing/4352935112/custom-baby-romper-personalized-newborn?transaction_id=4968486065"/>
    <s v="Cream"/>
    <s v="Cream"/>
    <s v="6-12M (short-sleeve)"/>
    <s v="United States"/>
    <s v="Romper Short"/>
    <n v="4"/>
    <n v="18"/>
    <s v="Easter"/>
    <s v="6-12"/>
    <x v="47"/>
    <m/>
  </r>
  <r>
    <d v="2026-04-29T00:00:00"/>
    <s v="https://www.etsy.com/ca/listing/4330485404/cat-face-embroidered-baby-romper-funny?transaction_id=4971828557"/>
    <s v="Forest Green"/>
    <s v="Forest Green"/>
    <s v="6-12M (short-sleeve)"/>
    <s v="United States"/>
    <s v="Romper Short"/>
    <n v="4"/>
    <n v="18"/>
    <s v="Easter"/>
    <s v="6-12"/>
    <x v="56"/>
    <m/>
  </r>
  <r>
    <d v="2026-04-30T00:00:00"/>
    <s v="https://www.etsy.com/ca/listing/4344231895/embroidered-baby-romper-shhh-im-reading?transaction_id=4961853232"/>
    <s v="Cream"/>
    <s v="Cream"/>
    <s v="3-6M (short-sleeve)"/>
    <s v="United States"/>
    <s v="Romper Short"/>
    <n v="4"/>
    <n v="18"/>
    <s v="Easter"/>
    <s v="3-6"/>
    <x v="0"/>
    <m/>
  </r>
  <r>
    <d v="2026-05-01T00:00:00"/>
    <s v="https://www.etsy.com/ca/listing/4343131516/embroidered-pickleball-baby-bodysuit?transaction_id=4972339387"/>
    <s v="Dusty Pink"/>
    <s v="Dusty Pink"/>
    <s v="12-18M (long-sleeve)"/>
    <s v="United States"/>
    <s v="Romper Longer"/>
    <n v="5"/>
    <n v="18"/>
    <s v="MothersDay"/>
    <s v="12-18"/>
    <x v="75"/>
    <m/>
  </r>
  <r>
    <d v="2026-05-02T00:00:00"/>
    <s v="https://www.etsy.com/ca/listing/4376389783/player-2-baby-romper-gamer-baby-outfit?transaction_id=4962294952"/>
    <s v="Sage Green"/>
    <s v="Sage Green"/>
    <s v=" 3-6M (long-sleeve)"/>
    <s v="United States"/>
    <s v="Romper Longer"/>
    <n v="5"/>
    <n v="18"/>
    <s v="MothersDay"/>
    <s v="3-6"/>
    <x v="7"/>
    <m/>
  </r>
  <r>
    <d v="2026-05-03T00:00:00"/>
    <s v="https://www.etsy.com/ca/listing/4376392339/funny-baby-romper-my-brand-of-formula?transaction_id=4962315402"/>
    <s v="Cream"/>
    <s v="Cream"/>
    <s v=" 0-3M (short-sleeve)"/>
    <s v="United States"/>
    <s v="Romper Short"/>
    <n v="5"/>
    <n v="19"/>
    <s v="MothersDay"/>
    <s v="0-3"/>
    <x v="15"/>
    <m/>
  </r>
  <r>
    <d v="2026-05-04T00:00:00"/>
    <s v="https://www.etsy.com/ca/listing/4379187006/future-birder-embroidered-romper-cute?transaction_id=4962384964"/>
    <s v="White"/>
    <s v="White"/>
    <s v="6-12M (short-sleeve)"/>
    <s v="United States"/>
    <s v="Romper Short"/>
    <n v="5"/>
    <n v="19"/>
    <s v="MothersDay"/>
    <s v="6-12"/>
    <x v="42"/>
    <m/>
  </r>
  <r>
    <d v="2026-05-05T00:00:00"/>
    <s v="https://www.etsy.com/ca/listing/4371125103/personalized-dog-baby-bodysuit-custom?transaction_id=4972616447"/>
    <s v="Sage Green"/>
    <s v="Sage Green"/>
    <s v=" 0-3M (long-sleeve)"/>
    <s v="United States"/>
    <s v="Romper Longer"/>
    <n v="5"/>
    <n v="19"/>
    <s v="MothersDay"/>
    <s v="0-3"/>
    <x v="5"/>
    <m/>
  </r>
  <r>
    <d v="2026-05-06T00:00:00"/>
    <s v="https://www.etsy.com/ca/listing/4330480699/little-prince-baby-romper-embroidered?transaction_id=4962629780"/>
    <s v="Caldet Blue"/>
    <s v="Caldet Blue"/>
    <s v="6-12M (short-sleeve)"/>
    <s v="United States"/>
    <s v="Romper Short"/>
    <n v="5"/>
    <n v="19"/>
    <s v="MothersDay"/>
    <s v="6-12"/>
    <x v="63"/>
    <m/>
  </r>
  <r>
    <d v="2026-05-07T00:00:00"/>
    <s v="https://www.etsy.com/ca/listing/4330504943/embroidered-tennis-baby-romper-daddys?transaction_id=4973044503"/>
    <s v="Cream"/>
    <s v="Cream"/>
    <s v="3-6M (short-sleeve)"/>
    <s v="United States"/>
    <s v="Romper Short"/>
    <n v="5"/>
    <n v="19"/>
    <s v="MothersDay"/>
    <s v="3-6"/>
    <x v="0"/>
    <m/>
  </r>
  <r>
    <d v="2026-05-08T00:00:00"/>
    <s v="https://www.etsy.com/ca/listing/4376399899/the-littlest-book-club-member-baby?transaction_id=4973786027"/>
    <s v="Cream"/>
    <s v="Cream"/>
    <s v=" 0-3M (long-sleeve)"/>
    <s v="United States"/>
    <s v="Romper Longer"/>
    <n v="5"/>
    <n v="19"/>
    <s v="MothersDay"/>
    <s v="0-3"/>
    <x v="2"/>
    <m/>
  </r>
  <r>
    <d v="2026-05-09T00:00:00"/>
    <s v="https://www.etsy.com/ca/listing/4376392339/funny-baby-romper-my-brand-of-formula?transaction_id=4964006538"/>
    <s v="Watermelon"/>
    <s v="Watermelon"/>
    <s v=" 0-3M (short-sleeve)"/>
    <s v="United States"/>
    <s v="Romper Short"/>
    <n v="5"/>
    <n v="19"/>
    <s v="MothersDay"/>
    <s v="0-3"/>
    <x v="65"/>
    <m/>
  </r>
  <r>
    <d v="2026-05-10T00:00:00"/>
    <s v="https://www.etsy.com/ca/listing/4330479964/personalized-fox-baby-bodysuit-custom?transaction_id=4964058244"/>
    <s v="Forest Green"/>
    <s v="Forest Green"/>
    <s v=" 0-3M (long-sleeve)"/>
    <s v="United States"/>
    <s v="Romper Longer"/>
    <n v="5"/>
    <n v="20"/>
    <s v="MothersDay"/>
    <s v="0-3"/>
    <x v="41"/>
    <m/>
  </r>
  <r>
    <d v="2026-05-11T00:00:00"/>
    <s v="https://www.etsy.com/ca/listing/4392962015/cant-wait-to-jam-with-daddy-embroidered?transaction_id=4974494321"/>
    <s v="Caldet Blue"/>
    <s v="Caldet Blue"/>
    <s v=" 0-3M (long-sleeve)"/>
    <s v="United States"/>
    <s v="Romper Longer"/>
    <n v="5"/>
    <n v="20"/>
    <s v="MothersDay"/>
    <s v="0-3"/>
    <x v="9"/>
    <m/>
  </r>
  <r>
    <d v="2026-05-12T00:00:00"/>
    <s v="https://www.etsy.com/ca/listing/4376392339/funny-baby-romper-my-brand-of-formula?transaction_id=4964596600"/>
    <s v="White"/>
    <s v="White"/>
    <s v="6-12M (short-sleeve)"/>
    <s v="United States"/>
    <s v="Romper Short"/>
    <n v="5"/>
    <n v="20"/>
    <s v="MothersDay"/>
    <s v="6-12"/>
    <x v="42"/>
    <m/>
  </r>
  <r>
    <d v="2026-05-13T00:00:00"/>
    <s v="https://www.etsy.com/ca/listing/4376392339/funny-baby-romper-my-brand-of-formula?transaction_id=4964656790"/>
    <s v="White"/>
    <s v="White"/>
    <s v=" 0-3M (long-sleeve)"/>
    <s v="United States"/>
    <s v="Romper Longer"/>
    <n v="5"/>
    <n v="20"/>
    <s v="MothersDay"/>
    <s v="0-3"/>
    <x v="54"/>
    <m/>
  </r>
  <r>
    <d v="2026-05-14T00:00:00"/>
    <s v="https://www.etsy.com/ca/listing/4336903235/personalized-tennis-baby-romper?transaction_id=4964705886"/>
    <s v="Dusty Pink"/>
    <s v="Dusty Pink"/>
    <s v=" 3-6M (long-sleeve)"/>
    <s v="United States"/>
    <s v="Romper Longer"/>
    <n v="5"/>
    <n v="20"/>
    <s v="MothersDay"/>
    <s v="3-6"/>
    <x v="8"/>
    <m/>
  </r>
  <r>
    <d v="2026-05-15T00:00:00"/>
    <s v="https://www.etsy.com/ca/listing/4371125103/personalized-dog-baby-bodysuit-custom?transaction_id=4964787266"/>
    <s v="Dusty Pink"/>
    <s v="Dusty Pink"/>
    <s v=" 6-12M (long-sleeve)"/>
    <s v="United States"/>
    <s v="Romper Longer"/>
    <n v="5"/>
    <n v="20"/>
    <s v="MothersDay"/>
    <s v="6-12"/>
    <x v="51"/>
    <m/>
  </r>
  <r>
    <d v="2026-05-16T00:00:00"/>
    <s v="https://www.etsy.com/ca/listing/4330485404/cat-face-embroidered-baby-romper-funny?transaction_id=4964820430"/>
    <s v="Mauve Taupe"/>
    <s v="Mauve Taupe"/>
    <s v="12-18M (short-sleeve)"/>
    <s v="United States"/>
    <s v="Romper Short"/>
    <n v="5"/>
    <n v="20"/>
    <s v="MothersDay"/>
    <s v="12-18"/>
    <x v="108"/>
    <m/>
  </r>
  <r>
    <d v="2026-05-17T00:00:00"/>
    <s v="https://www.etsy.com/ca/listing/4344235128/new-to-the-hive-baby-romper-embroidered?transaction_id=4975661883"/>
    <s v="Cream"/>
    <s v="Cream"/>
    <s v=" 0-3M (short-sleeve)"/>
    <s v="United States"/>
    <s v="Romper Short"/>
    <n v="5"/>
    <n v="21"/>
    <s v="MothersDay"/>
    <s v="0-3"/>
    <x v="15"/>
    <m/>
  </r>
  <r>
    <d v="2026-05-18T00:00:00"/>
    <s v="https://www.etsy.com/ca/listing/4336900156/personalized-soccer-baby-romper?transaction_id=4965604302"/>
    <s v="Watermelon"/>
    <s v="Watermelon"/>
    <s v="6-12M (short-sleeve)"/>
    <s v="United States"/>
    <s v="Romper Short"/>
    <n v="5"/>
    <n v="21"/>
    <s v="MothersDay"/>
    <s v="6-12"/>
    <x v="76"/>
    <m/>
  </r>
  <r>
    <d v="2026-05-19T00:00:00"/>
    <s v="https://www.etsy.com/ca/listing/4376399899/the-littlest-book-club-member-baby?transaction_id=4975910673"/>
    <s v="Sage Green"/>
    <s v="Sage Green"/>
    <s v="6-12M (short-sleeve)"/>
    <s v="United States"/>
    <s v="Romper Short"/>
    <n v="5"/>
    <n v="21"/>
    <s v="MothersDay"/>
    <s v="6-12"/>
    <x v="19"/>
    <m/>
  </r>
  <r>
    <d v="2026-05-20T00:00:00"/>
    <s v="https://www.etsy.com/ca/listing/4330488178/embroidered-golf-baby-romper-new-to-the?transaction_id=4975997875"/>
    <s v="Cream"/>
    <s v="Cream"/>
    <s v=" 0-3M (long-sleeve)"/>
    <s v="United States"/>
    <s v="Romper Longer"/>
    <n v="5"/>
    <n v="21"/>
    <s v="MothersDay"/>
    <s v="0-3"/>
    <x v="2"/>
    <m/>
  </r>
  <r>
    <d v="2026-05-21T00:00:00"/>
    <s v="https://www.etsy.com/ca/listing/4330488178/embroidered-golf-baby-romper-new-to-the?transaction_id=4976108065"/>
    <s v="Caldet Blue"/>
    <s v="Caldet Blue"/>
    <s v=" 0-3M (long-sleeve)"/>
    <s v="United States"/>
    <s v="Romper Longer"/>
    <n v="5"/>
    <n v="21"/>
    <s v="MothersDay"/>
    <s v="0-3"/>
    <x v="9"/>
    <m/>
  </r>
  <r>
    <d v="2026-05-22T00:00:00"/>
    <s v="https://www.etsy.com/ca/listing/4336899579/personalized-basketball-baby-romper?transaction_id=4976344031"/>
    <s v="Cream"/>
    <s v="Cream"/>
    <s v="3-6M (short-sleeve)"/>
    <s v="United States"/>
    <s v="Romper Short"/>
    <n v="5"/>
    <n v="21"/>
    <s v="MothersDay"/>
    <s v="3-6"/>
    <x v="0"/>
    <m/>
  </r>
  <r>
    <d v="2026-05-23T00:00:00"/>
    <s v="https://www.etsy.com/ca/listing/4372352286/silly-goose-baby-romper-funny-infant?transaction_id=4966514380"/>
    <s v="Forest Green"/>
    <s v="Forest Green"/>
    <s v=" 0-3M (long-sleeve)"/>
    <s v="United States"/>
    <s v="Romper Longer"/>
    <n v="5"/>
    <n v="21"/>
    <s v="MothersDay"/>
    <s v="0-3"/>
    <x v="41"/>
    <m/>
  </r>
  <r>
    <d v="2026-05-24T00:00:00"/>
    <s v="https://www.etsy.com/ca/listing/4376399899/the-littlest-book-club-member-baby?transaction_id=4966600456"/>
    <s v="Watermelon"/>
    <s v="Watermelon"/>
    <s v="18-24M (short-sleeve)"/>
    <s v="United States"/>
    <s v="Romper Short"/>
    <n v="5"/>
    <n v="22"/>
    <s v="MothersDay"/>
    <s v="18-24"/>
    <x v="27"/>
    <m/>
  </r>
  <r>
    <d v="2026-05-25T00:00:00"/>
    <s v="https://www.etsy.com/ca/listing/4330485404/cat-face-embroidered-baby-romper-funny?transaction_id=4966707238"/>
    <s v="Cream"/>
    <s v="Cream"/>
    <s v="3-6M (short-sleeve)"/>
    <s v="United States"/>
    <s v="Romper Short"/>
    <n v="5"/>
    <n v="22"/>
    <s v="MothersDay"/>
    <s v="3-6"/>
    <x v="0"/>
    <m/>
  </r>
  <r>
    <d v="2026-05-26T00:00:00"/>
    <s v="https://www.etsy.com/ca/listing/4369766034/funny-golf-baby-romper-i-just-shanked-my?transaction_id=4967009382"/>
    <s v="Dusty Pink"/>
    <s v="Dusty Pink"/>
    <s v="3-6M (short-sleeve)"/>
    <s v="United States"/>
    <s v="Romper Short"/>
    <n v="5"/>
    <n v="22"/>
    <s v="MothersDay"/>
    <s v="3-6"/>
    <x v="31"/>
    <m/>
  </r>
  <r>
    <d v="2026-05-27T00:00:00"/>
    <s v="https://www.etsy.com/ca/listing/4330485404/cat-face-embroidered-baby-romper-funny?transaction_id=4967024890"/>
    <s v="Cream"/>
    <s v="Cream"/>
    <s v=" 3-6M (long-sleeve)"/>
    <s v="United States"/>
    <s v="Romper Longer"/>
    <n v="5"/>
    <n v="22"/>
    <s v="MothersDay"/>
    <s v="3-6"/>
    <x v="1"/>
    <m/>
  </r>
  <r>
    <d v="2026-05-28T00:00:00"/>
    <s v="https://www.etsy.com/ca/listing/4376399899/the-littlest-book-club-member-baby?transaction_id=4977190339"/>
    <s v="Sage Green"/>
    <s v="Sage Green"/>
    <s v="12-18M (long-sleeve)"/>
    <s v="United States"/>
    <s v="Romper Longer"/>
    <n v="5"/>
    <n v="22"/>
    <s v="MothersDay"/>
    <s v="12-18"/>
    <x v="22"/>
    <m/>
  </r>
  <r>
    <d v="2026-05-29T00:00:00"/>
    <s v="https://www.etsy.com/ca/listing/4376399899/the-littlest-book-club-member-baby?transaction_id=4977345309"/>
    <s v="Sage Green"/>
    <s v="Sage Green"/>
    <s v="3-6M (short-sleeve)"/>
    <s v="United States"/>
    <s v="Romper Short"/>
    <n v="5"/>
    <n v="22"/>
    <s v="MothersDay"/>
    <s v="3-6"/>
    <x v="24"/>
    <m/>
  </r>
  <r>
    <d v="2026-05-30T00:00:00"/>
    <s v="https://www.etsy.com/ca/listing/4372352286/silly-goose-baby-romper-funny-infant?transaction_id=4977354359"/>
    <s v="Mauve Taupe"/>
    <s v="Mauve Taupe"/>
    <s v=" 6-12M (long-sleeve)"/>
    <s v="United States"/>
    <s v="Romper Longer"/>
    <n v="5"/>
    <n v="22"/>
    <s v="MothersDay"/>
    <s v="6-12"/>
    <x v="85"/>
    <m/>
  </r>
  <r>
    <d v="2026-05-31T00:00:00"/>
    <s v="https://www.etsy.com/ca/listing/4376399899/the-littlest-book-club-member-baby?transaction_id=4967243470"/>
    <s v="Sage Green"/>
    <s v="Sage Green"/>
    <s v=" 3-6M (long-sleeve)"/>
    <s v="United States"/>
    <s v="Romper Longer"/>
    <n v="5"/>
    <n v="23"/>
    <s v="MothersDay"/>
    <s v="3-6"/>
    <x v="7"/>
    <m/>
  </r>
  <r>
    <d v="2026-06-01T00:00:00"/>
    <s v="https://www.etsy.com/ca/listing/4376399899/the-littlest-book-club-member-baby?transaction_id=4967248556"/>
    <s v="Cream"/>
    <s v="Cream"/>
    <s v=" 3-6M (long-sleeve)"/>
    <s v="United States"/>
    <s v="Romper Longer"/>
    <n v="6"/>
    <n v="23"/>
    <s v="FathersDay"/>
    <s v="3-6"/>
    <x v="1"/>
    <m/>
  </r>
  <r>
    <d v="2026-06-02T00:00:00"/>
    <s v="https://www.etsy.com/ca/listing/4330485404/cat-face-embroidered-baby-romper-funny?transaction_id=4948995038"/>
    <s v="Texas Orange"/>
    <s v="Texas Orange"/>
    <s v=" 3-6M (long-sleeve)"/>
    <s v="United States"/>
    <s v="Romper Longer"/>
    <n v="6"/>
    <n v="23"/>
    <s v="FathersDay"/>
    <s v="3-6"/>
    <x v="82"/>
    <m/>
  </r>
  <r>
    <d v="2026-06-03T00:00:00"/>
    <s v="https://www.etsy.com/ca/listing/4371112234/personalized-pet-line-art-baby-bodysuit?transaction_id=4972392435"/>
    <s v="Cream"/>
    <s v="Cream"/>
    <s v="6-12M (short-sleeve)"/>
    <s v="United States"/>
    <s v="Romper Short"/>
    <n v="6"/>
    <n v="23"/>
    <s v="FathersDay"/>
    <s v="6-12"/>
    <x v="4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3A4BCE-BEDA-4B49-9815-9D76C560FBF1}" name="PivotTable1"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1">
    <pivotField showAll="0"/>
  </pivot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B169A5-4681-433E-B554-332CE596F9A6}" name="PivotTable2"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13" firstHeaderRow="1" firstDataRow="1" firstDataCol="1"/>
  <pivotFields count="13">
    <pivotField showAll="0"/>
    <pivotField showAll="0"/>
    <pivotField showAll="0"/>
    <pivotField showAll="0"/>
    <pivotField showAll="0"/>
    <pivotField showAll="0"/>
    <pivotField showAll="0"/>
    <pivotField showAll="0"/>
    <pivotField showAll="0"/>
    <pivotField showAll="0"/>
    <pivotField showAll="0"/>
    <pivotField axis="axisRow" dataField="1" multipleItemSelectionAllowed="1" showAll="0">
      <items count="226">
        <item m="1" x="135"/>
        <item m="1" x="191"/>
        <item m="1" x="173"/>
        <item m="1" x="133"/>
        <item m="1" x="112"/>
        <item m="1" x="118"/>
        <item m="1" x="219"/>
        <item m="1" x="109"/>
        <item x="89"/>
        <item m="1" x="137"/>
        <item m="1" x="115"/>
        <item m="1" x="158"/>
        <item x="88"/>
        <item m="1" x="171"/>
        <item m="1" x="156"/>
        <item x="93"/>
        <item m="1" x="181"/>
        <item m="1" x="125"/>
        <item m="1" x="192"/>
        <item m="1" x="134"/>
        <item m="1" x="113"/>
        <item m="1" x="175"/>
        <item m="1" x="119"/>
        <item m="1" x="220"/>
        <item x="90"/>
        <item m="1" x="138"/>
        <item x="92"/>
        <item m="1" x="172"/>
        <item x="91"/>
        <item m="1" x="182"/>
        <item m="1" x="116"/>
        <item m="1" x="168"/>
        <item m="1" x="178"/>
        <item m="1" x="217"/>
        <item m="1" x="201"/>
        <item m="1" x="213"/>
        <item m="1" x="143"/>
        <item m="1" x="166"/>
        <item m="1" x="122"/>
        <item x="9"/>
        <item m="1" x="214"/>
        <item x="28"/>
        <item x="2"/>
        <item m="1" x="183"/>
        <item x="45"/>
        <item x="41"/>
        <item m="1" x="198"/>
        <item x="40"/>
        <item x="5"/>
        <item m="1" x="222"/>
        <item x="84"/>
        <item m="1" x="146"/>
        <item x="83"/>
        <item x="36"/>
        <item x="54"/>
        <item m="1" x="120"/>
        <item x="77"/>
        <item m="1" x="199"/>
        <item m="1" x="117"/>
        <item x="60"/>
        <item x="79"/>
        <item x="53"/>
        <item x="75"/>
        <item x="37"/>
        <item x="104"/>
        <item x="22"/>
        <item x="103"/>
        <item x="105"/>
        <item x="78"/>
        <item x="73"/>
        <item m="1" x="221"/>
        <item x="106"/>
        <item x="80"/>
        <item x="55"/>
        <item x="11"/>
        <item x="100"/>
        <item m="1" x="165"/>
        <item x="94"/>
        <item x="107"/>
        <item m="1" x="150"/>
        <item m="1" x="169"/>
        <item m="1" x="179"/>
        <item m="1" x="205"/>
        <item m="1" x="218"/>
        <item m="1" x="202"/>
        <item m="1" x="144"/>
        <item m="1" x="190"/>
        <item m="1" x="123"/>
        <item x="23"/>
        <item m="1" x="147"/>
        <item x="12"/>
        <item m="1" x="197"/>
        <item x="1"/>
        <item m="1" x="184"/>
        <item x="8"/>
        <item m="1" x="160"/>
        <item x="4"/>
        <item m="1" x="200"/>
        <item x="10"/>
        <item x="7"/>
        <item m="1" x="187"/>
        <item x="49"/>
        <item x="82"/>
        <item x="20"/>
        <item x="70"/>
        <item m="1" x="207"/>
        <item m="1" x="194"/>
        <item m="1" x="151"/>
        <item m="1" x="152"/>
        <item m="1" x="189"/>
        <item m="1" x="164"/>
        <item x="25"/>
        <item x="86"/>
        <item x="17"/>
        <item m="1" x="161"/>
        <item m="1" x="159"/>
        <item x="51"/>
        <item x="30"/>
        <item x="85"/>
        <item x="3"/>
        <item x="59"/>
        <item x="61"/>
        <item x="33"/>
        <item x="46"/>
        <item m="1" x="114"/>
        <item m="1" x="129"/>
        <item m="1" x="215"/>
        <item m="1" x="209"/>
        <item m="1" x="139"/>
        <item m="1" x="110"/>
        <item m="1" x="157"/>
        <item m="1" x="149"/>
        <item x="38"/>
        <item m="1" x="126"/>
        <item m="1" x="193"/>
        <item x="14"/>
        <item m="1" x="132"/>
        <item x="15"/>
        <item m="1" x="203"/>
        <item m="1" x="136"/>
        <item x="34"/>
        <item x="52"/>
        <item x="71"/>
        <item x="13"/>
        <item x="32"/>
        <item m="1" x="128"/>
        <item x="96"/>
        <item x="65"/>
        <item x="21"/>
        <item m="1" x="208"/>
        <item m="1" x="153"/>
        <item x="72"/>
        <item x="97"/>
        <item x="26"/>
        <item m="1" x="162"/>
        <item x="44"/>
        <item x="62"/>
        <item m="1" x="224"/>
        <item x="108"/>
        <item x="74"/>
        <item x="57"/>
        <item x="81"/>
        <item x="68"/>
        <item x="87"/>
        <item m="1" x="195"/>
        <item m="1" x="186"/>
        <item x="101"/>
        <item m="1" x="154"/>
        <item x="16"/>
        <item m="1" x="163"/>
        <item m="1" x="177"/>
        <item x="95"/>
        <item x="99"/>
        <item x="48"/>
        <item x="58"/>
        <item x="27"/>
        <item x="43"/>
        <item m="1" x="170"/>
        <item m="1" x="174"/>
        <item m="1" x="130"/>
        <item m="1" x="216"/>
        <item m="1" x="176"/>
        <item m="1" x="211"/>
        <item m="1" x="140"/>
        <item m="1" x="188"/>
        <item m="1" x="111"/>
        <item m="1" x="196"/>
        <item x="29"/>
        <item m="1" x="127"/>
        <item x="18"/>
        <item x="0"/>
        <item m="1" x="204"/>
        <item x="31"/>
        <item x="6"/>
        <item x="67"/>
        <item m="1" x="210"/>
        <item x="24"/>
        <item m="1" x="206"/>
        <item x="50"/>
        <item x="66"/>
        <item x="39"/>
        <item x="69"/>
        <item m="1" x="131"/>
        <item m="1" x="155"/>
        <item m="1" x="180"/>
        <item m="1" x="145"/>
        <item m="1" x="167"/>
        <item m="1" x="124"/>
        <item m="1" x="148"/>
        <item x="63"/>
        <item x="64"/>
        <item x="47"/>
        <item m="1" x="185"/>
        <item x="35"/>
        <item x="56"/>
        <item x="98"/>
        <item x="19"/>
        <item m="1" x="212"/>
        <item m="1" x="223"/>
        <item x="102"/>
        <item x="76"/>
        <item x="42"/>
        <item m="1" x="121"/>
        <item m="1" x="141"/>
        <item m="1" x="142"/>
        <item t="default"/>
      </items>
    </pivotField>
    <pivotField showAll="0"/>
  </pivotFields>
  <rowFields count="1">
    <field x="11"/>
  </rowFields>
  <rowItems count="110">
    <i>
      <x v="8"/>
    </i>
    <i>
      <x v="12"/>
    </i>
    <i>
      <x v="15"/>
    </i>
    <i>
      <x v="24"/>
    </i>
    <i>
      <x v="26"/>
    </i>
    <i>
      <x v="28"/>
    </i>
    <i>
      <x v="39"/>
    </i>
    <i>
      <x v="41"/>
    </i>
    <i>
      <x v="42"/>
    </i>
    <i>
      <x v="44"/>
    </i>
    <i>
      <x v="45"/>
    </i>
    <i>
      <x v="47"/>
    </i>
    <i>
      <x v="48"/>
    </i>
    <i>
      <x v="50"/>
    </i>
    <i>
      <x v="52"/>
    </i>
    <i>
      <x v="53"/>
    </i>
    <i>
      <x v="54"/>
    </i>
    <i>
      <x v="56"/>
    </i>
    <i>
      <x v="59"/>
    </i>
    <i>
      <x v="60"/>
    </i>
    <i>
      <x v="61"/>
    </i>
    <i>
      <x v="62"/>
    </i>
    <i>
      <x v="63"/>
    </i>
    <i>
      <x v="64"/>
    </i>
    <i>
      <x v="65"/>
    </i>
    <i>
      <x v="66"/>
    </i>
    <i>
      <x v="67"/>
    </i>
    <i>
      <x v="68"/>
    </i>
    <i>
      <x v="69"/>
    </i>
    <i>
      <x v="71"/>
    </i>
    <i>
      <x v="72"/>
    </i>
    <i>
      <x v="73"/>
    </i>
    <i>
      <x v="74"/>
    </i>
    <i>
      <x v="75"/>
    </i>
    <i>
      <x v="77"/>
    </i>
    <i>
      <x v="78"/>
    </i>
    <i>
      <x v="88"/>
    </i>
    <i>
      <x v="90"/>
    </i>
    <i>
      <x v="92"/>
    </i>
    <i>
      <x v="94"/>
    </i>
    <i>
      <x v="96"/>
    </i>
    <i>
      <x v="98"/>
    </i>
    <i>
      <x v="99"/>
    </i>
    <i>
      <x v="101"/>
    </i>
    <i>
      <x v="102"/>
    </i>
    <i>
      <x v="103"/>
    </i>
    <i>
      <x v="104"/>
    </i>
    <i>
      <x v="111"/>
    </i>
    <i>
      <x v="112"/>
    </i>
    <i>
      <x v="113"/>
    </i>
    <i>
      <x v="116"/>
    </i>
    <i>
      <x v="117"/>
    </i>
    <i>
      <x v="118"/>
    </i>
    <i>
      <x v="119"/>
    </i>
    <i>
      <x v="120"/>
    </i>
    <i>
      <x v="121"/>
    </i>
    <i>
      <x v="122"/>
    </i>
    <i>
      <x v="123"/>
    </i>
    <i>
      <x v="132"/>
    </i>
    <i>
      <x v="135"/>
    </i>
    <i>
      <x v="137"/>
    </i>
    <i>
      <x v="140"/>
    </i>
    <i>
      <x v="141"/>
    </i>
    <i>
      <x v="142"/>
    </i>
    <i>
      <x v="143"/>
    </i>
    <i>
      <x v="144"/>
    </i>
    <i>
      <x v="146"/>
    </i>
    <i>
      <x v="147"/>
    </i>
    <i>
      <x v="148"/>
    </i>
    <i>
      <x v="151"/>
    </i>
    <i>
      <x v="152"/>
    </i>
    <i>
      <x v="153"/>
    </i>
    <i>
      <x v="155"/>
    </i>
    <i>
      <x v="156"/>
    </i>
    <i>
      <x v="158"/>
    </i>
    <i>
      <x v="159"/>
    </i>
    <i>
      <x v="160"/>
    </i>
    <i>
      <x v="161"/>
    </i>
    <i>
      <x v="162"/>
    </i>
    <i>
      <x v="163"/>
    </i>
    <i>
      <x v="166"/>
    </i>
    <i>
      <x v="168"/>
    </i>
    <i>
      <x v="171"/>
    </i>
    <i>
      <x v="172"/>
    </i>
    <i>
      <x v="173"/>
    </i>
    <i>
      <x v="174"/>
    </i>
    <i>
      <x v="175"/>
    </i>
    <i>
      <x v="176"/>
    </i>
    <i>
      <x v="187"/>
    </i>
    <i>
      <x v="189"/>
    </i>
    <i>
      <x v="190"/>
    </i>
    <i>
      <x v="192"/>
    </i>
    <i>
      <x v="193"/>
    </i>
    <i>
      <x v="194"/>
    </i>
    <i>
      <x v="196"/>
    </i>
    <i>
      <x v="198"/>
    </i>
    <i>
      <x v="199"/>
    </i>
    <i>
      <x v="200"/>
    </i>
    <i>
      <x v="201"/>
    </i>
    <i>
      <x v="209"/>
    </i>
    <i>
      <x v="210"/>
    </i>
    <i>
      <x v="211"/>
    </i>
    <i>
      <x v="213"/>
    </i>
    <i>
      <x v="214"/>
    </i>
    <i>
      <x v="215"/>
    </i>
    <i>
      <x v="216"/>
    </i>
    <i>
      <x v="219"/>
    </i>
    <i>
      <x v="220"/>
    </i>
    <i>
      <x v="221"/>
    </i>
    <i t="grand">
      <x/>
    </i>
  </rowItems>
  <colItems count="1">
    <i/>
  </colItems>
  <dataFields count="1">
    <dataField name="Count of ProductVariant" fld="11"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827" Type="http://schemas.openxmlformats.org/officeDocument/2006/relationships/hyperlink" Target="https://www.etsy.com/ca/listing/4330492936/a-roar-able-dinosaur-baby-bodysuit-cute?transaction_id=4700687715" TargetMode="External"/><Relationship Id="rId3182" Type="http://schemas.openxmlformats.org/officeDocument/2006/relationships/hyperlink" Target="https://www.etsy.com/ca/listing/4344235128/new-to-the-hive-baby-romper-embroidered?transaction_id=4949368105" TargetMode="External"/><Relationship Id="rId3042" Type="http://schemas.openxmlformats.org/officeDocument/2006/relationships/hyperlink" Target="https://www.etsy.com/ca/listing/4346126210/daddys-future-lifting-buddy-romper-baby?transaction_id=4934669023" TargetMode="External"/><Relationship Id="rId170" Type="http://schemas.openxmlformats.org/officeDocument/2006/relationships/hyperlink" Target="https://www.etsy.com/listing/4470578513/daddys-future-baseball-buddy-baby-romper?transaction_id=4995413404" TargetMode="External"/><Relationship Id="rId987" Type="http://schemas.openxmlformats.org/officeDocument/2006/relationships/hyperlink" Target="https://www.etsy.com/ca/listing/4376399899/the-littlest-book-club-member-baby?transaction_id=5012860280" TargetMode="External"/><Relationship Id="rId2668" Type="http://schemas.openxmlformats.org/officeDocument/2006/relationships/hyperlink" Target="https://www.etsy.com/ca/listing/4392932100/born-to-ride-with-my-daddy-embroidered?transaction_id=4875550594" TargetMode="External"/><Relationship Id="rId2875" Type="http://schemas.openxmlformats.org/officeDocument/2006/relationships/hyperlink" Target="https://www.etsy.com/ca/listing/4371125103/personalized-dog-baby-bodysuit-custom?transaction_id=4920477005" TargetMode="External"/><Relationship Id="rId847" Type="http://schemas.openxmlformats.org/officeDocument/2006/relationships/hyperlink" Target="https://www.etsy.com/ca/listing/4467450860/the-littlest-camping-club-member-baby?transaction_id=5038105604" TargetMode="External"/><Relationship Id="rId1477" Type="http://schemas.openxmlformats.org/officeDocument/2006/relationships/hyperlink" Target="https://www.etsy.com/listing/4376404086/embroidered-lil-nugget-baby-bodysuit?transaction_id=5090030540" TargetMode="External"/><Relationship Id="rId1684" Type="http://schemas.openxmlformats.org/officeDocument/2006/relationships/hyperlink" Target="https://www.etsy.com/listing/4513076790/daddys-co-pilot-embroidered-baby?transaction_id=5102597495" TargetMode="External"/><Relationship Id="rId1891" Type="http://schemas.openxmlformats.org/officeDocument/2006/relationships/hyperlink" Target="https://www.etsy.com/ca/listing/4343131516/pickleball-baby-bodysuit-pickle-baby?transaction_id=4730557805" TargetMode="External"/><Relationship Id="rId2528" Type="http://schemas.openxmlformats.org/officeDocument/2006/relationships/hyperlink" Target="https://www.etsy.com/ca/listing/4392929794/little-latke-embroidered-romper-hanukkah?transaction_id=4855389840" TargetMode="External"/><Relationship Id="rId2735" Type="http://schemas.openxmlformats.org/officeDocument/2006/relationships/hyperlink" Target="https://www.etsy.com/ca/listing/4376399899/the-littlest-book-club-member-baby?transaction_id=4906081031" TargetMode="External"/><Relationship Id="rId2942" Type="http://schemas.openxmlformats.org/officeDocument/2006/relationships/hyperlink" Target="https://www.etsy.com/ca/listing/4344231895/embroidered-baby-romper-shhh-im-reading?transaction_id=4912734196" TargetMode="External"/><Relationship Id="rId707" Type="http://schemas.openxmlformats.org/officeDocument/2006/relationships/hyperlink" Target="https://www.etsy.com/ca/listing/4346126210/daddys-future-lifting-buddy-romper-baby?transaction_id=5064359114" TargetMode="External"/><Relationship Id="rId914" Type="http://schemas.openxmlformats.org/officeDocument/2006/relationships/hyperlink" Target="https://www.etsy.com/ca/listing/4330499355/born-to-fix-like-my-daddy-baby-romper?transaction_id=5026644132" TargetMode="External"/><Relationship Id="rId1337" Type="http://schemas.openxmlformats.org/officeDocument/2006/relationships/hyperlink" Target="https://www.etsy.com/listing/4493305337/daddys-hunting-buddy-embroidered-baby?transaction_id=5076015525" TargetMode="External"/><Relationship Id="rId1544" Type="http://schemas.openxmlformats.org/officeDocument/2006/relationships/hyperlink" Target="https://www.etsy.com/listing/4473845389/golf-player-outfit-embroidered-baby?transaction_id=5103227490" TargetMode="External"/><Relationship Id="rId1751" Type="http://schemas.openxmlformats.org/officeDocument/2006/relationships/hyperlink" Target="https://www.etsy.com/ca/listing/4330483435/little-bean-embroidered-baby-romper-cute?transaction_id=4659611637" TargetMode="External"/><Relationship Id="rId2802" Type="http://schemas.openxmlformats.org/officeDocument/2006/relationships/hyperlink" Target="https://www.etsy.com/ca/listing/4330504943/embroidered-tennis-baby-romper-daddys?transaction_id=4900441922" TargetMode="External"/><Relationship Id="rId43" Type="http://schemas.openxmlformats.org/officeDocument/2006/relationships/hyperlink" Target="https://www.etsy.com/listing/4396677612/daddys-future-lifting-buddy-bodysuit-new?transaction_id=5039488933" TargetMode="External"/><Relationship Id="rId1404" Type="http://schemas.openxmlformats.org/officeDocument/2006/relationships/hyperlink" Target="https://www.etsy.com/listing/4508847254/born-to-ride-with-my-daddy-embroidered?transaction_id=5089728392" TargetMode="External"/><Relationship Id="rId1611" Type="http://schemas.openxmlformats.org/officeDocument/2006/relationships/hyperlink" Target="https://www.etsy.com/listing/4437043955/new-to-the-crew-running-embroidered-baby?transaction_id=4983483929" TargetMode="External"/><Relationship Id="rId3369" Type="http://schemas.openxmlformats.org/officeDocument/2006/relationships/hyperlink" Target="https://www.etsy.com/ca/listing/4392962015/cant-wait-to-jam-with-daddy-embroidered?transaction_id=4974494321" TargetMode="External"/><Relationship Id="rId497" Type="http://schemas.openxmlformats.org/officeDocument/2006/relationships/hyperlink" Target="https://www.etsy.com/ca/listing/4471139539/daddys-future-hunting-buddy-baby-romper?transaction_id=5104068276" TargetMode="External"/><Relationship Id="rId2178" Type="http://schemas.openxmlformats.org/officeDocument/2006/relationships/hyperlink" Target="https://www.etsy.com/ca/listing/4330488178/new-to-the-club-embroidered-baby-romper?transaction_id=4799597203" TargetMode="External"/><Relationship Id="rId2385" Type="http://schemas.openxmlformats.org/officeDocument/2006/relationships/hyperlink" Target="https://www.etsy.com/ca/listing/4330488178/embroidered-golf-baby-romper-new-to-the?transaction_id=4835724507" TargetMode="External"/><Relationship Id="rId3229" Type="http://schemas.openxmlformats.org/officeDocument/2006/relationships/hyperlink" Target="https://www.etsy.com/ca/listing/4392932100/born-to-ride-with-my-daddy-embroidered?transaction_id=4944021678" TargetMode="External"/><Relationship Id="rId357" Type="http://schemas.openxmlformats.org/officeDocument/2006/relationships/hyperlink" Target="https://www.etsy.com/listing/4482267440/is-it-too-soon-to-ask-for-a-bike-baby?transaction_id=5105484447" TargetMode="External"/><Relationship Id="rId1194" Type="http://schemas.openxmlformats.org/officeDocument/2006/relationships/hyperlink" Target="https://www.etsy.com/ca/listing/4371125103/personalized-dog-baby-bodysuit-custom?transaction_id=4963481220" TargetMode="External"/><Relationship Id="rId2038" Type="http://schemas.openxmlformats.org/officeDocument/2006/relationships/hyperlink" Target="https://www.etsy.com/ca/listing/4352935112/custom-baby-romper-personalized-newborn?transaction_id=4757930306" TargetMode="External"/><Relationship Id="rId2592" Type="http://schemas.openxmlformats.org/officeDocument/2006/relationships/hyperlink" Target="https://www.etsy.com/ca/listing/4392936921/apparently-i-like-golf-embroidered?transaction_id=4864903980" TargetMode="External"/><Relationship Id="rId217" Type="http://schemas.openxmlformats.org/officeDocument/2006/relationships/hyperlink" Target="https://www.etsy.com/listing/4477977946/apparently-i-like-f1-baby-romper-funny?transaction_id=5062001809" TargetMode="External"/><Relationship Id="rId564" Type="http://schemas.openxmlformats.org/officeDocument/2006/relationships/hyperlink" Target="https://www.etsy.com/ca/listing/4507655767/dads-best-bud-baby-romper-first-fathers?transaction_id=5093474294" TargetMode="External"/><Relationship Id="rId771" Type="http://schemas.openxmlformats.org/officeDocument/2006/relationships/hyperlink" Target="https://www.etsy.com/ca/listing/4487707236/new-to-the-crew-dirt-bike-embroidered?transaction_id=5063800341" TargetMode="External"/><Relationship Id="rId2245" Type="http://schemas.openxmlformats.org/officeDocument/2006/relationships/hyperlink" Target="https://www.etsy.com/ca/listing/4344232490/freshly-brewed-baby-bodysuit-cute-coffee?transaction_id=4803052388" TargetMode="External"/><Relationship Id="rId2452" Type="http://schemas.openxmlformats.org/officeDocument/2006/relationships/hyperlink" Target="https://www.etsy.com/ca/listing/4347260564/football-baby-romper-game-day-baby?transaction_id=4836790522" TargetMode="External"/><Relationship Id="rId424" Type="http://schemas.openxmlformats.org/officeDocument/2006/relationships/hyperlink" Target="https://www.etsy.com/listing/4445814433/music-is-in-my-dna-embroidered-baby?transaction_id=5029101403" TargetMode="External"/><Relationship Id="rId631" Type="http://schemas.openxmlformats.org/officeDocument/2006/relationships/hyperlink" Target="https://www.etsy.com/ca/listing/4392935796/box-box-for-fresh-diapers-embroidered?transaction_id=5093834059" TargetMode="External"/><Relationship Id="rId1054" Type="http://schemas.openxmlformats.org/officeDocument/2006/relationships/hyperlink" Target="https://www.etsy.com/ca/listing/4467440237/the-littlest-coffee-club-member-baby?transaction_id=4998889836" TargetMode="External"/><Relationship Id="rId1261" Type="http://schemas.openxmlformats.org/officeDocument/2006/relationships/hyperlink" Target="https://www.etsy.com/listing/4399231639/first-grandbaby-embroidered-baby-romper?transaction_id=5030134339" TargetMode="External"/><Relationship Id="rId2105" Type="http://schemas.openxmlformats.org/officeDocument/2006/relationships/hyperlink" Target="https://www.etsy.com/ca/listing/4376389783/player-2-baby-romper-gamer-baby-outfit?transaction_id=4772699592" TargetMode="External"/><Relationship Id="rId2312" Type="http://schemas.openxmlformats.org/officeDocument/2006/relationships/hyperlink" Target="https://www.etsy.com/ca/listing/4336907597/custom-running-baby-romper-daddys-future?transaction_id=4819102141" TargetMode="External"/><Relationship Id="rId1121" Type="http://schemas.openxmlformats.org/officeDocument/2006/relationships/hyperlink" Target="https://www.etsy.com/ca/listing/4467449868/the-littlest-garden-club-member-baby?transaction_id=4991672770" TargetMode="External"/><Relationship Id="rId3086" Type="http://schemas.openxmlformats.org/officeDocument/2006/relationships/hyperlink" Target="https://www.etsy.com/ca/listing/4330488178/embroidered-golf-baby-romper-new-to-the?transaction_id=4926017414" TargetMode="External"/><Relationship Id="rId3293" Type="http://schemas.openxmlformats.org/officeDocument/2006/relationships/hyperlink" Target="https://www.etsy.com/ca/listing/4376389783/player-2-baby-romper-gamer-baby-outfit?transaction_id=4962446497" TargetMode="External"/><Relationship Id="rId1938" Type="http://schemas.openxmlformats.org/officeDocument/2006/relationships/hyperlink" Target="https://www.etsy.com/ca/listing/4330488178/new-to-the-club-embroidered-baby-romper?transaction_id=4725500739" TargetMode="External"/><Relationship Id="rId3153" Type="http://schemas.openxmlformats.org/officeDocument/2006/relationships/hyperlink" Target="https://www.etsy.com/ca/listing/4376399899/the-littlest-book-club-member-baby?transaction_id=4946458149" TargetMode="External"/><Relationship Id="rId3360" Type="http://schemas.openxmlformats.org/officeDocument/2006/relationships/hyperlink" Target="https://www.etsy.com/ca/listing/4376389783/player-2-baby-romper-gamer-baby-outfit?transaction_id=4962294952" TargetMode="External"/><Relationship Id="rId281" Type="http://schemas.openxmlformats.org/officeDocument/2006/relationships/hyperlink" Target="https://www.etsy.com/ca/listing/4518303218/daddys-future-gaming-buddy-romper-gamer?transaction_id=5111482167" TargetMode="External"/><Relationship Id="rId3013" Type="http://schemas.openxmlformats.org/officeDocument/2006/relationships/hyperlink" Target="https://www.etsy.com/ca/listing/4371125103/personalized-dog-baby-bodysuit-custom?transaction_id=4932443569" TargetMode="External"/><Relationship Id="rId141" Type="http://schemas.openxmlformats.org/officeDocument/2006/relationships/hyperlink" Target="https://www.etsy.com/listing/4482244700/apparently-i-like-tennis-baby-romper?transaction_id=5073031741" TargetMode="External"/><Relationship Id="rId3220" Type="http://schemas.openxmlformats.org/officeDocument/2006/relationships/hyperlink" Target="https://www.etsy.com/ca/listing/4392962015/cant-wait-to-jam-with-daddy-embroidered?transaction_id=4954361285" TargetMode="External"/><Relationship Id="rId7" Type="http://schemas.openxmlformats.org/officeDocument/2006/relationships/hyperlink" Target="https://www.etsy.com/listing/4395094410/do-not-kiss-me-if-im-nacho-baby?transaction_id=5095096737" TargetMode="External"/><Relationship Id="rId2779" Type="http://schemas.openxmlformats.org/officeDocument/2006/relationships/hyperlink" Target="https://www.etsy.com/ca/listing/4371125103/personalized-dog-baby-bodysuit-custom?transaction_id=4912448601" TargetMode="External"/><Relationship Id="rId2986" Type="http://schemas.openxmlformats.org/officeDocument/2006/relationships/hyperlink" Target="https://www.etsy.com/ca/listing/4376389783/player-2-baby-romper-gamer-baby-outfit?transaction_id=4917475768" TargetMode="External"/><Relationship Id="rId958" Type="http://schemas.openxmlformats.org/officeDocument/2006/relationships/hyperlink" Target="https://www.etsy.com/ca/listing/4336907597/custom-running-baby-romper-daddys-future?transaction_id=5028933047" TargetMode="External"/><Relationship Id="rId1588" Type="http://schemas.openxmlformats.org/officeDocument/2006/relationships/hyperlink" Target="https://www.etsy.com/listing/4473244004/personalized-baby-romper-embroidered?transaction_id=5104695010" TargetMode="External"/><Relationship Id="rId1795" Type="http://schemas.openxmlformats.org/officeDocument/2006/relationships/hyperlink" Target="https://www.etsy.com/ca/listing/4333135410/little-pumpkin-baby-romper-fall?transaction_id=4673387416" TargetMode="External"/><Relationship Id="rId2639" Type="http://schemas.openxmlformats.org/officeDocument/2006/relationships/hyperlink" Target="https://www.etsy.com/ca/listing/4330488178/embroidered-golf-baby-romper-new-to-the?transaction_id=4871225708" TargetMode="External"/><Relationship Id="rId2846" Type="http://schemas.openxmlformats.org/officeDocument/2006/relationships/hyperlink" Target="https://www.etsy.com/ca/listing/4392936921/apparently-i-like-golf-embroidered?transaction_id=4905165954" TargetMode="External"/><Relationship Id="rId87" Type="http://schemas.openxmlformats.org/officeDocument/2006/relationships/hyperlink" Target="https://www.etsy.com/listing/4513100217/my-kind-of-formula-embroidered-romper?transaction_id=5106387293" TargetMode="External"/><Relationship Id="rId818" Type="http://schemas.openxmlformats.org/officeDocument/2006/relationships/hyperlink" Target="https://www.etsy.com/ca/listing/4469531325/happy-hour-with-uncle-mike-baby-romper?transaction_id=5038901920" TargetMode="External"/><Relationship Id="rId1448" Type="http://schemas.openxmlformats.org/officeDocument/2006/relationships/hyperlink" Target="https://www.etsy.com/listing/4376404086/embroidered-lil-nugget-baby-bodysuit?transaction_id=5098095891" TargetMode="External"/><Relationship Id="rId1655" Type="http://schemas.openxmlformats.org/officeDocument/2006/relationships/hyperlink" Target="https://www.etsy.com/listing/4484965320/grandmas-future-bestie-baby?transaction_id=5048275511" TargetMode="External"/><Relationship Id="rId2706" Type="http://schemas.openxmlformats.org/officeDocument/2006/relationships/hyperlink" Target="https://www.etsy.com/ca/listing/4346126210/daddys-future-lifting-buddy-romper-baby?transaction_id=4883404608" TargetMode="External"/><Relationship Id="rId1308" Type="http://schemas.openxmlformats.org/officeDocument/2006/relationships/hyperlink" Target="https://www.etsy.com/listing/4485708190/daddys-little-caddy-embroidered-baby?transaction_id=5064110813" TargetMode="External"/><Relationship Id="rId1862" Type="http://schemas.openxmlformats.org/officeDocument/2006/relationships/hyperlink" Target="https://www.etsy.com/ca/listing/4330479964/personalized-fox-baby-bodysuit?transaction_id=4706809824" TargetMode="External"/><Relationship Id="rId2913" Type="http://schemas.openxmlformats.org/officeDocument/2006/relationships/hyperlink" Target="https://www.etsy.com/ca/listing/4371125103/personalized-dog-baby-bodysuit-custom?transaction_id=4910096792" TargetMode="External"/><Relationship Id="rId1515" Type="http://schemas.openxmlformats.org/officeDocument/2006/relationships/hyperlink" Target="https://www.etsy.com/listing/4473844239/funny-f1-racing-quote-embroidered-baby?transaction_id=5096866380" TargetMode="External"/><Relationship Id="rId1722" Type="http://schemas.openxmlformats.org/officeDocument/2006/relationships/hyperlink" Target="https://www.etsy.com/ca/listing/4330504400/born-to-play-like-my-daddy-baby-romper?transaction_id=4649139536" TargetMode="External"/><Relationship Id="rId14" Type="http://schemas.openxmlformats.org/officeDocument/2006/relationships/hyperlink" Target="https://www.etsy.com/listing/4436931040/little-peanut-embroidered-baby-bodysuit?transaction_id=5070350650" TargetMode="External"/><Relationship Id="rId2289" Type="http://schemas.openxmlformats.org/officeDocument/2006/relationships/hyperlink" Target="https://www.etsy.com/ca/listing/4392936921/apparently-i-like-golf-embroidered?transaction_id=4807205440" TargetMode="External"/><Relationship Id="rId2496" Type="http://schemas.openxmlformats.org/officeDocument/2006/relationships/hyperlink" Target="https://www.etsy.com/ca/listing/4346126210/daddys-future-lifting-buddy-romper-baby?transaction_id=4861752591" TargetMode="External"/><Relationship Id="rId468" Type="http://schemas.openxmlformats.org/officeDocument/2006/relationships/hyperlink" Target="https://www.etsy.com/listing/4449065874/books-and-coffee-embroidered-baby?transaction_id=4952152258" TargetMode="External"/><Relationship Id="rId675" Type="http://schemas.openxmlformats.org/officeDocument/2006/relationships/hyperlink" Target="https://www.etsy.com/ca/listing/4336899579/personalized-basketball-baby-romper?transaction_id=5085971097" TargetMode="External"/><Relationship Id="rId882" Type="http://schemas.openxmlformats.org/officeDocument/2006/relationships/hyperlink" Target="https://www.etsy.com/ca/listing/4347895283/football-baby-bodysuit-dont-fumble-me?transaction_id=5031399846" TargetMode="External"/><Relationship Id="rId1098" Type="http://schemas.openxmlformats.org/officeDocument/2006/relationships/hyperlink" Target="https://www.etsy.com/ca/listing/4467440237/the-littlest-coffee-club-member-baby?transaction_id=5003592589" TargetMode="External"/><Relationship Id="rId2149" Type="http://schemas.openxmlformats.org/officeDocument/2006/relationships/hyperlink" Target="https://www.etsy.com/ca/listing/4330489800/personalized-badminton-baby-romper?transaction_id=4790938147" TargetMode="External"/><Relationship Id="rId2356" Type="http://schemas.openxmlformats.org/officeDocument/2006/relationships/hyperlink" Target="https://www.etsy.com/ca/listing/4393819210/sweet-dreams-are-made-of-cheese?transaction_id=4832286761" TargetMode="External"/><Relationship Id="rId2563" Type="http://schemas.openxmlformats.org/officeDocument/2006/relationships/hyperlink" Target="https://www.etsy.com/ca/listing/4347894651/giraffe-baby-bodysuit-you-bet-giraffe-im?transaction_id=4874529319" TargetMode="External"/><Relationship Id="rId2770" Type="http://schemas.openxmlformats.org/officeDocument/2006/relationships/hyperlink" Target="https://www.etsy.com/ca/listing/4330479964/personalized-fox-baby-bodysuit-custom?transaction_id=4896682888" TargetMode="External"/><Relationship Id="rId328" Type="http://schemas.openxmlformats.org/officeDocument/2006/relationships/hyperlink" Target="https://www.etsy.com/ca/listing/4447793500/its-in-my-dna-baby-romper-baseball-baby?transaction_id=5015439284" TargetMode="External"/><Relationship Id="rId535" Type="http://schemas.openxmlformats.org/officeDocument/2006/relationships/hyperlink" Target="https://www.etsy.com/ca/listing/4503552705/check-engine-diaper-baby-romper?transaction_id=5107792009" TargetMode="External"/><Relationship Id="rId742" Type="http://schemas.openxmlformats.org/officeDocument/2006/relationships/hyperlink" Target="https://www.etsy.com/ca/listing/4471134725/new-to-the-herd-baby-romper-western-baby?transaction_id=5070105777" TargetMode="External"/><Relationship Id="rId1165" Type="http://schemas.openxmlformats.org/officeDocument/2006/relationships/hyperlink" Target="https://www.etsy.com/ca/listing/4376399899/the-littlest-book-club-member-baby?transaction_id=4994687303" TargetMode="External"/><Relationship Id="rId1372" Type="http://schemas.openxmlformats.org/officeDocument/2006/relationships/hyperlink" Target="https://www.etsy.com/listing/4509425156/on-sundays-we-watch-football-with-daddy?transaction_id=5079253756" TargetMode="External"/><Relationship Id="rId2009" Type="http://schemas.openxmlformats.org/officeDocument/2006/relationships/hyperlink" Target="https://www.etsy.com/ca/listing/4330488178/new-to-the-club-embroidered-baby-romper?transaction_id=4763177643" TargetMode="External"/><Relationship Id="rId2216" Type="http://schemas.openxmlformats.org/officeDocument/2006/relationships/hyperlink" Target="https://www.etsy.com/ca/listing/4392932100/born-to-ride-with-my-daddy-embroidered?transaction_id=4798197704" TargetMode="External"/><Relationship Id="rId2423" Type="http://schemas.openxmlformats.org/officeDocument/2006/relationships/hyperlink" Target="https://www.etsy.com/ca/listing/4330488178/embroidered-golf-baby-romper-new-to-the?transaction_id=4841827823" TargetMode="External"/><Relationship Id="rId2630" Type="http://schemas.openxmlformats.org/officeDocument/2006/relationships/hyperlink" Target="https://www.etsy.com/ca/listing/4392929794/little-latke-embroidered-romper-hanukkah?transaction_id=4886143393" TargetMode="External"/><Relationship Id="rId602" Type="http://schemas.openxmlformats.org/officeDocument/2006/relationships/hyperlink" Target="https://www.etsy.com/ca/listing/4376392339/funny-baby-romper-my-brand-of-formula?transaction_id=5099363175" TargetMode="External"/><Relationship Id="rId1025" Type="http://schemas.openxmlformats.org/officeDocument/2006/relationships/hyperlink" Target="https://www.etsy.com/ca/listing/4376399899/the-littlest-book-club-member-baby?transaction_id=5014082637" TargetMode="External"/><Relationship Id="rId1232" Type="http://schemas.openxmlformats.org/officeDocument/2006/relationships/hyperlink" Target="https://www.etsy.com/ca/listing/4336907597/custom-running-baby-romper-daddys-future?transaction_id=4972720528" TargetMode="External"/><Relationship Id="rId3197" Type="http://schemas.openxmlformats.org/officeDocument/2006/relationships/hyperlink" Target="https://www.etsy.com/ca/listing/4393855716/lil-chef-embroidered-romper-cute-baby?transaction_id=4939711724" TargetMode="External"/><Relationship Id="rId3057" Type="http://schemas.openxmlformats.org/officeDocument/2006/relationships/hyperlink" Target="https://www.etsy.com/ca/listing/4372375963/whaley-cute-baby-romper-funny-whale-baby?transaction_id=4923708192" TargetMode="External"/><Relationship Id="rId185" Type="http://schemas.openxmlformats.org/officeDocument/2006/relationships/hyperlink" Target="https://www.etsy.com/listing/4444113376/tiny-touchdown-baby-romper-football?transaction_id=4950064005" TargetMode="External"/><Relationship Id="rId1909" Type="http://schemas.openxmlformats.org/officeDocument/2006/relationships/hyperlink" Target="https://www.etsy.com/ca/listing/4330485404/cat-face-embroidered-baby-romper-my?transaction_id=4738455053" TargetMode="External"/><Relationship Id="rId3264" Type="http://schemas.openxmlformats.org/officeDocument/2006/relationships/hyperlink" Target="https://www.etsy.com/ca/listing/4393855716/lil-chef-embroidered-romper-cute-baby?transaction_id=4958454981" TargetMode="External"/><Relationship Id="rId392" Type="http://schemas.openxmlformats.org/officeDocument/2006/relationships/hyperlink" Target="https://www.etsy.com/listing/4482262637/is-it-too-soon-to-ask-for-a-motorbike?transaction_id=5062008208" TargetMode="External"/><Relationship Id="rId2073" Type="http://schemas.openxmlformats.org/officeDocument/2006/relationships/hyperlink" Target="https://www.etsy.com/ca/listing/4333134764/wizard-font-baby-romper-personalized?transaction_id=4763354432" TargetMode="External"/><Relationship Id="rId2280" Type="http://schemas.openxmlformats.org/officeDocument/2006/relationships/hyperlink" Target="https://www.etsy.com/ca/listing/4392935796/box-box-for-fresh-diapers-embroidered?transaction_id=4814696963" TargetMode="External"/><Relationship Id="rId3124" Type="http://schemas.openxmlformats.org/officeDocument/2006/relationships/hyperlink" Target="https://www.etsy.com/ca/listing/4376399899/the-littlest-book-club-member-baby?transaction_id=4930821512" TargetMode="External"/><Relationship Id="rId3331" Type="http://schemas.openxmlformats.org/officeDocument/2006/relationships/hyperlink" Target="https://www.etsy.com/ca/listing/4392936921/apparently-i-like-golf-embroidered?transaction_id=4957348034" TargetMode="External"/><Relationship Id="rId252" Type="http://schemas.openxmlformats.org/officeDocument/2006/relationships/hyperlink" Target="https://www.etsy.com/listing/4440204157/short-stack-baby-romper-embroidered?transaction_id=4952855058" TargetMode="External"/><Relationship Id="rId2140" Type="http://schemas.openxmlformats.org/officeDocument/2006/relationships/hyperlink" Target="https://www.etsy.com/ca/listing/4346126210/daddys-future-lifting-buddy-romper-baby?transaction_id=4788173851" TargetMode="External"/><Relationship Id="rId112" Type="http://schemas.openxmlformats.org/officeDocument/2006/relationships/hyperlink" Target="https://www.etsy.com/listing/4513106219/new-to-the-crew-embroidered-romper?transaction_id=5087488262" TargetMode="External"/><Relationship Id="rId1699" Type="http://schemas.openxmlformats.org/officeDocument/2006/relationships/hyperlink" Target="https://www.etsy.com/listing/4350639885/my-sibling-has-paws-baby-romper?transaction_id=4793496430" TargetMode="External"/><Relationship Id="rId2000" Type="http://schemas.openxmlformats.org/officeDocument/2006/relationships/hyperlink" Target="https://www.etsy.com/ca/listing/4344239173/little-pumpkin-baby-romper-fall?transaction_id=4760809939" TargetMode="External"/><Relationship Id="rId2957" Type="http://schemas.openxmlformats.org/officeDocument/2006/relationships/hyperlink" Target="https://www.etsy.com/ca/listing/4330488178/embroidered-golf-baby-romper-new-to-the?transaction_id=4914796862" TargetMode="External"/><Relationship Id="rId929" Type="http://schemas.openxmlformats.org/officeDocument/2006/relationships/hyperlink" Target="https://www.etsy.com/ca/listing/4376399899/the-littlest-book-club-member-baby?transaction_id=5024641156" TargetMode="External"/><Relationship Id="rId1559" Type="http://schemas.openxmlformats.org/officeDocument/2006/relationships/hyperlink" Target="https://www.etsy.com/listing/4473218593/everleigh-cherry-baby-romper-custom-name?transaction_id=5003007546" TargetMode="External"/><Relationship Id="rId1766" Type="http://schemas.openxmlformats.org/officeDocument/2006/relationships/hyperlink" Target="https://www.etsy.com/ca/listing/4330488178/new-to-the-club-embroidered-baby-romper?transaction_id=4681080427" TargetMode="External"/><Relationship Id="rId1973" Type="http://schemas.openxmlformats.org/officeDocument/2006/relationships/hyperlink" Target="https://www.etsy.com/ca/listing/4330485404/cat-face-embroidered-baby-romper-my?transaction_id=4743983092" TargetMode="External"/><Relationship Id="rId2817" Type="http://schemas.openxmlformats.org/officeDocument/2006/relationships/hyperlink" Target="https://www.etsy.com/ca/listing/4347265018/made-with-love-baby-romper-funny-baby?transaction_id=4916378947" TargetMode="External"/><Relationship Id="rId58" Type="http://schemas.openxmlformats.org/officeDocument/2006/relationships/hyperlink" Target="https://www.etsy.com/listing/4472714633/dont-mess-with-me-my-dad-is-a-biker-baby?transaction_id=5110960965" TargetMode="External"/><Relationship Id="rId1419" Type="http://schemas.openxmlformats.org/officeDocument/2006/relationships/hyperlink" Target="https://www.etsy.com/listing/4475396317/custom-name-soccer-embroidered-baby?transaction_id=5106418857" TargetMode="External"/><Relationship Id="rId1626" Type="http://schemas.openxmlformats.org/officeDocument/2006/relationships/hyperlink" Target="https://www.etsy.com/listing/4439745806/personalized-h-is-for-helicopter?transaction_id=5006429605" TargetMode="External"/><Relationship Id="rId1833" Type="http://schemas.openxmlformats.org/officeDocument/2006/relationships/hyperlink" Target="https://www.etsy.com/ca/listing/4330488178/new-to-the-club-embroidered-baby-romper?transaction_id=4691212138" TargetMode="External"/><Relationship Id="rId1900" Type="http://schemas.openxmlformats.org/officeDocument/2006/relationships/hyperlink" Target="https://www.etsy.com/ca/listing/4336907597/custom-running-baby-romper-daddys-future?transaction_id=4724182078" TargetMode="External"/><Relationship Id="rId579" Type="http://schemas.openxmlformats.org/officeDocument/2006/relationships/hyperlink" Target="https://www.etsy.com/ca/listing/4346126210/daddys-future-lifting-buddy-romper-baby?transaction_id=5102387067" TargetMode="External"/><Relationship Id="rId786" Type="http://schemas.openxmlformats.org/officeDocument/2006/relationships/hyperlink" Target="https://www.etsy.com/ca/listing/4346126210/daddys-future-lifting-buddy-romper-baby?transaction_id=5064583587" TargetMode="External"/><Relationship Id="rId993" Type="http://schemas.openxmlformats.org/officeDocument/2006/relationships/hyperlink" Target="https://www.etsy.com/ca/listing/4376399899/the-littlest-book-club-member-baby?transaction_id=5011059704" TargetMode="External"/><Relationship Id="rId2467" Type="http://schemas.openxmlformats.org/officeDocument/2006/relationships/hyperlink" Target="https://www.etsy.com/ca/listing/4392935796/box-box-for-fresh-diapers-embroidered?transaction_id=4855323573" TargetMode="External"/><Relationship Id="rId2674" Type="http://schemas.openxmlformats.org/officeDocument/2006/relationships/hyperlink" Target="https://www.etsy.com/ca/listing/4392936921/apparently-i-like-golf-embroidered?transaction_id=4877314470" TargetMode="External"/><Relationship Id="rId439" Type="http://schemas.openxmlformats.org/officeDocument/2006/relationships/hyperlink" Target="https://www.etsy.com/listing/4445820850/newest-member-of-the-band-embroidered?transaction_id=4998504262" TargetMode="External"/><Relationship Id="rId646" Type="http://schemas.openxmlformats.org/officeDocument/2006/relationships/hyperlink" Target="https://www.etsy.com/ca/listing/4371125103/personalized-dog-baby-bodysuit-custom?transaction_id=5090983897" TargetMode="External"/><Relationship Id="rId1069" Type="http://schemas.openxmlformats.org/officeDocument/2006/relationships/hyperlink" Target="https://www.etsy.com/ca/listing/4336907597/custom-running-baby-romper-daddys-future?transaction_id=4972720528" TargetMode="External"/><Relationship Id="rId1276" Type="http://schemas.openxmlformats.org/officeDocument/2006/relationships/hyperlink" Target="https://www.etsy.com/listing/4485710996/masters-2026-augusta-national-golf-club?transaction_id=5037649377" TargetMode="External"/><Relationship Id="rId1483" Type="http://schemas.openxmlformats.org/officeDocument/2006/relationships/hyperlink" Target="https://www.etsy.com/listing/4465286733/embroidered-new-to-the-fishing-crew-baby?transaction_id=5090748500" TargetMode="External"/><Relationship Id="rId2327" Type="http://schemas.openxmlformats.org/officeDocument/2006/relationships/hyperlink" Target="https://www.etsy.com/ca/listing/4392932100/born-to-ride-with-my-daddy-embroidered?transaction_id=4822344079" TargetMode="External"/><Relationship Id="rId2881" Type="http://schemas.openxmlformats.org/officeDocument/2006/relationships/hyperlink" Target="https://www.etsy.com/ca/listing/4376399899/the-littlest-book-club-member-baby?transaction_id=4906985906" TargetMode="External"/><Relationship Id="rId506" Type="http://schemas.openxmlformats.org/officeDocument/2006/relationships/hyperlink" Target="https://www.etsy.com/ca/listing/4346126210/daddys-future-lifting-buddy-romper-baby?transaction_id=5112360923" TargetMode="External"/><Relationship Id="rId853" Type="http://schemas.openxmlformats.org/officeDocument/2006/relationships/hyperlink" Target="https://www.etsy.com/ca/listing/4346126210/daddys-future-lifting-buddy-romper-baby?transaction_id=5036712120" TargetMode="External"/><Relationship Id="rId1136" Type="http://schemas.openxmlformats.org/officeDocument/2006/relationships/hyperlink" Target="https://www.etsy.com/ca/listing/4376392339/funny-baby-romper-my-brand-of-formula?transaction_id=4999295531" TargetMode="External"/><Relationship Id="rId1690" Type="http://schemas.openxmlformats.org/officeDocument/2006/relationships/hyperlink" Target="https://www.etsy.com/listing/4350639885/my-sibling-has-paws-baby-romper?transaction_id=4717672803" TargetMode="External"/><Relationship Id="rId2534" Type="http://schemas.openxmlformats.org/officeDocument/2006/relationships/hyperlink" Target="https://www.etsy.com/ca/listing/4336907597/custom-running-baby-romper-daddys-future?transaction_id=4869926435" TargetMode="External"/><Relationship Id="rId2741" Type="http://schemas.openxmlformats.org/officeDocument/2006/relationships/hyperlink" Target="https://www.etsy.com/ca/listing/4371125103/personalized-dog-baby-bodysuit-custom?transaction_id=4891360288" TargetMode="External"/><Relationship Id="rId713" Type="http://schemas.openxmlformats.org/officeDocument/2006/relationships/hyperlink" Target="https://www.etsy.com/ca/listing/4376389783/player-2-baby-romper-gamer-baby-outfit?transaction_id=5076058255" TargetMode="External"/><Relationship Id="rId920" Type="http://schemas.openxmlformats.org/officeDocument/2006/relationships/hyperlink" Target="https://www.etsy.com/ca/listing/4376389783/player-2-baby-romper-gamer-baby-outfit?transaction_id=5025675098" TargetMode="External"/><Relationship Id="rId1343" Type="http://schemas.openxmlformats.org/officeDocument/2006/relationships/hyperlink" Target="https://www.etsy.com/listing/4473747526/custom-penguin-bodysuit-embroidered-baby?transaction_id=5081250215" TargetMode="External"/><Relationship Id="rId1550" Type="http://schemas.openxmlformats.org/officeDocument/2006/relationships/hyperlink" Target="https://www.etsy.com/listing/4376404086/embroidered-lil-nugget-baby-bodysuit?transaction_id=5114937451" TargetMode="External"/><Relationship Id="rId2601" Type="http://schemas.openxmlformats.org/officeDocument/2006/relationships/hyperlink" Target="https://www.etsy.com/ca/listing/4379194627/new-to-the-farm-embroidered-romper-baby?transaction_id=4866845154" TargetMode="External"/><Relationship Id="rId1203" Type="http://schemas.openxmlformats.org/officeDocument/2006/relationships/hyperlink" Target="https://www.etsy.com/ca/listing/4344235128/new-to-the-hive-baby-romper-embroidered?transaction_id=4977684036" TargetMode="External"/><Relationship Id="rId1410" Type="http://schemas.openxmlformats.org/officeDocument/2006/relationships/hyperlink" Target="https://www.etsy.com/listing/4475403120/future-drummer-like-daddy-embroidered?transaction_id=5092132738" TargetMode="External"/><Relationship Id="rId3168" Type="http://schemas.openxmlformats.org/officeDocument/2006/relationships/hyperlink" Target="https://www.etsy.com/ca/listing/4376399899/the-littlest-book-club-member-baby?transaction_id=4936799448" TargetMode="External"/><Relationship Id="rId3375" Type="http://schemas.openxmlformats.org/officeDocument/2006/relationships/hyperlink" Target="https://www.etsy.com/ca/listing/4344235128/new-to-the-hive-baby-romper-embroidered?transaction_id=4975661883" TargetMode="External"/><Relationship Id="rId296" Type="http://schemas.openxmlformats.org/officeDocument/2006/relationships/hyperlink" Target="https://www.etsy.com/ca/listing/4510955407/born-to-ride-with-my-daddy-baby-romper?transaction_id=5093954663" TargetMode="External"/><Relationship Id="rId2184" Type="http://schemas.openxmlformats.org/officeDocument/2006/relationships/hyperlink" Target="https://www.etsy.com/ca/listing/4379182759/golf-baby-outfit-custom-name-golf-cart?transaction_id=4792977398" TargetMode="External"/><Relationship Id="rId2391" Type="http://schemas.openxmlformats.org/officeDocument/2006/relationships/hyperlink" Target="https://www.etsy.com/ca/listing/4376401181/challah-at-your-girl-baby-bodysuit-funny?transaction_id=4836694975" TargetMode="External"/><Relationship Id="rId3028" Type="http://schemas.openxmlformats.org/officeDocument/2006/relationships/hyperlink" Target="https://www.etsy.com/ca/listing/4346126210/daddys-future-lifting-buddy-romper-baby?transaction_id=4933651949" TargetMode="External"/><Relationship Id="rId3235" Type="http://schemas.openxmlformats.org/officeDocument/2006/relationships/hyperlink" Target="https://www.etsy.com/ca/listing/4371125103/personalized-dog-baby-bodysuit-custom?transaction_id=4944369360" TargetMode="External"/><Relationship Id="rId156" Type="http://schemas.openxmlformats.org/officeDocument/2006/relationships/hyperlink" Target="https://www.etsy.com/listing/4461647435/daddys-little-co-pilot-baby-romper?transaction_id=5036488419" TargetMode="External"/><Relationship Id="rId363" Type="http://schemas.openxmlformats.org/officeDocument/2006/relationships/hyperlink" Target="https://www.etsy.com/listing/4482268262/is-it-too-soon-to-ask-for-a-pony-baby?transaction_id=5089736186" TargetMode="External"/><Relationship Id="rId570" Type="http://schemas.openxmlformats.org/officeDocument/2006/relationships/hyperlink" Target="https://www.etsy.com/ca/listing/4467440237/the-littlest-coffee-club-member-baby?transaction_id=5092619594" TargetMode="External"/><Relationship Id="rId2044" Type="http://schemas.openxmlformats.org/officeDocument/2006/relationships/hyperlink" Target="https://www.etsy.com/ca/listing/4330504943/born-to-play-like-my-daddy-baby-romper?transaction_id=4758916360" TargetMode="External"/><Relationship Id="rId2251" Type="http://schemas.openxmlformats.org/officeDocument/2006/relationships/hyperlink" Target="https://www.etsy.com/ca/listing/4392929794/little-latke-embroidered-romper-hanukkah?transaction_id=4804174318" TargetMode="External"/><Relationship Id="rId3302" Type="http://schemas.openxmlformats.org/officeDocument/2006/relationships/hyperlink" Target="https://www.etsy.com/ca/listing/4330485404/cat-face-embroidered-baby-romper-funny?transaction_id=4953413984" TargetMode="External"/><Relationship Id="rId223" Type="http://schemas.openxmlformats.org/officeDocument/2006/relationships/hyperlink" Target="https://www.etsy.com/listing/4477977946/apparently-i-like-f1-baby-romper-funny?transaction_id=5049301857" TargetMode="External"/><Relationship Id="rId430" Type="http://schemas.openxmlformats.org/officeDocument/2006/relationships/hyperlink" Target="https://www.etsy.com/listing/4474936599/is-it-too-soon-to-ask-for-a-guitar-baby?transaction_id=5016370289" TargetMode="External"/><Relationship Id="rId1060" Type="http://schemas.openxmlformats.org/officeDocument/2006/relationships/hyperlink" Target="https://www.etsy.com/ca/listing/4393819210/sweet-dreams-are-made-of-cheese?transaction_id=5007416599" TargetMode="External"/><Relationship Id="rId2111" Type="http://schemas.openxmlformats.org/officeDocument/2006/relationships/hyperlink" Target="https://www.etsy.com/ca/listing/4347260564/football-baby-romper-game-day-baby?transaction_id=4774060898" TargetMode="External"/><Relationship Id="rId1877" Type="http://schemas.openxmlformats.org/officeDocument/2006/relationships/hyperlink" Target="https://www.etsy.com/ca/listing/4336907597/custom-running-baby-romper-daddys-future?transaction_id=4724415087" TargetMode="External"/><Relationship Id="rId2928" Type="http://schemas.openxmlformats.org/officeDocument/2006/relationships/hyperlink" Target="https://www.etsy.com/ca/listing/4376399899/the-littlest-book-club-member-baby?transaction_id=4911440988" TargetMode="External"/><Relationship Id="rId1737" Type="http://schemas.openxmlformats.org/officeDocument/2006/relationships/hyperlink" Target="https://www.etsy.com/ca/listing/4330504943/born-to-play-like-my-daddy-baby-romper?transaction_id=4674058537" TargetMode="External"/><Relationship Id="rId1944" Type="http://schemas.openxmlformats.org/officeDocument/2006/relationships/hyperlink" Target="https://www.etsy.com/ca/listing/4330485404/cat-face-embroidered-baby-romper-my?transaction_id=4735363162" TargetMode="External"/><Relationship Id="rId3092" Type="http://schemas.openxmlformats.org/officeDocument/2006/relationships/hyperlink" Target="https://www.etsy.com/ca/listing/4346126210/daddys-future-lifting-buddy-romper-baby?transaction_id=4939329249" TargetMode="External"/><Relationship Id="rId29" Type="http://schemas.openxmlformats.org/officeDocument/2006/relationships/hyperlink" Target="https://www.etsy.com/listing/4396138281/grandmas-little-ray-of-sunshine?transaction_id=5059746267" TargetMode="External"/><Relationship Id="rId1804" Type="http://schemas.openxmlformats.org/officeDocument/2006/relationships/hyperlink" Target="https://www.etsy.com/ca/listing/4330488178/new-to-the-club-embroidered-baby-romper?transaction_id=4693391593" TargetMode="External"/><Relationship Id="rId897" Type="http://schemas.openxmlformats.org/officeDocument/2006/relationships/hyperlink" Target="https://www.etsy.com/ca/listing/4482814958/first-mothers-day-together-baby-romper?transaction_id=5029774282" TargetMode="External"/><Relationship Id="rId2578" Type="http://schemas.openxmlformats.org/officeDocument/2006/relationships/hyperlink" Target="https://www.etsy.com/ca/listing/4371125103/personalized-dog-baby-bodysuit-custom?transaction_id=4877204285" TargetMode="External"/><Relationship Id="rId2785" Type="http://schemas.openxmlformats.org/officeDocument/2006/relationships/hyperlink" Target="https://www.etsy.com/ca/listing/4392935796/box-box-for-fresh-diapers-embroidered?transaction_id=4913282091" TargetMode="External"/><Relationship Id="rId2992" Type="http://schemas.openxmlformats.org/officeDocument/2006/relationships/hyperlink" Target="https://www.etsy.com/ca/listing/4330488178/embroidered-golf-baby-romper-new-to-the?transaction_id=4918008072" TargetMode="External"/><Relationship Id="rId757" Type="http://schemas.openxmlformats.org/officeDocument/2006/relationships/hyperlink" Target="https://www.etsy.com/ca/listing/4467451258/the-littlest-tennis-club-member-baby?transaction_id=5067483091" TargetMode="External"/><Relationship Id="rId964" Type="http://schemas.openxmlformats.org/officeDocument/2006/relationships/hyperlink" Target="https://www.etsy.com/ca/listing/4376399899/the-littlest-book-club-member-baby?transaction_id=5027549917" TargetMode="External"/><Relationship Id="rId1387" Type="http://schemas.openxmlformats.org/officeDocument/2006/relationships/hyperlink" Target="https://www.etsy.com/listing/4500080239/daddys-future-lifting-partner-retro?transaction_id=5083461290" TargetMode="External"/><Relationship Id="rId1594" Type="http://schemas.openxmlformats.org/officeDocument/2006/relationships/hyperlink" Target="https://www.etsy.com/listing/4429002267/personalized-poodle-embroidered-baby?transaction_id=4955006573" TargetMode="External"/><Relationship Id="rId2438" Type="http://schemas.openxmlformats.org/officeDocument/2006/relationships/hyperlink" Target="https://www.etsy.com/ca/listing/4371125103/personalized-dog-baby-bodysuit-custom?transaction_id=4802298666" TargetMode="External"/><Relationship Id="rId2645" Type="http://schemas.openxmlformats.org/officeDocument/2006/relationships/hyperlink" Target="https://www.etsy.com/ca/listing/4376399899/the-littlest-book-club-member-baby?transaction_id=4888369577" TargetMode="External"/><Relationship Id="rId2852" Type="http://schemas.openxmlformats.org/officeDocument/2006/relationships/hyperlink" Target="https://www.etsy.com/ca/listing/4392935796/box-box-for-fresh-diapers-embroidered?transaction_id=4919511625" TargetMode="External"/><Relationship Id="rId93" Type="http://schemas.openxmlformats.org/officeDocument/2006/relationships/hyperlink" Target="https://www.etsy.com/listing/4512145264/custom-dog-photo-embroidered-romper?transaction_id=5104290691" TargetMode="External"/><Relationship Id="rId617" Type="http://schemas.openxmlformats.org/officeDocument/2006/relationships/hyperlink" Target="https://www.etsy.com/ca/listing/4478460281/hunting-baby-romper-embroidered-outfit?transaction_id=5096342977" TargetMode="External"/><Relationship Id="rId824" Type="http://schemas.openxmlformats.org/officeDocument/2006/relationships/hyperlink" Target="https://www.etsy.com/ca/listing/4376392339/funny-baby-romper-my-brand-of-formula?transaction_id=5053413727" TargetMode="External"/><Relationship Id="rId1247" Type="http://schemas.openxmlformats.org/officeDocument/2006/relationships/hyperlink" Target="https://www.etsy.com/ca/listing/4376399899/the-littlest-book-club-member-baby?transaction_id=4969588704" TargetMode="External"/><Relationship Id="rId1454" Type="http://schemas.openxmlformats.org/officeDocument/2006/relationships/hyperlink" Target="https://www.etsy.com/listing/4376404086/embroidered-lil-nugget-baby-bodysuit?transaction_id=5087887206" TargetMode="External"/><Relationship Id="rId1661" Type="http://schemas.openxmlformats.org/officeDocument/2006/relationships/hyperlink" Target="https://www.etsy.com/listing/4429019252/personalized-badminton-baby-bodysuit?transaction_id=5062650773" TargetMode="External"/><Relationship Id="rId2505" Type="http://schemas.openxmlformats.org/officeDocument/2006/relationships/hyperlink" Target="https://www.etsy.com/ca/listing/4392932100/born-to-ride-with-my-daddy-embroidered?transaction_id=4851090820" TargetMode="External"/><Relationship Id="rId2712" Type="http://schemas.openxmlformats.org/officeDocument/2006/relationships/hyperlink" Target="https://www.etsy.com/ca/listing/4376399899/the-littlest-book-club-member-baby?transaction_id=4884615108" TargetMode="External"/><Relationship Id="rId1107" Type="http://schemas.openxmlformats.org/officeDocument/2006/relationships/hyperlink" Target="https://www.etsy.com/ca/listing/4392962015/cant-wait-to-jam-with-daddy-embroidered?transaction_id=5002682037" TargetMode="External"/><Relationship Id="rId1314" Type="http://schemas.openxmlformats.org/officeDocument/2006/relationships/hyperlink" Target="https://www.etsy.com/listing/4485710996/masters-2026-augusta-national-golf-club?transaction_id=5066038837" TargetMode="External"/><Relationship Id="rId1521" Type="http://schemas.openxmlformats.org/officeDocument/2006/relationships/hyperlink" Target="https://www.etsy.com/listing/4324712533/personalized-embroidered-chick-baby?transaction_id=5108969601" TargetMode="External"/><Relationship Id="rId3279" Type="http://schemas.openxmlformats.org/officeDocument/2006/relationships/hyperlink" Target="https://www.etsy.com/ca/listing/4376399899/the-littlest-book-club-member-baby?transaction_id=4961460265" TargetMode="External"/><Relationship Id="rId20" Type="http://schemas.openxmlformats.org/officeDocument/2006/relationships/hyperlink" Target="https://www.etsy.com/listing/4396672648/pickle-baby-embroidered-baby-bodysuit?transaction_id=5061625354" TargetMode="External"/><Relationship Id="rId2088" Type="http://schemas.openxmlformats.org/officeDocument/2006/relationships/hyperlink" Target="https://www.etsy.com/ca/listing/4372357398/personalized-hunting-baby-romper-custom?transaction_id=4777076849" TargetMode="External"/><Relationship Id="rId2295" Type="http://schemas.openxmlformats.org/officeDocument/2006/relationships/hyperlink" Target="https://www.etsy.com/ca/listing/4392929794/little-latke-embroidered-romper-hanukkah?transaction_id=4807768024" TargetMode="External"/><Relationship Id="rId3139" Type="http://schemas.openxmlformats.org/officeDocument/2006/relationships/hyperlink" Target="https://www.etsy.com/ca/listing/4376399899/the-littlest-book-club-member-baby?transaction_id=4933121020" TargetMode="External"/><Relationship Id="rId3346" Type="http://schemas.openxmlformats.org/officeDocument/2006/relationships/hyperlink" Target="https://www.etsy.com/ca/listing/4330483435/embroidered-coffee-bean-baby-romper?transaction_id=4969680261" TargetMode="External"/><Relationship Id="rId267" Type="http://schemas.openxmlformats.org/officeDocument/2006/relationships/hyperlink" Target="https://www.etsy.com/listing/4437022788/custom-name-embroidered-baby-romper-new?transaction_id=4940756781" TargetMode="External"/><Relationship Id="rId474" Type="http://schemas.openxmlformats.org/officeDocument/2006/relationships/hyperlink" Target="https://www.etsy.com/listing/4445823088/its-alright-to-be-a-little-bitty?transaction_id=4953144105" TargetMode="External"/><Relationship Id="rId2155" Type="http://schemas.openxmlformats.org/officeDocument/2006/relationships/hyperlink" Target="https://www.etsy.com/ca/listing/4376389783/player-2-baby-romper-gamer-baby-outfit?transaction_id=4786468634" TargetMode="External"/><Relationship Id="rId127" Type="http://schemas.openxmlformats.org/officeDocument/2006/relationships/hyperlink" Target="https://www.etsy.com/listing/4472714633/dont-mess-with-me-my-dad-is-a-biker-baby?transaction_id=5076122774" TargetMode="External"/><Relationship Id="rId681" Type="http://schemas.openxmlformats.org/officeDocument/2006/relationships/hyperlink" Target="https://www.etsy.com/ca/listing/4336899579/personalized-basketball-baby-romper?transaction_id=5070508616" TargetMode="External"/><Relationship Id="rId2362" Type="http://schemas.openxmlformats.org/officeDocument/2006/relationships/hyperlink" Target="https://www.etsy.com/ca/listing/4392929794/little-latke-embroidered-romper-hanukkah?transaction_id=4833190521" TargetMode="External"/><Relationship Id="rId3206" Type="http://schemas.openxmlformats.org/officeDocument/2006/relationships/hyperlink" Target="https://www.etsy.com/ca/listing/4371125103/personalized-dog-baby-bodysuit-custom?transaction_id=4941213470" TargetMode="External"/><Relationship Id="rId334" Type="http://schemas.openxmlformats.org/officeDocument/2006/relationships/hyperlink" Target="https://www.etsy.com/ca/listing/4470615480/apparently-i-like-f1-baby-romper-formula?transaction_id=5008484496" TargetMode="External"/><Relationship Id="rId541" Type="http://schemas.openxmlformats.org/officeDocument/2006/relationships/hyperlink" Target="https://www.etsy.com/ca/listing/4511380496/outwit-outplay-outnap-baby-romper-funny?transaction_id=5107386331" TargetMode="External"/><Relationship Id="rId1171" Type="http://schemas.openxmlformats.org/officeDocument/2006/relationships/hyperlink" Target="https://www.etsy.com/ca/listing/4330463387/embroidered-baby-romper-relax-mommy-is-a?transaction_id=4983706578" TargetMode="External"/><Relationship Id="rId2015" Type="http://schemas.openxmlformats.org/officeDocument/2006/relationships/hyperlink" Target="https://www.etsy.com/ca/listing/4333134764/wizard-font-baby-romper-personalized?transaction_id=4754107930" TargetMode="External"/><Relationship Id="rId2222" Type="http://schemas.openxmlformats.org/officeDocument/2006/relationships/hyperlink" Target="https://www.etsy.com/ca/listing/4330485404/cat-face-embroidered-baby-romper-funny?transaction_id=4806639215" TargetMode="External"/><Relationship Id="rId401" Type="http://schemas.openxmlformats.org/officeDocument/2006/relationships/hyperlink" Target="https://www.etsy.com/listing/4449064143/future-tractor-driver-embroidered-baby?transaction_id=5049132944" TargetMode="External"/><Relationship Id="rId1031" Type="http://schemas.openxmlformats.org/officeDocument/2006/relationships/hyperlink" Target="https://www.etsy.com/ca/listing/4376389783/player-2-baby-romper-gamer-baby-outfit?transaction_id=5013448519" TargetMode="External"/><Relationship Id="rId1988" Type="http://schemas.openxmlformats.org/officeDocument/2006/relationships/hyperlink" Target="https://www.etsy.com/ca/listing/4346126210/daddys-future-lifting-buddy-romper-baby?transaction_id=4757685809" TargetMode="External"/><Relationship Id="rId1848" Type="http://schemas.openxmlformats.org/officeDocument/2006/relationships/hyperlink" Target="https://www.etsy.com/ca/listing/4330488178/new-to-the-club-embroidered-baby-romper?transaction_id=4698591720" TargetMode="External"/><Relationship Id="rId3063" Type="http://schemas.openxmlformats.org/officeDocument/2006/relationships/hyperlink" Target="https://www.etsy.com/ca/listing/4371125103/personalized-dog-baby-bodysuit-custom?transaction_id=4913108645" TargetMode="External"/><Relationship Id="rId3270" Type="http://schemas.openxmlformats.org/officeDocument/2006/relationships/hyperlink" Target="https://www.etsy.com/ca/listing/4376399899/the-littlest-book-club-member-baby?transaction_id=4949115684" TargetMode="External"/><Relationship Id="rId191" Type="http://schemas.openxmlformats.org/officeDocument/2006/relationships/hyperlink" Target="https://www.etsy.com/listing/4499062845/custom-name-embroidered-romper-baby-gift?transaction_id=5103173990" TargetMode="External"/><Relationship Id="rId1708" Type="http://schemas.openxmlformats.org/officeDocument/2006/relationships/hyperlink" Target="https://www.etsy.com/listing/4346672208/soccer-baby-romper-born-to-play-like?transaction_id=4827678766" TargetMode="External"/><Relationship Id="rId1915" Type="http://schemas.openxmlformats.org/officeDocument/2006/relationships/hyperlink" Target="https://www.etsy.com/ca/listing/4347885744/turtley-awesome-baby-romper-turtle?transaction_id=4728825382" TargetMode="External"/><Relationship Id="rId3130" Type="http://schemas.openxmlformats.org/officeDocument/2006/relationships/hyperlink" Target="https://www.etsy.com/ca/listing/4371125103/personalized-dog-baby-bodysuit-custom?transaction_id=4943641677" TargetMode="External"/><Relationship Id="rId2689" Type="http://schemas.openxmlformats.org/officeDocument/2006/relationships/hyperlink" Target="https://www.etsy.com/ca/listing/4344231895/embroidered-baby-romper-shhh-im-reading?transaction_id=4896661851" TargetMode="External"/><Relationship Id="rId2896" Type="http://schemas.openxmlformats.org/officeDocument/2006/relationships/hyperlink" Target="https://www.etsy.com/ca/listing/4376399899/the-littlest-book-club-member-baby?transaction_id=4908433664" TargetMode="External"/><Relationship Id="rId868" Type="http://schemas.openxmlformats.org/officeDocument/2006/relationships/hyperlink" Target="https://www.etsy.com/ca/listing/4467440237/the-littlest-coffee-club-member-baby?transaction_id=5045249557" TargetMode="External"/><Relationship Id="rId1498" Type="http://schemas.openxmlformats.org/officeDocument/2006/relationships/hyperlink" Target="https://www.etsy.com/listing/4344211719/embroidered-i-like-fishing-baby-bodysuit?transaction_id=5094326116" TargetMode="External"/><Relationship Id="rId2549" Type="http://schemas.openxmlformats.org/officeDocument/2006/relationships/hyperlink" Target="https://www.etsy.com/ca/listing/4392929794/little-latke-embroidered-romper-hanukkah?transaction_id=4872288703" TargetMode="External"/><Relationship Id="rId2756" Type="http://schemas.openxmlformats.org/officeDocument/2006/relationships/hyperlink" Target="https://www.etsy.com/ca/listing/4392935796/box-box-for-fresh-diapers-embroidered?transaction_id=4893858454" TargetMode="External"/><Relationship Id="rId2963" Type="http://schemas.openxmlformats.org/officeDocument/2006/relationships/hyperlink" Target="https://www.etsy.com/ca/listing/4392935796/box-box-for-fresh-diapers-embroidered?transaction_id=4928305065" TargetMode="External"/><Relationship Id="rId728" Type="http://schemas.openxmlformats.org/officeDocument/2006/relationships/hyperlink" Target="https://www.etsy.com/ca/listing/4376392339/funny-baby-romper-my-brand-of-formula?transaction_id=5060336290" TargetMode="External"/><Relationship Id="rId935" Type="http://schemas.openxmlformats.org/officeDocument/2006/relationships/hyperlink" Target="https://www.etsy.com/ca/listing/4379194627/new-to-the-farm-embroidered-romper-baby?transaction_id=5022668650" TargetMode="External"/><Relationship Id="rId1358" Type="http://schemas.openxmlformats.org/officeDocument/2006/relationships/hyperlink" Target="https://www.etsy.com/listing/4485708190/daddys-little-caddy-embroidered-baby?transaction_id=5086797207" TargetMode="External"/><Relationship Id="rId1565" Type="http://schemas.openxmlformats.org/officeDocument/2006/relationships/hyperlink" Target="https://www.etsy.com/listing/4481649101/fitness-baby-romper-dumbbell?transaction_id=5039266033" TargetMode="External"/><Relationship Id="rId1772" Type="http://schemas.openxmlformats.org/officeDocument/2006/relationships/hyperlink" Target="https://www.etsy.com/ca/listing/4330488178/new-to-the-club-embroidered-baby-romper?transaction_id=4682374015" TargetMode="External"/><Relationship Id="rId2409" Type="http://schemas.openxmlformats.org/officeDocument/2006/relationships/hyperlink" Target="https://www.etsy.com/ca/listing/4392929794/little-latke-embroidered-romper-hanukkah?transaction_id=4829390274" TargetMode="External"/><Relationship Id="rId2616" Type="http://schemas.openxmlformats.org/officeDocument/2006/relationships/hyperlink" Target="https://www.etsy.com/ca/listing/4330488178/embroidered-golf-baby-romper-new-to-the?transaction_id=4868568236" TargetMode="External"/><Relationship Id="rId64" Type="http://schemas.openxmlformats.org/officeDocument/2006/relationships/hyperlink" Target="https://www.etsy.com/listing/4513598780/born-to-ride-with-my-daddy-embroidered?transaction_id=5110204375" TargetMode="External"/><Relationship Id="rId1218" Type="http://schemas.openxmlformats.org/officeDocument/2006/relationships/hyperlink" Target="https://www.etsy.com/ca/listing/4392936921/apparently-i-like-golf-embroidered?transaction_id=4984612909" TargetMode="External"/><Relationship Id="rId1425" Type="http://schemas.openxmlformats.org/officeDocument/2006/relationships/hyperlink" Target="https://www.etsy.com/listing/4478504995/pack-my-diapers-im-going-racing?transaction_id=5109200033" TargetMode="External"/><Relationship Id="rId2823" Type="http://schemas.openxmlformats.org/officeDocument/2006/relationships/hyperlink" Target="https://www.etsy.com/ca/listing/4344232490/freshly-brewed-baby-bodysuit-cute-coffee?transaction_id=4902810008" TargetMode="External"/><Relationship Id="rId1632" Type="http://schemas.openxmlformats.org/officeDocument/2006/relationships/hyperlink" Target="https://www.etsy.com/listing/4469518643/mini-race-embroidered-baby-go-kart?transaction_id=5017324545" TargetMode="External"/><Relationship Id="rId2199" Type="http://schemas.openxmlformats.org/officeDocument/2006/relationships/hyperlink" Target="https://www.etsy.com/ca/listing/4330485404/cat-face-embroidered-baby-romper-funny?transaction_id=4795289634" TargetMode="External"/><Relationship Id="rId378" Type="http://schemas.openxmlformats.org/officeDocument/2006/relationships/hyperlink" Target="https://www.etsy.com/listing/4466846574/the-littlest-book-club-member-baby?transaction_id=5090508013" TargetMode="External"/><Relationship Id="rId585" Type="http://schemas.openxmlformats.org/officeDocument/2006/relationships/hyperlink" Target="https://www.etsy.com/ca/listing/4510985933/i-go-where-mommy-goes-romper-duck-baby?transaction_id=5101211245" TargetMode="External"/><Relationship Id="rId792" Type="http://schemas.openxmlformats.org/officeDocument/2006/relationships/hyperlink" Target="https://www.etsy.com/ca/listing/4467451258/the-littlest-tennis-club-member-baby?transaction_id=5060344833" TargetMode="External"/><Relationship Id="rId2059" Type="http://schemas.openxmlformats.org/officeDocument/2006/relationships/hyperlink" Target="https://www.etsy.com/ca/listing/4346126210/daddys-future-lifting-buddy-romper-baby?transaction_id=4761662044" TargetMode="External"/><Relationship Id="rId2266" Type="http://schemas.openxmlformats.org/officeDocument/2006/relationships/hyperlink" Target="https://www.etsy.com/ca/listing/4371125103/personalized-dog-baby-bodysuit-custom?transaction_id=4813595395" TargetMode="External"/><Relationship Id="rId2473" Type="http://schemas.openxmlformats.org/officeDocument/2006/relationships/hyperlink" Target="https://www.etsy.com/ca/listing/4330488178/embroidered-golf-baby-romper-new-to-the?transaction_id=4843600768" TargetMode="External"/><Relationship Id="rId2680" Type="http://schemas.openxmlformats.org/officeDocument/2006/relationships/hyperlink" Target="https://www.etsy.com/ca/listing/4392962015/cant-wait-to-jam-with-daddy-embroidered?transaction_id=4894911917" TargetMode="External"/><Relationship Id="rId3317" Type="http://schemas.openxmlformats.org/officeDocument/2006/relationships/hyperlink" Target="https://www.etsy.com/ca/listing/4376399899/the-littlest-book-club-member-baby?transaction_id=4955231794" TargetMode="External"/><Relationship Id="rId238" Type="http://schemas.openxmlformats.org/officeDocument/2006/relationships/hyperlink" Target="https://www.etsy.com/listing/4432961851/my-daddy-plays-in-the-dirt-baby-romper?transaction_id=5006495198" TargetMode="External"/><Relationship Id="rId445" Type="http://schemas.openxmlformats.org/officeDocument/2006/relationships/hyperlink" Target="https://www.etsy.com/listing/4445837519/cant-wait-to-jam-with-daddy-embroidered?transaction_id=4990699690" TargetMode="External"/><Relationship Id="rId652" Type="http://schemas.openxmlformats.org/officeDocument/2006/relationships/hyperlink" Target="https://www.etsy.com/ca/listing/4467440237/the-littlest-coffee-club-member-baby?transaction_id=5089382085" TargetMode="External"/><Relationship Id="rId1075" Type="http://schemas.openxmlformats.org/officeDocument/2006/relationships/hyperlink" Target="https://www.etsy.com/ca/listing/4372352286/silly-goose-baby-romper-funny-infant?transaction_id=4995865104" TargetMode="External"/><Relationship Id="rId1282" Type="http://schemas.openxmlformats.org/officeDocument/2006/relationships/hyperlink" Target="https://www.etsy.com/listing/4478504584/golf-cart-flag-and-ball-golf-baby-romper?transaction_id=5031565304" TargetMode="External"/><Relationship Id="rId2126" Type="http://schemas.openxmlformats.org/officeDocument/2006/relationships/hyperlink" Target="https://www.etsy.com/ca/listing/4376389783/player-2-baby-romper-gamer-baby-outfit?transaction_id=4777925464" TargetMode="External"/><Relationship Id="rId2333" Type="http://schemas.openxmlformats.org/officeDocument/2006/relationships/hyperlink" Target="https://www.etsy.com/ca/listing/4333134764/wizard-font-baby-romper-personalized?transaction_id=4815648886" TargetMode="External"/><Relationship Id="rId2540" Type="http://schemas.openxmlformats.org/officeDocument/2006/relationships/hyperlink" Target="https://www.etsy.com/ca/listing/4392936921/apparently-i-like-golf-embroidered?transaction_id=4857156042" TargetMode="External"/><Relationship Id="rId305" Type="http://schemas.openxmlformats.org/officeDocument/2006/relationships/hyperlink" Target="https://www.etsy.com/ca/listing/4470615480/apparently-i-like-f1-baby-romper-formula?transaction_id=5064410381" TargetMode="External"/><Relationship Id="rId512" Type="http://schemas.openxmlformats.org/officeDocument/2006/relationships/hyperlink" Target="https://www.etsy.com/ca/listing/4392936688/shhh-im-watching-motogp-with-daddy?transaction_id=5101232880" TargetMode="External"/><Relationship Id="rId1142" Type="http://schemas.openxmlformats.org/officeDocument/2006/relationships/hyperlink" Target="https://www.etsy.com/ca/listing/4376399899/the-littlest-book-club-member-baby?transaction_id=4988002782" TargetMode="External"/><Relationship Id="rId2400" Type="http://schemas.openxmlformats.org/officeDocument/2006/relationships/hyperlink" Target="https://www.etsy.com/ca/listing/4392929794/little-latke-embroidered-romper-hanukkah?transaction_id=4838357341" TargetMode="External"/><Relationship Id="rId1002" Type="http://schemas.openxmlformats.org/officeDocument/2006/relationships/hyperlink" Target="https://www.etsy.com/ca/listing/4392935796/box-box-for-fresh-diapers-embroidered?transaction_id=5018431863" TargetMode="External"/><Relationship Id="rId1959" Type="http://schemas.openxmlformats.org/officeDocument/2006/relationships/hyperlink" Target="https://www.etsy.com/ca/listing/4330504943/born-to-play-like-my-daddy-baby-romper?transaction_id=4749714751" TargetMode="External"/><Relationship Id="rId3174" Type="http://schemas.openxmlformats.org/officeDocument/2006/relationships/hyperlink" Target="https://www.etsy.com/ca/listing/4371125103/personalized-dog-baby-bodysuit-custom?transaction_id=4948787769" TargetMode="External"/><Relationship Id="rId1819" Type="http://schemas.openxmlformats.org/officeDocument/2006/relationships/hyperlink" Target="https://www.etsy.com/ca/listing/4330486464/crawl-walk-hunt-baby-romper-embroidered?transaction_id=4698463279" TargetMode="External"/><Relationship Id="rId3381" Type="http://schemas.openxmlformats.org/officeDocument/2006/relationships/hyperlink" Target="https://www.etsy.com/ca/listing/4372352286/silly-goose-baby-romper-funny-infant?transaction_id=4966514380" TargetMode="External"/><Relationship Id="rId2190" Type="http://schemas.openxmlformats.org/officeDocument/2006/relationships/hyperlink" Target="https://www.etsy.com/ca/listing/4392929794/little-latke-embroidered-romper-hanukkah?transaction_id=4794593480" TargetMode="External"/><Relationship Id="rId3034" Type="http://schemas.openxmlformats.org/officeDocument/2006/relationships/hyperlink" Target="https://www.etsy.com/ca/listing/4344232490/freshly-brewed-baby-bodysuit-cute-coffee?transaction_id=4901647892" TargetMode="External"/><Relationship Id="rId3241" Type="http://schemas.openxmlformats.org/officeDocument/2006/relationships/hyperlink" Target="https://www.etsy.com/ca/listing/4376399899/the-littlest-book-club-member-baby?transaction_id=4945116826" TargetMode="External"/><Relationship Id="rId162" Type="http://schemas.openxmlformats.org/officeDocument/2006/relationships/hyperlink" Target="https://www.etsy.com/listing/4454899012/apparently-i-like-baseball-baby-romper?transaction_id=5015447162" TargetMode="External"/><Relationship Id="rId2050" Type="http://schemas.openxmlformats.org/officeDocument/2006/relationships/hyperlink" Target="https://www.etsy.com/ca/listing/4347263856/besties-baby-romper-matching-baby-outfit?transaction_id=4770174273" TargetMode="External"/><Relationship Id="rId3101" Type="http://schemas.openxmlformats.org/officeDocument/2006/relationships/hyperlink" Target="https://www.etsy.com/ca/listing/4344231895/embroidered-baby-romper-shhh-im-reading?transaction_id=4912734196" TargetMode="External"/><Relationship Id="rId979" Type="http://schemas.openxmlformats.org/officeDocument/2006/relationships/hyperlink" Target="https://www.etsy.com/ca/listing/4371125103/personalized-dog-baby-bodysuit-custom?transaction_id=5014176994" TargetMode="External"/><Relationship Id="rId839" Type="http://schemas.openxmlformats.org/officeDocument/2006/relationships/hyperlink" Target="https://www.etsy.com/ca/listing/4376399899/the-littlest-book-club-member-baby?transaction_id=5039407298" TargetMode="External"/><Relationship Id="rId1469" Type="http://schemas.openxmlformats.org/officeDocument/2006/relationships/hyperlink" Target="https://www.etsy.com/listing/4324712022/embroidered-baby-romper-dont-make-me?transaction_id=5100463451" TargetMode="External"/><Relationship Id="rId2867" Type="http://schemas.openxmlformats.org/officeDocument/2006/relationships/hyperlink" Target="https://www.etsy.com/ca/listing/4330485404/cat-face-embroidered-baby-romper-funny?transaction_id=4920029057" TargetMode="External"/><Relationship Id="rId1676" Type="http://schemas.openxmlformats.org/officeDocument/2006/relationships/hyperlink" Target="https://www.etsy.com/listing/4455912856/personalized-little-squirrel-baby?transaction_id=5089683901" TargetMode="External"/><Relationship Id="rId1883" Type="http://schemas.openxmlformats.org/officeDocument/2006/relationships/hyperlink" Target="https://www.etsy.com/ca/listing/4330502784/born-to-play-like-my-daddy-baby-romper?transaction_id=4717400794" TargetMode="External"/><Relationship Id="rId2727" Type="http://schemas.openxmlformats.org/officeDocument/2006/relationships/hyperlink" Target="https://www.etsy.com/ca/listing/4371125103/personalized-dog-baby-bodysuit-custom?transaction_id=4889058720" TargetMode="External"/><Relationship Id="rId2934" Type="http://schemas.openxmlformats.org/officeDocument/2006/relationships/hyperlink" Target="https://www.etsy.com/ca/listing/4346124881/little-turkey-baby-romper-embroidered?transaction_id=4925250699" TargetMode="External"/><Relationship Id="rId906" Type="http://schemas.openxmlformats.org/officeDocument/2006/relationships/hyperlink" Target="https://www.etsy.com/ca/listing/4330504400/embroidered-bicycle-baby-romper-born-to?transaction_id=5039492569" TargetMode="External"/><Relationship Id="rId1329" Type="http://schemas.openxmlformats.org/officeDocument/2006/relationships/hyperlink" Target="https://www.etsy.com/listing/4493246651/im-proof-daddy-hunts-embroidered-baby?transaction_id=5074669179" TargetMode="External"/><Relationship Id="rId1536" Type="http://schemas.openxmlformats.org/officeDocument/2006/relationships/hyperlink" Target="https://www.etsy.com/listing/4347838451/custom-embroidered-nonnas-little?transaction_id=5101693398" TargetMode="External"/><Relationship Id="rId1743" Type="http://schemas.openxmlformats.org/officeDocument/2006/relationships/hyperlink" Target="https://www.etsy.com/ca/listing/4336899579/personalized-basketball-baby-romper?transaction_id=4659614594" TargetMode="External"/><Relationship Id="rId1950" Type="http://schemas.openxmlformats.org/officeDocument/2006/relationships/hyperlink" Target="https://www.etsy.com/ca/listing/4330485404/cat-face-embroidered-baby-romper-my?transaction_id=4747240577" TargetMode="External"/><Relationship Id="rId35" Type="http://schemas.openxmlformats.org/officeDocument/2006/relationships/hyperlink" Target="https://www.etsy.com/listing/4395099048/little-sweet-potato-embroidered-baby?transaction_id=5048447129" TargetMode="External"/><Relationship Id="rId1603" Type="http://schemas.openxmlformats.org/officeDocument/2006/relationships/hyperlink" Target="https://www.etsy.com/listing/4441462107/hill-name-custom-train-embroidered-baby?transaction_id=4967500397" TargetMode="External"/><Relationship Id="rId1810" Type="http://schemas.openxmlformats.org/officeDocument/2006/relationships/hyperlink" Target="https://www.etsy.com/ca/listing/4346126210/daddys-future-lifting-buddy-romper-baby?transaction_id=4681271582" TargetMode="External"/><Relationship Id="rId489" Type="http://schemas.openxmlformats.org/officeDocument/2006/relationships/hyperlink" Target="https://www.etsy.com/ca/listing/4515633002/my-dad-is-the-best-by-par-embroidered?transaction_id=5105329512" TargetMode="External"/><Relationship Id="rId696" Type="http://schemas.openxmlformats.org/officeDocument/2006/relationships/hyperlink" Target="https://www.etsy.com/ca/listing/4392936688/shhh-im-watching-motogp-with-daddy?transaction_id=5066646938" TargetMode="External"/><Relationship Id="rId2377" Type="http://schemas.openxmlformats.org/officeDocument/2006/relationships/hyperlink" Target="https://www.etsy.com/ca/listing/4392936921/apparently-i-like-golf-embroidered?transaction_id=4835171473" TargetMode="External"/><Relationship Id="rId2584" Type="http://schemas.openxmlformats.org/officeDocument/2006/relationships/hyperlink" Target="https://www.etsy.com/ca/listing/4376389783/player-2-baby-romper-gamer-baby-outfit?transaction_id=4864072152" TargetMode="External"/><Relationship Id="rId2791" Type="http://schemas.openxmlformats.org/officeDocument/2006/relationships/hyperlink" Target="https://www.etsy.com/ca/listing/4371125103/personalized-dog-baby-bodysuit-custom?transaction_id=4913884533" TargetMode="External"/><Relationship Id="rId349" Type="http://schemas.openxmlformats.org/officeDocument/2006/relationships/hyperlink" Target="https://www.etsy.com/listing/4500801384/little-peanut-baby-bodysuit-embroidered?transaction_id=5110142311" TargetMode="External"/><Relationship Id="rId556" Type="http://schemas.openxmlformats.org/officeDocument/2006/relationships/hyperlink" Target="https://www.etsy.com/ca/listing/4347260564/football-baby-romper-game-day-baby?transaction_id=5094773914" TargetMode="External"/><Relationship Id="rId763" Type="http://schemas.openxmlformats.org/officeDocument/2006/relationships/hyperlink" Target="https://www.etsy.com/ca/listing/4376399899/the-littlest-book-club-member-baby?transaction_id=5052550368" TargetMode="External"/><Relationship Id="rId1186" Type="http://schemas.openxmlformats.org/officeDocument/2006/relationships/hyperlink" Target="https://www.etsy.com/ca/listing/4376399899/the-littlest-book-club-member-baby?transaction_id=4979445572" TargetMode="External"/><Relationship Id="rId1393" Type="http://schemas.openxmlformats.org/officeDocument/2006/relationships/hyperlink" Target="https://www.etsy.com/listing/4509423661/born-to-play-like-my-daddy-embroidered?transaction_id=5098275233" TargetMode="External"/><Relationship Id="rId2237" Type="http://schemas.openxmlformats.org/officeDocument/2006/relationships/hyperlink" Target="https://www.etsy.com/ca/listing/4351827687/handsome-just-like-daddy-baby-romper?transaction_id=4801750074" TargetMode="External"/><Relationship Id="rId2444" Type="http://schemas.openxmlformats.org/officeDocument/2006/relationships/hyperlink" Target="https://www.etsy.com/ca/listing/4371125103/personalized-dog-baby-bodysuit-custom?transaction_id=4834815928" TargetMode="External"/><Relationship Id="rId209" Type="http://schemas.openxmlformats.org/officeDocument/2006/relationships/hyperlink" Target="https://www.etsy.com/listing/4442025933/embroidered-baby-romper-player-3-has?ls=r&amp;ref=related-2&amp;content_source=85be4b993b6f0396b102a41914204abd%253ALT2926146063257692f2dd099b1216fa34cf8a56be&amp;logging_key=85be4b993b6f0396b102a41914204abd%3ALT2926146063257692f2dd099b1216fa34cf8a56be" TargetMode="External"/><Relationship Id="rId416" Type="http://schemas.openxmlformats.org/officeDocument/2006/relationships/hyperlink" Target="https://www.etsy.com/listing/4474936599/is-it-too-soon-to-ask-for-a-guitar-baby?transaction_id=5042143997" TargetMode="External"/><Relationship Id="rId970" Type="http://schemas.openxmlformats.org/officeDocument/2006/relationships/hyperlink" Target="https://www.etsy.com/ca/listing/4330492936/a-roar-able-dinosaur-baby-bodysuit-cute?transaction_id=5016272930" TargetMode="External"/><Relationship Id="rId1046" Type="http://schemas.openxmlformats.org/officeDocument/2006/relationships/hyperlink" Target="https://www.etsy.com/ca/listing/4393855716/lil-chef-embroidered-romper-cute-baby?transaction_id=5011261101" TargetMode="External"/><Relationship Id="rId1253" Type="http://schemas.openxmlformats.org/officeDocument/2006/relationships/hyperlink" Target="https://www.etsy.com/ca/listing/4330488178/embroidered-golf-baby-romper-new-to-the?transaction_id=4978107083" TargetMode="External"/><Relationship Id="rId2651" Type="http://schemas.openxmlformats.org/officeDocument/2006/relationships/hyperlink" Target="https://www.etsy.com/ca/listing/4376399899/the-littlest-book-club-member-baby?transaction_id=4872675586" TargetMode="External"/><Relationship Id="rId623" Type="http://schemas.openxmlformats.org/officeDocument/2006/relationships/hyperlink" Target="https://www.etsy.com/ca/listing/4509984575/made-in-the-usa-baby-romper-patriotic?transaction_id=5083370258" TargetMode="External"/><Relationship Id="rId830" Type="http://schemas.openxmlformats.org/officeDocument/2006/relationships/hyperlink" Target="https://www.etsy.com/ca/listing/4376392339/funny-baby-romper-my-brand-of-formula?transaction_id=5053413727" TargetMode="External"/><Relationship Id="rId1460" Type="http://schemas.openxmlformats.org/officeDocument/2006/relationships/hyperlink" Target="https://www.etsy.com/listing/4376404086/embroidered-lil-nugget-baby-bodysuit?transaction_id=5099454649" TargetMode="External"/><Relationship Id="rId2304" Type="http://schemas.openxmlformats.org/officeDocument/2006/relationships/hyperlink" Target="https://www.etsy.com/ca/listing/4344231895/embroidered-baby-romper-shhh-im-reading?transaction_id=4809695568" TargetMode="External"/><Relationship Id="rId2511" Type="http://schemas.openxmlformats.org/officeDocument/2006/relationships/hyperlink" Target="https://www.etsy.com/ca/listing/4392936688/shhh-im-watching-motogp-with-daddy?transaction_id=4865058543" TargetMode="External"/><Relationship Id="rId1113" Type="http://schemas.openxmlformats.org/officeDocument/2006/relationships/hyperlink" Target="https://www.etsy.com/ca/listing/4333135410/little-pumpkin-baby-romper-fall?transaction_id=5002237495" TargetMode="External"/><Relationship Id="rId1320" Type="http://schemas.openxmlformats.org/officeDocument/2006/relationships/hyperlink" Target="https://www.etsy.com/listing/4485710996/masters-2026-augusta-national-golf-club?transaction_id=5056167242" TargetMode="External"/><Relationship Id="rId3078" Type="http://schemas.openxmlformats.org/officeDocument/2006/relationships/hyperlink" Target="https://www.etsy.com/ca/listing/4376392339/funny-baby-romper-my-brand-of-formula?transaction_id=4924684448" TargetMode="External"/><Relationship Id="rId3285" Type="http://schemas.openxmlformats.org/officeDocument/2006/relationships/hyperlink" Target="https://www.etsy.com/ca/listing/4376399899/the-littlest-book-club-member-baby?transaction_id=4951554412" TargetMode="External"/><Relationship Id="rId2094" Type="http://schemas.openxmlformats.org/officeDocument/2006/relationships/hyperlink" Target="https://www.etsy.com/ca/listing/4330488178/new-to-the-club-embroidered-baby-romper?transaction_id=4778452029" TargetMode="External"/><Relationship Id="rId3145" Type="http://schemas.openxmlformats.org/officeDocument/2006/relationships/hyperlink" Target="https://www.etsy.com/ca/listing/4372352286/silly-goose-baby-romper-funny-infant?transaction_id=4934064286" TargetMode="External"/><Relationship Id="rId3352" Type="http://schemas.openxmlformats.org/officeDocument/2006/relationships/hyperlink" Target="https://www.etsy.com/ca/listing/4392936921/apparently-i-like-golf-embroidered?transaction_id=4960295990" TargetMode="External"/><Relationship Id="rId273" Type="http://schemas.openxmlformats.org/officeDocument/2006/relationships/hyperlink" Target="https://www.etsy.com/listing/4436466725/custom-name-sailboat-embroidered-romper?transaction_id=4932433079" TargetMode="External"/><Relationship Id="rId480" Type="http://schemas.openxmlformats.org/officeDocument/2006/relationships/hyperlink" Target="https://www.etsy.com/ca/listing/4336907597/custom-running-baby-romper-daddys-future?transaction_id=5115345745" TargetMode="External"/><Relationship Id="rId2161" Type="http://schemas.openxmlformats.org/officeDocument/2006/relationships/hyperlink" Target="https://www.etsy.com/ca/listing/4330488178/new-to-the-club-embroidered-baby-romper?transaction_id=4795782413" TargetMode="External"/><Relationship Id="rId3005" Type="http://schemas.openxmlformats.org/officeDocument/2006/relationships/hyperlink" Target="https://www.etsy.com/ca/listing/4371125103/personalized-dog-baby-bodysuit-custom?transaction_id=4931911275" TargetMode="External"/><Relationship Id="rId3212" Type="http://schemas.openxmlformats.org/officeDocument/2006/relationships/hyperlink" Target="https://www.etsy.com/ca/listing/4392932100/born-to-ride-with-my-daddy-embroidered?transaction_id=4953933831" TargetMode="External"/><Relationship Id="rId133" Type="http://schemas.openxmlformats.org/officeDocument/2006/relationships/hyperlink" Target="https://www.etsy.com/listing/4470584184/daddys-future-basketball-buddy-baby" TargetMode="External"/><Relationship Id="rId340" Type="http://schemas.openxmlformats.org/officeDocument/2006/relationships/hyperlink" Target="https://www.etsy.com/ca/listing/4451695034/my-first-racing-season-baby-romper?transaction_id=4979373679" TargetMode="External"/><Relationship Id="rId2021" Type="http://schemas.openxmlformats.org/officeDocument/2006/relationships/hyperlink" Target="https://www.etsy.com/ca/listing/4376392339/funny-baby-romper-my-brand-of-formula?transaction_id=4765961759" TargetMode="External"/><Relationship Id="rId200" Type="http://schemas.openxmlformats.org/officeDocument/2006/relationships/hyperlink" Target="https://www.etsy.com/listing/4432968408/olive-you-embroidered-baby-romper-cute?transaction_id=5105144937" TargetMode="External"/><Relationship Id="rId2978" Type="http://schemas.openxmlformats.org/officeDocument/2006/relationships/hyperlink" Target="https://www.etsy.com/ca/listing/4376399899/the-littlest-book-club-member-baby?transaction_id=4916593066" TargetMode="External"/><Relationship Id="rId1787" Type="http://schemas.openxmlformats.org/officeDocument/2006/relationships/hyperlink" Target="https://www.etsy.com/ca/listing/4330488178/new-to-the-club-embroidered-baby-romper?transaction_id=4685753961" TargetMode="External"/><Relationship Id="rId1994" Type="http://schemas.openxmlformats.org/officeDocument/2006/relationships/hyperlink" Target="https://www.etsy.com/ca/listing/4330488178/new-to-the-club-embroidered-baby-romper?transaction_id=4759057905" TargetMode="External"/><Relationship Id="rId2838" Type="http://schemas.openxmlformats.org/officeDocument/2006/relationships/hyperlink" Target="https://www.etsy.com/ca/listing/4376399899/the-littlest-book-club-member-baby?transaction_id=4918307199" TargetMode="External"/><Relationship Id="rId79" Type="http://schemas.openxmlformats.org/officeDocument/2006/relationships/hyperlink" Target="https://www.etsy.com/listing/4513572207/spicy-like-my-mama-embroidered-baby?transaction_id=5107755925" TargetMode="External"/><Relationship Id="rId1647" Type="http://schemas.openxmlformats.org/officeDocument/2006/relationships/hyperlink" Target="https://www.etsy.com/listing/4455951257/answered-prayer-embroidered-baby?transaction_id=5035549639" TargetMode="External"/><Relationship Id="rId1854" Type="http://schemas.openxmlformats.org/officeDocument/2006/relationships/hyperlink" Target="https://www.etsy.com/ca/listing/4347885967/gigis-bestie-baby-bodysuit-baby-shower?transaction_id=4702568368" TargetMode="External"/><Relationship Id="rId2905" Type="http://schemas.openxmlformats.org/officeDocument/2006/relationships/hyperlink" Target="https://www.etsy.com/ca/listing/4376389783/player-2-baby-romper-gamer-baby-outfit?transaction_id=4909620142" TargetMode="External"/><Relationship Id="rId1507" Type="http://schemas.openxmlformats.org/officeDocument/2006/relationships/hyperlink" Target="https://www.etsy.com/listing/4507007670/daddys-co-pilot-embroidered-baby-romper?transaction_id=5095179822" TargetMode="External"/><Relationship Id="rId1714" Type="http://schemas.openxmlformats.org/officeDocument/2006/relationships/hyperlink" Target="https://www.etsy.com/listing/4346677169/volleyball-baby-romper-born-to-play-like?transaction_id=4911567440" TargetMode="External"/><Relationship Id="rId1921" Type="http://schemas.openxmlformats.org/officeDocument/2006/relationships/hyperlink" Target="https://www.etsy.com/ca/listing/4330504943/born-to-play-like-my-daddy-baby-romper?transaction_id=4741109053" TargetMode="External"/><Relationship Id="rId2488" Type="http://schemas.openxmlformats.org/officeDocument/2006/relationships/hyperlink" Target="https://www.etsy.com/ca/listing/4392929794/little-latke-embroidered-romper-hanukkah?transaction_id=4860202549" TargetMode="External"/><Relationship Id="rId1297" Type="http://schemas.openxmlformats.org/officeDocument/2006/relationships/hyperlink" Target="https://www.etsy.com/listing/4445858125/personalized-kangaroo-baby-romper-custom?transaction_id=5056318369" TargetMode="External"/><Relationship Id="rId2695" Type="http://schemas.openxmlformats.org/officeDocument/2006/relationships/hyperlink" Target="https://www.etsy.com/ca/listing/4392932100/born-to-ride-with-my-daddy-embroidered?transaction_id=4881749024" TargetMode="External"/><Relationship Id="rId667" Type="http://schemas.openxmlformats.org/officeDocument/2006/relationships/hyperlink" Target="https://www.etsy.com/ca/listing/4467449868/the-littlest-garden-club-member-baby?transaction_id=5074232670" TargetMode="External"/><Relationship Id="rId874" Type="http://schemas.openxmlformats.org/officeDocument/2006/relationships/hyperlink" Target="https://www.etsy.com/ca/listing/4471141630/crawl-walk-hockey-baby-romper-hockey?transaction_id=5043947667" TargetMode="External"/><Relationship Id="rId2348" Type="http://schemas.openxmlformats.org/officeDocument/2006/relationships/hyperlink" Target="https://www.etsy.com/ca/listing/4330488178/embroidered-golf-baby-romper-new-to-the?transaction_id=4821333258" TargetMode="External"/><Relationship Id="rId2555" Type="http://schemas.openxmlformats.org/officeDocument/2006/relationships/hyperlink" Target="https://www.etsy.com/ca/listing/4371125103/personalized-dog-baby-bodysuit-custom?transaction_id=4873226763" TargetMode="External"/><Relationship Id="rId2762" Type="http://schemas.openxmlformats.org/officeDocument/2006/relationships/hyperlink" Target="https://www.etsy.com/ca/listing/4333134764/wizard-font-baby-romper-personalized?transaction_id=4894647988" TargetMode="External"/><Relationship Id="rId527" Type="http://schemas.openxmlformats.org/officeDocument/2006/relationships/hyperlink" Target="https://www.etsy.com/ca/listing/4376399899/the-littlest-book-club-member-baby?transaction_id=5099357820" TargetMode="External"/><Relationship Id="rId734" Type="http://schemas.openxmlformats.org/officeDocument/2006/relationships/hyperlink" Target="https://www.etsy.com/ca/listing/4392932100/born-to-ride-with-my-daddy-embroidered?transaction_id=5071569663" TargetMode="External"/><Relationship Id="rId941" Type="http://schemas.openxmlformats.org/officeDocument/2006/relationships/hyperlink" Target="https://www.etsy.com/ca/listing/4376399899/the-littlest-book-club-member-baby?transaction_id=5031475434" TargetMode="External"/><Relationship Id="rId1157" Type="http://schemas.openxmlformats.org/officeDocument/2006/relationships/hyperlink" Target="https://www.etsy.com/ca/listing/4344235128/new-to-the-hive-baby-romper-embroidered?transaction_id=4996162879" TargetMode="External"/><Relationship Id="rId1364" Type="http://schemas.openxmlformats.org/officeDocument/2006/relationships/hyperlink" Target="https://www.etsy.com/listing/4508836983/race-car-embroidered-baby-bodysuit?transaction_id=5076093492" TargetMode="External"/><Relationship Id="rId1571" Type="http://schemas.openxmlformats.org/officeDocument/2006/relationships/hyperlink" Target="https://www.etsy.com/listing/4473230310/future-metalhead-baby-romper-custom-name?transaction_id=5077162729" TargetMode="External"/><Relationship Id="rId2208" Type="http://schemas.openxmlformats.org/officeDocument/2006/relationships/hyperlink" Target="https://www.etsy.com/ca/listing/4371125103/personalized-dog-baby-bodysuit-custom?transaction_id=4803685059" TargetMode="External"/><Relationship Id="rId2415" Type="http://schemas.openxmlformats.org/officeDocument/2006/relationships/hyperlink" Target="https://www.etsy.com/ca/listing/4344235128/new-to-the-hive-baby-romper-embroidered?transaction_id=4830039076" TargetMode="External"/><Relationship Id="rId2622" Type="http://schemas.openxmlformats.org/officeDocument/2006/relationships/hyperlink" Target="https://www.etsy.com/ca/listing/4371125103/personalized-dog-baby-bodysuit-custom?transaction_id=4869103322" TargetMode="External"/><Relationship Id="rId70" Type="http://schemas.openxmlformats.org/officeDocument/2006/relationships/hyperlink" Target="https://www.etsy.com/listing/4470575759/future-soccer-star-baby-romper-soccer?transaction_id=5109468183" TargetMode="External"/><Relationship Id="rId801" Type="http://schemas.openxmlformats.org/officeDocument/2006/relationships/hyperlink" Target="https://www.etsy.com/ca/listing/4376389783/player-2-baby-romper-gamer-baby-outfit?transaction_id=5058408003" TargetMode="External"/><Relationship Id="rId1017" Type="http://schemas.openxmlformats.org/officeDocument/2006/relationships/hyperlink" Target="https://www.etsy.com/ca/listing/4376399899/the-littlest-book-club-member-baby?transaction_id=5015646531" TargetMode="External"/><Relationship Id="rId1224" Type="http://schemas.openxmlformats.org/officeDocument/2006/relationships/hyperlink" Target="https://www.etsy.com/ca/listing/4371125103/personalized-dog-baby-bodysuit-custom?transaction_id=4983944121" TargetMode="External"/><Relationship Id="rId1431" Type="http://schemas.openxmlformats.org/officeDocument/2006/relationships/hyperlink" Target="https://www.etsy.com/listing/4500205537/mommys-little-workout-buddy-barbell?transaction_id=5100005216" TargetMode="External"/><Relationship Id="rId3189" Type="http://schemas.openxmlformats.org/officeDocument/2006/relationships/hyperlink" Target="https://www.etsy.com/ca/listing/4347260564/football-baby-romper-game-day-baby?transaction_id=4938950258" TargetMode="External"/><Relationship Id="rId3396" Type="http://schemas.openxmlformats.org/officeDocument/2006/relationships/comments" Target="../comments1.xml"/><Relationship Id="rId3049" Type="http://schemas.openxmlformats.org/officeDocument/2006/relationships/hyperlink" Target="https://www.etsy.com/ca/listing/4376399899/the-littlest-book-club-member-baby?transaction_id=4935411681" TargetMode="External"/><Relationship Id="rId3256" Type="http://schemas.openxmlformats.org/officeDocument/2006/relationships/hyperlink" Target="https://www.etsy.com/ca/listing/4376399899/the-littlest-book-club-member-baby?transaction_id=4946833486" TargetMode="External"/><Relationship Id="rId177" Type="http://schemas.openxmlformats.org/officeDocument/2006/relationships/hyperlink" Target="https://www.etsy.com/listing/4451626020/my-first-racing-season-embroidered-baby?transaction_id=4990292723" TargetMode="External"/><Relationship Id="rId384" Type="http://schemas.openxmlformats.org/officeDocument/2006/relationships/hyperlink" Target="https://www.etsy.com/listing/4500799949/beach-baby-baby-bodysuit-embroidered?transaction_id=5072888378" TargetMode="External"/><Relationship Id="rId591" Type="http://schemas.openxmlformats.org/officeDocument/2006/relationships/hyperlink" Target="https://www.etsy.com/ca/listing/4507678260/fathers-day-baby-girl-outfit-daddys?transaction_id=5100259755" TargetMode="External"/><Relationship Id="rId2065" Type="http://schemas.openxmlformats.org/officeDocument/2006/relationships/hyperlink" Target="https://www.etsy.com/ca/listing/4330488178/new-to-the-club-embroidered-baby-romper?transaction_id=4771977889" TargetMode="External"/><Relationship Id="rId2272" Type="http://schemas.openxmlformats.org/officeDocument/2006/relationships/hyperlink" Target="https://www.etsy.com/ca/listing/4330504943/embroidered-tennis-baby-romper-daddys?transaction_id=4814062525" TargetMode="External"/><Relationship Id="rId3116" Type="http://schemas.openxmlformats.org/officeDocument/2006/relationships/hyperlink" Target="https://www.etsy.com/ca/listing/4376399899/the-littlest-book-club-member-baby?transaction_id=4930197818" TargetMode="External"/><Relationship Id="rId244" Type="http://schemas.openxmlformats.org/officeDocument/2006/relationships/hyperlink" Target="https://www.etsy.com/listing/4436466725/custom-name-sailboat-embroidered-romper?transaction_id=5005373963" TargetMode="External"/><Relationship Id="rId1081" Type="http://schemas.openxmlformats.org/officeDocument/2006/relationships/hyperlink" Target="https://www.etsy.com/ca/listing/4467451258/the-littlest-tennis-club-member-baby?transaction_id=4995014722" TargetMode="External"/><Relationship Id="rId3323" Type="http://schemas.openxmlformats.org/officeDocument/2006/relationships/hyperlink" Target="https://www.etsy.com/ca/listing/4347885967/gigis-bestie-baby-bodysuit-baby-shower?transaction_id=4955920252" TargetMode="External"/><Relationship Id="rId451" Type="http://schemas.openxmlformats.org/officeDocument/2006/relationships/hyperlink" Target="https://www.etsy.com/listing/4444631598/first-edition-published-2026-embroidered?transaction_id=4976696854" TargetMode="External"/><Relationship Id="rId2132" Type="http://schemas.openxmlformats.org/officeDocument/2006/relationships/hyperlink" Target="https://www.etsy.com/ca/listing/4346126210/daddys-future-lifting-buddy-romper-baby?transaction_id=4778802876" TargetMode="External"/><Relationship Id="rId104" Type="http://schemas.openxmlformats.org/officeDocument/2006/relationships/hyperlink" Target="https://www.etsy.com/listing/4512154554/custom-dog-photo-embroidered-romper?transaction_id=5089854282" TargetMode="External"/><Relationship Id="rId311" Type="http://schemas.openxmlformats.org/officeDocument/2006/relationships/hyperlink" Target="https://www.etsy.com/ca/listing/4449573112/i-love-to-read-wine-labels-baby-romper?transaction_id=5042779888" TargetMode="External"/><Relationship Id="rId1898" Type="http://schemas.openxmlformats.org/officeDocument/2006/relationships/hyperlink" Target="https://www.etsy.com/ca/listing/4330485404/cat-face-embroidered-baby-romper-my?transaction_id=4724122758" TargetMode="External"/><Relationship Id="rId2949" Type="http://schemas.openxmlformats.org/officeDocument/2006/relationships/hyperlink" Target="https://www.etsy.com/ca/listing/4371125103/personalized-dog-baby-bodysuit-custom?transaction_id=4913424120" TargetMode="External"/><Relationship Id="rId1758" Type="http://schemas.openxmlformats.org/officeDocument/2006/relationships/hyperlink" Target="https://www.etsy.com/ca/listing/4330504943/born-to-play-like-my-daddy-baby-romper?transaction_id=4664783316" TargetMode="External"/><Relationship Id="rId2809" Type="http://schemas.openxmlformats.org/officeDocument/2006/relationships/hyperlink" Target="https://www.etsy.com/ca/listing/4393819210/sweet-dreams-are-made-of-cheese?transaction_id=4915695277" TargetMode="External"/><Relationship Id="rId1965" Type="http://schemas.openxmlformats.org/officeDocument/2006/relationships/hyperlink" Target="https://www.etsy.com/ca/listing/4347260564/football-baby-romper-game-day-baby?transaction_id=4752536225" TargetMode="External"/><Relationship Id="rId3180" Type="http://schemas.openxmlformats.org/officeDocument/2006/relationships/hyperlink" Target="https://www.etsy.com/ca/listing/4347263856/besties-baby-romper-matching-baby-outfit?transaction_id=4883381966" TargetMode="External"/><Relationship Id="rId1618" Type="http://schemas.openxmlformats.org/officeDocument/2006/relationships/hyperlink" Target="https://www.etsy.com/listing/4465315655/ocean-wave-vibes-embroidered-baby?transaction_id=4998185333" TargetMode="External"/><Relationship Id="rId1825" Type="http://schemas.openxmlformats.org/officeDocument/2006/relationships/hyperlink" Target="https://www.etsy.com/ca/listing/4344235128/new-to-the-hive-baby-romper-embroidered?transaction_id=4688011900" TargetMode="External"/><Relationship Id="rId3040" Type="http://schemas.openxmlformats.org/officeDocument/2006/relationships/hyperlink" Target="https://www.etsy.com/ca/listing/4376399899/the-littlest-book-club-member-baby?transaction_id=4922187892" TargetMode="External"/><Relationship Id="rId2599" Type="http://schemas.openxmlformats.org/officeDocument/2006/relationships/hyperlink" Target="https://www.etsy.com/ca/listing/4347880114/funny-baby-romper-sorry-i-tooted-outfit?transaction_id=4865989084" TargetMode="External"/><Relationship Id="rId778" Type="http://schemas.openxmlformats.org/officeDocument/2006/relationships/hyperlink" Target="https://www.etsy.com/ca/listing/4352935112/custom-baby-romper-personalized-newborn?transaction_id=5049610416" TargetMode="External"/><Relationship Id="rId985" Type="http://schemas.openxmlformats.org/officeDocument/2006/relationships/hyperlink" Target="https://www.etsy.com/ca/listing/4376399899/the-littlest-book-club-member-baby?transaction_id=5013478978" TargetMode="External"/><Relationship Id="rId2459" Type="http://schemas.openxmlformats.org/officeDocument/2006/relationships/hyperlink" Target="https://www.etsy.com/ca/listing/4392929794/little-latke-embroidered-romper-hanukkah?transaction_id=4850643351" TargetMode="External"/><Relationship Id="rId2666" Type="http://schemas.openxmlformats.org/officeDocument/2006/relationships/hyperlink" Target="https://www.etsy.com/ca/listing/4346129239/soccer-baby-romper-embroidered-daddy-and?transaction_id=4891474463" TargetMode="External"/><Relationship Id="rId2873" Type="http://schemas.openxmlformats.org/officeDocument/2006/relationships/hyperlink" Target="https://www.etsy.com/ca/listing/4330504943/embroidered-tennis-baby-romper-daddys?transaction_id=4906519306" TargetMode="External"/><Relationship Id="rId638" Type="http://schemas.openxmlformats.org/officeDocument/2006/relationships/hyperlink" Target="https://www.etsy.com/ca/listing/4507655767/dads-best-bud-baby-romper-first-fathers?transaction_id=5080181062" TargetMode="External"/><Relationship Id="rId845" Type="http://schemas.openxmlformats.org/officeDocument/2006/relationships/hyperlink" Target="https://www.etsy.com/ca/listing/4376389783/player-2-baby-romper-gamer-baby-outfit?transaction_id=5050737861" TargetMode="External"/><Relationship Id="rId1268" Type="http://schemas.openxmlformats.org/officeDocument/2006/relationships/hyperlink" Target="https://www.etsy.com/listing/4485710996/masters-2026-augusta-national-golf-club?transaction_id=5033304769" TargetMode="External"/><Relationship Id="rId1475" Type="http://schemas.openxmlformats.org/officeDocument/2006/relationships/hyperlink" Target="https://www.etsy.com/listing/4321792231/first-grandbaby-romper-embroidered-baby?transaction_id=5100954765" TargetMode="External"/><Relationship Id="rId1682" Type="http://schemas.openxmlformats.org/officeDocument/2006/relationships/hyperlink" Target="https://www.etsy.com/listing/4455903513/personalized-game-on-tennis-baby?transaction_id=5089832462" TargetMode="External"/><Relationship Id="rId2319" Type="http://schemas.openxmlformats.org/officeDocument/2006/relationships/hyperlink" Target="https://www.etsy.com/ca/listing/4330492512/funny-goose-embroidered-baby-romper?transaction_id=4813513019" TargetMode="External"/><Relationship Id="rId2526" Type="http://schemas.openxmlformats.org/officeDocument/2006/relationships/hyperlink" Target="https://www.etsy.com/ca/listing/4371125103/personalized-dog-baby-bodysuit-custom?transaction_id=4868710179" TargetMode="External"/><Relationship Id="rId2733" Type="http://schemas.openxmlformats.org/officeDocument/2006/relationships/hyperlink" Target="https://www.etsy.com/ca/listing/4376399899/the-littlest-book-club-member-baby?transaction_id=4905962443" TargetMode="External"/><Relationship Id="rId705" Type="http://schemas.openxmlformats.org/officeDocument/2006/relationships/hyperlink" Target="https://www.etsy.com/ca/listing/4371125103/personalized-dog-baby-bodysuit-custom?transaction_id=5077417609" TargetMode="External"/><Relationship Id="rId1128" Type="http://schemas.openxmlformats.org/officeDocument/2006/relationships/hyperlink" Target="https://www.etsy.com/ca/listing/4376399899/the-littlest-book-club-member-baby?transaction_id=5000475451" TargetMode="External"/><Relationship Id="rId1335" Type="http://schemas.openxmlformats.org/officeDocument/2006/relationships/hyperlink" Target="https://www.etsy.com/listing/4474297353/daddys-coffee-date-bodysuit-embroidered?transaction_id=5076102865" TargetMode="External"/><Relationship Id="rId1542" Type="http://schemas.openxmlformats.org/officeDocument/2006/relationships/hyperlink" Target="https://www.etsy.com/listing/4465296416/embroidered-apparently-i-like-golf-baby?transaction_id=5112320495" TargetMode="External"/><Relationship Id="rId2940" Type="http://schemas.openxmlformats.org/officeDocument/2006/relationships/hyperlink" Target="https://www.etsy.com/ca/listing/4330488178/embroidered-golf-baby-romper-new-to-the?transaction_id=4912469202" TargetMode="External"/><Relationship Id="rId912" Type="http://schemas.openxmlformats.org/officeDocument/2006/relationships/hyperlink" Target="https://www.etsy.com/ca/listing/4376401181/challah-at-your-girl-baby-bodysuit-funny?transaction_id=5027150930" TargetMode="External"/><Relationship Id="rId2800" Type="http://schemas.openxmlformats.org/officeDocument/2006/relationships/hyperlink" Target="https://www.etsy.com/ca/listing/4376399899/the-littlest-book-club-member-baby?transaction_id=4900250912" TargetMode="External"/><Relationship Id="rId41" Type="http://schemas.openxmlformats.org/officeDocument/2006/relationships/hyperlink" Target="https://www.etsy.com/listing/4441940535/special-delivery-embroidered-baby?transaction_id=5029462650" TargetMode="External"/><Relationship Id="rId1402" Type="http://schemas.openxmlformats.org/officeDocument/2006/relationships/hyperlink" Target="https://www.etsy.com/listing/4509437702/apparently-i-like-fishing-embroidered?transaction_id=5090124708" TargetMode="External"/><Relationship Id="rId288" Type="http://schemas.openxmlformats.org/officeDocument/2006/relationships/hyperlink" Target="https://www.etsy.com/ca/listing/4507540167/daddys-little-tennis-buddy-embroidered?transaction_id=5092212498" TargetMode="External"/><Relationship Id="rId3367" Type="http://schemas.openxmlformats.org/officeDocument/2006/relationships/hyperlink" Target="https://www.etsy.com/ca/listing/4376392339/funny-baby-romper-my-brand-of-formula?transaction_id=4964006538" TargetMode="External"/><Relationship Id="rId495" Type="http://schemas.openxmlformats.org/officeDocument/2006/relationships/hyperlink" Target="https://www.etsy.com/ca/listing/4392935796/box-box-for-fresh-diapers-embroidered?transaction_id=5104178538" TargetMode="External"/><Relationship Id="rId2176" Type="http://schemas.openxmlformats.org/officeDocument/2006/relationships/hyperlink" Target="https://www.etsy.com/ca/listing/4376399899/the-littlest-book-club-member-baby?transaction_id=4791570500" TargetMode="External"/><Relationship Id="rId2383" Type="http://schemas.openxmlformats.org/officeDocument/2006/relationships/hyperlink" Target="https://www.etsy.com/ca/listing/4392929794/little-latke-embroidered-romper-hanukkah?transaction_id=4825923918" TargetMode="External"/><Relationship Id="rId2590" Type="http://schemas.openxmlformats.org/officeDocument/2006/relationships/hyperlink" Target="https://www.etsy.com/ca/listing/4392929794/little-latke-embroidered-romper-hanukkah?transaction_id=4879736441" TargetMode="External"/><Relationship Id="rId3227" Type="http://schemas.openxmlformats.org/officeDocument/2006/relationships/hyperlink" Target="https://www.etsy.com/ca/listing/4392929794/little-latke-embroidered-romper-hanukkah?transaction_id=4954906977" TargetMode="External"/><Relationship Id="rId148" Type="http://schemas.openxmlformats.org/officeDocument/2006/relationships/hyperlink" Target="https://www.etsy.com/listing/4489487943/daddys-soccer-buddy-baby-romper-funny?transaction_id=5057094793" TargetMode="External"/><Relationship Id="rId355" Type="http://schemas.openxmlformats.org/officeDocument/2006/relationships/hyperlink" Target="https://www.etsy.com/listing/4476223868/im-proof-my-mommy-cant-resist?transaction_id=5096291434" TargetMode="External"/><Relationship Id="rId562" Type="http://schemas.openxmlformats.org/officeDocument/2006/relationships/hyperlink" Target="https://www.etsy.com/ca/listing/4507655767/dads-best-bud-baby-romper-first-fathers?transaction_id=5104467145" TargetMode="External"/><Relationship Id="rId1192" Type="http://schemas.openxmlformats.org/officeDocument/2006/relationships/hyperlink" Target="https://www.etsy.com/ca/listing/4392935796/box-box-for-fresh-diapers-embroidered?transaction_id=4978660758" TargetMode="External"/><Relationship Id="rId2036" Type="http://schemas.openxmlformats.org/officeDocument/2006/relationships/hyperlink" Target="https://www.etsy.com/ca/listing/4333134764/wizard-font-baby-romper-personalized?transaction_id=4757782874" TargetMode="External"/><Relationship Id="rId2243" Type="http://schemas.openxmlformats.org/officeDocument/2006/relationships/hyperlink" Target="https://www.etsy.com/ca/listing/4392929794/little-latke-embroidered-romper-hanukkah?transaction_id=4810174317" TargetMode="External"/><Relationship Id="rId2450" Type="http://schemas.openxmlformats.org/officeDocument/2006/relationships/hyperlink" Target="https://www.etsy.com/ca/listing/4336903235/personalized-tennis-baby-romper?transaction_id=4836033950" TargetMode="External"/><Relationship Id="rId215" Type="http://schemas.openxmlformats.org/officeDocument/2006/relationships/hyperlink" Target="https://www.etsy.com/listing/4430532176/little-tiger-embroidered-baby-romper?transaction_id=5065975442" TargetMode="External"/><Relationship Id="rId422" Type="http://schemas.openxmlformats.org/officeDocument/2006/relationships/hyperlink" Target="https://www.etsy.com/listing/4475350344/funny-firefighter-baby-bodysuit-mommy?transaction_id=5030940719" TargetMode="External"/><Relationship Id="rId1052" Type="http://schemas.openxmlformats.org/officeDocument/2006/relationships/hyperlink" Target="https://www.etsy.com/ca/listing/4392935796/box-box-for-fresh-diapers-embroidered?transaction_id=5010093135" TargetMode="External"/><Relationship Id="rId2103" Type="http://schemas.openxmlformats.org/officeDocument/2006/relationships/hyperlink" Target="https://www.etsy.com/ca/listing/4346126210/daddys-future-lifting-buddy-romper-baby?transaction_id=4781544223" TargetMode="External"/><Relationship Id="rId2310" Type="http://schemas.openxmlformats.org/officeDocument/2006/relationships/hyperlink" Target="https://www.etsy.com/ca/listing/4371125103/personalized-dog-baby-bodysuit-custom?transaction_id=4818903099" TargetMode="External"/><Relationship Id="rId1869" Type="http://schemas.openxmlformats.org/officeDocument/2006/relationships/hyperlink" Target="https://www.etsy.com/ca/listing/4330485404/cat-face-embroidered-baby-romper-my?transaction_id=4720284481" TargetMode="External"/><Relationship Id="rId3084" Type="http://schemas.openxmlformats.org/officeDocument/2006/relationships/hyperlink" Target="https://www.etsy.com/ca/listing/4330504943/embroidered-tennis-baby-romper-daddys?transaction_id=4937884731" TargetMode="External"/><Relationship Id="rId3291" Type="http://schemas.openxmlformats.org/officeDocument/2006/relationships/hyperlink" Target="https://www.etsy.com/ca/listing/4392935796/box-box-for-fresh-diapers-embroidered?transaction_id=4951798158" TargetMode="External"/><Relationship Id="rId1729" Type="http://schemas.openxmlformats.org/officeDocument/2006/relationships/hyperlink" Target="https://www.etsy.com/ca/listing/4330488178/new-to-the-club-embroidered-baby-romper?transaction_id=4656023626" TargetMode="External"/><Relationship Id="rId1936" Type="http://schemas.openxmlformats.org/officeDocument/2006/relationships/hyperlink" Target="https://www.etsy.com/ca/listing/4343127890/funny-baby-bodysuit-daddys-best-shot?transaction_id=4744905523" TargetMode="External"/><Relationship Id="rId3151" Type="http://schemas.openxmlformats.org/officeDocument/2006/relationships/hyperlink" Target="https://www.etsy.com/ca/listing/4376389783/player-2-baby-romper-gamer-baby-outfit?transaction_id=4945888955" TargetMode="External"/><Relationship Id="rId3011" Type="http://schemas.openxmlformats.org/officeDocument/2006/relationships/hyperlink" Target="https://www.etsy.com/ca/listing/4376389783/player-2-baby-romper-gamer-baby-outfit?transaction_id=4932375397" TargetMode="External"/><Relationship Id="rId5" Type="http://schemas.openxmlformats.org/officeDocument/2006/relationships/hyperlink" Target="https://www.etsy.com/listing/4512470752/i-have-the-best-ever-embroidered-baby?transaction_id=5095730577" TargetMode="External"/><Relationship Id="rId889" Type="http://schemas.openxmlformats.org/officeDocument/2006/relationships/hyperlink" Target="https://www.etsy.com/ca/listing/4485619704/little-swiftie-baby-romper-taylor-fan?transaction_id=5041838827" TargetMode="External"/><Relationship Id="rId2777" Type="http://schemas.openxmlformats.org/officeDocument/2006/relationships/hyperlink" Target="https://www.etsy.com/ca/listing/4371125103/personalized-dog-baby-bodysuit-custom?transaction_id=4897273812" TargetMode="External"/><Relationship Id="rId749" Type="http://schemas.openxmlformats.org/officeDocument/2006/relationships/hyperlink" Target="https://www.etsy.com/ca/listing/4467450860/the-littlest-camping-club-member-baby?transaction_id=5056347436" TargetMode="External"/><Relationship Id="rId1379" Type="http://schemas.openxmlformats.org/officeDocument/2006/relationships/hyperlink" Target="https://www.etsy.com/listing/4477887740/new-best-friend-embroidered-baby-romper?transaction_id=5082111120" TargetMode="External"/><Relationship Id="rId1586" Type="http://schemas.openxmlformats.org/officeDocument/2006/relationships/hyperlink" Target="https://www.etsy.com/listing/4510937008/border-collie-embroidered-baby-romper?transaction_id=5103440720" TargetMode="External"/><Relationship Id="rId2984" Type="http://schemas.openxmlformats.org/officeDocument/2006/relationships/hyperlink" Target="https://www.etsy.com/ca/listing/4371125103/personalized-dog-baby-bodysuit-custom?transaction_id=4930125953" TargetMode="External"/><Relationship Id="rId609" Type="http://schemas.openxmlformats.org/officeDocument/2006/relationships/hyperlink" Target="https://www.etsy.com/ca/listing/4467440237/the-littlest-coffee-club-member-baby?transaction_id=5086312194" TargetMode="External"/><Relationship Id="rId956" Type="http://schemas.openxmlformats.org/officeDocument/2006/relationships/hyperlink" Target="https://www.etsy.com/ca/listing/4467440237/the-littlest-coffee-club-member-baby?transaction_id=5019174184" TargetMode="External"/><Relationship Id="rId1239" Type="http://schemas.openxmlformats.org/officeDocument/2006/relationships/hyperlink" Target="https://www.etsy.com/ca/listing/4376389783/player-2-baby-romper-gamer-baby-outfit?transaction_id=4971104618" TargetMode="External"/><Relationship Id="rId1793" Type="http://schemas.openxmlformats.org/officeDocument/2006/relationships/hyperlink" Target="https://www.etsy.com/ca/listing/4330488178/new-to-the-club-embroidered-baby-romper?transaction_id=4672865802" TargetMode="External"/><Relationship Id="rId2637" Type="http://schemas.openxmlformats.org/officeDocument/2006/relationships/hyperlink" Target="https://www.etsy.com/ca/listing/4376399899/the-littlest-book-club-member-baby?transaction_id=4886765487" TargetMode="External"/><Relationship Id="rId2844" Type="http://schemas.openxmlformats.org/officeDocument/2006/relationships/hyperlink" Target="https://www.etsy.com/ca/listing/4376399899/the-littlest-book-club-member-baby?transaction_id=4905160166" TargetMode="External"/><Relationship Id="rId85" Type="http://schemas.openxmlformats.org/officeDocument/2006/relationships/hyperlink" Target="https://www.etsy.com/listing/4511393612/tiny-tee-time-club-romper-golf-baby?transaction_id=5106666005" TargetMode="External"/><Relationship Id="rId816" Type="http://schemas.openxmlformats.org/officeDocument/2006/relationships/hyperlink" Target="https://www.etsy.com/ca/listing/4376399899/the-littlest-book-club-member-baby?transaction_id=5042691982" TargetMode="External"/><Relationship Id="rId1446" Type="http://schemas.openxmlformats.org/officeDocument/2006/relationships/hyperlink" Target="https://www.etsy.com/listing/4473845389/golf-player-outfit-embroidered-baby?transaction_id=5086773404" TargetMode="External"/><Relationship Id="rId1653" Type="http://schemas.openxmlformats.org/officeDocument/2006/relationships/hyperlink" Target="https://www.etsy.com/listing/4451158689/grandmas-little-ray-of-sunshine-bodysuit?transaction_id=5033383592" TargetMode="External"/><Relationship Id="rId1860" Type="http://schemas.openxmlformats.org/officeDocument/2006/relationships/hyperlink" Target="https://www.etsy.com/ca/listing/4330488178/new-to-the-club-embroidered-baby-romper?transaction_id=4716226007" TargetMode="External"/><Relationship Id="rId2704" Type="http://schemas.openxmlformats.org/officeDocument/2006/relationships/hyperlink" Target="https://www.etsy.com/ca/listing/4392929794/little-latke-embroidered-romper-hanukkah?transaction_id=4871062938" TargetMode="External"/><Relationship Id="rId2911" Type="http://schemas.openxmlformats.org/officeDocument/2006/relationships/hyperlink" Target="https://www.etsy.com/ca/listing/4376389783/player-2-baby-romper-gamer-baby-outfit?transaction_id=4923599623" TargetMode="External"/><Relationship Id="rId1306" Type="http://schemas.openxmlformats.org/officeDocument/2006/relationships/hyperlink" Target="https://www.etsy.com/listing/4485710996/masters-2026-augusta-national-golf-club?transaction_id=5063497185" TargetMode="External"/><Relationship Id="rId1513" Type="http://schemas.openxmlformats.org/officeDocument/2006/relationships/hyperlink" Target="https://www.etsy.com/listing/4376404086/embroidered-lil-nugget-baby-bodysuit?transaction_id=5096502506" TargetMode="External"/><Relationship Id="rId1720" Type="http://schemas.openxmlformats.org/officeDocument/2006/relationships/hyperlink" Target="https://www.etsy.com/ca/listing/4330488178/new-to-the-club-embroidered-baby-romper?transaction_id=4662541897" TargetMode="External"/><Relationship Id="rId12" Type="http://schemas.openxmlformats.org/officeDocument/2006/relationships/hyperlink" Target="https://www.etsy.com/listing/4491435314/just-plane-cute-baby-bodysuit-airplane?transaction_id=5089077467" TargetMode="External"/><Relationship Id="rId399" Type="http://schemas.openxmlformats.org/officeDocument/2006/relationships/hyperlink" Target="https://www.etsy.com/listing/4486243785/on-call-for-snacks-baby-bodysuit-funny?transaction_id=5064426787" TargetMode="External"/><Relationship Id="rId2287" Type="http://schemas.openxmlformats.org/officeDocument/2006/relationships/hyperlink" Target="https://www.etsy.com/ca/listing/4376389783/player-2-baby-romper-gamer-baby-outfit?transaction_id=4807118908" TargetMode="External"/><Relationship Id="rId2494" Type="http://schemas.openxmlformats.org/officeDocument/2006/relationships/hyperlink" Target="https://www.etsy.com/ca/listing/4336899579/personalized-basketball-baby-romper?transaction_id=4848490208" TargetMode="External"/><Relationship Id="rId3338" Type="http://schemas.openxmlformats.org/officeDocument/2006/relationships/hyperlink" Target="https://www.etsy.com/ca/listing/4392935796/box-box-for-fresh-diapers-embroidered?transaction_id=4968785629" TargetMode="External"/><Relationship Id="rId259" Type="http://schemas.openxmlformats.org/officeDocument/2006/relationships/hyperlink" Target="https://www.etsy.com/listing/4440230726/crawl-walk-snowmobile-baby-romper?transaction_id=4945118032" TargetMode="External"/><Relationship Id="rId466" Type="http://schemas.openxmlformats.org/officeDocument/2006/relationships/hyperlink" Target="https://www.etsy.com/listing/4451637685/little-foodie-embroidered-baby-bodysuit?transaction_id=4953851572" TargetMode="External"/><Relationship Id="rId673" Type="http://schemas.openxmlformats.org/officeDocument/2006/relationships/hyperlink" Target="https://www.etsy.com/ca/listing/4376399899/the-littlest-book-club-member-baby?transaction_id=5086344411" TargetMode="External"/><Relationship Id="rId880" Type="http://schemas.openxmlformats.org/officeDocument/2006/relationships/hyperlink" Target="https://www.etsy.com/ca/listing/4376389783/player-2-baby-romper-gamer-baby-outfit?transaction_id=5043047507" TargetMode="External"/><Relationship Id="rId1096" Type="http://schemas.openxmlformats.org/officeDocument/2006/relationships/hyperlink" Target="https://www.etsy.com/ca/listing/4336900156/personalized-soccer-baby-romper?transaction_id=5003615545" TargetMode="External"/><Relationship Id="rId2147" Type="http://schemas.openxmlformats.org/officeDocument/2006/relationships/hyperlink" Target="https://www.etsy.com/ca/listing/4330488178/new-to-the-club-embroidered-baby-romper?transaction_id=4789874329" TargetMode="External"/><Relationship Id="rId2354" Type="http://schemas.openxmlformats.org/officeDocument/2006/relationships/hyperlink" Target="https://www.etsy.com/ca/listing/4330488178/embroidered-golf-baby-romper-new-to-the?transaction_id=4831152255" TargetMode="External"/><Relationship Id="rId2561" Type="http://schemas.openxmlformats.org/officeDocument/2006/relationships/hyperlink" Target="https://www.etsy.com/ca/listing/4344231895/embroidered-baby-romper-shhh-im-reading?transaction_id=4859550342" TargetMode="External"/><Relationship Id="rId119" Type="http://schemas.openxmlformats.org/officeDocument/2006/relationships/hyperlink" Target="https://www.etsy.com/listing/4513106219/new-to-the-crew-embroidered-romper?transaction_id=5096916007" TargetMode="External"/><Relationship Id="rId326" Type="http://schemas.openxmlformats.org/officeDocument/2006/relationships/hyperlink" Target="https://www.etsy.com/ca/listing/4470615480/apparently-i-like-f1-baby-romper-formula?transaction_id=5022118458" TargetMode="External"/><Relationship Id="rId533" Type="http://schemas.openxmlformats.org/officeDocument/2006/relationships/hyperlink" Target="https://www.etsy.com/ca/listing/4344231895/embroidered-baby-romper-shhh-im-reading?transaction_id=5108205459" TargetMode="External"/><Relationship Id="rId1163" Type="http://schemas.openxmlformats.org/officeDocument/2006/relationships/hyperlink" Target="https://www.etsy.com/ca/listing/4376399899/the-littlest-book-club-member-baby?transaction_id=4995523779" TargetMode="External"/><Relationship Id="rId1370" Type="http://schemas.openxmlformats.org/officeDocument/2006/relationships/hyperlink" Target="https://www.etsy.com/listing/4473734263/custom-kangaroo-embroidered-baby-romper?transaction_id=5091143355" TargetMode="External"/><Relationship Id="rId2007" Type="http://schemas.openxmlformats.org/officeDocument/2006/relationships/hyperlink" Target="https://www.etsy.com/ca/listing/4330483435/little-bean-embroidered-baby-romper-cute?transaction_id=4751229074" TargetMode="External"/><Relationship Id="rId2214" Type="http://schemas.openxmlformats.org/officeDocument/2006/relationships/hyperlink" Target="https://www.etsy.com/ca/listing/4392929794/little-latke-embroidered-romper-hanukkah?transaction_id=4805283957" TargetMode="External"/><Relationship Id="rId740" Type="http://schemas.openxmlformats.org/officeDocument/2006/relationships/hyperlink" Target="https://www.etsy.com/ca/listing/4489487674/wait-for-me-i-have-little-legs-baby?transaction_id=5058675748" TargetMode="External"/><Relationship Id="rId1023" Type="http://schemas.openxmlformats.org/officeDocument/2006/relationships/hyperlink" Target="https://www.etsy.com/ca/listing/4376399899/the-littlest-book-club-member-baby?transaction_id=5004373814" TargetMode="External"/><Relationship Id="rId2421" Type="http://schemas.openxmlformats.org/officeDocument/2006/relationships/hyperlink" Target="https://www.etsy.com/ca/listing/4392936921/apparently-i-like-golf-embroidered?transaction_id=4830950046" TargetMode="External"/><Relationship Id="rId600" Type="http://schemas.openxmlformats.org/officeDocument/2006/relationships/hyperlink" Target="https://www.etsy.com/ca/listing/4477332212/custom-name-music-baby-romper?transaction_id=5088450014" TargetMode="External"/><Relationship Id="rId1230" Type="http://schemas.openxmlformats.org/officeDocument/2006/relationships/hyperlink" Target="https://www.etsy.com/ca/listing/4376399899/the-littlest-book-club-member-baby?transaction_id=4983159563" TargetMode="External"/><Relationship Id="rId3195" Type="http://schemas.openxmlformats.org/officeDocument/2006/relationships/hyperlink" Target="https://www.etsy.com/ca/listing/4330488178/embroidered-golf-baby-romper-new-to-the?transaction_id=4939683906" TargetMode="External"/><Relationship Id="rId3055" Type="http://schemas.openxmlformats.org/officeDocument/2006/relationships/hyperlink" Target="https://www.etsy.com/ca/listing/4392932100/born-to-ride-with-my-daddy-embroidered?transaction_id=4935795997" TargetMode="External"/><Relationship Id="rId3262" Type="http://schemas.openxmlformats.org/officeDocument/2006/relationships/hyperlink" Target="https://www.etsy.com/ca/listing/4371125103/personalized-dog-baby-bodysuit-custom?transaction_id=4947729168" TargetMode="External"/><Relationship Id="rId183" Type="http://schemas.openxmlformats.org/officeDocument/2006/relationships/hyperlink" Target="https://www.etsy.com/listing/4446342577/assistant-coach-embroidered-baby-romper?transaction_id=4967890543" TargetMode="External"/><Relationship Id="rId390" Type="http://schemas.openxmlformats.org/officeDocument/2006/relationships/hyperlink" Target="https://www.etsy.com/listing/4473746630/shh-i-am-playing-tennis-with-daddy-baby?transaction_id=5075815835" TargetMode="External"/><Relationship Id="rId1907" Type="http://schemas.openxmlformats.org/officeDocument/2006/relationships/hyperlink" Target="https://www.etsy.com/ca/listing/4330504943/born-to-play-like-my-daddy-baby-romper?transaction_id=4737554703" TargetMode="External"/><Relationship Id="rId2071" Type="http://schemas.openxmlformats.org/officeDocument/2006/relationships/hyperlink" Target="https://www.etsy.com/ca/listing/4336903235/personalized-tennis-baby-romper-daddys?transaction_id=4762997506" TargetMode="External"/><Relationship Id="rId3122" Type="http://schemas.openxmlformats.org/officeDocument/2006/relationships/hyperlink" Target="https://www.etsy.com/ca/listing/4371125103/personalized-dog-baby-bodysuit-custom?transaction_id=4930676674" TargetMode="External"/><Relationship Id="rId250" Type="http://schemas.openxmlformats.org/officeDocument/2006/relationships/hyperlink" Target="https://www.etsy.com/listing/4432961851/my-daddy-plays-in-the-dirt-baby-romper?transaction_id=4956690964" TargetMode="External"/><Relationship Id="rId110" Type="http://schemas.openxmlformats.org/officeDocument/2006/relationships/hyperlink" Target="https://www.etsy.com/listing/4513581555/first-edition-published-2026-embroidered?transaction_id=5098905567" TargetMode="External"/><Relationship Id="rId2888" Type="http://schemas.openxmlformats.org/officeDocument/2006/relationships/hyperlink" Target="https://www.etsy.com/ca/listing/4376399899/the-littlest-book-club-member-baby?transaction_id=4921495783" TargetMode="External"/><Relationship Id="rId1697" Type="http://schemas.openxmlformats.org/officeDocument/2006/relationships/hyperlink" Target="https://www.etsy.com/listing/4350631712/just-a-boy-who-loves-his-mama-baby?transaction_id=4777237928" TargetMode="External"/><Relationship Id="rId2748" Type="http://schemas.openxmlformats.org/officeDocument/2006/relationships/hyperlink" Target="https://www.etsy.com/ca/listing/4392936688/shhh-im-watching-motogp-with-daddy?transaction_id=4892399532" TargetMode="External"/><Relationship Id="rId2955" Type="http://schemas.openxmlformats.org/officeDocument/2006/relationships/hyperlink" Target="https://www.etsy.com/ca/listing/4392929794/little-latke-embroidered-romper-hanukkah?transaction_id=4914581308" TargetMode="External"/><Relationship Id="rId927" Type="http://schemas.openxmlformats.org/officeDocument/2006/relationships/hyperlink" Target="https://www.etsy.com/ca/listing/4376399899/the-littlest-book-club-member-baby?transaction_id=5024660178" TargetMode="External"/><Relationship Id="rId1557" Type="http://schemas.openxmlformats.org/officeDocument/2006/relationships/hyperlink" Target="https://www.etsy.com/listing/4463237615/new-to-the-club-baby-romper-custom-name?transaction_id=4985456738" TargetMode="External"/><Relationship Id="rId1764" Type="http://schemas.openxmlformats.org/officeDocument/2006/relationships/hyperlink" Target="https://www.etsy.com/ca/listing/4333135410/little-pumpkin-baby-romper-fall?transaction_id=4680875391" TargetMode="External"/><Relationship Id="rId1971" Type="http://schemas.openxmlformats.org/officeDocument/2006/relationships/hyperlink" Target="https://www.etsy.com/ca/listing/4346126210/daddys-future-lifting-buddy-romper-baby?transaction_id=4754275913" TargetMode="External"/><Relationship Id="rId2608" Type="http://schemas.openxmlformats.org/officeDocument/2006/relationships/hyperlink" Target="https://www.etsy.com/ca/listing/4346126210/daddys-future-lifting-buddy-romper-baby?transaction_id=4883481447" TargetMode="External"/><Relationship Id="rId2815" Type="http://schemas.openxmlformats.org/officeDocument/2006/relationships/hyperlink" Target="https://www.etsy.com/ca/listing/4371125103/personalized-dog-baby-bodysuit-custom?transaction_id=4916299425" TargetMode="External"/><Relationship Id="rId56" Type="http://schemas.openxmlformats.org/officeDocument/2006/relationships/hyperlink" Target="https://www.etsy.com/listing/4512152650/custom-pet-photo-embroidered-romper?transaction_id=5111024987" TargetMode="External"/><Relationship Id="rId1417" Type="http://schemas.openxmlformats.org/officeDocument/2006/relationships/hyperlink" Target="https://www.etsy.com/listing/4495406377/my-daddy-is-a-better-golfer-funny-golf?transaction_id=5105088585" TargetMode="External"/><Relationship Id="rId1624" Type="http://schemas.openxmlformats.org/officeDocument/2006/relationships/hyperlink" Target="https://www.etsy.com/listing/4469526782/thats-my-daddy-embroidered-baby-lineman?transaction_id=4995639752" TargetMode="External"/><Relationship Id="rId1831" Type="http://schemas.openxmlformats.org/officeDocument/2006/relationships/hyperlink" Target="https://www.etsy.com/ca/listing/4330478867/personalized-hippo-baby-bodysuit?transaction_id=4690630416" TargetMode="External"/><Relationship Id="rId2398" Type="http://schemas.openxmlformats.org/officeDocument/2006/relationships/hyperlink" Target="https://www.etsy.com/ca/listing/4330488178/embroidered-golf-baby-romper-new-to-the?transaction_id=4838214863" TargetMode="External"/><Relationship Id="rId577" Type="http://schemas.openxmlformats.org/officeDocument/2006/relationships/hyperlink" Target="https://www.etsy.com/ca/listing/4467438815/my-brand-of-formula-baby-romper-formula?transaction_id=5091840390" TargetMode="External"/><Relationship Id="rId2258" Type="http://schemas.openxmlformats.org/officeDocument/2006/relationships/hyperlink" Target="https://www.etsy.com/ca/listing/4330495722/embroidered-golf-baby-romper-custom?transaction_id=4804765904" TargetMode="External"/><Relationship Id="rId784" Type="http://schemas.openxmlformats.org/officeDocument/2006/relationships/hyperlink" Target="https://www.etsy.com/ca/listing/4376389783/player-2-baby-romper-gamer-baby-outfit?transaction_id=5061755139" TargetMode="External"/><Relationship Id="rId991" Type="http://schemas.openxmlformats.org/officeDocument/2006/relationships/hyperlink" Target="https://www.etsy.com/ca/listing/4392935796/box-box-for-fresh-diapers-embroidered?transaction_id=5011591898" TargetMode="External"/><Relationship Id="rId1067" Type="http://schemas.openxmlformats.org/officeDocument/2006/relationships/hyperlink" Target="https://www.etsy.com/ca/listing/4330479964/personalized-fox-baby-bodysuit-custom?transaction_id=5006773313" TargetMode="External"/><Relationship Id="rId2465" Type="http://schemas.openxmlformats.org/officeDocument/2006/relationships/hyperlink" Target="https://www.etsy.com/ca/listing/4392929794/little-latke-embroidered-romper-hanukkah?transaction_id=4841463136" TargetMode="External"/><Relationship Id="rId2672" Type="http://schemas.openxmlformats.org/officeDocument/2006/relationships/hyperlink" Target="https://www.etsy.com/ca/listing/4392929794/little-latke-embroidered-romper-hanukkah?transaction_id=4876853492" TargetMode="External"/><Relationship Id="rId3309" Type="http://schemas.openxmlformats.org/officeDocument/2006/relationships/hyperlink" Target="https://www.etsy.com/ca/listing/4392932100/born-to-ride-with-my-daddy-embroidered?transaction_id=4954151678" TargetMode="External"/><Relationship Id="rId437" Type="http://schemas.openxmlformats.org/officeDocument/2006/relationships/hyperlink" Target="https://www.etsy.com/listing/4462719875/rainbow-mini-baby-bodysuit-boho-rainbow?transaction_id=5009858889" TargetMode="External"/><Relationship Id="rId644" Type="http://schemas.openxmlformats.org/officeDocument/2006/relationships/hyperlink" Target="https://www.etsy.com/ca/listing/4471139005/going-home-to-meet-my-pups-baby-romper?transaction_id=5078714568" TargetMode="External"/><Relationship Id="rId851" Type="http://schemas.openxmlformats.org/officeDocument/2006/relationships/hyperlink" Target="https://www.etsy.com/ca/listing/4376399899/the-littlest-book-club-member-baby?transaction_id=5049067587" TargetMode="External"/><Relationship Id="rId1274" Type="http://schemas.openxmlformats.org/officeDocument/2006/relationships/hyperlink" Target="https://www.etsy.com/listing/4426844514/future-drummer-like-daddy-baby-romper?transaction_id=5013354581" TargetMode="External"/><Relationship Id="rId1481" Type="http://schemas.openxmlformats.org/officeDocument/2006/relationships/hyperlink" Target="https://www.etsy.com/listing/4321796572/i-love-my-custom-name-embroidered-romper?transaction_id=5090694452" TargetMode="External"/><Relationship Id="rId2118" Type="http://schemas.openxmlformats.org/officeDocument/2006/relationships/hyperlink" Target="https://www.etsy.com/ca/listing/4330488178/new-to-the-club-embroidered-baby-romper?transaction_id=4784929621" TargetMode="External"/><Relationship Id="rId2325" Type="http://schemas.openxmlformats.org/officeDocument/2006/relationships/hyperlink" Target="https://www.etsy.com/ca/listing/4392929794/little-latke-embroidered-romper-hanukkah?transaction_id=4813385268" TargetMode="External"/><Relationship Id="rId2532" Type="http://schemas.openxmlformats.org/officeDocument/2006/relationships/hyperlink" Target="https://www.etsy.com/ca/listing/4371112234/personalized-pet-line-art-baby-bodysuit?transaction_id=4869776657" TargetMode="External"/><Relationship Id="rId504" Type="http://schemas.openxmlformats.org/officeDocument/2006/relationships/hyperlink" Target="https://www.etsy.com/ca/listing/4330504943/embroidered-tennis-baby-romper-daddys?transaction_id=5102890704" TargetMode="External"/><Relationship Id="rId711" Type="http://schemas.openxmlformats.org/officeDocument/2006/relationships/hyperlink" Target="https://www.etsy.com/ca/listing/4376399899/the-littlest-book-club-member-baby?transaction_id=5076383799" TargetMode="External"/><Relationship Id="rId1134" Type="http://schemas.openxmlformats.org/officeDocument/2006/relationships/hyperlink" Target="https://www.etsy.com/ca/listing/4376399899/the-littlest-book-club-member-baby?transaction_id=4989756182" TargetMode="External"/><Relationship Id="rId1341" Type="http://schemas.openxmlformats.org/officeDocument/2006/relationships/hyperlink" Target="https://www.etsy.com/listing/4473734263/custom-kangaroo-embroidered-baby-romper?transaction_id=5080660909" TargetMode="External"/><Relationship Id="rId1201" Type="http://schemas.openxmlformats.org/officeDocument/2006/relationships/hyperlink" Target="https://www.etsy.com/ca/listing/4330488178/embroidered-golf-baby-romper-new-to-the?transaction_id=4988673781" TargetMode="External"/><Relationship Id="rId3099" Type="http://schemas.openxmlformats.org/officeDocument/2006/relationships/hyperlink" Target="https://www.etsy.com/ca/listing/4330488178/embroidered-golf-baby-romper-new-to-the?transaction_id=4939830787" TargetMode="External"/><Relationship Id="rId3166" Type="http://schemas.openxmlformats.org/officeDocument/2006/relationships/hyperlink" Target="https://www.etsy.com/ca/listing/4346126210/daddys-future-lifting-buddy-romper-baby?transaction_id=4947867441" TargetMode="External"/><Relationship Id="rId3373" Type="http://schemas.openxmlformats.org/officeDocument/2006/relationships/hyperlink" Target="https://www.etsy.com/ca/listing/4371125103/personalized-dog-baby-bodysuit-custom?transaction_id=4964787266" TargetMode="External"/><Relationship Id="rId294" Type="http://schemas.openxmlformats.org/officeDocument/2006/relationships/hyperlink" Target="https://www.etsy.com/ca/listing/4490094884/daddys-future-skydiver-baby-romper-cute?transaction_id=5082685918" TargetMode="External"/><Relationship Id="rId2182" Type="http://schemas.openxmlformats.org/officeDocument/2006/relationships/hyperlink" Target="https://www.etsy.com/ca/listing/4330485404/cat-face-embroidered-baby-romper-my?transaction_id=4799789203" TargetMode="External"/><Relationship Id="rId3026" Type="http://schemas.openxmlformats.org/officeDocument/2006/relationships/hyperlink" Target="https://www.etsy.com/ca/listing/4371125103/personalized-dog-baby-bodysuit-custom?transaction_id=4920980924" TargetMode="External"/><Relationship Id="rId3233" Type="http://schemas.openxmlformats.org/officeDocument/2006/relationships/hyperlink" Target="https://www.etsy.com/ca/listing/4371125103/personalized-dog-baby-bodysuit-custom?transaction_id=4954997697" TargetMode="External"/><Relationship Id="rId154" Type="http://schemas.openxmlformats.org/officeDocument/2006/relationships/hyperlink" Target="https://www.etsy.com/listing/4485589345/the-littlest-hiking-club-member-baby?transaction_id=5027348540" TargetMode="External"/><Relationship Id="rId361" Type="http://schemas.openxmlformats.org/officeDocument/2006/relationships/hyperlink" Target="https://www.etsy.com/listing/4482268262/is-it-too-soon-to-ask-for-a-pony-baby?transaction_id=5091550196" TargetMode="External"/><Relationship Id="rId2042" Type="http://schemas.openxmlformats.org/officeDocument/2006/relationships/hyperlink" Target="https://www.etsy.com/ca/listing/4371125103/personalized-dog-baby-bodysuit-custom?transaction_id=4758688036" TargetMode="External"/><Relationship Id="rId2999" Type="http://schemas.openxmlformats.org/officeDocument/2006/relationships/hyperlink" Target="https://www.etsy.com/ca/listing/4376399899/the-littlest-book-club-member-baby?transaction_id=4918797382" TargetMode="External"/><Relationship Id="rId3300" Type="http://schemas.openxmlformats.org/officeDocument/2006/relationships/hyperlink" Target="https://www.etsy.com/ca/listing/4336902854/personalized-football-baby-romper-daddys?transaction_id=4953131138" TargetMode="External"/><Relationship Id="rId221" Type="http://schemas.openxmlformats.org/officeDocument/2006/relationships/hyperlink" Target="https://www.etsy.com/listing/4432968408/olive-you-embroidered-baby-romper-cute?transaction_id=5039752622" TargetMode="External"/><Relationship Id="rId2859" Type="http://schemas.openxmlformats.org/officeDocument/2006/relationships/hyperlink" Target="https://www.etsy.com/ca/listing/4371125103/personalized-dog-baby-bodysuit-custom?transaction_id=4919767563" TargetMode="External"/><Relationship Id="rId1668" Type="http://schemas.openxmlformats.org/officeDocument/2006/relationships/hyperlink" Target="https://www.etsy.com/listing/4435880774/personalized-team-daddy-8-ball?transaction_id=5065546466" TargetMode="External"/><Relationship Id="rId1875" Type="http://schemas.openxmlformats.org/officeDocument/2006/relationships/hyperlink" Target="https://www.etsy.com/ca/listing/4330495722/born-to-birdie-baby-romper-embroidered?transaction_id=4712966894" TargetMode="External"/><Relationship Id="rId2719" Type="http://schemas.openxmlformats.org/officeDocument/2006/relationships/hyperlink" Target="https://www.etsy.com/ca/listing/4346126210/daddys-future-lifting-buddy-romper-baby?transaction_id=4887976030" TargetMode="External"/><Relationship Id="rId1528" Type="http://schemas.openxmlformats.org/officeDocument/2006/relationships/hyperlink" Target="https://www.etsy.com/listing/4376404086/embroidered-lil-nugget-baby-bodysuit?transaction_id=5099424752" TargetMode="External"/><Relationship Id="rId2926" Type="http://schemas.openxmlformats.org/officeDocument/2006/relationships/hyperlink" Target="https://www.etsy.com/ca/listing/4330504155/born-to-play-like-my-daddy-baby-romper?transaction_id=4902872733" TargetMode="External"/><Relationship Id="rId3090" Type="http://schemas.openxmlformats.org/officeDocument/2006/relationships/hyperlink" Target="https://www.etsy.com/ca/listing/4392932100/born-to-ride-with-my-daddy-embroidered?transaction_id=4927044608" TargetMode="External"/><Relationship Id="rId1735" Type="http://schemas.openxmlformats.org/officeDocument/2006/relationships/hyperlink" Target="https://www.etsy.com/ca/listing/4330488178/new-to-the-club-embroidered-baby-romper?transaction_id=4657962984" TargetMode="External"/><Relationship Id="rId1942" Type="http://schemas.openxmlformats.org/officeDocument/2006/relationships/hyperlink" Target="https://www.etsy.com/ca/listing/4330488178/new-to-the-club-embroidered-baby-romper?transaction_id=4735259992" TargetMode="External"/><Relationship Id="rId27" Type="http://schemas.openxmlformats.org/officeDocument/2006/relationships/hyperlink" Target="https://www.etsy.com/listing/4488346062/honk-honk-baby-bodysuit-funny-duck-car?transaction_id=5064239197" TargetMode="External"/><Relationship Id="rId1802" Type="http://schemas.openxmlformats.org/officeDocument/2006/relationships/hyperlink" Target="https://www.etsy.com/ca/listing/4330492054/cutie-pie-embroidered-baby-outfit-with?transaction_id=4691808081" TargetMode="External"/><Relationship Id="rId688" Type="http://schemas.openxmlformats.org/officeDocument/2006/relationships/hyperlink" Target="https://www.etsy.com/ca/listing/4379194627/new-to-the-farm-embroidered-romper-baby?transaction_id=5069698810" TargetMode="External"/><Relationship Id="rId895" Type="http://schemas.openxmlformats.org/officeDocument/2006/relationships/hyperlink" Target="https://www.etsy.com/ca/listing/4467440237/the-littlest-coffee-club-member-baby?transaction_id=5029825508" TargetMode="External"/><Relationship Id="rId2369" Type="http://schemas.openxmlformats.org/officeDocument/2006/relationships/hyperlink" Target="https://www.etsy.com/ca/listing/4376399899/the-littlest-book-club-member-baby?transaction_id=4834266841" TargetMode="External"/><Relationship Id="rId2576" Type="http://schemas.openxmlformats.org/officeDocument/2006/relationships/hyperlink" Target="https://www.etsy.com/ca/listing/4372352286/silly-goose-baby-romper-funny-infant?transaction_id=4862045178" TargetMode="External"/><Relationship Id="rId2783" Type="http://schemas.openxmlformats.org/officeDocument/2006/relationships/hyperlink" Target="https://www.etsy.com/ca/listing/4330488178/embroidered-golf-baby-romper-new-to-the?transaction_id=4898202570" TargetMode="External"/><Relationship Id="rId2990" Type="http://schemas.openxmlformats.org/officeDocument/2006/relationships/hyperlink" Target="https://www.etsy.com/ca/listing/4371125103/personalized-dog-baby-bodysuit-custom?transaction_id=4917822614" TargetMode="External"/><Relationship Id="rId548" Type="http://schemas.openxmlformats.org/officeDocument/2006/relationships/hyperlink" Target="https://www.etsy.com/ca/listing/4376392339/funny-baby-romper-my-brand-of-formula?transaction_id=5106156755" TargetMode="External"/><Relationship Id="rId755" Type="http://schemas.openxmlformats.org/officeDocument/2006/relationships/hyperlink" Target="https://www.etsy.com/ca/listing/4376399899/the-littlest-book-club-member-baby?transaction_id=5055075800" TargetMode="External"/><Relationship Id="rId962" Type="http://schemas.openxmlformats.org/officeDocument/2006/relationships/hyperlink" Target="https://www.etsy.com/ca/listing/4392932100/born-to-ride-with-my-daddy-embroidered?transaction_id=5028070451" TargetMode="External"/><Relationship Id="rId1178" Type="http://schemas.openxmlformats.org/officeDocument/2006/relationships/hyperlink" Target="https://www.etsy.com/ca/listing/4371125103/personalized-dog-baby-bodysuit-custom?transaction_id=4991562697" TargetMode="External"/><Relationship Id="rId1385" Type="http://schemas.openxmlformats.org/officeDocument/2006/relationships/hyperlink" Target="https://www.etsy.com/listing/4495406377/my-daddy-is-a-better-golfer-funny-golf?transaction_id=5082776812" TargetMode="External"/><Relationship Id="rId1592" Type="http://schemas.openxmlformats.org/officeDocument/2006/relationships/hyperlink" Target="https://www.etsy.com/listing/4442468967/daddys-cricket-buddy-embroidered-baby?transaction_id=4954177903" TargetMode="External"/><Relationship Id="rId2229" Type="http://schemas.openxmlformats.org/officeDocument/2006/relationships/hyperlink" Target="https://www.etsy.com/ca/listing/4330488178/embroidered-golf-baby-romper-new-to-the?transaction_id=4800222848" TargetMode="External"/><Relationship Id="rId2436" Type="http://schemas.openxmlformats.org/officeDocument/2006/relationships/hyperlink" Target="https://www.etsy.com/ca/listing/4396731652/personalized-babys-first-christmas?transaction_id=4843188545" TargetMode="External"/><Relationship Id="rId2643" Type="http://schemas.openxmlformats.org/officeDocument/2006/relationships/hyperlink" Target="https://www.etsy.com/ca/listing/4346126210/daddys-future-lifting-buddy-romper-baby?transaction_id=4872236786" TargetMode="External"/><Relationship Id="rId2850" Type="http://schemas.openxmlformats.org/officeDocument/2006/relationships/hyperlink" Target="https://www.etsy.com/ca/listing/4376392339/funny-baby-romper-my-brand-of-formula?transaction_id=4905498500" TargetMode="External"/><Relationship Id="rId91" Type="http://schemas.openxmlformats.org/officeDocument/2006/relationships/hyperlink" Target="https://www.etsy.com/listing/4513104471/new-to-the-fishing-crew-embroidered?transaction_id=5104645897" TargetMode="External"/><Relationship Id="rId408" Type="http://schemas.openxmlformats.org/officeDocument/2006/relationships/hyperlink" Target="https://www.etsy.com/listing/4477984420/cant-wait-to-jam-with-daddy-baby?transaction_id=5045545811" TargetMode="External"/><Relationship Id="rId615" Type="http://schemas.openxmlformats.org/officeDocument/2006/relationships/hyperlink" Target="https://www.etsy.com/ca/listing/4347260564/football-baby-romper-game-day-baby?transaction_id=5084674052" TargetMode="External"/><Relationship Id="rId822" Type="http://schemas.openxmlformats.org/officeDocument/2006/relationships/hyperlink" Target="https://www.etsy.com/ca/listing/4467451258/the-littlest-tennis-club-member-baby?transaction_id=5054421287" TargetMode="External"/><Relationship Id="rId1038" Type="http://schemas.openxmlformats.org/officeDocument/2006/relationships/hyperlink" Target="https://www.etsy.com/ca/listing/4344231895/embroidered-baby-romper-shhh-im-reading?transaction_id=5002544240" TargetMode="External"/><Relationship Id="rId1245" Type="http://schemas.openxmlformats.org/officeDocument/2006/relationships/hyperlink" Target="https://www.etsy.com/ca/listing/4392935796/box-box-for-fresh-diapers-embroidered?transaction_id=4970153520" TargetMode="External"/><Relationship Id="rId1452" Type="http://schemas.openxmlformats.org/officeDocument/2006/relationships/hyperlink" Target="https://www.etsy.com/listing/4321796572/i-love-my-custom-name-embroidered-romper?transaction_id=5098737081" TargetMode="External"/><Relationship Id="rId2503" Type="http://schemas.openxmlformats.org/officeDocument/2006/relationships/hyperlink" Target="https://www.etsy.com/ca/listing/4343131516/embroidered-pickleball-baby-bodysuit?transaction_id=4850687700" TargetMode="External"/><Relationship Id="rId1105" Type="http://schemas.openxmlformats.org/officeDocument/2006/relationships/hyperlink" Target="https://www.etsy.com/ca/listing/4343133680/embroidered-bowling-baby-bodysuit-crawl?transaction_id=5002991289" TargetMode="External"/><Relationship Id="rId1312" Type="http://schemas.openxmlformats.org/officeDocument/2006/relationships/hyperlink" Target="https://www.etsy.com/listing/4480598946/tennis-racket-ball-name-embroidered-baby?transaction_id=5053377068" TargetMode="External"/><Relationship Id="rId2710" Type="http://schemas.openxmlformats.org/officeDocument/2006/relationships/hyperlink" Target="https://www.etsy.com/ca/listing/4376389783/player-2-baby-romper-gamer-baby-outfit?transaction_id=4900526161" TargetMode="External"/><Relationship Id="rId3277" Type="http://schemas.openxmlformats.org/officeDocument/2006/relationships/hyperlink" Target="https://www.etsy.com/ca/listing/4372352286/silly-goose-baby-romper-funny-infant?transaction_id=4950678606" TargetMode="External"/><Relationship Id="rId198" Type="http://schemas.openxmlformats.org/officeDocument/2006/relationships/hyperlink" Target="https://www.etsy.com/listing/4499062845/custom-name-embroidered-romper-baby-gift?transaction_id=5098057914" TargetMode="External"/><Relationship Id="rId2086" Type="http://schemas.openxmlformats.org/officeDocument/2006/relationships/hyperlink" Target="https://www.etsy.com/ca/listing/4330488178/new-to-the-club-embroidered-baby-romper?transaction_id=4766618270" TargetMode="External"/><Relationship Id="rId2293" Type="http://schemas.openxmlformats.org/officeDocument/2006/relationships/hyperlink" Target="https://www.etsy.com/ca/listing/4330504943/embroidered-tennis-baby-romper-daddys?transaction_id=4815840911" TargetMode="External"/><Relationship Id="rId3137" Type="http://schemas.openxmlformats.org/officeDocument/2006/relationships/hyperlink" Target="https://www.etsy.com/ca/listing/4371125103/personalized-dog-baby-bodysuit-custom?transaction_id=4932920272" TargetMode="External"/><Relationship Id="rId3344" Type="http://schemas.openxmlformats.org/officeDocument/2006/relationships/hyperlink" Target="https://www.etsy.com/ca/listing/4392936921/apparently-i-like-golf-embroidered?transaction_id=4969420395" TargetMode="External"/><Relationship Id="rId265" Type="http://schemas.openxmlformats.org/officeDocument/2006/relationships/hyperlink" Target="https://www.etsy.com/listing/4436958179/whaley-cute-embroidered-baby-romper-cute?transaction_id=4933574376" TargetMode="External"/><Relationship Id="rId472" Type="http://schemas.openxmlformats.org/officeDocument/2006/relationships/hyperlink" Target="https://www.etsy.com/listing/4444663232/walking-bread-embroidered-baby-bodysuit?transaction_id=4957427797" TargetMode="External"/><Relationship Id="rId2153" Type="http://schemas.openxmlformats.org/officeDocument/2006/relationships/hyperlink" Target="https://www.etsy.com/ca/listing/4379194627/new-to-the-farm-embroidered-romper-baby?transaction_id=4785874468" TargetMode="External"/><Relationship Id="rId2360" Type="http://schemas.openxmlformats.org/officeDocument/2006/relationships/hyperlink" Target="https://www.etsy.com/ca/listing/4376399899/the-littlest-book-club-member-baby?transaction_id=4832872923" TargetMode="External"/><Relationship Id="rId3204" Type="http://schemas.openxmlformats.org/officeDocument/2006/relationships/hyperlink" Target="https://www.etsy.com/ca/listing/4376399899/the-littlest-book-club-member-baby?transaction_id=4952040509" TargetMode="External"/><Relationship Id="rId125" Type="http://schemas.openxmlformats.org/officeDocument/2006/relationships/hyperlink" Target="https://www.etsy.com/listing/4467395398/shhh-im-watching-moto-gp-with-daddy?transaction_id=5091692683" TargetMode="External"/><Relationship Id="rId332" Type="http://schemas.openxmlformats.org/officeDocument/2006/relationships/hyperlink" Target="https://www.etsy.com/ca/listing/4470615480/apparently-i-like-f1-baby-romper-formula?transaction_id=5021294609" TargetMode="External"/><Relationship Id="rId2013" Type="http://schemas.openxmlformats.org/officeDocument/2006/relationships/hyperlink" Target="https://www.etsy.com/ca/listing/4333134764/wizard-font-baby-romper-personalized?transaction_id=4753606622" TargetMode="External"/><Relationship Id="rId2220" Type="http://schemas.openxmlformats.org/officeDocument/2006/relationships/hyperlink" Target="https://www.etsy.com/ca/listing/4330504943/embroidered-tennis-baby-romper-daddys?transaction_id=4806185205" TargetMode="External"/><Relationship Id="rId1779" Type="http://schemas.openxmlformats.org/officeDocument/2006/relationships/hyperlink" Target="https://www.etsy.com/ca/listing/4330488178/new-to-the-club-embroidered-baby-romper?transaction_id=4669435002" TargetMode="External"/><Relationship Id="rId1986" Type="http://schemas.openxmlformats.org/officeDocument/2006/relationships/hyperlink" Target="https://www.etsy.com/ca/listing/4330486464/crawl-walk-hunt-baby-romper-embroidered?transaction_id=4757169225" TargetMode="External"/><Relationship Id="rId1639" Type="http://schemas.openxmlformats.org/officeDocument/2006/relationships/hyperlink" Target="https://www.etsy.com/listing/4481662420/embroidered-daddys-girl-baby-handmade?transaction_id=5013437628" TargetMode="External"/><Relationship Id="rId1846" Type="http://schemas.openxmlformats.org/officeDocument/2006/relationships/hyperlink" Target="https://www.etsy.com/ca/listing/4346126210/daddys-future-lifting-buddy-romper-baby?transaction_id=4709004943" TargetMode="External"/><Relationship Id="rId3061" Type="http://schemas.openxmlformats.org/officeDocument/2006/relationships/hyperlink" Target="https://www.etsy.com/ca/listing/4376399899/the-littlest-book-club-member-baby?transaction_id=4923896498" TargetMode="External"/><Relationship Id="rId1706" Type="http://schemas.openxmlformats.org/officeDocument/2006/relationships/hyperlink" Target="https://www.etsy.com/listing/4346672208/soccer-baby-romper-born-to-play-like?transaction_id=4825756559" TargetMode="External"/><Relationship Id="rId1913" Type="http://schemas.openxmlformats.org/officeDocument/2006/relationships/hyperlink" Target="https://www.etsy.com/ca/listing/4344232490/freshly-brewed-baby-bodysuit-cute-coffee?transaction_id=4739795933" TargetMode="External"/><Relationship Id="rId799" Type="http://schemas.openxmlformats.org/officeDocument/2006/relationships/hyperlink" Target="https://www.etsy.com/ca/listing/4376399899/the-littlest-book-club-member-baby?transaction_id=5046049960" TargetMode="External"/><Relationship Id="rId2687" Type="http://schemas.openxmlformats.org/officeDocument/2006/relationships/hyperlink" Target="https://www.etsy.com/ca/listing/4392962015/cant-wait-to-jam-with-daddy-embroidered?transaction_id=4896240089" TargetMode="External"/><Relationship Id="rId2894" Type="http://schemas.openxmlformats.org/officeDocument/2006/relationships/hyperlink" Target="https://www.etsy.com/ca/listing/4376399899/the-littlest-book-club-member-baby?transaction_id=4921965303" TargetMode="External"/><Relationship Id="rId659" Type="http://schemas.openxmlformats.org/officeDocument/2006/relationships/hyperlink" Target="https://www.etsy.com/ca/listing/4392962015/cant-wait-to-jam-with-daddy-embroidered?transaction_id=5088578035" TargetMode="External"/><Relationship Id="rId866" Type="http://schemas.openxmlformats.org/officeDocument/2006/relationships/hyperlink" Target="https://www.etsy.com/ca/listing/4376392339/funny-baby-romper-my-brand-of-formula?transaction_id=5034094704" TargetMode="External"/><Relationship Id="rId1289" Type="http://schemas.openxmlformats.org/officeDocument/2006/relationships/hyperlink" Target="https://www.etsy.com/listing/4478434685/custom-golf-letter-w-name-bodysuit?transaction_id=5037252204" TargetMode="External"/><Relationship Id="rId1496" Type="http://schemas.openxmlformats.org/officeDocument/2006/relationships/hyperlink" Target="https://www.etsy.com/listing/4471168394/embroidered-baby-romper-custom-chihuahua?transaction_id=5093353336" TargetMode="External"/><Relationship Id="rId2547" Type="http://schemas.openxmlformats.org/officeDocument/2006/relationships/hyperlink" Target="https://www.etsy.com/ca/listing/4392929794/little-latke-embroidered-romper-hanukkah?transaction_id=4872162051" TargetMode="External"/><Relationship Id="rId519" Type="http://schemas.openxmlformats.org/officeDocument/2006/relationships/hyperlink" Target="https://www.etsy.com/ca/listing/4376392339/funny-baby-romper-my-brand-of-formula?transaction_id=5100290514" TargetMode="External"/><Relationship Id="rId1149" Type="http://schemas.openxmlformats.org/officeDocument/2006/relationships/hyperlink" Target="https://www.etsy.com/ca/listing/4467438815/my-brand-of-formula-baby-romper-formula?transaction_id=4997092691" TargetMode="External"/><Relationship Id="rId1356" Type="http://schemas.openxmlformats.org/officeDocument/2006/relationships/hyperlink" Target="https://www.etsy.com/listing/4399231639/first-grandbaby-embroidered-baby-romper?transaction_id=5073573486" TargetMode="External"/><Relationship Id="rId2754" Type="http://schemas.openxmlformats.org/officeDocument/2006/relationships/hyperlink" Target="https://www.etsy.com/ca/listing/4376399899/the-littlest-book-club-member-baby?transaction_id=4909072273" TargetMode="External"/><Relationship Id="rId2961" Type="http://schemas.openxmlformats.org/officeDocument/2006/relationships/hyperlink" Target="https://www.etsy.com/ca/listing/4344237213/mamas-coffee-date-baby-bodysuit-funny?transaction_id=4915279976" TargetMode="External"/><Relationship Id="rId726" Type="http://schemas.openxmlformats.org/officeDocument/2006/relationships/hyperlink" Target="https://www.etsy.com/ca/listing/4343131516/embroidered-pickleball-baby-bodysuit?transaction_id=5060783832" TargetMode="External"/><Relationship Id="rId933" Type="http://schemas.openxmlformats.org/officeDocument/2006/relationships/hyperlink" Target="https://www.etsy.com/ca/listing/4392936688/shhh-im-watching-motogp-with-daddy?transaction_id=5023060312" TargetMode="External"/><Relationship Id="rId1009" Type="http://schemas.openxmlformats.org/officeDocument/2006/relationships/hyperlink" Target="https://www.etsy.com/ca/listing/4376399899/the-littlest-book-club-member-baby?transaction_id=5007714594" TargetMode="External"/><Relationship Id="rId1563" Type="http://schemas.openxmlformats.org/officeDocument/2006/relationships/hyperlink" Target="https://www.etsy.com/listing/4481664154/sous-chef-baby-romper-personalized?transaction_id=5024315364" TargetMode="External"/><Relationship Id="rId1770" Type="http://schemas.openxmlformats.org/officeDocument/2006/relationships/hyperlink" Target="https://www.etsy.com/ca/listing/4330479964/personalized-fox-baby-bodysuit?transaction_id=4667228504" TargetMode="External"/><Relationship Id="rId2407" Type="http://schemas.openxmlformats.org/officeDocument/2006/relationships/hyperlink" Target="https://www.etsy.com/ca/listing/4343133680/embroidered-bowling-baby-bodysuit-crawl?transaction_id=4839594921" TargetMode="External"/><Relationship Id="rId2614" Type="http://schemas.openxmlformats.org/officeDocument/2006/relationships/hyperlink" Target="https://www.etsy.com/ca/listing/4371125103/personalized-dog-baby-bodysuit-custom?transaction_id=4884033693" TargetMode="External"/><Relationship Id="rId2821" Type="http://schemas.openxmlformats.org/officeDocument/2006/relationships/hyperlink" Target="https://www.etsy.com/ca/listing/4376399899/the-littlest-book-club-member-baby?transaction_id=4916760109" TargetMode="External"/><Relationship Id="rId62" Type="http://schemas.openxmlformats.org/officeDocument/2006/relationships/hyperlink" Target="https://www.etsy.com/listing/4513104471/new-to-the-fishing-crew-embroidered?transaction_id=5100610714" TargetMode="External"/><Relationship Id="rId1216" Type="http://schemas.openxmlformats.org/officeDocument/2006/relationships/hyperlink" Target="https://www.etsy.com/ca/listing/4392936688/shhh-im-watching-motogp-with-daddy?transaction_id=4985057741" TargetMode="External"/><Relationship Id="rId1423" Type="http://schemas.openxmlformats.org/officeDocument/2006/relationships/hyperlink" Target="https://www.etsy.com/listing/4509421965/my-siblings-have-whiskers-embroidered?transaction_id=5097808076" TargetMode="External"/><Relationship Id="rId1630" Type="http://schemas.openxmlformats.org/officeDocument/2006/relationships/hyperlink" Target="https://www.etsy.com/listing/4455959666/mamas-little-bestie-embroidered-baby?transaction_id=5005044684" TargetMode="External"/><Relationship Id="rId3388" Type="http://schemas.openxmlformats.org/officeDocument/2006/relationships/hyperlink" Target="https://www.etsy.com/ca/listing/4372352286/silly-goose-baby-romper-funny-infant?transaction_id=4977354359" TargetMode="External"/><Relationship Id="rId2197" Type="http://schemas.openxmlformats.org/officeDocument/2006/relationships/hyperlink" Target="https://www.etsy.com/ca/listing/4330485404/cat-face-embroidered-baby-romper-funny?transaction_id=4795119478" TargetMode="External"/><Relationship Id="rId3248" Type="http://schemas.openxmlformats.org/officeDocument/2006/relationships/hyperlink" Target="https://www.etsy.com/ca/listing/4371125103/personalized-dog-baby-bodysuit-custom?transaction_id=4956918187" TargetMode="External"/><Relationship Id="rId169" Type="http://schemas.openxmlformats.org/officeDocument/2006/relationships/hyperlink" Target="https://www.etsy.com/listing/4461645637/custom-name-cat-embroidered-romper?transaction_id=4996371878" TargetMode="External"/><Relationship Id="rId376" Type="http://schemas.openxmlformats.org/officeDocument/2006/relationships/hyperlink" Target="https://www.etsy.com/listing/4504134080/brunch-club-embroidered-baby-bodysuit?transaction_id=5091387857" TargetMode="External"/><Relationship Id="rId583" Type="http://schemas.openxmlformats.org/officeDocument/2006/relationships/hyperlink" Target="https://www.etsy.com/ca/listing/4376399899/the-littlest-book-club-member-baby?transaction_id=5101412159" TargetMode="External"/><Relationship Id="rId790" Type="http://schemas.openxmlformats.org/officeDocument/2006/relationships/hyperlink" Target="https://www.etsy.com/ca/listing/4471139539/daddys-future-hunting-buddy-baby-romper?transaction_id=5060968111" TargetMode="External"/><Relationship Id="rId2057" Type="http://schemas.openxmlformats.org/officeDocument/2006/relationships/hyperlink" Target="https://www.etsy.com/ca/listing/4371125103/personalized-dog-baby-bodysuit-custom?transaction_id=4760846098" TargetMode="External"/><Relationship Id="rId2264" Type="http://schemas.openxmlformats.org/officeDocument/2006/relationships/hyperlink" Target="https://www.etsy.com/ca/listing/4392929794/little-latke-embroidered-romper-hanukkah?transaction_id=4813278093" TargetMode="External"/><Relationship Id="rId2471" Type="http://schemas.openxmlformats.org/officeDocument/2006/relationships/hyperlink" Target="https://www.etsy.com/ca/listing/4347260564/football-baby-romper-game-day-baby?transaction_id=4843581676" TargetMode="External"/><Relationship Id="rId3108" Type="http://schemas.openxmlformats.org/officeDocument/2006/relationships/hyperlink" Target="https://www.etsy.com/ca/listing/4392962015/cant-wait-to-jam-with-daddy-embroidered?transaction_id=4929049130" TargetMode="External"/><Relationship Id="rId3315" Type="http://schemas.openxmlformats.org/officeDocument/2006/relationships/hyperlink" Target="https://www.etsy.com/ca/listing/4371125103/personalized-dog-baby-bodysuit-custom?transaction_id=4932920272" TargetMode="External"/><Relationship Id="rId236" Type="http://schemas.openxmlformats.org/officeDocument/2006/relationships/hyperlink" Target="https://www.etsy.com/listing/4432961851/my-daddy-plays-in-the-dirt-baby-romper?transaction_id=5024840049" TargetMode="External"/><Relationship Id="rId443" Type="http://schemas.openxmlformats.org/officeDocument/2006/relationships/hyperlink" Target="https://www.etsy.com/listing/4466840353/the-littlest-baking-club-member-baby?transaction_id=5002635841" TargetMode="External"/><Relationship Id="rId650" Type="http://schemas.openxmlformats.org/officeDocument/2006/relationships/hyperlink" Target="https://www.etsy.com/ca/listing/4392962015/cant-wait-to-jam-with-daddy-embroidered?transaction_id=5077609052" TargetMode="External"/><Relationship Id="rId1073" Type="http://schemas.openxmlformats.org/officeDocument/2006/relationships/hyperlink" Target="https://www.etsy.com/ca/listing/4376392339/funny-baby-romper-my-brand-of-formula?transaction_id=5006238763" TargetMode="External"/><Relationship Id="rId1280" Type="http://schemas.openxmlformats.org/officeDocument/2006/relationships/hyperlink" Target="https://www.etsy.com/listing/4426850215/apparently-i-like-soccer-baby-romper?transaction_id=5029558760" TargetMode="External"/><Relationship Id="rId2124" Type="http://schemas.openxmlformats.org/officeDocument/2006/relationships/hyperlink" Target="https://www.etsy.com/ca/listing/4330485404/cat-face-embroidered-baby-romper-my?transaction_id=4777833434" TargetMode="External"/><Relationship Id="rId2331" Type="http://schemas.openxmlformats.org/officeDocument/2006/relationships/hyperlink" Target="https://www.etsy.com/ca/listing/4376389783/player-2-baby-romper-gamer-baby-outfit?transaction_id=4824225989" TargetMode="External"/><Relationship Id="rId303" Type="http://schemas.openxmlformats.org/officeDocument/2006/relationships/hyperlink" Target="https://www.etsy.com/ca/listing/4470615480/apparently-i-like-f1-baby-romper-formula?transaction_id=5067011323" TargetMode="External"/><Relationship Id="rId1140" Type="http://schemas.openxmlformats.org/officeDocument/2006/relationships/hyperlink" Target="https://www.etsy.com/ca/listing/4392932100/born-to-ride-with-my-daddy-embroidered?transaction_id=4998591413" TargetMode="External"/><Relationship Id="rId510" Type="http://schemas.openxmlformats.org/officeDocument/2006/relationships/hyperlink" Target="https://www.etsy.com/ca/listing/4503550714/crawl-walk-climb-baby-romper-embroidered?transaction_id=5101695318" TargetMode="External"/><Relationship Id="rId1000" Type="http://schemas.openxmlformats.org/officeDocument/2006/relationships/hyperlink" Target="https://www.etsy.com/ca/listing/4376399899/the-littlest-book-club-member-baby?transaction_id=5008812784" TargetMode="External"/><Relationship Id="rId1957" Type="http://schemas.openxmlformats.org/officeDocument/2006/relationships/hyperlink" Target="https://www.etsy.com/ca/listing/4333134764/wizard-font-baby-romper-personalized?transaction_id=4738292264" TargetMode="External"/><Relationship Id="rId1817" Type="http://schemas.openxmlformats.org/officeDocument/2006/relationships/hyperlink" Target="https://www.etsy.com/ca/listing/4330485404/cat-face-embroidered-baby-romper-my?transaction_id=4697704073" TargetMode="External"/><Relationship Id="rId3172" Type="http://schemas.openxmlformats.org/officeDocument/2006/relationships/hyperlink" Target="https://www.etsy.com/ca/listing/4330483435/embroidered-coffee-bean-baby-romper?transaction_id=4937294586" TargetMode="External"/><Relationship Id="rId3032" Type="http://schemas.openxmlformats.org/officeDocument/2006/relationships/hyperlink" Target="https://www.etsy.com/ca/listing/4376399899/the-littlest-book-club-member-baby?transaction_id=4900682960" TargetMode="External"/><Relationship Id="rId160" Type="http://schemas.openxmlformats.org/officeDocument/2006/relationships/hyperlink" Target="https://www.etsy.com/listing/4469990856/apparently-i-like-basketball-baby-romper?transaction_id=5032408273" TargetMode="External"/><Relationship Id="rId2798" Type="http://schemas.openxmlformats.org/officeDocument/2006/relationships/hyperlink" Target="https://www.etsy.com/ca/listing/4330485404/cat-face-embroidered-baby-romper-funny?transaction_id=4914529823" TargetMode="External"/><Relationship Id="rId977" Type="http://schemas.openxmlformats.org/officeDocument/2006/relationships/hyperlink" Target="https://www.etsy.com/ca/listing/4467452578/the-littlest-pickleball-club-member-baby?transaction_id=5024924649" TargetMode="External"/><Relationship Id="rId2658" Type="http://schemas.openxmlformats.org/officeDocument/2006/relationships/hyperlink" Target="https://www.etsy.com/ca/listing/4330499732/embroidered-baby-romper-little-sunshine?transaction_id=4889409993" TargetMode="External"/><Relationship Id="rId2865" Type="http://schemas.openxmlformats.org/officeDocument/2006/relationships/hyperlink" Target="https://www.etsy.com/ca/listing/4344231895/embroidered-baby-romper-shhh-im-reading?transaction_id=4921154513" TargetMode="External"/><Relationship Id="rId837" Type="http://schemas.openxmlformats.org/officeDocument/2006/relationships/hyperlink" Target="https://www.etsy.com/ca/listing/4477329625/custom-name-baseball-baby-romper?transaction_id=5052249165" TargetMode="External"/><Relationship Id="rId1467" Type="http://schemas.openxmlformats.org/officeDocument/2006/relationships/hyperlink" Target="https://www.etsy.com/listing/4324713807/personalized-monkey-baby-romper?transaction_id=5100322373" TargetMode="External"/><Relationship Id="rId1674" Type="http://schemas.openxmlformats.org/officeDocument/2006/relationships/hyperlink" Target="https://www.etsy.com/listing/4451155301/sunflower-stethoscope-personalized?transaction_id=5085647523" TargetMode="External"/><Relationship Id="rId1881" Type="http://schemas.openxmlformats.org/officeDocument/2006/relationships/hyperlink" Target="https://www.etsy.com/ca/listing/4344235128/new-to-the-hive-baby-romper-embroidered?transaction_id=4726741309" TargetMode="External"/><Relationship Id="rId2518" Type="http://schemas.openxmlformats.org/officeDocument/2006/relationships/hyperlink" Target="https://www.etsy.com/ca/listing/4330504155/born-to-play-like-my-daddy-baby-romper?transaction_id=4780712596" TargetMode="External"/><Relationship Id="rId2725" Type="http://schemas.openxmlformats.org/officeDocument/2006/relationships/hyperlink" Target="https://www.etsy.com/ca/listing/4347880114/funny-baby-romper-sorry-i-tooted-outfit?transaction_id=4888668946" TargetMode="External"/><Relationship Id="rId2932" Type="http://schemas.openxmlformats.org/officeDocument/2006/relationships/hyperlink" Target="https://www.etsy.com/ca/listing/4371125103/personalized-dog-baby-bodysuit-custom?transaction_id=4925099751" TargetMode="External"/><Relationship Id="rId904" Type="http://schemas.openxmlformats.org/officeDocument/2006/relationships/hyperlink" Target="https://www.etsy.com/ca/listing/4467445678/the-littlest-music-club-member-baby?transaction_id=5028650146" TargetMode="External"/><Relationship Id="rId1327" Type="http://schemas.openxmlformats.org/officeDocument/2006/relationships/hyperlink" Target="https://www.etsy.com/listing/4477990547/apparently-i-like-golf-bodysuit?transaction_id=5074515685" TargetMode="External"/><Relationship Id="rId1534" Type="http://schemas.openxmlformats.org/officeDocument/2006/relationships/hyperlink" Target="https://www.etsy.com/listing/4376404086/embroidered-lil-nugget-baby-bodysuit?transaction_id=5101281040" TargetMode="External"/><Relationship Id="rId1741" Type="http://schemas.openxmlformats.org/officeDocument/2006/relationships/hyperlink" Target="https://www.etsy.com/ca/listing/4330483435/little-bean-embroidered-baby-romper-cute?transaction_id=4675271741" TargetMode="External"/><Relationship Id="rId33" Type="http://schemas.openxmlformats.org/officeDocument/2006/relationships/hyperlink" Target="https://www.etsy.com/listing/4396671728/on-sundays-we-watch-with-daddy?transaction_id=5049013879" TargetMode="External"/><Relationship Id="rId1601" Type="http://schemas.openxmlformats.org/officeDocument/2006/relationships/hyperlink" Target="https://www.etsy.com/listing/4437043955/new-to-the-crew-running-embroidered-baby?transaction_id=4958274797" TargetMode="External"/><Relationship Id="rId3359" Type="http://schemas.openxmlformats.org/officeDocument/2006/relationships/hyperlink" Target="https://www.etsy.com/ca/listing/4343131516/embroidered-pickleball-baby-bodysuit?transaction_id=4972339387" TargetMode="External"/><Relationship Id="rId487" Type="http://schemas.openxmlformats.org/officeDocument/2006/relationships/hyperlink" Target="https://www.etsy.com/ca/listing/4344231895/embroidered-baby-romper-shhh-im-reading?transaction_id=5114715313" TargetMode="External"/><Relationship Id="rId694" Type="http://schemas.openxmlformats.org/officeDocument/2006/relationships/hyperlink" Target="https://www.etsy.com/ca/listing/4376389783/player-2-baby-romper-gamer-baby-outfit?transaction_id=5081092905" TargetMode="External"/><Relationship Id="rId2168" Type="http://schemas.openxmlformats.org/officeDocument/2006/relationships/hyperlink" Target="https://www.etsy.com/ca/listing/4376401181/challah-at-your-girl-baby-bodysuit-funny?transaction_id=4797460051" TargetMode="External"/><Relationship Id="rId2375" Type="http://schemas.openxmlformats.org/officeDocument/2006/relationships/hyperlink" Target="https://www.etsy.com/ca/listing/4330488178/embroidered-golf-baby-romper-new-to-the?transaction_id=4835024489" TargetMode="External"/><Relationship Id="rId3219" Type="http://schemas.openxmlformats.org/officeDocument/2006/relationships/hyperlink" Target="https://www.etsy.com/ca/listing/4344231895/embroidered-baby-romper-shhh-im-reading?transaction_id=4943396514" TargetMode="External"/><Relationship Id="rId347" Type="http://schemas.openxmlformats.org/officeDocument/2006/relationships/hyperlink" Target="https://www.etsy.com/listing/4496554253/the-littlest-book-club-baby-bodysuit?transaction_id=5114125107" TargetMode="External"/><Relationship Id="rId1184" Type="http://schemas.openxmlformats.org/officeDocument/2006/relationships/hyperlink" Target="https://www.etsy.com/ca/listing/4347260564/football-baby-romper-game-day-baby?transaction_id=4979678386" TargetMode="External"/><Relationship Id="rId2028" Type="http://schemas.openxmlformats.org/officeDocument/2006/relationships/hyperlink" Target="https://www.etsy.com/ca/listing/4376392339/funny-baby-romper-my-brand-of-formula?transaction_id=4766728283" TargetMode="External"/><Relationship Id="rId2582" Type="http://schemas.openxmlformats.org/officeDocument/2006/relationships/hyperlink" Target="https://www.etsy.com/ca/listing/4392962015/cant-wait-to-jam-with-daddy-embroidered?transaction_id=4877860395" TargetMode="External"/><Relationship Id="rId554" Type="http://schemas.openxmlformats.org/officeDocument/2006/relationships/hyperlink" Target="https://www.etsy.com/ca/listing/4336899579/personalized-basketball-baby-romper?transaction_id=5094899850" TargetMode="External"/><Relationship Id="rId761" Type="http://schemas.openxmlformats.org/officeDocument/2006/relationships/hyperlink" Target="https://www.etsy.com/ca/listing/4344231895/embroidered-baby-romper-shhh-im-reading?transaction_id=5053676908" TargetMode="External"/><Relationship Id="rId1391" Type="http://schemas.openxmlformats.org/officeDocument/2006/relationships/hyperlink" Target="https://www.etsy.com/listing/4485710996/masters-2026-augusta-national-golf-club?transaction_id=5084357934" TargetMode="External"/><Relationship Id="rId2235" Type="http://schemas.openxmlformats.org/officeDocument/2006/relationships/hyperlink" Target="https://www.etsy.com/ca/listing/4330483435/embroidered-coffee-bean-baby-romper?transaction_id=4809073531" TargetMode="External"/><Relationship Id="rId2442" Type="http://schemas.openxmlformats.org/officeDocument/2006/relationships/hyperlink" Target="https://www.etsy.com/ca/listing/4392929794/little-latke-embroidered-romper-hanukkah?transaction_id=4833922810" TargetMode="External"/><Relationship Id="rId207" Type="http://schemas.openxmlformats.org/officeDocument/2006/relationships/hyperlink" Target="https://www.etsy.com/listing/4435902216/baby-dragon-baby-romper-cute-dragon?transaction_id=5082285250" TargetMode="External"/><Relationship Id="rId414" Type="http://schemas.openxmlformats.org/officeDocument/2006/relationships/hyperlink" Target="https://www.etsy.com/listing/4468994168/listening-to-taylor-with-my-mom-baby?transaction_id=5032185546" TargetMode="External"/><Relationship Id="rId621" Type="http://schemas.openxmlformats.org/officeDocument/2006/relationships/hyperlink" Target="https://www.etsy.com/ca/listing/4347260564/football-baby-romper-game-day-baby?transaction_id=5083542866" TargetMode="External"/><Relationship Id="rId1044" Type="http://schemas.openxmlformats.org/officeDocument/2006/relationships/hyperlink" Target="https://www.etsy.com/ca/listing/4473754338/f1-baby-romper-with-daddy-racing-baby?transaction_id=5001590428" TargetMode="External"/><Relationship Id="rId1251" Type="http://schemas.openxmlformats.org/officeDocument/2006/relationships/hyperlink" Target="https://www.etsy.com/ca/listing/4376399899/the-littlest-book-club-member-baby?transaction_id=4978421087" TargetMode="External"/><Relationship Id="rId2302" Type="http://schemas.openxmlformats.org/officeDocument/2006/relationships/hyperlink" Target="https://www.etsy.com/ca/listing/4392929794/little-latke-embroidered-romper-hanukkah?transaction_id=4817129423" TargetMode="External"/><Relationship Id="rId1111" Type="http://schemas.openxmlformats.org/officeDocument/2006/relationships/hyperlink" Target="https://www.etsy.com/ca/listing/4392929794/little-latke-embroidered-romper-hanukkah?transaction_id=5002373771" TargetMode="External"/><Relationship Id="rId3076" Type="http://schemas.openxmlformats.org/officeDocument/2006/relationships/hyperlink" Target="https://www.etsy.com/ca/listing/4371125103/personalized-dog-baby-bodysuit-custom?transaction_id=4936769747" TargetMode="External"/><Relationship Id="rId3283" Type="http://schemas.openxmlformats.org/officeDocument/2006/relationships/hyperlink" Target="https://www.etsy.com/ca/listing/4372352286/silly-goose-baby-romper-funny-infant?transaction_id=4951482928" TargetMode="External"/><Relationship Id="rId1928" Type="http://schemas.openxmlformats.org/officeDocument/2006/relationships/hyperlink" Target="https://www.etsy.com/ca/listing/4333134764/wizard-font-baby-romper-personalized?transaction_id=4742562083" TargetMode="External"/><Relationship Id="rId2092" Type="http://schemas.openxmlformats.org/officeDocument/2006/relationships/hyperlink" Target="https://www.etsy.com/ca/listing/4330488178/new-to-the-club-embroidered-baby-romper?transaction_id=4778082557" TargetMode="External"/><Relationship Id="rId3143" Type="http://schemas.openxmlformats.org/officeDocument/2006/relationships/hyperlink" Target="https://www.etsy.com/ca/listing/4371125103/personalized-dog-baby-bodysuit-custom?transaction_id=4933394230" TargetMode="External"/><Relationship Id="rId3350" Type="http://schemas.openxmlformats.org/officeDocument/2006/relationships/hyperlink" Target="https://www.etsy.com/ca/listing/4371125103/personalized-dog-baby-bodysuit-custom?transaction_id=4959743506" TargetMode="External"/><Relationship Id="rId271" Type="http://schemas.openxmlformats.org/officeDocument/2006/relationships/hyperlink" Target="https://www.etsy.com/listing/4432961851/my-daddy-plays-in-the-dirt-baby-romper?transaction_id=4934970985" TargetMode="External"/><Relationship Id="rId3003" Type="http://schemas.openxmlformats.org/officeDocument/2006/relationships/hyperlink" Target="https://www.etsy.com/ca/listing/4330488178/embroidered-golf-baby-romper-new-to-the?transaction_id=4931624881" TargetMode="External"/><Relationship Id="rId131" Type="http://schemas.openxmlformats.org/officeDocument/2006/relationships/hyperlink" Target="https://www.etsy.com/listing/4490501214/little-cycling-club-baby-romper-bicycle" TargetMode="External"/><Relationship Id="rId3210" Type="http://schemas.openxmlformats.org/officeDocument/2006/relationships/hyperlink" Target="https://www.etsy.com/ca/listing/4371125103/personalized-dog-baby-bodysuit-custom?transaction_id=4953646437" TargetMode="External"/><Relationship Id="rId2769" Type="http://schemas.openxmlformats.org/officeDocument/2006/relationships/hyperlink" Target="https://www.etsy.com/ca/listing/4330492936/a-roar-able-dinosaur-baby-bodysuit-cute?transaction_id=4911523903" TargetMode="External"/><Relationship Id="rId2976" Type="http://schemas.openxmlformats.org/officeDocument/2006/relationships/hyperlink" Target="https://www.etsy.com/ca/listing/4392936688/shhh-im-watching-motogp-with-daddy?transaction_id=4929058759" TargetMode="External"/><Relationship Id="rId948" Type="http://schemas.openxmlformats.org/officeDocument/2006/relationships/hyperlink" Target="https://www.etsy.com/ca/listing/4467440237/the-littlest-coffee-club-member-baby?transaction_id=5030675555" TargetMode="External"/><Relationship Id="rId1578" Type="http://schemas.openxmlformats.org/officeDocument/2006/relationships/hyperlink" Target="https://www.etsy.com/listing/4502974746/milk-then-burpees-embroidered-baby?transaction_id=5083210526" TargetMode="External"/><Relationship Id="rId1785" Type="http://schemas.openxmlformats.org/officeDocument/2006/relationships/hyperlink" Target="https://www.etsy.com/ca/listing/4330495722/born-to-birdie-baby-romper-embroidered?transaction_id=4671230506" TargetMode="External"/><Relationship Id="rId1992" Type="http://schemas.openxmlformats.org/officeDocument/2006/relationships/hyperlink" Target="https://www.etsy.com/ca/listing/4330480699/little-prince-baby-romper-embroidered?transaction_id=4758904297" TargetMode="External"/><Relationship Id="rId2629" Type="http://schemas.openxmlformats.org/officeDocument/2006/relationships/hyperlink" Target="https://www.etsy.com/ca/listing/4392929794/little-latke-embroidered-romper-hanukkah?transaction_id=4885938271" TargetMode="External"/><Relationship Id="rId2836" Type="http://schemas.openxmlformats.org/officeDocument/2006/relationships/hyperlink" Target="https://www.etsy.com/ca/listing/4392936921/apparently-i-like-golf-embroidered?transaction_id=4903920838" TargetMode="External"/><Relationship Id="rId77" Type="http://schemas.openxmlformats.org/officeDocument/2006/relationships/hyperlink" Target="https://www.etsy.com/listing/4513104471/new-to-the-fishing-crew-embroidered?transaction_id=5107885381" TargetMode="External"/><Relationship Id="rId808" Type="http://schemas.openxmlformats.org/officeDocument/2006/relationships/hyperlink" Target="https://www.etsy.com/ca/listing/4376399899/the-littlest-book-club-member-baby?transaction_id=5044295308" TargetMode="External"/><Relationship Id="rId1438" Type="http://schemas.openxmlformats.org/officeDocument/2006/relationships/hyperlink" Target="https://www.etsy.com/listing/4376404086/embroidered-lil-nugget-baby-bodysuit?transaction_id=5086125110" TargetMode="External"/><Relationship Id="rId1645" Type="http://schemas.openxmlformats.org/officeDocument/2006/relationships/hyperlink" Target="https://www.etsy.com/listing/4469521573/future-airplane-pilot-embroidered-baby?transaction_id=5031799009" TargetMode="External"/><Relationship Id="rId1852" Type="http://schemas.openxmlformats.org/officeDocument/2006/relationships/hyperlink" Target="https://www.etsy.com/ca/listing/4330480699/little-prince-baby-romper-embroidered?transaction_id=4711382765" TargetMode="External"/><Relationship Id="rId2903" Type="http://schemas.openxmlformats.org/officeDocument/2006/relationships/hyperlink" Target="https://www.etsy.com/ca/listing/4376399899/the-littlest-book-club-member-baby?transaction_id=4922853019" TargetMode="External"/><Relationship Id="rId1505" Type="http://schemas.openxmlformats.org/officeDocument/2006/relationships/hyperlink" Target="https://www.etsy.com/listing/4507005480/milk-then-burpees-embroidered-baby?transaction_id=5095143636" TargetMode="External"/><Relationship Id="rId1712" Type="http://schemas.openxmlformats.org/officeDocument/2006/relationships/hyperlink" Target="https://www.etsy.com/listing/4346669832/basketball-baby-romper-born-to-play-like?transaction_id=4888290845" TargetMode="External"/><Relationship Id="rId598" Type="http://schemas.openxmlformats.org/officeDocument/2006/relationships/hyperlink" Target="https://www.etsy.com/ca/listing/4505538781/custom-embroidered-dog-portrait?transaction_id=5088502048&amp;dd_referrer=" TargetMode="External"/><Relationship Id="rId2279" Type="http://schemas.openxmlformats.org/officeDocument/2006/relationships/hyperlink" Target="https://www.etsy.com/ca/listing/4352935112/custom-baby-romper-personalized-newborn?transaction_id=4806482510" TargetMode="External"/><Relationship Id="rId2486" Type="http://schemas.openxmlformats.org/officeDocument/2006/relationships/hyperlink" Target="https://www.etsy.com/ca/listing/4392929794/little-latke-embroidered-romper-hanukkah?transaction_id=4847070222" TargetMode="External"/><Relationship Id="rId2693" Type="http://schemas.openxmlformats.org/officeDocument/2006/relationships/hyperlink" Target="https://www.etsy.com/ca/listing/4330488178/embroidered-golf-baby-romper-new-to-the?transaction_id=4881499794" TargetMode="External"/><Relationship Id="rId458" Type="http://schemas.openxmlformats.org/officeDocument/2006/relationships/hyperlink" Target="https://www.etsy.com/listing/4445823392/future-firefighter-embroidered-baby?transaction_id=4972238399" TargetMode="External"/><Relationship Id="rId665" Type="http://schemas.openxmlformats.org/officeDocument/2006/relationships/hyperlink" Target="https://www.etsy.com/ca/listing/4503550714/crawl-walk-climb-baby-romper-embroidered?transaction_id=5087552007" TargetMode="External"/><Relationship Id="rId872" Type="http://schemas.openxmlformats.org/officeDocument/2006/relationships/hyperlink" Target="https://www.etsy.com/ca/listing/4467451258/the-littlest-tennis-club-member-baby?transaction_id=5044587249" TargetMode="External"/><Relationship Id="rId1088" Type="http://schemas.openxmlformats.org/officeDocument/2006/relationships/hyperlink" Target="https://www.etsy.com/ca/listing/4376399899/the-littlest-book-club-member-baby?transaction_id=4994538936" TargetMode="External"/><Relationship Id="rId1295" Type="http://schemas.openxmlformats.org/officeDocument/2006/relationships/hyperlink" Target="https://www.etsy.com/listing/4493249816/newest-hunting-buddy-embroidered-baby?transaction_id=5053999401" TargetMode="External"/><Relationship Id="rId2139" Type="http://schemas.openxmlformats.org/officeDocument/2006/relationships/hyperlink" Target="https://www.etsy.com/ca/listing/4376392339/funny-baby-romper-my-brand-of-formula?transaction_id=4779580814" TargetMode="External"/><Relationship Id="rId2346" Type="http://schemas.openxmlformats.org/officeDocument/2006/relationships/hyperlink" Target="https://www.etsy.com/ca/listing/4392932100/born-to-ride-with-my-daddy-embroidered?transaction_id=4821223672" TargetMode="External"/><Relationship Id="rId2553" Type="http://schemas.openxmlformats.org/officeDocument/2006/relationships/hyperlink" Target="https://www.etsy.com/ca/listing/4330485404/cat-face-embroidered-baby-romper-funny?transaction_id=4872883375" TargetMode="External"/><Relationship Id="rId2760" Type="http://schemas.openxmlformats.org/officeDocument/2006/relationships/hyperlink" Target="https://www.etsy.com/ca/listing/4392936921/apparently-i-like-golf-embroidered?transaction_id=4894391404" TargetMode="External"/><Relationship Id="rId318" Type="http://schemas.openxmlformats.org/officeDocument/2006/relationships/hyperlink" Target="https://www.etsy.com/ca/listing/4470615480/apparently-i-like-f1-baby-romper-formula?transaction_id=5049031255" TargetMode="External"/><Relationship Id="rId525" Type="http://schemas.openxmlformats.org/officeDocument/2006/relationships/hyperlink" Target="https://www.etsy.com/ca/listing/4393856175/personalized-christmas-embroidered?transaction_id=5109426491" TargetMode="External"/><Relationship Id="rId732" Type="http://schemas.openxmlformats.org/officeDocument/2006/relationships/hyperlink" Target="https://www.etsy.com/ca/listing/4487707236/new-to-the-crew-dirt-bike-embroidered?transaction_id=5071864103" TargetMode="External"/><Relationship Id="rId1155" Type="http://schemas.openxmlformats.org/officeDocument/2006/relationships/hyperlink" Target="https://www.etsy.com/ca/listing/4344235128/new-to-the-hive-baby-romper-embroidered?transaction_id=4996574059" TargetMode="External"/><Relationship Id="rId1362" Type="http://schemas.openxmlformats.org/officeDocument/2006/relationships/hyperlink" Target="https://www.etsy.com/listing/4485710996/masters-2026-augusta-national-golf-club?transaction_id=5077126830" TargetMode="External"/><Relationship Id="rId2206" Type="http://schemas.openxmlformats.org/officeDocument/2006/relationships/hyperlink" Target="https://www.etsy.com/ca/listing/4371125103/personalized-dog-baby-bodysuit-custom?transaction_id=4803328799" TargetMode="External"/><Relationship Id="rId2413" Type="http://schemas.openxmlformats.org/officeDocument/2006/relationships/hyperlink" Target="https://www.etsy.com/ca/listing/4376392339/funny-baby-romper-my-brand-of-formula?transaction_id=4829952598" TargetMode="External"/><Relationship Id="rId2620" Type="http://schemas.openxmlformats.org/officeDocument/2006/relationships/hyperlink" Target="https://www.etsy.com/ca/listing/4379194627/new-to-the-farm-embroidered-romper-baby?transaction_id=4869001342" TargetMode="External"/><Relationship Id="rId1015" Type="http://schemas.openxmlformats.org/officeDocument/2006/relationships/hyperlink" Target="https://www.etsy.com/ca/listing/4330488178/embroidered-golf-baby-romper-new-to-the?transaction_id=5006363536" TargetMode="External"/><Relationship Id="rId1222" Type="http://schemas.openxmlformats.org/officeDocument/2006/relationships/hyperlink" Target="https://www.etsy.com/ca/listing/4330488178/embroidered-golf-baby-romper-new-to-the?transaction_id=4984109125" TargetMode="External"/><Relationship Id="rId3187" Type="http://schemas.openxmlformats.org/officeDocument/2006/relationships/hyperlink" Target="https://www.etsy.com/ca/listing/4330488178/embroidered-golf-baby-romper-new-to-the?transaction_id=4938703208" TargetMode="External"/><Relationship Id="rId3394" Type="http://schemas.openxmlformats.org/officeDocument/2006/relationships/printerSettings" Target="../printerSettings/printerSettings1.bin"/><Relationship Id="rId3047" Type="http://schemas.openxmlformats.org/officeDocument/2006/relationships/hyperlink" Target="https://www.etsy.com/ca/listing/4376399899/the-littlest-book-club-member-baby?transaction_id=4934997299" TargetMode="External"/><Relationship Id="rId175" Type="http://schemas.openxmlformats.org/officeDocument/2006/relationships/hyperlink" Target="https://www.etsy.com/listing/4461651558/custom-name-shamrock-embroidered-romper?transaction_id=4990588095" TargetMode="External"/><Relationship Id="rId3254" Type="http://schemas.openxmlformats.org/officeDocument/2006/relationships/hyperlink" Target="https://www.etsy.com/ca/listing/4376399899/the-littlest-book-club-member-baby?transaction_id=4957508621" TargetMode="External"/><Relationship Id="rId382" Type="http://schemas.openxmlformats.org/officeDocument/2006/relationships/hyperlink" Target="https://www.etsy.com/listing/4482262637/is-it-too-soon-to-ask-for-a-motorbike?transaction_id=5076975614" TargetMode="External"/><Relationship Id="rId2063" Type="http://schemas.openxmlformats.org/officeDocument/2006/relationships/hyperlink" Target="https://www.etsy.com/ca/listing/4330488178/new-to-the-club-embroidered-baby-romper?transaction_id=4761980426" TargetMode="External"/><Relationship Id="rId2270" Type="http://schemas.openxmlformats.org/officeDocument/2006/relationships/hyperlink" Target="https://www.etsy.com/ca/listing/4392929794/little-latke-embroidered-romper-hanukkah?transaction_id=4813828737" TargetMode="External"/><Relationship Id="rId3114" Type="http://schemas.openxmlformats.org/officeDocument/2006/relationships/hyperlink" Target="https://www.etsy.com/ca/listing/4376399899/the-littlest-book-club-member-baby?transaction_id=4941737155" TargetMode="External"/><Relationship Id="rId3321" Type="http://schemas.openxmlformats.org/officeDocument/2006/relationships/hyperlink" Target="https://www.etsy.com/ca/listing/4392935796/box-box-for-fresh-diapers-embroidered?transaction_id=4966046337" TargetMode="External"/><Relationship Id="rId242" Type="http://schemas.openxmlformats.org/officeDocument/2006/relationships/hyperlink" Target="https://www.etsy.com/listing/4432968408/olive-you-embroidered-baby-romper-cute?transaction_id=5006239025" TargetMode="External"/><Relationship Id="rId2130" Type="http://schemas.openxmlformats.org/officeDocument/2006/relationships/hyperlink" Target="https://www.etsy.com/ca/listing/4347885967/gigis-bestie-baby-bodysuit-baby-shower?transaction_id=4778189496" TargetMode="External"/><Relationship Id="rId102" Type="http://schemas.openxmlformats.org/officeDocument/2006/relationships/hyperlink" Target="https://www.etsy.com/listing/4512678167/custom-golf-baby-embroidered-romper?transaction_id=5090583480" TargetMode="External"/><Relationship Id="rId1689" Type="http://schemas.openxmlformats.org/officeDocument/2006/relationships/hyperlink" Target="https://www.etsy.com/listing/4350619954/personalized-tennis-baby-romper?transaction_id=4706374409" TargetMode="External"/><Relationship Id="rId1896" Type="http://schemas.openxmlformats.org/officeDocument/2006/relationships/hyperlink" Target="https://www.etsy.com/ca/listing/4330485404/cat-face-embroidered-baby-romper-my?transaction_id=4732309845" TargetMode="External"/><Relationship Id="rId2947" Type="http://schemas.openxmlformats.org/officeDocument/2006/relationships/hyperlink" Target="https://www.etsy.com/ca/listing/4347265018/made-with-love-baby-romper-funny-baby?transaction_id=4913411008" TargetMode="External"/><Relationship Id="rId919" Type="http://schemas.openxmlformats.org/officeDocument/2006/relationships/hyperlink" Target="https://www.etsy.com/ca/listing/4477329625/custom-name-baseball-baby-romper?transaction_id=5036722095" TargetMode="External"/><Relationship Id="rId1549" Type="http://schemas.openxmlformats.org/officeDocument/2006/relationships/hyperlink" Target="https://www.etsy.com/listing/4347838451/custom-embroidered-nonnas-little?transaction_id=5114874233" TargetMode="External"/><Relationship Id="rId1756" Type="http://schemas.openxmlformats.org/officeDocument/2006/relationships/hyperlink" Target="https://www.etsy.com/ca/listing/4330488178/new-to-the-club-embroidered-baby-romper?transaction_id=4664495796" TargetMode="External"/><Relationship Id="rId1963" Type="http://schemas.openxmlformats.org/officeDocument/2006/relationships/hyperlink" Target="https://www.etsy.com/ca/listing/4369764524/embroidered-snowman-baby-romper?transaction_id=4740766156" TargetMode="External"/><Relationship Id="rId2807" Type="http://schemas.openxmlformats.org/officeDocument/2006/relationships/hyperlink" Target="https://www.etsy.com/ca/listing/4371125103/personalized-dog-baby-bodysuit-custom?transaction_id=4915486773" TargetMode="External"/><Relationship Id="rId48" Type="http://schemas.openxmlformats.org/officeDocument/2006/relationships/hyperlink" Target="https://www.etsy.com/listing/4395093129/newest-hunting-buddy-baby-bodysuit-duck?transaction_id=5024263783" TargetMode="External"/><Relationship Id="rId1409" Type="http://schemas.openxmlformats.org/officeDocument/2006/relationships/hyperlink" Target="https://www.etsy.com/listing/4513503284/daddys-future-pickleball-partner?transaction_id=5102812921" TargetMode="External"/><Relationship Id="rId1616" Type="http://schemas.openxmlformats.org/officeDocument/2006/relationships/hyperlink" Target="https://www.etsy.com/listing/4430056949/personalized-going-home-to-meet-my-cats?transaction_id=4992857903" TargetMode="External"/><Relationship Id="rId1823" Type="http://schemas.openxmlformats.org/officeDocument/2006/relationships/hyperlink" Target="https://www.etsy.com/ca/listing/4330485404/cat-face-embroidered-baby-romper-my?transaction_id=4699560197" TargetMode="External"/><Relationship Id="rId2597" Type="http://schemas.openxmlformats.org/officeDocument/2006/relationships/hyperlink" Target="https://www.etsy.com/ca/listing/4330488178/embroidered-golf-baby-romper-new-to-the?transaction_id=4880953625" TargetMode="External"/><Relationship Id="rId569" Type="http://schemas.openxmlformats.org/officeDocument/2006/relationships/hyperlink" Target="https://www.etsy.com/ca/listing/4330504943/embroidered-tennis-baby-romper-daddys?transaction_id=5092914006" TargetMode="External"/><Relationship Id="rId776" Type="http://schemas.openxmlformats.org/officeDocument/2006/relationships/hyperlink" Target="https://www.etsy.com/ca/listing/4346129239/soccer-baby-romper-embroidered-daddy-and?transaction_id=5063115127" TargetMode="External"/><Relationship Id="rId983" Type="http://schemas.openxmlformats.org/officeDocument/2006/relationships/hyperlink" Target="https://www.etsy.com/ca/listing/4471141630/crawl-walk-hockey-baby-romper-hockey?transaction_id=5013906700" TargetMode="External"/><Relationship Id="rId1199" Type="http://schemas.openxmlformats.org/officeDocument/2006/relationships/hyperlink" Target="https://www.etsy.com/ca/listing/4376399899/the-littlest-book-club-member-baby?transaction_id=4988753195" TargetMode="External"/><Relationship Id="rId2457" Type="http://schemas.openxmlformats.org/officeDocument/2006/relationships/hyperlink" Target="https://www.etsy.com/ca/listing/4346126210/daddys-future-lifting-buddy-romper-baby?transaction_id=4849415519" TargetMode="External"/><Relationship Id="rId2664" Type="http://schemas.openxmlformats.org/officeDocument/2006/relationships/hyperlink" Target="https://www.etsy.com/ca/listing/4330504943/embroidered-tennis-baby-romper-daddys?transaction_id=4874456802" TargetMode="External"/><Relationship Id="rId429" Type="http://schemas.openxmlformats.org/officeDocument/2006/relationships/hyperlink" Target="https://www.etsy.com/listing/4474936599/is-it-too-soon-to-ask-for-a-guitar-baby?transaction_id=5010397200" TargetMode="External"/><Relationship Id="rId636" Type="http://schemas.openxmlformats.org/officeDocument/2006/relationships/hyperlink" Target="https://www.etsy.com/ca/listing/4376392339/funny-baby-romper-my-brand-of-formula?transaction_id=5092981477" TargetMode="External"/><Relationship Id="rId1059" Type="http://schemas.openxmlformats.org/officeDocument/2006/relationships/hyperlink" Target="https://www.etsy.com/ca/listing/4330485404/cat-face-embroidered-baby-romper-funny?transaction_id=4997921464" TargetMode="External"/><Relationship Id="rId1266" Type="http://schemas.openxmlformats.org/officeDocument/2006/relationships/hyperlink" Target="https://www.etsy.com/listing/4478436550/apparently-i-love-golf-bodysuit?transaction_id=5032625225" TargetMode="External"/><Relationship Id="rId1473" Type="http://schemas.openxmlformats.org/officeDocument/2006/relationships/hyperlink" Target="https://www.etsy.com/listing/4376404086/embroidered-lil-nugget-baby-bodysuit?transaction_id=5100581921" TargetMode="External"/><Relationship Id="rId2317" Type="http://schemas.openxmlformats.org/officeDocument/2006/relationships/hyperlink" Target="https://www.etsy.com/ca/listing/4376392339/funny-baby-romper-my-brand-of-formula?transaction_id=4819944457" TargetMode="External"/><Relationship Id="rId2871" Type="http://schemas.openxmlformats.org/officeDocument/2006/relationships/hyperlink" Target="https://www.etsy.com/ca/listing/4392935796/box-box-for-fresh-diapers-embroidered?transaction_id=4906180570" TargetMode="External"/><Relationship Id="rId843" Type="http://schemas.openxmlformats.org/officeDocument/2006/relationships/hyperlink" Target="https://www.etsy.com/ca/listing/4467449868/the-littlest-garden-club-member-baby?transaction_id=5038691222" TargetMode="External"/><Relationship Id="rId1126" Type="http://schemas.openxmlformats.org/officeDocument/2006/relationships/hyperlink" Target="https://www.etsy.com/ca/listing/4336907597/custom-running-baby-romper-daddys-future?transaction_id=5000504531" TargetMode="External"/><Relationship Id="rId1680" Type="http://schemas.openxmlformats.org/officeDocument/2006/relationships/hyperlink" Target="https://www.etsy.com/listing/4446342128/new-to-the-club-golf-embroidered-baby?transaction_id=5099540899" TargetMode="External"/><Relationship Id="rId2524" Type="http://schemas.openxmlformats.org/officeDocument/2006/relationships/hyperlink" Target="https://www.etsy.com/ca/listing/4330488178/embroidered-golf-baby-romper-new-to-the?transaction_id=4854877930" TargetMode="External"/><Relationship Id="rId2731" Type="http://schemas.openxmlformats.org/officeDocument/2006/relationships/hyperlink" Target="https://www.etsy.com/ca/listing/4330488178/embroidered-golf-baby-romper-new-to-the?transaction_id=4889924102" TargetMode="External"/><Relationship Id="rId703" Type="http://schemas.openxmlformats.org/officeDocument/2006/relationships/hyperlink" Target="https://www.etsy.com/ca/listing/4376399899/the-littlest-book-club-member-baby?transaction_id=5065056274" TargetMode="External"/><Relationship Id="rId910" Type="http://schemas.openxmlformats.org/officeDocument/2006/relationships/hyperlink" Target="https://www.etsy.com/ca/listing/4392935796/box-box-for-fresh-diapers-embroidered?transaction_id=5027593390" TargetMode="External"/><Relationship Id="rId1333" Type="http://schemas.openxmlformats.org/officeDocument/2006/relationships/hyperlink" Target="https://www.etsy.com/listing/4480040494/little-beach-bum-embroidered-baby-romper?transaction_id=5075565515" TargetMode="External"/><Relationship Id="rId1540" Type="http://schemas.openxmlformats.org/officeDocument/2006/relationships/hyperlink" Target="https://www.etsy.com/listing/4376404086/embroidered-lil-nugget-baby-bodysuit?transaction_id=5112078145" TargetMode="External"/><Relationship Id="rId1400" Type="http://schemas.openxmlformats.org/officeDocument/2006/relationships/hyperlink" Target="https://www.etsy.com/listing/4509964052/born-to-ride-with-my-daddy-embroidered?transaction_id=5099876199" TargetMode="External"/><Relationship Id="rId3298" Type="http://schemas.openxmlformats.org/officeDocument/2006/relationships/hyperlink" Target="https://www.etsy.com/ca/listing/4346129239/soccer-baby-romper-embroidered-daddy-and?transaction_id=4963192287" TargetMode="External"/><Relationship Id="rId3158" Type="http://schemas.openxmlformats.org/officeDocument/2006/relationships/hyperlink" Target="https://www.etsy.com/ca/listing/4392936688/shhh-im-watching-motogp-with-daddy?transaction_id=4935705774" TargetMode="External"/><Relationship Id="rId3365" Type="http://schemas.openxmlformats.org/officeDocument/2006/relationships/hyperlink" Target="https://www.etsy.com/ca/listing/4330504943/embroidered-tennis-baby-romper-daddys?transaction_id=4973044503" TargetMode="External"/><Relationship Id="rId286" Type="http://schemas.openxmlformats.org/officeDocument/2006/relationships/hyperlink" Target="https://www.etsy.com/ca/listing/4516748644/custom-name-baby-embroidered-romper?transaction_id=5095300610" TargetMode="External"/><Relationship Id="rId493" Type="http://schemas.openxmlformats.org/officeDocument/2006/relationships/hyperlink" Target="https://www.etsy.com/ca/listing/4515633002/my-dad-is-the-best-by-par-embroidered?transaction_id=5104550934" TargetMode="External"/><Relationship Id="rId2174" Type="http://schemas.openxmlformats.org/officeDocument/2006/relationships/hyperlink" Target="https://www.etsy.com/ca/listing/4392929794/little-latke-embroidered-romper-hanukkah?transaction_id=4798639335" TargetMode="External"/><Relationship Id="rId2381" Type="http://schemas.openxmlformats.org/officeDocument/2006/relationships/hyperlink" Target="https://www.etsy.com/ca/listing/4392929794/little-latke-embroidered-romper-hanukkah?transaction_id=4825752860" TargetMode="External"/><Relationship Id="rId3018" Type="http://schemas.openxmlformats.org/officeDocument/2006/relationships/hyperlink" Target="https://www.etsy.com/ca/listing/4344231895/embroidered-baby-romper-shhh-im-reading?transaction_id=4920491746" TargetMode="External"/><Relationship Id="rId3225" Type="http://schemas.openxmlformats.org/officeDocument/2006/relationships/hyperlink" Target="https://www.etsy.com/ca/listing/4376389783/player-2-baby-romper-gamer-baby-outfit?transaction_id=4954748377" TargetMode="External"/><Relationship Id="rId146" Type="http://schemas.openxmlformats.org/officeDocument/2006/relationships/hyperlink" Target="https://www.etsy.com/listing/4489487943/daddys-soccer-buddy-baby-romper-funny?transaction_id=5057094793" TargetMode="External"/><Relationship Id="rId353" Type="http://schemas.openxmlformats.org/officeDocument/2006/relationships/hyperlink" Target="https://www.etsy.com/listing/4489495881/music-baby-bodysuit-i-cant-wait-to-jam?transaction_id=5096302908" TargetMode="External"/><Relationship Id="rId560" Type="http://schemas.openxmlformats.org/officeDocument/2006/relationships/hyperlink" Target="https://www.etsy.com/ca/listing/4347260564/football-baby-romper-game-day-baby?transaction_id=5104595195&amp;dd_referrer=" TargetMode="External"/><Relationship Id="rId1190" Type="http://schemas.openxmlformats.org/officeDocument/2006/relationships/hyperlink" Target="https://www.etsy.com/ca/listing/4343133680/embroidered-bowling-baby-bodysuit-crawl?transaction_id=4989397253" TargetMode="External"/><Relationship Id="rId2034" Type="http://schemas.openxmlformats.org/officeDocument/2006/relationships/hyperlink" Target="https://www.etsy.com/ca/listing/4352935112/custom-baby-romper-personalized-newborn?transaction_id=4757681646" TargetMode="External"/><Relationship Id="rId2241" Type="http://schemas.openxmlformats.org/officeDocument/2006/relationships/hyperlink" Target="https://www.etsy.com/ca/listing/4371125103/personalized-dog-baby-bodysuit-custom?transaction_id=4802298666" TargetMode="External"/><Relationship Id="rId213" Type="http://schemas.openxmlformats.org/officeDocument/2006/relationships/hyperlink" Target="https://www.etsy.com/listing/4442025933/embroidered-baby-romper-player-3-has?transaction_id=5069406242" TargetMode="External"/><Relationship Id="rId420" Type="http://schemas.openxmlformats.org/officeDocument/2006/relationships/hyperlink" Target="https://www.etsy.com/listing/4482262637/is-it-too-soon-to-ask-for-a-motorbike?transaction_id=5032606683" TargetMode="External"/><Relationship Id="rId1050" Type="http://schemas.openxmlformats.org/officeDocument/2006/relationships/hyperlink" Target="https://www.etsy.com/ca/listing/4392935796/box-box-for-fresh-diapers-embroidered?transaction_id=5010652043" TargetMode="External"/><Relationship Id="rId2101" Type="http://schemas.openxmlformats.org/officeDocument/2006/relationships/hyperlink" Target="https://www.etsy.com/ca/listing/4330488178/new-to-the-club-embroidered-baby-romper?transaction_id=4771658960" TargetMode="External"/><Relationship Id="rId1867" Type="http://schemas.openxmlformats.org/officeDocument/2006/relationships/hyperlink" Target="https://www.etsy.com/ca/listing/4347885967/gigis-bestie-baby-bodysuit-baby-shower?transaction_id=4708707652" TargetMode="External"/><Relationship Id="rId2918" Type="http://schemas.openxmlformats.org/officeDocument/2006/relationships/hyperlink" Target="https://www.etsy.com/ca/listing/4371125103/personalized-dog-baby-bodysuit-custom?transaction_id=4910763674" TargetMode="External"/><Relationship Id="rId1727" Type="http://schemas.openxmlformats.org/officeDocument/2006/relationships/hyperlink" Target="https://www.etsy.com/ca/listing/4330504943/born-to-play-like-my-daddy-baby-romper?transaction_id=4654361252" TargetMode="External"/><Relationship Id="rId1934" Type="http://schemas.openxmlformats.org/officeDocument/2006/relationships/hyperlink" Target="https://www.etsy.com/ca/listing/4330488178/new-to-the-club-embroidered-baby-romper?transaction_id=4744726063" TargetMode="External"/><Relationship Id="rId3082" Type="http://schemas.openxmlformats.org/officeDocument/2006/relationships/hyperlink" Target="https://www.etsy.com/ca/listing/4330488178/embroidered-golf-baby-romper-new-to-the?transaction_id=4925280890" TargetMode="External"/><Relationship Id="rId19" Type="http://schemas.openxmlformats.org/officeDocument/2006/relationships/hyperlink" Target="https://www.etsy.com/listing/4395117964/daddys-co-pilot-embroidered-baby?transaction_id=5062535158" TargetMode="External"/><Relationship Id="rId3" Type="http://schemas.openxmlformats.org/officeDocument/2006/relationships/hyperlink" Target="https://www.etsy.com/listing/4395646009/cute-tomato-embroidered-baby-bodysuit?transaction_id=5084528844" TargetMode="External"/><Relationship Id="rId887" Type="http://schemas.openxmlformats.org/officeDocument/2006/relationships/hyperlink" Target="https://www.etsy.com/ca/listing/4467440237/the-littlest-coffee-club-member-baby?transaction_id=5042101061" TargetMode="External"/><Relationship Id="rId2568" Type="http://schemas.openxmlformats.org/officeDocument/2006/relationships/hyperlink" Target="https://www.etsy.com/ca/listing/4346126210/daddys-future-lifting-buddy-romper-baby?transaction_id=4875914889" TargetMode="External"/><Relationship Id="rId2775" Type="http://schemas.openxmlformats.org/officeDocument/2006/relationships/hyperlink" Target="https://www.etsy.com/ca/listing/4371125103/personalized-dog-baby-bodysuit-custom?transaction_id=4911903625" TargetMode="External"/><Relationship Id="rId2982" Type="http://schemas.openxmlformats.org/officeDocument/2006/relationships/hyperlink" Target="https://www.etsy.com/ca/listing/4392929794/little-latke-embroidered-romper-hanukkah?transaction_id=4929701579" TargetMode="External"/><Relationship Id="rId747" Type="http://schemas.openxmlformats.org/officeDocument/2006/relationships/hyperlink" Target="https://www.etsy.com/ca/listing/4376399899/the-littlest-book-club-member-baby?transaction_id=5056935846" TargetMode="External"/><Relationship Id="rId954" Type="http://schemas.openxmlformats.org/officeDocument/2006/relationships/hyperlink" Target="https://www.etsy.com/ca/listing/4346126210/daddys-future-lifting-buddy-romper-baby?transaction_id=5029715903" TargetMode="External"/><Relationship Id="rId1377" Type="http://schemas.openxmlformats.org/officeDocument/2006/relationships/hyperlink" Target="https://www.etsy.com/listing/4485710996/masters-2026-augusta-national-golf-club?transaction_id=5093096699" TargetMode="External"/><Relationship Id="rId1584" Type="http://schemas.openxmlformats.org/officeDocument/2006/relationships/hyperlink" Target="https://www.etsy.com/listing/4473244004/personalized-baby-romper-embroidered?transaction_id=5102016589" TargetMode="External"/><Relationship Id="rId1791" Type="http://schemas.openxmlformats.org/officeDocument/2006/relationships/hyperlink" Target="https://www.etsy.com/ca/listing/4333135410/little-pumpkin-baby-romper-fall?transaction_id=4686244903" TargetMode="External"/><Relationship Id="rId2428" Type="http://schemas.openxmlformats.org/officeDocument/2006/relationships/hyperlink" Target="https://www.etsy.com/ca/listing/4346126210/daddys-future-lifting-buddy-romper-baby?transaction_id=4842039055" TargetMode="External"/><Relationship Id="rId2635" Type="http://schemas.openxmlformats.org/officeDocument/2006/relationships/hyperlink" Target="https://www.etsy.com/ca/listing/4371125103/personalized-dog-baby-bodysuit-custom?transaction_id=4870556756" TargetMode="External"/><Relationship Id="rId2842" Type="http://schemas.openxmlformats.org/officeDocument/2006/relationships/hyperlink" Target="https://www.etsy.com/ca/listing/4392936688/shhh-im-watching-motogp-with-daddy?transaction_id=4918662347" TargetMode="External"/><Relationship Id="rId83" Type="http://schemas.openxmlformats.org/officeDocument/2006/relationships/hyperlink" Target="https://www.etsy.com/listing/4513585456/mommys-reading-buddy-embroidered-baby?transaction_id=5096813896" TargetMode="External"/><Relationship Id="rId607" Type="http://schemas.openxmlformats.org/officeDocument/2006/relationships/hyperlink" Target="https://www.etsy.com/ca/listing/4330485404/cat-face-embroidered-baby-romper-funny?transaction_id=5087544534" TargetMode="External"/><Relationship Id="rId814" Type="http://schemas.openxmlformats.org/officeDocument/2006/relationships/hyperlink" Target="https://www.etsy.com/ca/listing/4371125103/personalized-dog-baby-bodysuit-custom?transaction_id=5043090864" TargetMode="External"/><Relationship Id="rId1237" Type="http://schemas.openxmlformats.org/officeDocument/2006/relationships/hyperlink" Target="https://www.etsy.com/ca/listing/4371125103/personalized-dog-baby-bodysuit-custom?transaction_id=4971252980" TargetMode="External"/><Relationship Id="rId1444" Type="http://schemas.openxmlformats.org/officeDocument/2006/relationships/hyperlink" Target="https://www.etsy.com/listing/4376404086/embroidered-lil-nugget-baby-bodysuit?transaction_id=5086125110" TargetMode="External"/><Relationship Id="rId1651" Type="http://schemas.openxmlformats.org/officeDocument/2006/relationships/hyperlink" Target="https://www.etsy.com/listing/4462703193/cool-beans-baby-bodysuit-custom-name?transaction_id=5023499408" TargetMode="External"/><Relationship Id="rId2702" Type="http://schemas.openxmlformats.org/officeDocument/2006/relationships/hyperlink" Target="https://www.etsy.com/ca/listing/4376389783/player-2-baby-romper-gamer-baby-outfit?transaction_id=4883346970" TargetMode="External"/><Relationship Id="rId1304" Type="http://schemas.openxmlformats.org/officeDocument/2006/relationships/hyperlink" Target="https://www.etsy.com/listing/4481741792/little-bean-coffee-lover-embroidered?transaction_id=5064565183" TargetMode="External"/><Relationship Id="rId1511" Type="http://schemas.openxmlformats.org/officeDocument/2006/relationships/hyperlink" Target="https://www.etsy.com/listing/4324725992/personalized-embroidered-tennis-baby?transaction_id=5106563501" TargetMode="External"/><Relationship Id="rId3269" Type="http://schemas.openxmlformats.org/officeDocument/2006/relationships/hyperlink" Target="https://www.etsy.com/ca/listing/4330485404/cat-face-embroidered-baby-romper-funny?transaction_id=4948995038" TargetMode="External"/><Relationship Id="rId10" Type="http://schemas.openxmlformats.org/officeDocument/2006/relationships/hyperlink" Target="https://www.etsy.com/listing/4441951430/miso-cute-embroidered-baby-bodysuit-cute?transaction_id=5091220027" TargetMode="External"/><Relationship Id="rId397" Type="http://schemas.openxmlformats.org/officeDocument/2006/relationships/hyperlink" Target="https://www.etsy.com/listing/4482268262/is-it-too-soon-to-ask-for-a-pony-baby?transaction_id=5056108504" TargetMode="External"/><Relationship Id="rId2078" Type="http://schemas.openxmlformats.org/officeDocument/2006/relationships/hyperlink" Target="https://www.etsy.com/ca/listing/4330480699/little-prince-baby-romper-embroidered?transaction_id=4774171273" TargetMode="External"/><Relationship Id="rId2285" Type="http://schemas.openxmlformats.org/officeDocument/2006/relationships/hyperlink" Target="https://www.etsy.com/ca/listing/4336900156/personalized-soccer-baby-romper?transaction_id=4807114072" TargetMode="External"/><Relationship Id="rId2492" Type="http://schemas.openxmlformats.org/officeDocument/2006/relationships/hyperlink" Target="https://www.etsy.com/ca/listing/4376399899/the-littlest-book-club-member-baby?transaction_id=4848074856" TargetMode="External"/><Relationship Id="rId3129" Type="http://schemas.openxmlformats.org/officeDocument/2006/relationships/hyperlink" Target="https://www.etsy.com/ca/listing/4376392339/funny-baby-romper-my-brand-of-formula?transaction_id=4931593090" TargetMode="External"/><Relationship Id="rId3336" Type="http://schemas.openxmlformats.org/officeDocument/2006/relationships/hyperlink" Target="https://www.etsy.com/ca/listing/4392936688/shhh-im-watching-motogp-with-daddy?transaction_id=4957789690" TargetMode="External"/><Relationship Id="rId257" Type="http://schemas.openxmlformats.org/officeDocument/2006/relationships/hyperlink" Target="https://www.etsy.com/listing/4436470734/custom-name-rocking-horse-embroidered?transaction_id=4957266437" TargetMode="External"/><Relationship Id="rId464" Type="http://schemas.openxmlformats.org/officeDocument/2006/relationships/hyperlink" Target="https://www.etsy.com/listing/4451637931/i-love-to-read-wine-labels-embroidered?transaction_id=4966999847" TargetMode="External"/><Relationship Id="rId1094" Type="http://schemas.openxmlformats.org/officeDocument/2006/relationships/hyperlink" Target="https://www.etsy.com/ca/listing/4376399899/the-littlest-book-club-member-baby?transaction_id=5003841121" TargetMode="External"/><Relationship Id="rId2145" Type="http://schemas.openxmlformats.org/officeDocument/2006/relationships/hyperlink" Target="https://www.etsy.com/ca/listing/4330488178/new-to-the-club-embroidered-baby-romper?transaction_id=4780795772" TargetMode="External"/><Relationship Id="rId117" Type="http://schemas.openxmlformats.org/officeDocument/2006/relationships/hyperlink" Target="https://www.etsy.com/listing/4513575160/i-love-you-from-my-head-to-ma-toes?transaction_id=5086499618" TargetMode="External"/><Relationship Id="rId671" Type="http://schemas.openxmlformats.org/officeDocument/2006/relationships/hyperlink" Target="https://www.etsy.com/ca/listing/4487707236/new-to-the-crew-dirt-bike-embroidered?transaction_id=5073210214" TargetMode="External"/><Relationship Id="rId2352" Type="http://schemas.openxmlformats.org/officeDocument/2006/relationships/hyperlink" Target="https://www.etsy.com/ca/listing/4347885967/gigis-bestie-baby-bodysuit-baby-shower?transaction_id=4830919287" TargetMode="External"/><Relationship Id="rId324" Type="http://schemas.openxmlformats.org/officeDocument/2006/relationships/hyperlink" Target="https://www.etsy.com/ca/listing/4470615480/apparently-i-like-f1-baby-romper-formula?transaction_id=5025776334" TargetMode="External"/><Relationship Id="rId531" Type="http://schemas.openxmlformats.org/officeDocument/2006/relationships/hyperlink" Target="https://www.etsy.com/ca/listing/4347260564/football-baby-romper-game-day-baby?transaction_id=5108662309&amp;dd_referrer=" TargetMode="External"/><Relationship Id="rId1161" Type="http://schemas.openxmlformats.org/officeDocument/2006/relationships/hyperlink" Target="https://www.etsy.com/ca/listing/4467452578/the-littlest-pickleball-club-member-baby?transaction_id=4995830337" TargetMode="External"/><Relationship Id="rId2005" Type="http://schemas.openxmlformats.org/officeDocument/2006/relationships/hyperlink" Target="https://www.etsy.com/ca/listing/4344232490/freshly-brewed-baby-bodysuit-cute-coffee?transaction_id=4761859981" TargetMode="External"/><Relationship Id="rId2212" Type="http://schemas.openxmlformats.org/officeDocument/2006/relationships/hyperlink" Target="https://www.etsy.com/ca/listing/4392929794/little-latke-embroidered-romper-hanukkah?transaction_id=4797836512" TargetMode="External"/><Relationship Id="rId1021" Type="http://schemas.openxmlformats.org/officeDocument/2006/relationships/hyperlink" Target="https://www.etsy.com/ca/listing/4379194627/new-to-the-farm-embroidered-romper-baby?transaction_id=5014379509" TargetMode="External"/><Relationship Id="rId1978" Type="http://schemas.openxmlformats.org/officeDocument/2006/relationships/hyperlink" Target="https://www.etsy.com/ca/listing/4372352286/silly-goose-baby-romper-funny-infant?transaction_id=4756592481" TargetMode="External"/><Relationship Id="rId3193" Type="http://schemas.openxmlformats.org/officeDocument/2006/relationships/hyperlink" Target="https://www.etsy.com/ca/listing/4371125103/personalized-dog-baby-bodysuit-custom?transaction_id=4950485645" TargetMode="External"/><Relationship Id="rId1838" Type="http://schemas.openxmlformats.org/officeDocument/2006/relationships/hyperlink" Target="https://www.etsy.com/ca/listing/4330488178/new-to-the-club-embroidered-baby-romper?transaction_id=4705825229" TargetMode="External"/><Relationship Id="rId3053" Type="http://schemas.openxmlformats.org/officeDocument/2006/relationships/hyperlink" Target="https://www.etsy.com/ca/listing/4376399899/the-littlest-book-club-member-baby?transaction_id=4935705741" TargetMode="External"/><Relationship Id="rId3260" Type="http://schemas.openxmlformats.org/officeDocument/2006/relationships/hyperlink" Target="https://www.etsy.com/ca/listing/4336907597/custom-running-baby-romper-daddys-future?transaction_id=4947301536" TargetMode="External"/><Relationship Id="rId181" Type="http://schemas.openxmlformats.org/officeDocument/2006/relationships/hyperlink" Target="https://www.etsy.com/listing/4454899012/apparently-i-like-baseball-baby-romper?transaction_id=4975418242" TargetMode="External"/><Relationship Id="rId1905" Type="http://schemas.openxmlformats.org/officeDocument/2006/relationships/hyperlink" Target="https://www.etsy.com/ca/listing/4330485404/cat-face-embroidered-baby-romper-my?transaction_id=4726092968" TargetMode="External"/><Relationship Id="rId3120" Type="http://schemas.openxmlformats.org/officeDocument/2006/relationships/hyperlink" Target="https://www.etsy.com/ca/listing/4330485404/cat-face-embroidered-baby-romper-funny?transaction_id=4930507880" TargetMode="External"/><Relationship Id="rId998" Type="http://schemas.openxmlformats.org/officeDocument/2006/relationships/hyperlink" Target="https://www.etsy.com/ca/listing/4467451258/the-littlest-tennis-club-member-baby?transaction_id=5009868436" TargetMode="External"/><Relationship Id="rId2679" Type="http://schemas.openxmlformats.org/officeDocument/2006/relationships/hyperlink" Target="https://www.etsy.com/ca/listing/4330485404/cat-face-embroidered-baby-romper-funny?transaction_id=4894756159" TargetMode="External"/><Relationship Id="rId2886" Type="http://schemas.openxmlformats.org/officeDocument/2006/relationships/hyperlink" Target="https://www.etsy.com/ca/listing/4371125103/personalized-dog-baby-bodysuit-custom?transaction_id=4907529194" TargetMode="External"/><Relationship Id="rId858" Type="http://schemas.openxmlformats.org/officeDocument/2006/relationships/hyperlink" Target="https://www.etsy.com/ca/listing/4346126210/daddys-future-lifting-buddy-romper-baby?transaction_id=5047639849" TargetMode="External"/><Relationship Id="rId1488" Type="http://schemas.openxmlformats.org/officeDocument/2006/relationships/hyperlink" Target="https://www.etsy.com/listing/4376404086/embroidered-lil-nugget-baby-bodysuit?transaction_id=5091666542" TargetMode="External"/><Relationship Id="rId1695" Type="http://schemas.openxmlformats.org/officeDocument/2006/relationships/hyperlink" Target="https://www.etsy.com/listing/4346680175/tennis-baby-romper-born-to-play-like?transaction_id=4765995894" TargetMode="External"/><Relationship Id="rId2539" Type="http://schemas.openxmlformats.org/officeDocument/2006/relationships/hyperlink" Target="https://www.etsy.com/ca/listing/4392929794/little-latke-embroidered-romper-hanukkah?transaction_id=4870979747" TargetMode="External"/><Relationship Id="rId2746" Type="http://schemas.openxmlformats.org/officeDocument/2006/relationships/hyperlink" Target="https://www.etsy.com/ca/listing/4371125103/personalized-dog-baby-bodysuit-custom?transaction_id=4891874040" TargetMode="External"/><Relationship Id="rId2953" Type="http://schemas.openxmlformats.org/officeDocument/2006/relationships/hyperlink" Target="https://www.etsy.com/ca/listing/4372352286/silly-goose-baby-romper-funny-infant?transaction_id=4927202423" TargetMode="External"/><Relationship Id="rId718" Type="http://schemas.openxmlformats.org/officeDocument/2006/relationships/hyperlink" Target="https://www.etsy.com/ca/listing/4330502784/lacrosse-baby-bodysuit-born-to-play-like?transaction_id=5075053659" TargetMode="External"/><Relationship Id="rId925" Type="http://schemas.openxmlformats.org/officeDocument/2006/relationships/hyperlink" Target="https://www.etsy.com/ca/listing/4344231895/embroidered-baby-romper-shhh-im-reading?transaction_id=5035606499&amp;dd_referrer=" TargetMode="External"/><Relationship Id="rId1348" Type="http://schemas.openxmlformats.org/officeDocument/2006/relationships/hyperlink" Target="https://www.etsy.com/listing/4490494063/im-proof-that-my-dad-isnt-always-golfing?transaction_id=5084782699" TargetMode="External"/><Relationship Id="rId1555" Type="http://schemas.openxmlformats.org/officeDocument/2006/relationships/hyperlink" Target="https://www.etsy.com/listing/4463219999/little-sprout-baby-romper-custom-name?transaction_id=4981971934" TargetMode="External"/><Relationship Id="rId1762" Type="http://schemas.openxmlformats.org/officeDocument/2006/relationships/hyperlink" Target="https://www.etsy.com/ca/listing/4333135410/little-pumpkin-baby-romper-fall?transaction_id=4680565121" TargetMode="External"/><Relationship Id="rId2606" Type="http://schemas.openxmlformats.org/officeDocument/2006/relationships/hyperlink" Target="https://www.etsy.com/ca/listing/4376399899/the-littlest-book-club-member-baby?transaction_id=4867740288" TargetMode="External"/><Relationship Id="rId1208" Type="http://schemas.openxmlformats.org/officeDocument/2006/relationships/hyperlink" Target="https://www.etsy.com/ca/listing/4371125103/personalized-dog-baby-bodysuit-custom?transaction_id=4976784210" TargetMode="External"/><Relationship Id="rId1415" Type="http://schemas.openxmlformats.org/officeDocument/2006/relationships/hyperlink" Target="https://www.etsy.com/listing/4489465797/new-to-the-line-crew-embroidered-baby?transaction_id=5093880444" TargetMode="External"/><Relationship Id="rId2813" Type="http://schemas.openxmlformats.org/officeDocument/2006/relationships/hyperlink" Target="https://www.etsy.com/ca/listing/4371125103/personalized-dog-baby-bodysuit-custom?transaction_id=4901458798" TargetMode="External"/><Relationship Id="rId54" Type="http://schemas.openxmlformats.org/officeDocument/2006/relationships/hyperlink" Target="https://www.etsy.com/listing/4516286907/newest-workout-buddy-embroidered-baby?transaction_id=5111069453" TargetMode="External"/><Relationship Id="rId1622" Type="http://schemas.openxmlformats.org/officeDocument/2006/relationships/hyperlink" Target="https://www.etsy.com/listing/4462707332/daddys-future-golf-buddy-baby-bodysuit?transaction_id=5003526331" TargetMode="External"/><Relationship Id="rId2189" Type="http://schemas.openxmlformats.org/officeDocument/2006/relationships/hyperlink" Target="https://www.etsy.com/ca/listing/4336902854/personalized-football-baby-romper-daddys?transaction_id=4801428183" TargetMode="External"/><Relationship Id="rId2396" Type="http://schemas.openxmlformats.org/officeDocument/2006/relationships/hyperlink" Target="https://www.etsy.com/ca/listing/4392932100/born-to-ride-with-my-daddy-embroidered?transaction_id=4827877884" TargetMode="External"/><Relationship Id="rId368" Type="http://schemas.openxmlformats.org/officeDocument/2006/relationships/hyperlink" Target="https://www.etsy.com/listing/4504123979/is-it-too-soon-to-ask-for-a-violin?transaction_id=5095177231" TargetMode="External"/><Relationship Id="rId575" Type="http://schemas.openxmlformats.org/officeDocument/2006/relationships/hyperlink" Target="https://www.etsy.com/ca/listing/4376399899/the-littlest-book-club-member-baby?transaction_id=5102879483" TargetMode="External"/><Relationship Id="rId782" Type="http://schemas.openxmlformats.org/officeDocument/2006/relationships/hyperlink" Target="https://www.etsy.com/ca/listing/4376399899/the-littlest-book-club-member-baby?transaction_id=5049247474" TargetMode="External"/><Relationship Id="rId2049" Type="http://schemas.openxmlformats.org/officeDocument/2006/relationships/hyperlink" Target="https://www.etsy.com/ca/listing/4336902854/personalized-football-baby-romper-daddys?transaction_id=4770102145" TargetMode="External"/><Relationship Id="rId2256" Type="http://schemas.openxmlformats.org/officeDocument/2006/relationships/hyperlink" Target="https://www.etsy.com/ca/listing/4369781522/crawl-walk-putt-baby-romper-funny-golf?transaction_id=4804527636" TargetMode="External"/><Relationship Id="rId2463" Type="http://schemas.openxmlformats.org/officeDocument/2006/relationships/hyperlink" Target="https://www.etsy.com/ca/listing/4330485404/cat-face-embroidered-baby-romper-funny?transaction_id=4841190498" TargetMode="External"/><Relationship Id="rId2670" Type="http://schemas.openxmlformats.org/officeDocument/2006/relationships/hyperlink" Target="https://www.etsy.com/ca/listing/4346124431/small-and-spicy-baby-romper-embroidered?transaction_id=4893033623" TargetMode="External"/><Relationship Id="rId3307" Type="http://schemas.openxmlformats.org/officeDocument/2006/relationships/hyperlink" Target="https://www.etsy.com/ca/listing/4371125103/personalized-dog-baby-bodysuit-custom?transaction_id=4964464741" TargetMode="External"/><Relationship Id="rId228" Type="http://schemas.openxmlformats.org/officeDocument/2006/relationships/hyperlink" Target="https://www.etsy.com/listing/4442020794/cute-little-stinker-baby-romper-funny?transaction_id=5029335016" TargetMode="External"/><Relationship Id="rId435" Type="http://schemas.openxmlformats.org/officeDocument/2006/relationships/hyperlink" Target="https://www.etsy.com/listing/4445812849/born-to-jazz-it-up-embroidered-baby?transaction_id=5000498560" TargetMode="External"/><Relationship Id="rId642" Type="http://schemas.openxmlformats.org/officeDocument/2006/relationships/hyperlink" Target="https://www.etsy.com/ca/listing/4392962015/cant-wait-to-jam-with-daddy-embroidered?transaction_id=5091760127" TargetMode="External"/><Relationship Id="rId1065" Type="http://schemas.openxmlformats.org/officeDocument/2006/relationships/hyperlink" Target="https://www.etsy.com/ca/listing/4347880114/funny-baby-romper-sorry-i-tooted-outfit?transaction_id=5007054431" TargetMode="External"/><Relationship Id="rId1272" Type="http://schemas.openxmlformats.org/officeDocument/2006/relationships/hyperlink" Target="https://www.etsy.com/listing/4485710996/masters-2026-augusta-national-golf-club?transaction_id=5033304769" TargetMode="External"/><Relationship Id="rId2116" Type="http://schemas.openxmlformats.org/officeDocument/2006/relationships/hyperlink" Target="https://www.etsy.com/ca/listing/4330485404/cat-face-embroidered-baby-romper-my?transaction_id=4784412741" TargetMode="External"/><Relationship Id="rId2323" Type="http://schemas.openxmlformats.org/officeDocument/2006/relationships/hyperlink" Target="https://www.etsy.com/ca/listing/4376392339/funny-baby-romper-my-brand-of-formula?transaction_id=4821323125" TargetMode="External"/><Relationship Id="rId2530" Type="http://schemas.openxmlformats.org/officeDocument/2006/relationships/hyperlink" Target="https://www.etsy.com/ca/listing/4392929794/little-latke-embroidered-romper-hanukkah?transaction_id=4869274739" TargetMode="External"/><Relationship Id="rId502" Type="http://schemas.openxmlformats.org/officeDocument/2006/relationships/hyperlink" Target="https://www.etsy.com/ca/listing/4511382091/born-in-2026-americas-250th-year-baby?transaction_id=5112861399" TargetMode="External"/><Relationship Id="rId1132" Type="http://schemas.openxmlformats.org/officeDocument/2006/relationships/hyperlink" Target="https://www.etsy.com/ca/listing/4376399899/the-littlest-book-club-member-baby?transaction_id=4990084222" TargetMode="External"/><Relationship Id="rId3097" Type="http://schemas.openxmlformats.org/officeDocument/2006/relationships/hyperlink" Target="https://www.etsy.com/ca/listing/4376389783/player-2-baby-romper-gamer-baby-outfit?transaction_id=4927682244" TargetMode="External"/><Relationship Id="rId1949" Type="http://schemas.openxmlformats.org/officeDocument/2006/relationships/hyperlink" Target="https://www.etsy.com/ca/listing/4343130134/funny-golf-baby-bodysuit-im-told-i-like?transaction_id=4736174952" TargetMode="External"/><Relationship Id="rId3164" Type="http://schemas.openxmlformats.org/officeDocument/2006/relationships/hyperlink" Target="https://www.etsy.com/ca/listing/4330485404/cat-face-embroidered-baby-romper-funny?transaction_id=4947501121" TargetMode="External"/><Relationship Id="rId292" Type="http://schemas.openxmlformats.org/officeDocument/2006/relationships/hyperlink" Target="https://www.etsy.com/ca/listing/4449570131/little-tiger-baby-romper-tiger-baby?transaction_id=5098520995" TargetMode="External"/><Relationship Id="rId1809" Type="http://schemas.openxmlformats.org/officeDocument/2006/relationships/hyperlink" Target="https://www.etsy.com/ca/listing/4330488178/new-to-the-club-embroidered-baby-romper?transaction_id=4680766640" TargetMode="External"/><Relationship Id="rId3371" Type="http://schemas.openxmlformats.org/officeDocument/2006/relationships/hyperlink" Target="https://www.etsy.com/ca/listing/4376392339/funny-baby-romper-my-brand-of-formula?transaction_id=4964656790" TargetMode="External"/><Relationship Id="rId2180" Type="http://schemas.openxmlformats.org/officeDocument/2006/relationships/hyperlink" Target="https://www.etsy.com/ca/listing/4330485404/cat-face-embroidered-baby-romper-my?transaction_id=4792415744" TargetMode="External"/><Relationship Id="rId3024" Type="http://schemas.openxmlformats.org/officeDocument/2006/relationships/hyperlink" Target="https://www.etsy.com/ca/listing/4376399899/the-littlest-book-club-member-baby?transaction_id=4920880818" TargetMode="External"/><Relationship Id="rId3231" Type="http://schemas.openxmlformats.org/officeDocument/2006/relationships/hyperlink" Target="https://www.etsy.com/ca/listing/4376399899/the-littlest-book-club-member-baby?transaction_id=4954939199" TargetMode="External"/><Relationship Id="rId152" Type="http://schemas.openxmlformats.org/officeDocument/2006/relationships/hyperlink" Target="https://www.etsy.com/listing/4482822167/born-to-golf-with-daddy-baby-romper-golf?transaction_id=5028624846" TargetMode="External"/><Relationship Id="rId2040" Type="http://schemas.openxmlformats.org/officeDocument/2006/relationships/hyperlink" Target="https://www.etsy.com/ca/listing/4352935112/custom-baby-romper-personalized-newborn?transaction_id=4758498042" TargetMode="External"/><Relationship Id="rId2997" Type="http://schemas.openxmlformats.org/officeDocument/2006/relationships/hyperlink" Target="https://www.etsy.com/ca/listing/4376399899/the-littlest-book-club-member-baby?transaction_id=4931173335" TargetMode="External"/><Relationship Id="rId969" Type="http://schemas.openxmlformats.org/officeDocument/2006/relationships/hyperlink" Target="https://www.etsy.com/ca/listing/4376399899/the-littlest-book-club-member-baby?transaction_id=5026516759&amp;dd_referrer=" TargetMode="External"/><Relationship Id="rId1599" Type="http://schemas.openxmlformats.org/officeDocument/2006/relationships/hyperlink" Target="https://www.etsy.com/listing/4436430931/personalized-new-to-the-crew-basketball?transaction_id=4957295819" TargetMode="External"/><Relationship Id="rId1459" Type="http://schemas.openxmlformats.org/officeDocument/2006/relationships/hyperlink" Target="https://www.etsy.com/listing/4471265235/personalized-masters-golf-embroidered?transaction_id=5099369193" TargetMode="External"/><Relationship Id="rId2857" Type="http://schemas.openxmlformats.org/officeDocument/2006/relationships/hyperlink" Target="https://www.etsy.com/ca/listing/4347263856/besties-baby-romper-matching-baby-outfit?transaction_id=4905727382" TargetMode="External"/><Relationship Id="rId98" Type="http://schemas.openxmlformats.org/officeDocument/2006/relationships/hyperlink" Target="https://www.etsy.com/listing/4513585456/mommys-reading-buddy-embroidered-baby?transaction_id=5102739747" TargetMode="External"/><Relationship Id="rId829" Type="http://schemas.openxmlformats.org/officeDocument/2006/relationships/hyperlink" Target="https://www.etsy.com/ca/listing/4336899579/personalized-basketball-baby-romper?transaction_id=5053443929" TargetMode="External"/><Relationship Id="rId1666" Type="http://schemas.openxmlformats.org/officeDocument/2006/relationships/hyperlink" Target="https://www.etsy.com/listing/4430824034/funny-apparently-i-like-golf-baby?transaction_id=5062332512" TargetMode="External"/><Relationship Id="rId1873" Type="http://schemas.openxmlformats.org/officeDocument/2006/relationships/hyperlink" Target="https://www.etsy.com/ca/listing/4330488178/new-to-the-club-embroidered-baby-romper?transaction_id=4721426705" TargetMode="External"/><Relationship Id="rId2717" Type="http://schemas.openxmlformats.org/officeDocument/2006/relationships/hyperlink" Target="https://www.etsy.com/ca/listing/4376392339/funny-baby-romper-my-brand-of-formula?transaction_id=4902894493" TargetMode="External"/><Relationship Id="rId2924" Type="http://schemas.openxmlformats.org/officeDocument/2006/relationships/hyperlink" Target="https://www.etsy.com/ca/listing/4330488178/embroidered-golf-baby-romper-new-to-the?transaction_id=4913668135" TargetMode="External"/><Relationship Id="rId1319" Type="http://schemas.openxmlformats.org/officeDocument/2006/relationships/hyperlink" Target="https://www.etsy.com/listing/4480040494/little-beach-bum-embroidered-baby-romper?transaction_id=5055954030" TargetMode="External"/><Relationship Id="rId1526" Type="http://schemas.openxmlformats.org/officeDocument/2006/relationships/hyperlink" Target="https://www.etsy.com/listing/4507001437/outwit-outplay-outnap-embroidered-baby?transaction_id=5099378636" TargetMode="External"/><Relationship Id="rId1733" Type="http://schemas.openxmlformats.org/officeDocument/2006/relationships/hyperlink" Target="https://www.etsy.com/ca/listing/4330488178/new-to-the-club-embroidered-baby-romper?transaction_id=4657671288" TargetMode="External"/><Relationship Id="rId1940" Type="http://schemas.openxmlformats.org/officeDocument/2006/relationships/hyperlink" Target="https://www.etsy.com/ca/listing/4346126210/daddys-future-lifting-buddy-romper-baby?transaction_id=4745878719" TargetMode="External"/><Relationship Id="rId25" Type="http://schemas.openxmlformats.org/officeDocument/2006/relationships/hyperlink" Target="https://www.etsy.com/listing/4491435314/just-plane-cute-baby-bodysuit-airplane?transaction_id=5064335675" TargetMode="External"/><Relationship Id="rId1800" Type="http://schemas.openxmlformats.org/officeDocument/2006/relationships/hyperlink" Target="https://www.etsy.com/ca/listing/4330481826/bee-kind-baby-romper-embroidered-infant?transaction_id=4690071355" TargetMode="External"/><Relationship Id="rId479" Type="http://schemas.openxmlformats.org/officeDocument/2006/relationships/hyperlink" Target="https://www.etsy.com/listing/4444631598/first-edition-published-2026-embroidered?transaction_id=4944380131" TargetMode="External"/><Relationship Id="rId686" Type="http://schemas.openxmlformats.org/officeDocument/2006/relationships/hyperlink" Target="https://www.etsy.com/ca/listing/4467451258/the-littlest-tennis-club-member-baby?transaction_id=5069711952" TargetMode="External"/><Relationship Id="rId893" Type="http://schemas.openxmlformats.org/officeDocument/2006/relationships/hyperlink" Target="https://www.etsy.com/ca/listing/4330463387/embroidered-baby-romper-relax-mommy-is-a?transaction_id=5041019189" TargetMode="External"/><Relationship Id="rId2367" Type="http://schemas.openxmlformats.org/officeDocument/2006/relationships/hyperlink" Target="https://www.etsy.com/ca/listing/4392929794/little-latke-embroidered-romper-hanukkah?transaction_id=4833935533" TargetMode="External"/><Relationship Id="rId2574" Type="http://schemas.openxmlformats.org/officeDocument/2006/relationships/hyperlink" Target="https://www.etsy.com/ca/listing/4330485404/cat-face-embroidered-baby-romper-funny?transaction_id=4861893832" TargetMode="External"/><Relationship Id="rId2781" Type="http://schemas.openxmlformats.org/officeDocument/2006/relationships/hyperlink" Target="https://www.etsy.com/ca/listing/4369781522/crawl-walk-putt-baby-romper-funny-golf?transaction_id=4897928606" TargetMode="External"/><Relationship Id="rId339" Type="http://schemas.openxmlformats.org/officeDocument/2006/relationships/hyperlink" Target="https://www.etsy.com/ca/listing/4451695034/my-first-racing-season-baby-romper?transaction_id=4979373679" TargetMode="External"/><Relationship Id="rId546" Type="http://schemas.openxmlformats.org/officeDocument/2006/relationships/hyperlink" Target="https://www.etsy.com/ca/listing/4376389783/player-2-baby-romper-gamer-baby-outfit?transaction_id=5106700519" TargetMode="External"/><Relationship Id="rId753" Type="http://schemas.openxmlformats.org/officeDocument/2006/relationships/hyperlink" Target="https://www.etsy.com/ca/listing/4344238379/funny-aunt-baby-romper-my-aunt-says-im?transaction_id=5055311320" TargetMode="External"/><Relationship Id="rId1176" Type="http://schemas.openxmlformats.org/officeDocument/2006/relationships/hyperlink" Target="https://www.etsy.com/ca/listing/4376399899/the-littlest-book-club-member-baby?transaction_id=4981613662" TargetMode="External"/><Relationship Id="rId1383" Type="http://schemas.openxmlformats.org/officeDocument/2006/relationships/hyperlink" Target="https://www.etsy.com/in-en/listing/4488317285/little-squirrel-embroidered-romper?transaction_id=5083546916" TargetMode="External"/><Relationship Id="rId2227" Type="http://schemas.openxmlformats.org/officeDocument/2006/relationships/hyperlink" Target="https://www.etsy.com/ca/listing/4347260564/football-baby-romper-game-day-baby?transaction_id=4807139975" TargetMode="External"/><Relationship Id="rId2434" Type="http://schemas.openxmlformats.org/officeDocument/2006/relationships/hyperlink" Target="https://www.etsy.com/ca/listing/4392935796/box-box-for-fresh-diapers-embroidered?transaction_id=4842776271" TargetMode="External"/><Relationship Id="rId406" Type="http://schemas.openxmlformats.org/officeDocument/2006/relationships/hyperlink" Target="https://www.etsy.com/listing/4455407010/sing-a-little-song-embroidered-baby?transaction_id=5046349159" TargetMode="External"/><Relationship Id="rId960" Type="http://schemas.openxmlformats.org/officeDocument/2006/relationships/hyperlink" Target="https://www.etsy.com/ca/listing/4336900156/personalized-soccer-baby-romper?transaction_id=5018289530" TargetMode="External"/><Relationship Id="rId1036" Type="http://schemas.openxmlformats.org/officeDocument/2006/relationships/hyperlink" Target="https://www.etsy.com/ca/listing/4330504943/embroidered-tennis-baby-romper-daddys?transaction_id=5002855228" TargetMode="External"/><Relationship Id="rId1243" Type="http://schemas.openxmlformats.org/officeDocument/2006/relationships/hyperlink" Target="https://www.etsy.com/ca/listing/4372352286/silly-goose-baby-romper-funny-infant?transaction_id=4970717928" TargetMode="External"/><Relationship Id="rId1590" Type="http://schemas.openxmlformats.org/officeDocument/2006/relationships/hyperlink" Target="https://www.etsy.com/listing/4437050812/little-miss-cute-moon-embroidered-baby?transaction_id=4952205013" TargetMode="External"/><Relationship Id="rId2641" Type="http://schemas.openxmlformats.org/officeDocument/2006/relationships/hyperlink" Target="https://www.etsy.com/ca/listing/4392935796/box-box-for-fresh-diapers-embroidered?transaction_id=4871666476" TargetMode="External"/><Relationship Id="rId613" Type="http://schemas.openxmlformats.org/officeDocument/2006/relationships/hyperlink" Target="https://www.etsy.com/ca/listing/4467452578/the-littlest-pickleball-club-member-baby?transaction_id=5096629599" TargetMode="External"/><Relationship Id="rId820" Type="http://schemas.openxmlformats.org/officeDocument/2006/relationships/hyperlink" Target="https://www.etsy.com/ca/listing/4376399899/the-littlest-book-club-member-baby?transaction_id=5041052724" TargetMode="External"/><Relationship Id="rId1450" Type="http://schemas.openxmlformats.org/officeDocument/2006/relationships/hyperlink" Target="https://www.etsy.com/listing/4473845389/golf-player-outfit-embroidered-baby?transaction_id=5087327936" TargetMode="External"/><Relationship Id="rId2501" Type="http://schemas.openxmlformats.org/officeDocument/2006/relationships/hyperlink" Target="https://www.etsy.com/ca/listing/4371125103/personalized-dog-baby-bodysuit-custom?transaction_id=4863186641" TargetMode="External"/><Relationship Id="rId1103" Type="http://schemas.openxmlformats.org/officeDocument/2006/relationships/hyperlink" Target="https://www.etsy.com/ca/listing/4392935796/box-box-for-fresh-diapers-embroidered?transaction_id=4993276474" TargetMode="External"/><Relationship Id="rId1310" Type="http://schemas.openxmlformats.org/officeDocument/2006/relationships/hyperlink" Target="https://www.etsy.com/listing/4478512568/pack-my-diapers-im-going-racing-with?transaction_id=5064907725" TargetMode="External"/><Relationship Id="rId3068" Type="http://schemas.openxmlformats.org/officeDocument/2006/relationships/hyperlink" Target="https://www.etsy.com/ca/listing/4371125103/personalized-dog-baby-bodysuit-custom?transaction_id=4897273812" TargetMode="External"/><Relationship Id="rId3275" Type="http://schemas.openxmlformats.org/officeDocument/2006/relationships/hyperlink" Target="https://www.etsy.com/ca/listing/4376399899/the-littlest-book-club-member-baby?transaction_id=4961268877" TargetMode="External"/><Relationship Id="rId196" Type="http://schemas.openxmlformats.org/officeDocument/2006/relationships/hyperlink" Target="https://www.etsy.com/listing/4499062845/custom-name-embroidered-romper-baby-gift?transaction_id=5098224510" TargetMode="External"/><Relationship Id="rId2084" Type="http://schemas.openxmlformats.org/officeDocument/2006/relationships/hyperlink" Target="https://www.etsy.com/ca/listing/4330485404/cat-face-embroidered-baby-romper-my?transaction_id=4776018563" TargetMode="External"/><Relationship Id="rId2291" Type="http://schemas.openxmlformats.org/officeDocument/2006/relationships/hyperlink" Target="https://www.etsy.com/ca/listing/4344237949/great-grandma-baby-romper-embroidered?transaction_id=4807441188" TargetMode="External"/><Relationship Id="rId3135" Type="http://schemas.openxmlformats.org/officeDocument/2006/relationships/hyperlink" Target="https://www.etsy.com/ca/listing/4371125103/personalized-dog-baby-bodysuit-custom?transaction_id=4903341950" TargetMode="External"/><Relationship Id="rId3342" Type="http://schemas.openxmlformats.org/officeDocument/2006/relationships/hyperlink" Target="https://www.etsy.com/ca/listing/4330488178/embroidered-golf-baby-romper-new-to-the?transaction_id=4969310693" TargetMode="External"/><Relationship Id="rId263" Type="http://schemas.openxmlformats.org/officeDocument/2006/relationships/hyperlink" Target="https://www.etsy.com/listing/4432968408/olive-you-embroidered-baby-romper-cute?transaction_id=4936731228" TargetMode="External"/><Relationship Id="rId470" Type="http://schemas.openxmlformats.org/officeDocument/2006/relationships/hyperlink" Target="https://www.etsy.com/listing/4445820850/newest-member-of-the-band-embroidered?transaction_id=4948162586" TargetMode="External"/><Relationship Id="rId2151" Type="http://schemas.openxmlformats.org/officeDocument/2006/relationships/hyperlink" Target="https://www.etsy.com/ca/listing/4379194627/new-to-the-farm-embroidered-romper-baby?transaction_id=4783965330" TargetMode="External"/><Relationship Id="rId3202" Type="http://schemas.openxmlformats.org/officeDocument/2006/relationships/hyperlink" Target="https://www.etsy.com/ca/listing/4372352286/silly-goose-baby-romper-funny-infant?transaction_id=4951754127" TargetMode="External"/><Relationship Id="rId123" Type="http://schemas.openxmlformats.org/officeDocument/2006/relationships/hyperlink" Target="https://www.etsy.com/listing/4444716500/golf-baby-romper-with-embroidered-golf?transaction_id=5081702122" TargetMode="External"/><Relationship Id="rId330" Type="http://schemas.openxmlformats.org/officeDocument/2006/relationships/hyperlink" Target="https://www.etsy.com/ca/listing/4476229576/daddys-future-trucking-buddy-baby-romper?transaction_id=5024863865" TargetMode="External"/><Relationship Id="rId2011" Type="http://schemas.openxmlformats.org/officeDocument/2006/relationships/hyperlink" Target="https://www.etsy.com/ca/listing/4330502784/born-to-play-like-my-daddy-baby-romper?transaction_id=4753060314" TargetMode="External"/><Relationship Id="rId2968" Type="http://schemas.openxmlformats.org/officeDocument/2006/relationships/hyperlink" Target="https://www.etsy.com/ca/listing/4330504943/embroidered-tennis-baby-romper-daddys?transaction_id=4915660114" TargetMode="External"/><Relationship Id="rId1777" Type="http://schemas.openxmlformats.org/officeDocument/2006/relationships/hyperlink" Target="https://www.etsy.com/ca/listing/4330488178/new-to-the-club-embroidered-baby-romper?transaction_id=4669270162" TargetMode="External"/><Relationship Id="rId1984" Type="http://schemas.openxmlformats.org/officeDocument/2006/relationships/hyperlink" Target="https://www.etsy.com/ca/listing/4347270531/hangry-baby-romper-funny-bottle-gauge?transaction_id=4757040373" TargetMode="External"/><Relationship Id="rId2828" Type="http://schemas.openxmlformats.org/officeDocument/2006/relationships/hyperlink" Target="https://www.etsy.com/ca/listing/4371125103/personalized-dog-baby-bodysuit-custom?transaction_id=4903341950" TargetMode="External"/><Relationship Id="rId69" Type="http://schemas.openxmlformats.org/officeDocument/2006/relationships/hyperlink" Target="https://www.etsy.com/listing/4512152650/custom-pet-photo-embroidered-romper?transaction_id=5099652396" TargetMode="External"/><Relationship Id="rId1637" Type="http://schemas.openxmlformats.org/officeDocument/2006/relationships/hyperlink" Target="https://www.etsy.com/listing/4477340823/little-bean-baby-bodysuit-embroidered?transaction_id=5019843937" TargetMode="External"/><Relationship Id="rId1844" Type="http://schemas.openxmlformats.org/officeDocument/2006/relationships/hyperlink" Target="https://www.etsy.com/ca/listing/4330488178/new-to-the-club-embroidered-baby-romper?transaction_id=4708528751" TargetMode="External"/><Relationship Id="rId1704" Type="http://schemas.openxmlformats.org/officeDocument/2006/relationships/hyperlink" Target="https://www.etsy.com/listing/4350619954/personalized-tennis-baby-romper?transaction_id=4819829889" TargetMode="External"/><Relationship Id="rId1911" Type="http://schemas.openxmlformats.org/officeDocument/2006/relationships/hyperlink" Target="https://www.etsy.com/ca/listing/4330485404/cat-face-embroidered-baby-romper-my?transaction_id=4728273438" TargetMode="External"/><Relationship Id="rId797" Type="http://schemas.openxmlformats.org/officeDocument/2006/relationships/hyperlink" Target="https://www.etsy.com/ca/listing/4376399899/the-littlest-book-club-member-baby?transaction_id=5059854759" TargetMode="External"/><Relationship Id="rId2478" Type="http://schemas.openxmlformats.org/officeDocument/2006/relationships/hyperlink" Target="https://www.etsy.com/ca/listing/4392929794/little-latke-embroidered-romper-hanukkah?transaction_id=4857591981" TargetMode="External"/><Relationship Id="rId1287" Type="http://schemas.openxmlformats.org/officeDocument/2006/relationships/hyperlink" Target="https://www.etsy.com/listing/4484967843/little-bean-coffee-lover-embroidered?transaction_id=5036289272" TargetMode="External"/><Relationship Id="rId2685" Type="http://schemas.openxmlformats.org/officeDocument/2006/relationships/hyperlink" Target="https://www.etsy.com/ca/listing/4330488178/embroidered-golf-baby-romper-new-to-the?transaction_id=4879621176" TargetMode="External"/><Relationship Id="rId2892" Type="http://schemas.openxmlformats.org/officeDocument/2006/relationships/hyperlink" Target="https://www.etsy.com/ca/listing/4392962015/cant-wait-to-jam-with-daddy-embroidered?transaction_id=4908129704" TargetMode="External"/><Relationship Id="rId657" Type="http://schemas.openxmlformats.org/officeDocument/2006/relationships/hyperlink" Target="https://www.etsy.com/ca/listing/4371125103/personalized-dog-baby-bodysuit-custom?transaction_id=5088756437" TargetMode="External"/><Relationship Id="rId864" Type="http://schemas.openxmlformats.org/officeDocument/2006/relationships/hyperlink" Target="https://www.etsy.com/ca/listing/4485619704/little-swiftie-baby-romper-taylor-fan?transaction_id=5046071005" TargetMode="External"/><Relationship Id="rId1494" Type="http://schemas.openxmlformats.org/officeDocument/2006/relationships/hyperlink" Target="https://www.etsy.com/listing/4321796572/i-love-my-custom-name-embroidered-romper?transaction_id=5103770179" TargetMode="External"/><Relationship Id="rId2338" Type="http://schemas.openxmlformats.org/officeDocument/2006/relationships/hyperlink" Target="https://www.etsy.com/ca/listing/4392936688/shhh-im-watching-motogp-with-daddy?transaction_id=4827978539" TargetMode="External"/><Relationship Id="rId2545" Type="http://schemas.openxmlformats.org/officeDocument/2006/relationships/hyperlink" Target="https://www.etsy.com/ca/listing/4392935796/box-box-for-fresh-diapers-embroidered?transaction_id=4872017743" TargetMode="External"/><Relationship Id="rId2752" Type="http://schemas.openxmlformats.org/officeDocument/2006/relationships/hyperlink" Target="https://www.etsy.com/ca/listing/4369781522/crawl-walk-putt-baby-romper-funny-golf?transaction_id=4893187168" TargetMode="External"/><Relationship Id="rId517" Type="http://schemas.openxmlformats.org/officeDocument/2006/relationships/hyperlink" Target="https://www.etsy.com/ca/listing/4471139539/daddys-future-hunting-buddy-baby-romper?transaction_id=5100458786" TargetMode="External"/><Relationship Id="rId724" Type="http://schemas.openxmlformats.org/officeDocument/2006/relationships/hyperlink" Target="https://www.etsy.com/ca/listing/4473754692/custom-name-embroidered-romper-fishing?transaction_id=5061198272" TargetMode="External"/><Relationship Id="rId931" Type="http://schemas.openxmlformats.org/officeDocument/2006/relationships/hyperlink" Target="https://www.etsy.com/ca/listing/4376399899/the-littlest-book-club-member-baby?transaction_id=5024266070" TargetMode="External"/><Relationship Id="rId1147" Type="http://schemas.openxmlformats.org/officeDocument/2006/relationships/hyperlink" Target="https://www.etsy.com/ca/listing/4392935796/box-box-for-fresh-diapers-embroidered?transaction_id=4997215379" TargetMode="External"/><Relationship Id="rId1354" Type="http://schemas.openxmlformats.org/officeDocument/2006/relationships/hyperlink" Target="https://www.etsy.com/listing/4485708190/daddys-little-caddy-embroidered-baby?transaction_id=5085952345" TargetMode="External"/><Relationship Id="rId1561" Type="http://schemas.openxmlformats.org/officeDocument/2006/relationships/hyperlink" Target="https://www.etsy.com/listing/4481676592/thats-my-daddy-lineman-embroidered-baby?transaction_id=5029470559" TargetMode="External"/><Relationship Id="rId2405" Type="http://schemas.openxmlformats.org/officeDocument/2006/relationships/hyperlink" Target="https://www.etsy.com/ca/listing/4392929794/little-latke-embroidered-romper-hanukkah?transaction_id=4828859680" TargetMode="External"/><Relationship Id="rId2612" Type="http://schemas.openxmlformats.org/officeDocument/2006/relationships/hyperlink" Target="https://www.etsy.com/ca/listing/4369764524/embroidered-snowman-baby-romper?transaction_id=4868233832" TargetMode="External"/><Relationship Id="rId60" Type="http://schemas.openxmlformats.org/officeDocument/2006/relationships/hyperlink" Target="https://www.etsy.com/listing/4515617121/the-littlest-book-club-member?transaction_id=5101181150" TargetMode="External"/><Relationship Id="rId1007" Type="http://schemas.openxmlformats.org/officeDocument/2006/relationships/hyperlink" Target="https://www.etsy.com/ca/listing/4376399899/the-littlest-book-club-member-baby?transaction_id=5017760479" TargetMode="External"/><Relationship Id="rId1214" Type="http://schemas.openxmlformats.org/officeDocument/2006/relationships/hyperlink" Target="https://www.etsy.com/ca/listing/4376389783/player-2-baby-romper-gamer-baby-outfit?transaction_id=4974885752" TargetMode="External"/><Relationship Id="rId1421" Type="http://schemas.openxmlformats.org/officeDocument/2006/relationships/hyperlink" Target="https://www.etsy.com/listing/4485708736/daddys-caddie-embroidered-baby-romper?transaction_id=5095353764" TargetMode="External"/><Relationship Id="rId3179" Type="http://schemas.openxmlformats.org/officeDocument/2006/relationships/hyperlink" Target="https://www.etsy.com/ca/listing/4376399899/the-littlest-book-club-member-baby?transaction_id=4949190889" TargetMode="External"/><Relationship Id="rId3386" Type="http://schemas.openxmlformats.org/officeDocument/2006/relationships/hyperlink" Target="https://www.etsy.com/ca/listing/4376399899/the-littlest-book-club-member-baby?transaction_id=4977190339" TargetMode="External"/><Relationship Id="rId2195" Type="http://schemas.openxmlformats.org/officeDocument/2006/relationships/hyperlink" Target="https://www.etsy.com/ca/listing/4330504943/embroidered-tennis-baby-romper-daddys?transaction_id=4795025916" TargetMode="External"/><Relationship Id="rId3039" Type="http://schemas.openxmlformats.org/officeDocument/2006/relationships/hyperlink" Target="https://www.etsy.com/ca/listing/4371125103/personalized-dog-baby-bodysuit-custom?transaction_id=4922093452" TargetMode="External"/><Relationship Id="rId3246" Type="http://schemas.openxmlformats.org/officeDocument/2006/relationships/hyperlink" Target="https://www.etsy.com/ca/listing/4376399899/the-littlest-book-club-member-baby?transaction_id=4956768673" TargetMode="External"/><Relationship Id="rId167" Type="http://schemas.openxmlformats.org/officeDocument/2006/relationships/hyperlink" Target="https://www.etsy.com/listing/4454899012/apparently-i-like-baseball-baby-romper?transaction_id=5006996189" TargetMode="External"/><Relationship Id="rId374" Type="http://schemas.openxmlformats.org/officeDocument/2006/relationships/hyperlink" Target="https://www.etsy.com/listing/4468994168/listening-to-taylor-with-my-mom-baby?transaction_id=5080025846" TargetMode="External"/><Relationship Id="rId581" Type="http://schemas.openxmlformats.org/officeDocument/2006/relationships/hyperlink" Target="https://www.etsy.com/ca/listing/4392935796/box-box-for-fresh-diapers-embroidered?transaction_id=5101788015" TargetMode="External"/><Relationship Id="rId2055" Type="http://schemas.openxmlformats.org/officeDocument/2006/relationships/hyperlink" Target="https://www.etsy.com/ca/listing/4347260564/football-baby-romper-game-day-baby?transaction_id=4760730348" TargetMode="External"/><Relationship Id="rId2262" Type="http://schemas.openxmlformats.org/officeDocument/2006/relationships/hyperlink" Target="https://www.etsy.com/ca/listing/4392929794/little-latke-embroidered-romper-hanukkah?transaction_id=4805261632" TargetMode="External"/><Relationship Id="rId3106" Type="http://schemas.openxmlformats.org/officeDocument/2006/relationships/hyperlink" Target="https://www.etsy.com/ca/listing/4376399899/the-littlest-book-club-member-baby?transaction_id=4940795585" TargetMode="External"/><Relationship Id="rId234" Type="http://schemas.openxmlformats.org/officeDocument/2006/relationships/hyperlink" Target="https://www.etsy.com/listing/4477977946/apparently-i-like-f1-baby-romper-funny?transaction_id=5022612160" TargetMode="External"/><Relationship Id="rId3313" Type="http://schemas.openxmlformats.org/officeDocument/2006/relationships/hyperlink" Target="https://www.etsy.com/ca/listing/4371125103/personalized-dog-baby-bodysuit-custom?transaction_id=4939193292" TargetMode="External"/><Relationship Id="rId441" Type="http://schemas.openxmlformats.org/officeDocument/2006/relationships/hyperlink" Target="https://www.etsy.com/listing/4468994168/listening-to-taylor-with-my-mom-baby?transaction_id=4995102250" TargetMode="External"/><Relationship Id="rId1071" Type="http://schemas.openxmlformats.org/officeDocument/2006/relationships/hyperlink" Target="https://www.etsy.com/ca/listing/4371125103/personalized-dog-baby-bodysuit-custom?transaction_id=5006596181" TargetMode="External"/><Relationship Id="rId2122" Type="http://schemas.openxmlformats.org/officeDocument/2006/relationships/hyperlink" Target="https://www.etsy.com/ca/listing/4330485404/cat-face-embroidered-baby-romper-my?transaction_id=4776896966" TargetMode="External"/><Relationship Id="rId301" Type="http://schemas.openxmlformats.org/officeDocument/2006/relationships/hyperlink" Target="https://www.etsy.com/ca/listing/4470615480/apparently-i-like-f1-baby-romper-formula?transaction_id=5064754984" TargetMode="External"/><Relationship Id="rId1888" Type="http://schemas.openxmlformats.org/officeDocument/2006/relationships/hyperlink" Target="https://www.etsy.com/ca/listing/4330485404/cat-face-embroidered-baby-romper-my?transaction_id=4719162100" TargetMode="External"/><Relationship Id="rId2939" Type="http://schemas.openxmlformats.org/officeDocument/2006/relationships/hyperlink" Target="https://www.etsy.com/ca/listing/4376399899/the-littlest-book-club-member-baby?transaction_id=4925653123" TargetMode="External"/><Relationship Id="rId1748" Type="http://schemas.openxmlformats.org/officeDocument/2006/relationships/hyperlink" Target="https://www.etsy.com/ca/listing/4330488178/new-to-the-club-embroidered-baby-romper?transaction_id=4677109693" TargetMode="External"/><Relationship Id="rId1955" Type="http://schemas.openxmlformats.org/officeDocument/2006/relationships/hyperlink" Target="https://www.etsy.com/ca/listing/4347885967/gigis-bestie-baby-bodysuit-baby-shower?transaction_id=4738152312" TargetMode="External"/><Relationship Id="rId3170" Type="http://schemas.openxmlformats.org/officeDocument/2006/relationships/hyperlink" Target="https://www.etsy.com/ca/listing/4371125103/personalized-dog-baby-bodysuit-custom?transaction_id=4937100754" TargetMode="External"/><Relationship Id="rId1608" Type="http://schemas.openxmlformats.org/officeDocument/2006/relationships/hyperlink" Target="https://www.etsy.com/listing/4452262758/future-artist-embroidered-baby?transaction_id=4970397168" TargetMode="External"/><Relationship Id="rId1815" Type="http://schemas.openxmlformats.org/officeDocument/2006/relationships/hyperlink" Target="https://www.etsy.com/ca/listing/4346126210/daddys-future-lifting-buddy-romper-baby?transaction_id=4684639864" TargetMode="External"/><Relationship Id="rId3030" Type="http://schemas.openxmlformats.org/officeDocument/2006/relationships/hyperlink" Target="https://www.etsy.com/ca/listing/4376399899/the-littlest-book-club-member-baby?transaction_id=4933797719" TargetMode="External"/><Relationship Id="rId2589" Type="http://schemas.openxmlformats.org/officeDocument/2006/relationships/hyperlink" Target="https://www.etsy.com/ca/listing/4376399899/the-littlest-book-club-member-baby?transaction_id=4864549578" TargetMode="External"/><Relationship Id="rId2796" Type="http://schemas.openxmlformats.org/officeDocument/2006/relationships/hyperlink" Target="https://www.etsy.com/ca/listing/4343133680/embroidered-bowling-baby-bodysuit-crawl?transaction_id=4914495857" TargetMode="External"/><Relationship Id="rId768" Type="http://schemas.openxmlformats.org/officeDocument/2006/relationships/hyperlink" Target="https://www.etsy.com/ca/listing/4376399899/the-littlest-book-club-member-baby?transaction_id=5052013600" TargetMode="External"/><Relationship Id="rId975" Type="http://schemas.openxmlformats.org/officeDocument/2006/relationships/hyperlink" Target="https://www.etsy.com/ca/listing/4376399899/the-littlest-book-club-member-baby?transaction_id=5015733214" TargetMode="External"/><Relationship Id="rId1398" Type="http://schemas.openxmlformats.org/officeDocument/2006/relationships/hyperlink" Target="https://www.etsy.com/listing/4480040494/little-beach-bum-embroidered-baby-romper?transaction_id=5100226877" TargetMode="External"/><Relationship Id="rId2449" Type="http://schemas.openxmlformats.org/officeDocument/2006/relationships/hyperlink" Target="https://www.etsy.com/ca/listing/4333134764/wizard-font-baby-romper-personalized?transaction_id=4847191001" TargetMode="External"/><Relationship Id="rId2656" Type="http://schemas.openxmlformats.org/officeDocument/2006/relationships/hyperlink" Target="https://www.etsy.com/ca/listing/4392962015/cant-wait-to-jam-with-daddy-embroidered?transaction_id=4873045284" TargetMode="External"/><Relationship Id="rId2863" Type="http://schemas.openxmlformats.org/officeDocument/2006/relationships/hyperlink" Target="https://www.etsy.com/ca/listing/4347885967/gigis-bestie-baby-bodysuit-baby-shower?transaction_id=4910107281" TargetMode="External"/><Relationship Id="rId628" Type="http://schemas.openxmlformats.org/officeDocument/2006/relationships/hyperlink" Target="https://www.etsy.com/ca/listing/4376399899/the-littlest-book-club-member-baby?transaction_id=5094630987" TargetMode="External"/><Relationship Id="rId835" Type="http://schemas.openxmlformats.org/officeDocument/2006/relationships/hyperlink" Target="https://www.etsy.com/ca/listing/4478460281/hunting-baby-romper-embroidered-outfit?transaction_id=5040029316" TargetMode="External"/><Relationship Id="rId1258" Type="http://schemas.openxmlformats.org/officeDocument/2006/relationships/hyperlink" Target="https://www.etsy.com/listing/4399230093/challah-at-your-boy-embroidered-baby?transaction_id=5027720615" TargetMode="External"/><Relationship Id="rId1465" Type="http://schemas.openxmlformats.org/officeDocument/2006/relationships/hyperlink" Target="https://www.etsy.com/listing/4376404086/embroidered-lil-nugget-baby-bodysuit?transaction_id=5088802538" TargetMode="External"/><Relationship Id="rId1672" Type="http://schemas.openxmlformats.org/officeDocument/2006/relationships/hyperlink" Target="https://www.etsy.com/listing/4430076790/personalized-newest-hockey-fan-baby?transaction_id=5085944263" TargetMode="External"/><Relationship Id="rId2309" Type="http://schemas.openxmlformats.org/officeDocument/2006/relationships/hyperlink" Target="https://www.etsy.com/ca/listing/4376399899/the-littlest-book-club-member-baby?transaction_id=4810359056" TargetMode="External"/><Relationship Id="rId2516" Type="http://schemas.openxmlformats.org/officeDocument/2006/relationships/hyperlink" Target="https://www.etsy.com/ca/listing/4371125103/personalized-dog-baby-bodysuit-custom?transaction_id=4866004655" TargetMode="External"/><Relationship Id="rId2723" Type="http://schemas.openxmlformats.org/officeDocument/2006/relationships/hyperlink" Target="https://www.etsy.com/ca/listing/4376389783/player-2-baby-romper-gamer-baby-outfit?transaction_id=4904365969" TargetMode="External"/><Relationship Id="rId1118" Type="http://schemas.openxmlformats.org/officeDocument/2006/relationships/hyperlink" Target="https://www.etsy.com/ca/listing/4330463387/embroidered-baby-romper-relax-mommy-is-a?transaction_id=4991843574" TargetMode="External"/><Relationship Id="rId1325" Type="http://schemas.openxmlformats.org/officeDocument/2006/relationships/hyperlink" Target="https://www.etsy.com/listing/4489482442/custom-two-new-best-friend-embroidered?transaction_id=5058485517" TargetMode="External"/><Relationship Id="rId1532" Type="http://schemas.openxmlformats.org/officeDocument/2006/relationships/hyperlink" Target="https://www.etsy.com/listing/4344211719/embroidered-i-like-fishing-baby-bodysuit?transaction_id=5100020600" TargetMode="External"/><Relationship Id="rId2930" Type="http://schemas.openxmlformats.org/officeDocument/2006/relationships/hyperlink" Target="https://www.etsy.com/ca/listing/4376399899/the-littlest-book-club-member-baby?transaction_id=4924992383" TargetMode="External"/><Relationship Id="rId902" Type="http://schemas.openxmlformats.org/officeDocument/2006/relationships/hyperlink" Target="https://www.etsy.com/ca/listing/4467440237/the-littlest-coffee-club-member-baby?transaction_id=5040355363" TargetMode="External"/><Relationship Id="rId31" Type="http://schemas.openxmlformats.org/officeDocument/2006/relationships/hyperlink" Target="https://www.etsy.com/listing/4436931040/little-peanut-embroidered-baby-bodysuit?transaction_id=5052008001" TargetMode="External"/><Relationship Id="rId2099" Type="http://schemas.openxmlformats.org/officeDocument/2006/relationships/hyperlink" Target="https://www.etsy.com/ca/listing/4330504943/born-to-play-like-my-daddy-baby-romper?transaction_id=4770595332" TargetMode="External"/><Relationship Id="rId278" Type="http://schemas.openxmlformats.org/officeDocument/2006/relationships/hyperlink" Target="https://www.etsy.com/ca/listing/4470027308/embroidered-baby-romper-grandpas-little?transaction_id=5113860801" TargetMode="External"/><Relationship Id="rId3357" Type="http://schemas.openxmlformats.org/officeDocument/2006/relationships/hyperlink" Target="https://www.etsy.com/ca/listing/4330485404/cat-face-embroidered-baby-romper-funny?transaction_id=4971828557" TargetMode="External"/><Relationship Id="rId485" Type="http://schemas.openxmlformats.org/officeDocument/2006/relationships/hyperlink" Target="https://www.etsy.com/ca/listing/4347260564/football-baby-romper-game-day-baby?transaction_id=5105543066" TargetMode="External"/><Relationship Id="rId692" Type="http://schemas.openxmlformats.org/officeDocument/2006/relationships/hyperlink" Target="https://www.etsy.com/ca/listing/4471139539/daddys-future-hunting-buddy-baby-romper?transaction_id=5069146078" TargetMode="External"/><Relationship Id="rId2166" Type="http://schemas.openxmlformats.org/officeDocument/2006/relationships/hyperlink" Target="https://www.etsy.com/ca/listing/4346126210/daddys-future-lifting-buddy-romper-baby?transaction_id=4789471474" TargetMode="External"/><Relationship Id="rId2373" Type="http://schemas.openxmlformats.org/officeDocument/2006/relationships/hyperlink" Target="https://www.etsy.com/ca/listing/4330488178/embroidered-golf-baby-romper-new-to-the?transaction_id=4834873063" TargetMode="External"/><Relationship Id="rId2580" Type="http://schemas.openxmlformats.org/officeDocument/2006/relationships/hyperlink" Target="https://www.etsy.com/ca/listing/4392932100/born-to-ride-with-my-daddy-embroidered?transaction_id=4877624189" TargetMode="External"/><Relationship Id="rId3217" Type="http://schemas.openxmlformats.org/officeDocument/2006/relationships/hyperlink" Target="https://www.etsy.com/ca/listing/4392936921/apparently-i-like-golf-embroidered?transaction_id=4954304013" TargetMode="External"/><Relationship Id="rId138" Type="http://schemas.openxmlformats.org/officeDocument/2006/relationships/hyperlink" Target="https://www.etsy.com/listing/4489486323/daddys-running-buddy-baby-romper-funny?transaction_id=5076450535" TargetMode="External"/><Relationship Id="rId345" Type="http://schemas.openxmlformats.org/officeDocument/2006/relationships/hyperlink" Target="https://www.etsy.com/listing/4504126615/is-it-too-soon-to-ask-for-a-trumpet?transaction_id=5115370109" TargetMode="External"/><Relationship Id="rId552" Type="http://schemas.openxmlformats.org/officeDocument/2006/relationships/hyperlink" Target="https://www.etsy.com/ca/listing/4330463387/embroidered-baby-romper-relax-mommy-is-a?transaction_id=5105904905" TargetMode="External"/><Relationship Id="rId1182" Type="http://schemas.openxmlformats.org/officeDocument/2006/relationships/hyperlink" Target="https://www.etsy.com/ca/listing/4392932100/born-to-ride-with-my-daddy-embroidered?transaction_id=4990690371" TargetMode="External"/><Relationship Id="rId2026" Type="http://schemas.openxmlformats.org/officeDocument/2006/relationships/hyperlink" Target="https://www.etsy.com/ca/listing/4330480699/little-prince-baby-romper-embroidered?transaction_id=4756110936" TargetMode="External"/><Relationship Id="rId2233" Type="http://schemas.openxmlformats.org/officeDocument/2006/relationships/hyperlink" Target="https://www.etsy.com/ca/listing/4396750091/mamas-little-latke-embroidered-baby?transaction_id=4800917448" TargetMode="External"/><Relationship Id="rId2440" Type="http://schemas.openxmlformats.org/officeDocument/2006/relationships/hyperlink" Target="https://www.etsy.com/ca/listing/4344237949/great-grandma-baby-romper-embroidered?transaction_id=4833514066" TargetMode="External"/><Relationship Id="rId205" Type="http://schemas.openxmlformats.org/officeDocument/2006/relationships/hyperlink" Target="https://www.etsy.com/listing/4436970808/marathon-skills-loading-embroidered-baby?transaction_id=5083702354" TargetMode="External"/><Relationship Id="rId412" Type="http://schemas.openxmlformats.org/officeDocument/2006/relationships/hyperlink" Target="https://www.etsy.com/listing/4474303017/new-to-the-soccer-crew-baby-bodysuit?transaction_id=5032450654" TargetMode="External"/><Relationship Id="rId1042" Type="http://schemas.openxmlformats.org/officeDocument/2006/relationships/hyperlink" Target="https://www.etsy.com/ca/listing/4376399899/the-littlest-book-club-member-baby?transaction_id=5001736286" TargetMode="External"/><Relationship Id="rId2300" Type="http://schemas.openxmlformats.org/officeDocument/2006/relationships/hyperlink" Target="https://www.etsy.com/ca/listing/4392929794/little-latke-embroidered-romper-hanukkah?transaction_id=4816896019" TargetMode="External"/><Relationship Id="rId1999" Type="http://schemas.openxmlformats.org/officeDocument/2006/relationships/hyperlink" Target="https://www.etsy.com/ca/listing/4330504155/born-to-play-like-my-daddy-baby-romper?transaction_id=4760563765" TargetMode="External"/><Relationship Id="rId1859" Type="http://schemas.openxmlformats.org/officeDocument/2006/relationships/hyperlink" Target="https://www.etsy.com/ca/listing/4330492054/cutie-pie-embroidered-baby-outfit-with?transaction_id=4716107289" TargetMode="External"/><Relationship Id="rId3074" Type="http://schemas.openxmlformats.org/officeDocument/2006/relationships/hyperlink" Target="https://www.etsy.com/ca/listing/4392936921/apparently-i-like-golf-embroidered?transaction_id=4924599848" TargetMode="External"/><Relationship Id="rId1719" Type="http://schemas.openxmlformats.org/officeDocument/2006/relationships/hyperlink" Target="https://www.etsy.com/ca/listing/4330483435/little-bean-embroidered-baby-romper-cute?transaction_id=4659611637" TargetMode="External"/><Relationship Id="rId1926" Type="http://schemas.openxmlformats.org/officeDocument/2006/relationships/hyperlink" Target="https://www.etsy.com/ca/listing/4330485404/cat-face-embroidered-baby-romper-my?transaction_id=4730486742" TargetMode="External"/><Relationship Id="rId3281" Type="http://schemas.openxmlformats.org/officeDocument/2006/relationships/hyperlink" Target="https://www.etsy.com/ca/listing/4330480699/little-prince-baby-romper-embroidered?transaction_id=4961690595" TargetMode="External"/><Relationship Id="rId2090" Type="http://schemas.openxmlformats.org/officeDocument/2006/relationships/hyperlink" Target="https://www.etsy.com/ca/listing/4336907597/custom-running-baby-romper-daddys-future?transaction_id=4777355331" TargetMode="External"/><Relationship Id="rId3141" Type="http://schemas.openxmlformats.org/officeDocument/2006/relationships/hyperlink" Target="https://www.etsy.com/ca/listing/4376399899/the-littlest-book-club-member-baby?transaction_id=4944838599" TargetMode="External"/><Relationship Id="rId3001" Type="http://schemas.openxmlformats.org/officeDocument/2006/relationships/hyperlink" Target="https://www.etsy.com/ca/listing/4376399899/the-littlest-book-club-member-baby?transaction_id=4931550561" TargetMode="External"/><Relationship Id="rId879" Type="http://schemas.openxmlformats.org/officeDocument/2006/relationships/hyperlink" Target="https://www.etsy.com/ca/listing/4330479964/personalized-fox-baby-bodysuit-custom?transaction_id=5043047503" TargetMode="External"/><Relationship Id="rId2767" Type="http://schemas.openxmlformats.org/officeDocument/2006/relationships/hyperlink" Target="https://www.etsy.com/ca/listing/4333134764/wizard-font-baby-romper-personalized?transaction_id=4896169562" TargetMode="External"/><Relationship Id="rId739" Type="http://schemas.openxmlformats.org/officeDocument/2006/relationships/hyperlink" Target="https://www.etsy.com/ca/listing/4347880114/funny-baby-romper-sorry-i-tooted-outfit?transaction_id=5058892516" TargetMode="External"/><Relationship Id="rId1369" Type="http://schemas.openxmlformats.org/officeDocument/2006/relationships/hyperlink" Target="https://www.etsy.com/listing/4509429762/my-aunt-says-im-perfect-just-like-her?transaction_id=5090858909" TargetMode="External"/><Relationship Id="rId1576" Type="http://schemas.openxmlformats.org/officeDocument/2006/relationships/hyperlink" Target="https://www.etsy.com/listing/4481649101/fitness-baby-romper-dumbbell?transaction_id=5076241262" TargetMode="External"/><Relationship Id="rId2974" Type="http://schemas.openxmlformats.org/officeDocument/2006/relationships/hyperlink" Target="https://www.etsy.com/ca/listing/4392936921/apparently-i-like-golf-embroidered?transaction_id=4916186250" TargetMode="External"/><Relationship Id="rId946" Type="http://schemas.openxmlformats.org/officeDocument/2006/relationships/hyperlink" Target="https://www.etsy.com/ca/listing/4376399899/the-littlest-book-club-member-baby?transaction_id=5020766290" TargetMode="External"/><Relationship Id="rId1229" Type="http://schemas.openxmlformats.org/officeDocument/2006/relationships/hyperlink" Target="https://www.etsy.com/ca/listing/4347260564/football-baby-romper-game-day-baby?transaction_id=4983364823" TargetMode="External"/><Relationship Id="rId1783" Type="http://schemas.openxmlformats.org/officeDocument/2006/relationships/hyperlink" Target="https://www.etsy.com/ca/listing/4330504943/born-to-play-like-my-daddy-baby-romper?transaction_id=4684857767" TargetMode="External"/><Relationship Id="rId1990" Type="http://schemas.openxmlformats.org/officeDocument/2006/relationships/hyperlink" Target="https://www.etsy.com/ca/listing/4330492054/cutie-pie-embroidered-baby-outfit-with?transaction_id=4757910877" TargetMode="External"/><Relationship Id="rId2627" Type="http://schemas.openxmlformats.org/officeDocument/2006/relationships/hyperlink" Target="https://www.etsy.com/ca/listing/4352935112/custom-baby-romper-personalized-newborn?transaction_id=4869476468" TargetMode="External"/><Relationship Id="rId2834" Type="http://schemas.openxmlformats.org/officeDocument/2006/relationships/hyperlink" Target="https://www.etsy.com/ca/listing/4330488178/embroidered-golf-baby-romper-new-to-the?transaction_id=4903847702" TargetMode="External"/><Relationship Id="rId75" Type="http://schemas.openxmlformats.org/officeDocument/2006/relationships/hyperlink" Target="https://www.etsy.com/listing/4511393323/the-littlest-soccer-fan-romper-soccer?transaction_id=5097878500" TargetMode="External"/><Relationship Id="rId806" Type="http://schemas.openxmlformats.org/officeDocument/2006/relationships/hyperlink" Target="https://www.etsy.com/ca/listing/4376399899/the-littlest-book-club-member-baby?transaction_id=5044974656" TargetMode="External"/><Relationship Id="rId1436" Type="http://schemas.openxmlformats.org/officeDocument/2006/relationships/hyperlink" Target="https://www.etsy.com/listing/4500221026/i-just-burpeed-funny-gym-quote?transaction_id=5112180389" TargetMode="External"/><Relationship Id="rId1643" Type="http://schemas.openxmlformats.org/officeDocument/2006/relationships/hyperlink" Target="https://www.etsy.com/listing/4477341693/future-chef-baby-bodysuit-embroidered?transaction_id=5032069157" TargetMode="External"/><Relationship Id="rId1850" Type="http://schemas.openxmlformats.org/officeDocument/2006/relationships/hyperlink" Target="https://www.etsy.com/ca/listing/4330485404/cat-face-embroidered-baby-romper-my?transaction_id=4710519141" TargetMode="External"/><Relationship Id="rId2901" Type="http://schemas.openxmlformats.org/officeDocument/2006/relationships/hyperlink" Target="https://www.etsy.com/ca/listing/4344231895/embroidered-baby-romper-shhh-im-reading?transaction_id=4922637407" TargetMode="External"/><Relationship Id="rId1503" Type="http://schemas.openxmlformats.org/officeDocument/2006/relationships/hyperlink" Target="https://www.etsy.com/listing/4376404086/embroidered-lil-nugget-baby-bodysuit?transaction_id=5105043929" TargetMode="External"/><Relationship Id="rId1710" Type="http://schemas.openxmlformats.org/officeDocument/2006/relationships/hyperlink" Target="https://www.etsy.com/listing/4350619954/personalized-tennis-baby-romper?transaction_id=4849209616" TargetMode="External"/><Relationship Id="rId389" Type="http://schemas.openxmlformats.org/officeDocument/2006/relationships/hyperlink" Target="https://www.etsy.com/listing/4474936599/is-it-too-soon-to-ask-for-a-guitar-baby?transaction_id=5063640098" TargetMode="External"/><Relationship Id="rId596" Type="http://schemas.openxmlformats.org/officeDocument/2006/relationships/hyperlink" Target="https://www.etsy.com/ca/listing/4507678260/fathers-day-baby-girl-outfit-daddys?transaction_id=5088615664" TargetMode="External"/><Relationship Id="rId2277" Type="http://schemas.openxmlformats.org/officeDocument/2006/relationships/hyperlink" Target="https://www.etsy.com/ca/listing/4372352286/silly-goose-baby-romper-funny-infant?transaction_id=4814327063" TargetMode="External"/><Relationship Id="rId2484" Type="http://schemas.openxmlformats.org/officeDocument/2006/relationships/hyperlink" Target="https://www.etsy.com/ca/listing/4376389783/player-2-baby-romper-gamer-baby-outfit?transaction_id=4846232776" TargetMode="External"/><Relationship Id="rId2691" Type="http://schemas.openxmlformats.org/officeDocument/2006/relationships/hyperlink" Target="https://www.etsy.com/ca/listing/4344231895/embroidered-baby-romper-shhh-im-reading?transaction_id=4897293093" TargetMode="External"/><Relationship Id="rId3328" Type="http://schemas.openxmlformats.org/officeDocument/2006/relationships/hyperlink" Target="https://www.etsy.com/ca/listing/4372357398/personalized-hunting-baby-romper-custom?transaction_id=4957185078" TargetMode="External"/><Relationship Id="rId249" Type="http://schemas.openxmlformats.org/officeDocument/2006/relationships/hyperlink" Target="https://www.etsy.com/listing/4432963818/here-comes-the-son-embroidered-baby?transaction_id=4968118643" TargetMode="External"/><Relationship Id="rId456" Type="http://schemas.openxmlformats.org/officeDocument/2006/relationships/hyperlink" Target="https://www.etsy.com/listing/4444631598/first-edition-published-2026-embroidered?transaction_id=4979848937" TargetMode="External"/><Relationship Id="rId663" Type="http://schemas.openxmlformats.org/officeDocument/2006/relationships/hyperlink" Target="https://www.etsy.com/ca/listing/4392935796/box-box-for-fresh-diapers-embroidered?transaction_id=5087890237" TargetMode="External"/><Relationship Id="rId870" Type="http://schemas.openxmlformats.org/officeDocument/2006/relationships/hyperlink" Target="https://www.etsy.com/ca/listing/4392932100/born-to-ride-with-my-daddy-embroidered?transaction_id=5033539730" TargetMode="External"/><Relationship Id="rId1086" Type="http://schemas.openxmlformats.org/officeDocument/2006/relationships/hyperlink" Target="https://www.etsy.com/ca/listing/4376399899/the-littlest-book-club-member-baby?transaction_id=5004565625" TargetMode="External"/><Relationship Id="rId1293" Type="http://schemas.openxmlformats.org/officeDocument/2006/relationships/hyperlink" Target="https://www.etsy.com/listing/4480604537/cute-car-name-embroidered-baby-romper?transaction_id=5050791685" TargetMode="External"/><Relationship Id="rId2137" Type="http://schemas.openxmlformats.org/officeDocument/2006/relationships/hyperlink" Target="https://www.etsy.com/ca/listing/4376389783/player-2-baby-romper-gamer-baby-outfit?transaction_id=4787742753" TargetMode="External"/><Relationship Id="rId2344" Type="http://schemas.openxmlformats.org/officeDocument/2006/relationships/hyperlink" Target="https://www.etsy.com/ca/listing/4392925828/hello-grandma-embroidered-romper-i-cant?transaction_id=4829913163" TargetMode="External"/><Relationship Id="rId2551" Type="http://schemas.openxmlformats.org/officeDocument/2006/relationships/hyperlink" Target="https://www.etsy.com/ca/listing/4392929794/little-latke-embroidered-romper-hanukkah?transaction_id=4858156008" TargetMode="External"/><Relationship Id="rId109" Type="http://schemas.openxmlformats.org/officeDocument/2006/relationships/hyperlink" Target="https://www.etsy.com/listing/4468924347/daddys-basketball-buddy-embroidered-baby?transaction_id=5098914959" TargetMode="External"/><Relationship Id="rId316" Type="http://schemas.openxmlformats.org/officeDocument/2006/relationships/hyperlink" Target="https://www.etsy.com/ca/listing/4477986889/daddys-little-mechanic-baby-romper?transaction_id=5051830675" TargetMode="External"/><Relationship Id="rId523" Type="http://schemas.openxmlformats.org/officeDocument/2006/relationships/hyperlink" Target="https://www.etsy.com/ca/listing/4467446644/the-littlest-baking-club-member-baby?transaction_id=5109532643" TargetMode="External"/><Relationship Id="rId1153" Type="http://schemas.openxmlformats.org/officeDocument/2006/relationships/hyperlink" Target="https://www.etsy.com/ca/listing/4376399899/the-littlest-book-club-member-baby?transaction_id=4986731424" TargetMode="External"/><Relationship Id="rId2204" Type="http://schemas.openxmlformats.org/officeDocument/2006/relationships/hyperlink" Target="https://www.etsy.com/ca/listing/4352935112/custom-baby-romper-personalized-newborn?transaction_id=4795957426" TargetMode="External"/><Relationship Id="rId97" Type="http://schemas.openxmlformats.org/officeDocument/2006/relationships/hyperlink" Target="https://www.etsy.com/listing/4512060972/custom-photo-embroidered-romper?transaction_id=5092192290" TargetMode="External"/><Relationship Id="rId730" Type="http://schemas.openxmlformats.org/officeDocument/2006/relationships/hyperlink" Target="https://www.etsy.com/ca/listing/4376399899/the-littlest-book-club-member-baby?transaction_id=5059938390" TargetMode="External"/><Relationship Id="rId828" Type="http://schemas.openxmlformats.org/officeDocument/2006/relationships/hyperlink" Target="https://www.etsy.com/ca/listing/4330488178/embroidered-golf-baby-romper-new-to-the?transaction_id=5040950094" TargetMode="External"/><Relationship Id="rId1013" Type="http://schemas.openxmlformats.org/officeDocument/2006/relationships/hyperlink" Target="https://www.etsy.com/ca/listing/4371125103/personalized-dog-baby-bodysuit-custom?transaction_id=5006728074" TargetMode="External"/><Relationship Id="rId1360" Type="http://schemas.openxmlformats.org/officeDocument/2006/relationships/hyperlink" Target="https://www.etsy.com/listing/4503429855/custom-name-golf-embroidered-baby-romper?transaction_id=5074501022" TargetMode="External"/><Relationship Id="rId1458" Type="http://schemas.openxmlformats.org/officeDocument/2006/relationships/hyperlink" Target="https://www.etsy.com/listing/4344211719/embroidered-i-like-fishing-baby-bodysuit?transaction_id=5099360289" TargetMode="External"/><Relationship Id="rId1665" Type="http://schemas.openxmlformats.org/officeDocument/2006/relationships/hyperlink" Target="https://www.etsy.com/listing/4429012108/future-lifting-buddy-embroidered-baby?transaction_id=5068794219" TargetMode="External"/><Relationship Id="rId1872" Type="http://schemas.openxmlformats.org/officeDocument/2006/relationships/hyperlink" Target="https://www.etsy.com/ca/listing/4343130134/funny-golf-baby-bodysuit-im-told-i-like?transaction_id=4711508060" TargetMode="External"/><Relationship Id="rId2411" Type="http://schemas.openxmlformats.org/officeDocument/2006/relationships/hyperlink" Target="https://www.etsy.com/ca/listing/4343133641/golf-skills-loading-embroidered-baby?transaction_id=4829698182" TargetMode="External"/><Relationship Id="rId2509" Type="http://schemas.openxmlformats.org/officeDocument/2006/relationships/hyperlink" Target="https://www.etsy.com/ca/listing/4376392339/funny-baby-romper-my-brand-of-formula?transaction_id=4865046655" TargetMode="External"/><Relationship Id="rId2716" Type="http://schemas.openxmlformats.org/officeDocument/2006/relationships/hyperlink" Target="https://www.etsy.com/ca/listing/4330488178/embroidered-golf-baby-romper-new-to-the?transaction_id=4902744511" TargetMode="External"/><Relationship Id="rId1220" Type="http://schemas.openxmlformats.org/officeDocument/2006/relationships/hyperlink" Target="https://www.etsy.com/ca/listing/4351827687/handsome-just-like-daddy-baby-romper?transaction_id=4984438375" TargetMode="External"/><Relationship Id="rId1318" Type="http://schemas.openxmlformats.org/officeDocument/2006/relationships/hyperlink" Target="https://www.etsy.com/listing/4426850215/apparently-i-like-soccer-baby-romper?transaction_id=5055687122" TargetMode="External"/><Relationship Id="rId1525" Type="http://schemas.openxmlformats.org/officeDocument/2006/relationships/hyperlink" Target="https://www.etsy.com/listing/4324724896/personalized-basketball-baby-romper?transaction_id=5109194943" TargetMode="External"/><Relationship Id="rId2923" Type="http://schemas.openxmlformats.org/officeDocument/2006/relationships/hyperlink" Target="https://www.etsy.com/ca/listing/4344231895/embroidered-baby-romper-shhh-im-reading?transaction_id=4854621734" TargetMode="External"/><Relationship Id="rId1732" Type="http://schemas.openxmlformats.org/officeDocument/2006/relationships/hyperlink" Target="https://www.etsy.com/ca/listing/4330499732/little-sunshine-embroidered-romper-cute?transaction_id=4656336322" TargetMode="External"/><Relationship Id="rId3185" Type="http://schemas.openxmlformats.org/officeDocument/2006/relationships/hyperlink" Target="https://www.etsy.com/ca/listing/4371125103/personalized-dog-baby-bodysuit-custom?transaction_id=4938416818" TargetMode="External"/><Relationship Id="rId3392" Type="http://schemas.openxmlformats.org/officeDocument/2006/relationships/hyperlink" Target="https://www.etsy.com/ca/listing/4371112234/personalized-pet-line-art-baby-bodysuit?transaction_id=4972392435" TargetMode="External"/><Relationship Id="rId24" Type="http://schemas.openxmlformats.org/officeDocument/2006/relationships/hyperlink" Target="https://www.etsy.com/listing/4488345640/future-triathlete-baby-bodysuit-swim?transaction_id=5053355894" TargetMode="External"/><Relationship Id="rId2299" Type="http://schemas.openxmlformats.org/officeDocument/2006/relationships/hyperlink" Target="https://www.etsy.com/ca/listing/4344231895/embroidered-baby-romper-shhh-im-reading?transaction_id=4816579833" TargetMode="External"/><Relationship Id="rId3045" Type="http://schemas.openxmlformats.org/officeDocument/2006/relationships/hyperlink" Target="https://www.etsy.com/ca/listing/4347260564/football-baby-romper-game-day-baby?transaction_id=4922588540" TargetMode="External"/><Relationship Id="rId3252" Type="http://schemas.openxmlformats.org/officeDocument/2006/relationships/hyperlink" Target="https://www.etsy.com/ca/listing/4346124431/small-and-spicy-baby-romper-embroidered?transaction_id=4946403960" TargetMode="External"/><Relationship Id="rId173" Type="http://schemas.openxmlformats.org/officeDocument/2006/relationships/hyperlink" Target="https://www.etsy.com/listing/4444109928/beach-bum-in-training-baby-romper-summer?transaction_id=4988204482" TargetMode="External"/><Relationship Id="rId380" Type="http://schemas.openxmlformats.org/officeDocument/2006/relationships/hyperlink" Target="https://www.etsy.com/listing/4482267440/is-it-too-soon-to-ask-for-a-bike-baby?transaction_id=5090041385" TargetMode="External"/><Relationship Id="rId2061" Type="http://schemas.openxmlformats.org/officeDocument/2006/relationships/hyperlink" Target="https://www.etsy.com/ca/listing/4347885967/gigis-bestie-baby-bodysuit-baby-shower?transaction_id=4771733105" TargetMode="External"/><Relationship Id="rId3112" Type="http://schemas.openxmlformats.org/officeDocument/2006/relationships/hyperlink" Target="https://www.etsy.com/ca/listing/4371125103/personalized-dog-baby-bodysuit-custom?transaction_id=4941696781" TargetMode="External"/><Relationship Id="rId240" Type="http://schemas.openxmlformats.org/officeDocument/2006/relationships/hyperlink" Target="https://www.etsy.com/listing/4435899921/clean-up-crew-baby-romper-cute-puppy?transaction_id=4997522262" TargetMode="External"/><Relationship Id="rId478" Type="http://schemas.openxmlformats.org/officeDocument/2006/relationships/hyperlink" Target="https://www.etsy.com/listing/4444631598/first-edition-published-2026-embroidered?transaction_id=4944423961" TargetMode="External"/><Relationship Id="rId685" Type="http://schemas.openxmlformats.org/officeDocument/2006/relationships/hyperlink" Target="https://www.etsy.com/ca/listing/4376399899/the-littlest-book-club-member-baby?transaction_id=5069731110" TargetMode="External"/><Relationship Id="rId892" Type="http://schemas.openxmlformats.org/officeDocument/2006/relationships/hyperlink" Target="https://www.etsy.com/ca/listing/4333135410/little-pumpkin-baby-romper-fall?transaction_id=5041155095" TargetMode="External"/><Relationship Id="rId2159" Type="http://schemas.openxmlformats.org/officeDocument/2006/relationships/hyperlink" Target="https://www.etsy.com/ca/listing/4347260564/football-baby-romper-game-day-baby?transaction_id=4787816140" TargetMode="External"/><Relationship Id="rId2366" Type="http://schemas.openxmlformats.org/officeDocument/2006/relationships/hyperlink" Target="https://www.etsy.com/ca/listing/4392935796/box-box-for-fresh-diapers-embroidered?transaction_id=4824303894" TargetMode="External"/><Relationship Id="rId2573" Type="http://schemas.openxmlformats.org/officeDocument/2006/relationships/hyperlink" Target="https://www.etsy.com/ca/listing/4392929794/little-latke-embroidered-romper-hanukkah?transaction_id=4876556047" TargetMode="External"/><Relationship Id="rId2780" Type="http://schemas.openxmlformats.org/officeDocument/2006/relationships/hyperlink" Target="https://www.etsy.com/ca/listing/4376389783/player-2-baby-romper-gamer-baby-outfit?transaction_id=4912729553" TargetMode="External"/><Relationship Id="rId100" Type="http://schemas.openxmlformats.org/officeDocument/2006/relationships/hyperlink" Target="https://www.etsy.com/listing/4512484234/little-shredder-club-embroidered-baby?transaction_id=5091366086" TargetMode="External"/><Relationship Id="rId338" Type="http://schemas.openxmlformats.org/officeDocument/2006/relationships/hyperlink" Target="https://www.etsy.com/ca/listing/4451695034/my-first-racing-season-baby-romper?transaction_id=4996986907" TargetMode="External"/><Relationship Id="rId545" Type="http://schemas.openxmlformats.org/officeDocument/2006/relationships/hyperlink" Target="https://www.etsy.com/ca/listing/4336899579/personalized-basketball-baby-romper?transaction_id=5096871228" TargetMode="External"/><Relationship Id="rId752" Type="http://schemas.openxmlformats.org/officeDocument/2006/relationships/hyperlink" Target="https://www.etsy.com/ca/listing/4473754338/racing-baby-romper-with-daddy-racing?transaction_id=5068080005" TargetMode="External"/><Relationship Id="rId1175" Type="http://schemas.openxmlformats.org/officeDocument/2006/relationships/hyperlink" Target="https://www.etsy.com/ca/listing/4467438815/my-brand-of-formula-baby-romper-formula?transaction_id=4992824823" TargetMode="External"/><Relationship Id="rId1382" Type="http://schemas.openxmlformats.org/officeDocument/2006/relationships/hyperlink" Target="https://www.etsy.com/listing/4510951277/new-to-the-gang-embroidered-baby-romper?transaction_id=5094038609" TargetMode="External"/><Relationship Id="rId2019" Type="http://schemas.openxmlformats.org/officeDocument/2006/relationships/hyperlink" Target="https://www.etsy.com/ca/listing/4344239173/little-pumpkin-baby-romper-fall?transaction_id=4765623387" TargetMode="External"/><Relationship Id="rId2226" Type="http://schemas.openxmlformats.org/officeDocument/2006/relationships/hyperlink" Target="https://www.etsy.com/ca/listing/4344235128/new-to-the-hive-baby-romper-embroidered?transaction_id=4799880870" TargetMode="External"/><Relationship Id="rId2433" Type="http://schemas.openxmlformats.org/officeDocument/2006/relationships/hyperlink" Target="https://www.etsy.com/ca/listing/4396750091/mamas-little-latke-embroidered-baby?transaction_id=4842539573" TargetMode="External"/><Relationship Id="rId2640" Type="http://schemas.openxmlformats.org/officeDocument/2006/relationships/hyperlink" Target="https://www.etsy.com/ca/listing/4330485404/cat-face-embroidered-baby-romper-funny?transaction_id=4887620565" TargetMode="External"/><Relationship Id="rId2878" Type="http://schemas.openxmlformats.org/officeDocument/2006/relationships/hyperlink" Target="https://www.etsy.com/ca/listing/4376399899/the-littlest-book-club-member-baby?transaction_id=4906846794" TargetMode="External"/><Relationship Id="rId405" Type="http://schemas.openxmlformats.org/officeDocument/2006/relationships/hyperlink" Target="https://www.etsy.com/listing/4482262915/is-it-too-soon-to-ask-for-a-racket-baby?transaction_id=5047104613" TargetMode="External"/><Relationship Id="rId612" Type="http://schemas.openxmlformats.org/officeDocument/2006/relationships/hyperlink" Target="https://www.etsy.com/ca/listing/4467451258/the-littlest-tennis-club-member-baby?transaction_id=5085141084" TargetMode="External"/><Relationship Id="rId1035" Type="http://schemas.openxmlformats.org/officeDocument/2006/relationships/hyperlink" Target="https://www.etsy.com/ca/listing/4376399899/the-littlest-book-club-member-baby?transaction_id=5003028366" TargetMode="External"/><Relationship Id="rId1242" Type="http://schemas.openxmlformats.org/officeDocument/2006/relationships/hyperlink" Target="https://www.etsy.com/ca/listing/4376399899/the-littlest-book-club-member-baby?transaction_id=4970851314" TargetMode="External"/><Relationship Id="rId1687" Type="http://schemas.openxmlformats.org/officeDocument/2006/relationships/hyperlink" Target="https://www.etsy.com/listing/4350619954/personalized-tennis-baby-romper?transaction_id=4706374409" TargetMode="External"/><Relationship Id="rId1894" Type="http://schemas.openxmlformats.org/officeDocument/2006/relationships/hyperlink" Target="https://www.etsy.com/ca/listing/4330488178/new-to-the-club-embroidered-baby-romper?transaction_id=4731421255" TargetMode="External"/><Relationship Id="rId2500" Type="http://schemas.openxmlformats.org/officeDocument/2006/relationships/hyperlink" Target="https://www.etsy.com/ca/listing/4330479964/personalized-fox-baby-bodysuit-custom?transaction_id=4849993922" TargetMode="External"/><Relationship Id="rId2738" Type="http://schemas.openxmlformats.org/officeDocument/2006/relationships/hyperlink" Target="https://www.etsy.com/ca/listing/4347894651/giraffe-baby-bodysuit-you-bet-giraffe-im?transaction_id=4906289639" TargetMode="External"/><Relationship Id="rId2945" Type="http://schemas.openxmlformats.org/officeDocument/2006/relationships/hyperlink" Target="https://www.etsy.com/ca/listing/4330479964/personalized-fox-baby-bodysuit-custom?transaction_id=4926479825" TargetMode="External"/><Relationship Id="rId917" Type="http://schemas.openxmlformats.org/officeDocument/2006/relationships/hyperlink" Target="https://www.etsy.com/ca/listing/4467440237/the-littlest-coffee-club-member-baby?transaction_id=5026345206" TargetMode="External"/><Relationship Id="rId1102" Type="http://schemas.openxmlformats.org/officeDocument/2006/relationships/hyperlink" Target="https://www.etsy.com/ca/listing/4347879262/funny-pickle-baby-romper-im-kind-of-a?transaction_id=4993276472" TargetMode="External"/><Relationship Id="rId1547" Type="http://schemas.openxmlformats.org/officeDocument/2006/relationships/hyperlink" Target="https://www.etsy.com/listing/4509540549/just-plane-cute-embroidered-baby-romper?transaction_id=5114381087" TargetMode="External"/><Relationship Id="rId1754" Type="http://schemas.openxmlformats.org/officeDocument/2006/relationships/hyperlink" Target="https://www.etsy.com/ca/listing/4336900156/personalized-soccer-baby-romper-daddys?transaction_id=4663211590" TargetMode="External"/><Relationship Id="rId1961" Type="http://schemas.openxmlformats.org/officeDocument/2006/relationships/hyperlink" Target="https://www.etsy.com/ca/listing/4330485404/cat-face-embroidered-baby-romper-my?transaction_id=4739617230" TargetMode="External"/><Relationship Id="rId2805" Type="http://schemas.openxmlformats.org/officeDocument/2006/relationships/hyperlink" Target="https://www.etsy.com/ca/listing/4376399899/the-littlest-book-club-member-baby?transaction_id=4900682960" TargetMode="External"/><Relationship Id="rId46" Type="http://schemas.openxmlformats.org/officeDocument/2006/relationships/hyperlink" Target="https://www.etsy.com/listing/4432405734/sweet-like-honey-embroidered-baby?transaction_id=5029714867" TargetMode="External"/><Relationship Id="rId1407" Type="http://schemas.openxmlformats.org/officeDocument/2006/relationships/hyperlink" Target="https://www.etsy.com/listing/4481742824/newest-hunting-buddy-duck-embroidered?transaction_id=5091361218" TargetMode="External"/><Relationship Id="rId1614" Type="http://schemas.openxmlformats.org/officeDocument/2006/relationships/hyperlink" Target="https://www.etsy.com/listing/4430837644/personalized-new-to-the-crew-baby?transaction_id=4978050446" TargetMode="External"/><Relationship Id="rId1821" Type="http://schemas.openxmlformats.org/officeDocument/2006/relationships/hyperlink" Target="https://www.etsy.com/ca/listing/4330504943/born-to-play-like-my-daddy-baby-romper?transaction_id=4687058592" TargetMode="External"/><Relationship Id="rId3067" Type="http://schemas.openxmlformats.org/officeDocument/2006/relationships/hyperlink" Target="https://www.etsy.com/ca/listing/4371125103/personalized-dog-baby-bodysuit-custom?transaction_id=4908650725" TargetMode="External"/><Relationship Id="rId3274" Type="http://schemas.openxmlformats.org/officeDocument/2006/relationships/hyperlink" Target="https://www.etsy.com/ca/listing/4376399899/the-littlest-book-club-member-baby?transaction_id=4960957605" TargetMode="External"/><Relationship Id="rId195" Type="http://schemas.openxmlformats.org/officeDocument/2006/relationships/hyperlink" Target="https://www.etsy.com/listing/4499062845/custom-name-embroidered-romper-baby-gift?transaction_id=5109300833" TargetMode="External"/><Relationship Id="rId1919" Type="http://schemas.openxmlformats.org/officeDocument/2006/relationships/hyperlink" Target="https://www.etsy.com/ca/listing/4333134764/wizard-font-baby-romper-personalized?transaction_id=47293017988" TargetMode="External"/><Relationship Id="rId2083" Type="http://schemas.openxmlformats.org/officeDocument/2006/relationships/hyperlink" Target="https://www.etsy.com/ca/listing/4376392339/funny-baby-romper-my-brand-of-formula?transaction_id=4775486439" TargetMode="External"/><Relationship Id="rId2290" Type="http://schemas.openxmlformats.org/officeDocument/2006/relationships/hyperlink" Target="https://www.etsy.com/ca/listing/4392929794/little-latke-embroidered-romper-hanukkah?transaction_id=4807430060" TargetMode="External"/><Relationship Id="rId2388" Type="http://schemas.openxmlformats.org/officeDocument/2006/relationships/hyperlink" Target="https://www.etsy.com/ca/listing/4330492512/funny-goose-embroidered-baby-romper?transaction_id=4826354598" TargetMode="External"/><Relationship Id="rId2595" Type="http://schemas.openxmlformats.org/officeDocument/2006/relationships/hyperlink" Target="https://www.etsy.com/ca/listing/4330474831/embroidered-hedgehog-baby-bodysuit?transaction_id=4865583132" TargetMode="External"/><Relationship Id="rId3134" Type="http://schemas.openxmlformats.org/officeDocument/2006/relationships/hyperlink" Target="https://www.etsy.com/ca/listing/4347885967/gigis-bestie-baby-bodysuit-baby-shower?transaction_id=4932709620" TargetMode="External"/><Relationship Id="rId3341" Type="http://schemas.openxmlformats.org/officeDocument/2006/relationships/hyperlink" Target="https://www.etsy.com/ca/listing/4392962015/cant-wait-to-jam-with-daddy-embroidered?transaction_id=4969190867" TargetMode="External"/><Relationship Id="rId262" Type="http://schemas.openxmlformats.org/officeDocument/2006/relationships/hyperlink" Target="https://www.etsy.com/listing/4437038588/soccer-baby-romper-future-goal-getter?transaction_id=4936703400" TargetMode="External"/><Relationship Id="rId567" Type="http://schemas.openxmlformats.org/officeDocument/2006/relationships/hyperlink" Target="https://www.etsy.com/ca/listing/4376399899/the-littlest-book-club-member-baby?transaction_id=5093213392" TargetMode="External"/><Relationship Id="rId1197" Type="http://schemas.openxmlformats.org/officeDocument/2006/relationships/hyperlink" Target="https://www.etsy.com/ca/listing/4371125103/personalized-dog-baby-bodysuit-custom?transaction_id=4978141262" TargetMode="External"/><Relationship Id="rId2150" Type="http://schemas.openxmlformats.org/officeDocument/2006/relationships/hyperlink" Target="https://www.etsy.com/ca/listing/4351828361/i-may-be-small-but-im-the-boss-baby?transaction_id=4783773442" TargetMode="External"/><Relationship Id="rId2248" Type="http://schemas.openxmlformats.org/officeDocument/2006/relationships/hyperlink" Target="https://www.etsy.com/ca/listing/4346126210/daddys-future-lifting-buddy-romper-baby?transaction_id=4803934718" TargetMode="External"/><Relationship Id="rId3201" Type="http://schemas.openxmlformats.org/officeDocument/2006/relationships/hyperlink" Target="https://www.etsy.com/ca/listing/4372352286/silly-goose-baby-romper-funny-infant?transaction_id=4940475060" TargetMode="External"/><Relationship Id="rId122" Type="http://schemas.openxmlformats.org/officeDocument/2006/relationships/hyperlink" Target="https://www.etsy.com/listing/4508230429/nap-milk-lift-repeat-embroidered-baby?transaction_id=5083079720" TargetMode="External"/><Relationship Id="rId774" Type="http://schemas.openxmlformats.org/officeDocument/2006/relationships/hyperlink" Target="https://www.etsy.com/ca/listing/4474903749/daddys-future-running-buddy-baby-romper?transaction_id=5063468055" TargetMode="External"/><Relationship Id="rId981" Type="http://schemas.openxmlformats.org/officeDocument/2006/relationships/hyperlink" Target="https://www.etsy.com/ca/listing/4347879262/funny-pickle-baby-romper-im-kind-of-a?transaction_id=5024276335" TargetMode="External"/><Relationship Id="rId1057" Type="http://schemas.openxmlformats.org/officeDocument/2006/relationships/hyperlink" Target="https://www.etsy.com/ca/listing/4330504943/embroidered-tennis-baby-romper-daddys?transaction_id=5008080435" TargetMode="External"/><Relationship Id="rId2010" Type="http://schemas.openxmlformats.org/officeDocument/2006/relationships/hyperlink" Target="https://www.etsy.com/ca/listing/4346124431/small-and-spicy-baby-romper-embroidered?transaction_id=4752823574" TargetMode="External"/><Relationship Id="rId2455" Type="http://schemas.openxmlformats.org/officeDocument/2006/relationships/hyperlink" Target="https://www.etsy.com/ca/listing/4330488178/embroidered-golf-baby-romper-new-to-the?transaction_id=4849357745" TargetMode="External"/><Relationship Id="rId2662" Type="http://schemas.openxmlformats.org/officeDocument/2006/relationships/hyperlink" Target="https://www.etsy.com/ca/listing/4371125103/personalized-dog-baby-bodysuit-custom?transaction_id=4873873094" TargetMode="External"/><Relationship Id="rId427" Type="http://schemas.openxmlformats.org/officeDocument/2006/relationships/hyperlink" Target="https://www.etsy.com/listing/4474936599/is-it-too-soon-to-ask-for-a-guitar-baby?transaction_id=5024313039" TargetMode="External"/><Relationship Id="rId634" Type="http://schemas.openxmlformats.org/officeDocument/2006/relationships/hyperlink" Target="https://www.etsy.com/ca/listing/4508996324/custom-name-embroidered-romper-my-daddys?transaction_id=5093357087" TargetMode="External"/><Relationship Id="rId841" Type="http://schemas.openxmlformats.org/officeDocument/2006/relationships/hyperlink" Target="https://www.etsy.com/ca/listing/4469531325/happy-hour-with-uncle-mike-baby-romper?transaction_id=5038901920" TargetMode="External"/><Relationship Id="rId1264" Type="http://schemas.openxmlformats.org/officeDocument/2006/relationships/hyperlink" Target="https://www.etsy.com/listing/4404024795/little-latke-embroidered-baby-romper?transaction_id=5021064882" TargetMode="External"/><Relationship Id="rId1471" Type="http://schemas.openxmlformats.org/officeDocument/2006/relationships/hyperlink" Target="https://www.etsy.com/listing/4376404086/embroidered-lil-nugget-baby-bodysuit?transaction_id=5100487325" TargetMode="External"/><Relationship Id="rId1569" Type="http://schemas.openxmlformats.org/officeDocument/2006/relationships/hyperlink" Target="https://www.etsy.com/listing/4473246782/new-baby-romper-dog-paw-embroidered?transaction_id=5053101910" TargetMode="External"/><Relationship Id="rId2108" Type="http://schemas.openxmlformats.org/officeDocument/2006/relationships/hyperlink" Target="https://www.etsy.com/ca/listing/4330504400/born-to-play-like-my-daddy-baby-romper?transaction_id=4782217637" TargetMode="External"/><Relationship Id="rId2315" Type="http://schemas.openxmlformats.org/officeDocument/2006/relationships/hyperlink" Target="https://www.etsy.com/ca/listing/4330488178/embroidered-golf-baby-romper-new-to-the?transaction_id=4811331770" TargetMode="External"/><Relationship Id="rId2522" Type="http://schemas.openxmlformats.org/officeDocument/2006/relationships/hyperlink" Target="https://www.etsy.com/ca/listing/4344231895/embroidered-baby-romper-shhh-im-reading?transaction_id=4854621734" TargetMode="External"/><Relationship Id="rId2967" Type="http://schemas.openxmlformats.org/officeDocument/2006/relationships/hyperlink" Target="https://www.etsy.com/ca/listing/4371125103/personalized-dog-baby-bodysuit-custom?transaction_id=4915656510" TargetMode="External"/><Relationship Id="rId701" Type="http://schemas.openxmlformats.org/officeDocument/2006/relationships/hyperlink" Target="https://www.etsy.com/ca/listing/4376399899/the-littlest-book-club-member-baby?transaction_id=5078017921" TargetMode="External"/><Relationship Id="rId939" Type="http://schemas.openxmlformats.org/officeDocument/2006/relationships/hyperlink" Target="https://www.etsy.com/ca/listing/4471139539/daddys-future-hunting-buddy-baby-romper?transaction_id=5021935574" TargetMode="External"/><Relationship Id="rId1124" Type="http://schemas.openxmlformats.org/officeDocument/2006/relationships/hyperlink" Target="https://www.etsy.com/ca/listing/4372352286/silly-goose-baby-romper-funny-infant?transaction_id=4991013994" TargetMode="External"/><Relationship Id="rId1331" Type="http://schemas.openxmlformats.org/officeDocument/2006/relationships/hyperlink" Target="https://www.etsy.com/listing/4493305337/daddys-hunting-buddy-embroidered-baby?transaction_id=5061739994" TargetMode="External"/><Relationship Id="rId1776" Type="http://schemas.openxmlformats.org/officeDocument/2006/relationships/hyperlink" Target="https://www.etsy.com/ca/listing/4333135410/little-pumpkin-baby-romper-fall?transaction_id=4669181946" TargetMode="External"/><Relationship Id="rId1983" Type="http://schemas.openxmlformats.org/officeDocument/2006/relationships/hyperlink" Target="https://www.etsy.com/ca/listing/4352935112/custom-baby-romper-personalized-newborn?transaction_id=4746497004" TargetMode="External"/><Relationship Id="rId2827" Type="http://schemas.openxmlformats.org/officeDocument/2006/relationships/hyperlink" Target="https://www.etsy.com/ca/listing/4346126210/daddys-future-lifting-buddy-romper-baby?transaction_id=4917367705" TargetMode="External"/><Relationship Id="rId68" Type="http://schemas.openxmlformats.org/officeDocument/2006/relationships/hyperlink" Target="https://www.etsy.com/listing/4512152650/custom-pet-photo-embroidered-romper?transaction_id=5099652396" TargetMode="External"/><Relationship Id="rId1429" Type="http://schemas.openxmlformats.org/officeDocument/2006/relationships/hyperlink" Target="https://www.etsy.com/listing/4508974153/daddys-co-pilot-embroidered-baby-romper?transaction_id=5109605445" TargetMode="External"/><Relationship Id="rId1636" Type="http://schemas.openxmlformats.org/officeDocument/2006/relationships/hyperlink" Target="https://www.etsy.com/listing/4447913264/little-pierogi-embroidered-baby-custom?transaction_id=5009955734" TargetMode="External"/><Relationship Id="rId1843" Type="http://schemas.openxmlformats.org/officeDocument/2006/relationships/hyperlink" Target="https://www.etsy.com/ca/listing/4330488178/new-to-the-club-embroidered-baby-romper?transaction_id=4696428320" TargetMode="External"/><Relationship Id="rId3089" Type="http://schemas.openxmlformats.org/officeDocument/2006/relationships/hyperlink" Target="https://www.etsy.com/ca/listing/4392962015/cant-wait-to-jam-with-daddy-embroidered?transaction_id=4926608214" TargetMode="External"/><Relationship Id="rId3296" Type="http://schemas.openxmlformats.org/officeDocument/2006/relationships/hyperlink" Target="https://www.etsy.com/ca/listing/4376399899/the-littlest-book-club-member-baby?transaction_id=4962923615" TargetMode="External"/><Relationship Id="rId1703" Type="http://schemas.openxmlformats.org/officeDocument/2006/relationships/hyperlink" Target="https://www.etsy.com/listing/4350619954/personalized-tennis-baby-romper?transaction_id=4819829891" TargetMode="External"/><Relationship Id="rId1910" Type="http://schemas.openxmlformats.org/officeDocument/2006/relationships/hyperlink" Target="https://www.etsy.com/ca/listing/4333134764/wizard-font-baby-romper-personalized?transaction_id=4727601538" TargetMode="External"/><Relationship Id="rId3156" Type="http://schemas.openxmlformats.org/officeDocument/2006/relationships/hyperlink" Target="https://www.etsy.com/ca/listing/4371125103/personalized-dog-baby-bodysuit-custom?transaction_id=4946819219" TargetMode="External"/><Relationship Id="rId3363" Type="http://schemas.openxmlformats.org/officeDocument/2006/relationships/hyperlink" Target="https://www.etsy.com/ca/listing/4371125103/personalized-dog-baby-bodysuit-custom?transaction_id=4972616447" TargetMode="External"/><Relationship Id="rId284" Type="http://schemas.openxmlformats.org/officeDocument/2006/relationships/hyperlink" Target="https://www.etsy.com/ca/listing/4515633281/funny-cowboy-baby-romper-little-bitty?transaction_id=5098850826" TargetMode="External"/><Relationship Id="rId491" Type="http://schemas.openxmlformats.org/officeDocument/2006/relationships/hyperlink" Target="https://www.etsy.com/ca/listing/4504890435/surfs-up-baby-romper-beach-baby-outfit?transaction_id=5104729210" TargetMode="External"/><Relationship Id="rId2172" Type="http://schemas.openxmlformats.org/officeDocument/2006/relationships/hyperlink" Target="https://www.etsy.com/ca/listing/4330485404/cat-face-embroidered-baby-romper-my?transaction_id=4790836200" TargetMode="External"/><Relationship Id="rId3016" Type="http://schemas.openxmlformats.org/officeDocument/2006/relationships/hyperlink" Target="https://www.etsy.com/ca/listing/4330504943/embroidered-tennis-baby-romper-daddys?transaction_id=4920353512" TargetMode="External"/><Relationship Id="rId3223" Type="http://schemas.openxmlformats.org/officeDocument/2006/relationships/hyperlink" Target="https://www.etsy.com/ca/listing/4344231895/embroidered-baby-romper-shhh-im-reading?transaction_id=4954560307" TargetMode="External"/><Relationship Id="rId144" Type="http://schemas.openxmlformats.org/officeDocument/2006/relationships/hyperlink" Target="https://www.etsy.com/listing/4461643687/daddys-future-lifting-buddy-embroidered?transaction_id=5046811588" TargetMode="External"/><Relationship Id="rId589" Type="http://schemas.openxmlformats.org/officeDocument/2006/relationships/hyperlink" Target="https://www.etsy.com/ca/listing/4376399899/the-littlest-book-club-member-baby?transaction_id=5089344804" TargetMode="External"/><Relationship Id="rId796" Type="http://schemas.openxmlformats.org/officeDocument/2006/relationships/hyperlink" Target="https://www.etsy.com/ca/listing/4467440237/the-littlest-coffee-club-member-baby?transaction_id=5047287994" TargetMode="External"/><Relationship Id="rId2477" Type="http://schemas.openxmlformats.org/officeDocument/2006/relationships/hyperlink" Target="https://www.etsy.com/ca/listing/4333134764/wizard-font-baby-romper-personalized?transaction_id=4857539875" TargetMode="External"/><Relationship Id="rId2684" Type="http://schemas.openxmlformats.org/officeDocument/2006/relationships/hyperlink" Target="https://www.etsy.com/ca/listing/4392936921/apparently-i-like-golf-embroidered?transaction_id=4896080897" TargetMode="External"/><Relationship Id="rId351" Type="http://schemas.openxmlformats.org/officeDocument/2006/relationships/hyperlink" Target="https://www.etsy.com/listing/4465185824/born-to-play-hockey-like-my-daddy?transaction_id=5108113061" TargetMode="External"/><Relationship Id="rId449" Type="http://schemas.openxmlformats.org/officeDocument/2006/relationships/hyperlink" Target="https://www.etsy.com/listing/4445844080/apparently-i-like-fish-embroidered-baby?transaction_id=4995674495" TargetMode="External"/><Relationship Id="rId656" Type="http://schemas.openxmlformats.org/officeDocument/2006/relationships/hyperlink" Target="https://www.etsy.com/ca/listing/4507561777/funny-baby-romper-of-course-im-cute-have?transaction_id=5076224720" TargetMode="External"/><Relationship Id="rId863" Type="http://schemas.openxmlformats.org/officeDocument/2006/relationships/hyperlink" Target="https://www.etsy.com/ca/listing/4330504943/embroidered-tennis-baby-romper-daddys?transaction_id=5034447822" TargetMode="External"/><Relationship Id="rId1079" Type="http://schemas.openxmlformats.org/officeDocument/2006/relationships/hyperlink" Target="https://www.etsy.com/ca/listing/4376399899/the-littlest-book-club-member-baby?transaction_id=4995196576" TargetMode="External"/><Relationship Id="rId1286" Type="http://schemas.openxmlformats.org/officeDocument/2006/relationships/hyperlink" Target="https://www.etsy.com/listing/4478434685/custom-golf-letter-w-name-bodysuit?transaction_id=5034550682" TargetMode="External"/><Relationship Id="rId1493" Type="http://schemas.openxmlformats.org/officeDocument/2006/relationships/hyperlink" Target="https://www.etsy.com/listing/4506997825/my-daddys-muscles-are-bigger-than-your?transaction_id=5092611088" TargetMode="External"/><Relationship Id="rId2032" Type="http://schemas.openxmlformats.org/officeDocument/2006/relationships/hyperlink" Target="https://www.etsy.com/ca/listing/4330480699/little-prince-baby-romper-embroidered?transaction_id=4767648169" TargetMode="External"/><Relationship Id="rId2337" Type="http://schemas.openxmlformats.org/officeDocument/2006/relationships/hyperlink" Target="https://www.etsy.com/ca/listing/4392929794/little-latke-embroidered-romper-hanukkah?transaction_id=4818518738" TargetMode="External"/><Relationship Id="rId2544" Type="http://schemas.openxmlformats.org/officeDocument/2006/relationships/hyperlink" Target="https://www.etsy.com/ca/listing/4392932100/born-to-ride-with-my-daddy-embroidered?transaction_id=4871912061" TargetMode="External"/><Relationship Id="rId2891" Type="http://schemas.openxmlformats.org/officeDocument/2006/relationships/hyperlink" Target="https://www.etsy.com/ca/listing/4330488178/embroidered-golf-baby-romper-new-to-the?transaction_id=4921823849" TargetMode="External"/><Relationship Id="rId2989" Type="http://schemas.openxmlformats.org/officeDocument/2006/relationships/hyperlink" Target="https://www.etsy.com/ca/listing/4371125103/personalized-dog-baby-bodysuit-custom?transaction_id=4917737476" TargetMode="External"/><Relationship Id="rId211" Type="http://schemas.openxmlformats.org/officeDocument/2006/relationships/hyperlink" Target="https://www.etsy.com/listing/4432961851/my-daddy-plays-in-the-dirt-baby-romper?transaction_id=5070887878" TargetMode="External"/><Relationship Id="rId309" Type="http://schemas.openxmlformats.org/officeDocument/2006/relationships/hyperlink" Target="https://www.etsy.com/ca/listing/4470615480/apparently-i-like-f1-baby-romper-formula?transaction_id=5045372896" TargetMode="External"/><Relationship Id="rId516" Type="http://schemas.openxmlformats.org/officeDocument/2006/relationships/hyperlink" Target="https://www.etsy.com/ca/listing/4471139539/daddys-future-hunting-buddy-baby-romper?transaction_id=5110544795" TargetMode="External"/><Relationship Id="rId1146" Type="http://schemas.openxmlformats.org/officeDocument/2006/relationships/hyperlink" Target="https://www.etsy.com/ca/listing/4376399899/the-littlest-book-club-member-baby?transaction_id=4987298828" TargetMode="External"/><Relationship Id="rId1798" Type="http://schemas.openxmlformats.org/officeDocument/2006/relationships/hyperlink" Target="https://www.etsy.com/ca/listing/4333131808/mamas-little-pumpkin-baby-romper-fall?transaction_id=4688662327" TargetMode="External"/><Relationship Id="rId2751" Type="http://schemas.openxmlformats.org/officeDocument/2006/relationships/hyperlink" Target="https://www.etsy.com/ca/listing/4344231895/embroidered-baby-romper-shhh-im-reading?transaction_id=4893159412" TargetMode="External"/><Relationship Id="rId2849" Type="http://schemas.openxmlformats.org/officeDocument/2006/relationships/hyperlink" Target="https://www.etsy.com/ca/listing/4376399899/the-littlest-book-club-member-baby?transaction_id=4919435813" TargetMode="External"/><Relationship Id="rId723" Type="http://schemas.openxmlformats.org/officeDocument/2006/relationships/hyperlink" Target="https://www.etsy.com/ca/listing/4371125103/personalized-dog-baby-bodysuit-custom?transaction_id=5074350191" TargetMode="External"/><Relationship Id="rId930" Type="http://schemas.openxmlformats.org/officeDocument/2006/relationships/hyperlink" Target="https://www.etsy.com/ca/listing/4376399899/the-littlest-book-club-member-baby?transaction_id=5035083529" TargetMode="External"/><Relationship Id="rId1006" Type="http://schemas.openxmlformats.org/officeDocument/2006/relationships/hyperlink" Target="https://www.etsy.com/ca/listing/4469531325/happy-hour-with-uncle-mike-baby-romper?transaction_id=5017808059" TargetMode="External"/><Relationship Id="rId1353" Type="http://schemas.openxmlformats.org/officeDocument/2006/relationships/hyperlink" Target="https://www.etsy.com/listing/4480040494/little-beach-bum-embroidered-baby-romper?transaction_id=5072894242" TargetMode="External"/><Relationship Id="rId1560" Type="http://schemas.openxmlformats.org/officeDocument/2006/relationships/hyperlink" Target="https://www.etsy.com/listing/4481664154/sous-chef-baby-romper-personalized?transaction_id=5017535022" TargetMode="External"/><Relationship Id="rId1658" Type="http://schemas.openxmlformats.org/officeDocument/2006/relationships/hyperlink" Target="https://www.etsy.com/listing/4430837644/personalized-new-to-the-crew-baby?transaction_id=5040922214" TargetMode="External"/><Relationship Id="rId1865" Type="http://schemas.openxmlformats.org/officeDocument/2006/relationships/hyperlink" Target="https://www.etsy.com/ca/listing/4330485404/cat-face-embroidered-baby-romper-my?transaction_id=4718046297" TargetMode="External"/><Relationship Id="rId2404" Type="http://schemas.openxmlformats.org/officeDocument/2006/relationships/hyperlink" Target="https://www.etsy.com/ca/listing/4347885967/gigis-bestie-baby-bodysuit-baby-shower?transaction_id=4839140737" TargetMode="External"/><Relationship Id="rId2611" Type="http://schemas.openxmlformats.org/officeDocument/2006/relationships/hyperlink" Target="https://www.etsy.com/ca/listing/4371125103/personalized-dog-baby-bodysuit-custom?transaction_id=4868178848" TargetMode="External"/><Relationship Id="rId2709" Type="http://schemas.openxmlformats.org/officeDocument/2006/relationships/hyperlink" Target="https://www.etsy.com/ca/listing/4376392339/funny-baby-romper-my-brand-of-formula?transaction_id=4883807420" TargetMode="External"/><Relationship Id="rId1213" Type="http://schemas.openxmlformats.org/officeDocument/2006/relationships/hyperlink" Target="https://www.etsy.com/ca/listing/4346129239/soccer-baby-romper-embroidered-daddy-and?transaction_id=4985239049" TargetMode="External"/><Relationship Id="rId1420" Type="http://schemas.openxmlformats.org/officeDocument/2006/relationships/hyperlink" Target="https://www.etsy.com/listing/4508958063/my-daddys-muscles-embroidered-baby?transaction_id=5095036218" TargetMode="External"/><Relationship Id="rId1518" Type="http://schemas.openxmlformats.org/officeDocument/2006/relationships/hyperlink" Target="https://www.etsy.com/listing/4376412221/embroidered-mustache-baby-romper-newborn?transaction_id=5098367084" TargetMode="External"/><Relationship Id="rId2916" Type="http://schemas.openxmlformats.org/officeDocument/2006/relationships/hyperlink" Target="https://www.etsy.com/ca/listing/4372352286/silly-goose-baby-romper-funny-infant?transaction_id=4923781369" TargetMode="External"/><Relationship Id="rId3080" Type="http://schemas.openxmlformats.org/officeDocument/2006/relationships/hyperlink" Target="https://www.etsy.com/ca/listing/4392932100/born-to-ride-with-my-daddy-embroidered?transaction_id=4937078099" TargetMode="External"/><Relationship Id="rId1725" Type="http://schemas.openxmlformats.org/officeDocument/2006/relationships/hyperlink" Target="https://www.etsy.com/ca/listing/4330488178/new-to-the-club-embroidered-baby-romper?transaction_id=4668463875" TargetMode="External"/><Relationship Id="rId1932" Type="http://schemas.openxmlformats.org/officeDocument/2006/relationships/hyperlink" Target="https://www.etsy.com/ca/listing/4330488178/new-to-the-club-embroidered-baby-romper?transaction_id=4733079140" TargetMode="External"/><Relationship Id="rId3178" Type="http://schemas.openxmlformats.org/officeDocument/2006/relationships/hyperlink" Target="https://www.etsy.com/ca/listing/4371125103/personalized-dog-baby-bodysuit-custom?transaction_id=4937872456" TargetMode="External"/><Relationship Id="rId3385" Type="http://schemas.openxmlformats.org/officeDocument/2006/relationships/hyperlink" Target="https://www.etsy.com/ca/listing/4330485404/cat-face-embroidered-baby-romper-funny?transaction_id=4967024890" TargetMode="External"/><Relationship Id="rId17" Type="http://schemas.openxmlformats.org/officeDocument/2006/relationships/hyperlink" Target="https://www.etsy.com/listing/4493907972/book-lover-baby-bodysuit-shh-im-reading?transaction_id=5075875843" TargetMode="External"/><Relationship Id="rId2194" Type="http://schemas.openxmlformats.org/officeDocument/2006/relationships/hyperlink" Target="https://www.etsy.com/ca/listing/4333134764/wizard-font-baby-romper-personalized?transaction_id=4801919135" TargetMode="External"/><Relationship Id="rId3038" Type="http://schemas.openxmlformats.org/officeDocument/2006/relationships/hyperlink" Target="https://www.etsy.com/ca/listing/4376399899/the-littlest-book-club-member-baby?transaction_id=4934468511" TargetMode="External"/><Relationship Id="rId3245" Type="http://schemas.openxmlformats.org/officeDocument/2006/relationships/hyperlink" Target="https://www.etsy.com/ca/listing/4330488178/embroidered-golf-baby-romper-new-to-the?transaction_id=4945948024" TargetMode="External"/><Relationship Id="rId166" Type="http://schemas.openxmlformats.org/officeDocument/2006/relationships/hyperlink" Target="https://www.etsy.com/listing/4470582926/daddys-future-soccer-buddy-baby-romper?transaction_id=4998854574" TargetMode="External"/><Relationship Id="rId373" Type="http://schemas.openxmlformats.org/officeDocument/2006/relationships/hyperlink" Target="https://www.etsy.com/listing/4484984853/baking-with-mommy-baby-bodysuit-cute?transaction_id=5080298630" TargetMode="External"/><Relationship Id="rId580" Type="http://schemas.openxmlformats.org/officeDocument/2006/relationships/hyperlink" Target="https://www.etsy.com/ca/listing/4371125103/personalized-dog-baby-bodysuit-custom?transaction_id=5102342523" TargetMode="External"/><Relationship Id="rId2054" Type="http://schemas.openxmlformats.org/officeDocument/2006/relationships/hyperlink" Target="https://www.etsy.com/ca/listing/4333134764/wizard-font-baby-romper-personalized?transaction_id=4760665090" TargetMode="External"/><Relationship Id="rId2261" Type="http://schemas.openxmlformats.org/officeDocument/2006/relationships/hyperlink" Target="https://www.etsy.com/ca/listing/4376392339/funny-baby-romper-my-brand-of-formula?transaction_id=4805172122" TargetMode="External"/><Relationship Id="rId2499" Type="http://schemas.openxmlformats.org/officeDocument/2006/relationships/hyperlink" Target="https://www.etsy.com/ca/listing/4346126210/daddys-future-lifting-buddy-romper-baby?transaction_id=4849830428" TargetMode="External"/><Relationship Id="rId3105" Type="http://schemas.openxmlformats.org/officeDocument/2006/relationships/hyperlink" Target="https://www.etsy.com/ca/listing/4376399899/the-littlest-book-club-member-baby?transaction_id=4928736924" TargetMode="External"/><Relationship Id="rId3312" Type="http://schemas.openxmlformats.org/officeDocument/2006/relationships/hyperlink" Target="https://www.etsy.com/ca/listing/4352935112/custom-baby-romper-personalized-newborn?transaction_id=4953221190" TargetMode="External"/><Relationship Id="rId1" Type="http://schemas.openxmlformats.org/officeDocument/2006/relationships/hyperlink" Target="https://www.etsy.com/listing/4491428109/halfling-baby-bodysuit-fantasy-baby?transaction_id=5085559956" TargetMode="External"/><Relationship Id="rId233" Type="http://schemas.openxmlformats.org/officeDocument/2006/relationships/hyperlink" Target="https://www.etsy.com/listing/4477977946/apparently-i-like-f1-baby-romper-funny?transaction_id=5023178310" TargetMode="External"/><Relationship Id="rId440" Type="http://schemas.openxmlformats.org/officeDocument/2006/relationships/hyperlink" Target="https://www.etsy.com/listing/4470004184/little-lamb-baby-bodysuit-cute-lamb-baby?transaction_id=5006601749" TargetMode="External"/><Relationship Id="rId678" Type="http://schemas.openxmlformats.org/officeDocument/2006/relationships/hyperlink" Target="https://www.etsy.com/ca/listing/4376389783/player-2-baby-romper-gamer-baby-outfit?transaction_id=5071661544" TargetMode="External"/><Relationship Id="rId885" Type="http://schemas.openxmlformats.org/officeDocument/2006/relationships/hyperlink" Target="https://www.etsy.com/ca/listing/4379194627/new-to-the-farm-embroidered-romper-baby?transaction_id=5031014780" TargetMode="External"/><Relationship Id="rId1070" Type="http://schemas.openxmlformats.org/officeDocument/2006/relationships/hyperlink" Target="https://www.etsy.com/ca/listing/4371125103/personalized-dog-baby-bodysuit-custom?transaction_id=4988743323" TargetMode="External"/><Relationship Id="rId2121" Type="http://schemas.openxmlformats.org/officeDocument/2006/relationships/hyperlink" Target="https://www.etsy.com/ca/listing/4347885967/gigis-bestie-baby-bodysuit-baby-shower?transaction_id=4776858628" TargetMode="External"/><Relationship Id="rId2359" Type="http://schemas.openxmlformats.org/officeDocument/2006/relationships/hyperlink" Target="https://www.etsy.com/ca/listing/4330488178/embroidered-golf-baby-romper-new-to-the?transaction_id=4832830101" TargetMode="External"/><Relationship Id="rId2566" Type="http://schemas.openxmlformats.org/officeDocument/2006/relationships/hyperlink" Target="https://www.etsy.com/ca/listing/4371125103/personalized-dog-baby-bodysuit-custom?transaction_id=4875561349" TargetMode="External"/><Relationship Id="rId2773" Type="http://schemas.openxmlformats.org/officeDocument/2006/relationships/hyperlink" Target="https://www.etsy.com/ca/listing/4376389783/player-2-baby-romper-gamer-baby-outfit?transaction_id=4896775704" TargetMode="External"/><Relationship Id="rId2980" Type="http://schemas.openxmlformats.org/officeDocument/2006/relationships/hyperlink" Target="https://www.etsy.com/ca/listing/4392935796/box-box-for-fresh-diapers-embroidered?transaction_id=4929439039" TargetMode="External"/><Relationship Id="rId300" Type="http://schemas.openxmlformats.org/officeDocument/2006/relationships/hyperlink" Target="https://www.etsy.com/ca/listing/4470615480/apparently-i-like-f1-baby-romper-formula?transaction_id=5068477926" TargetMode="External"/><Relationship Id="rId538" Type="http://schemas.openxmlformats.org/officeDocument/2006/relationships/hyperlink" Target="https://www.etsy.com/ca/listing/4515633002/my-dad-is-the-best-by-par-embroidered?transaction_id=5097400774" TargetMode="External"/><Relationship Id="rId745" Type="http://schemas.openxmlformats.org/officeDocument/2006/relationships/hyperlink" Target="https://www.etsy.com/ca/listing/4376399899/the-littlest-book-club-member-baby?transaction_id=5069813351" TargetMode="External"/><Relationship Id="rId952" Type="http://schemas.openxmlformats.org/officeDocument/2006/relationships/hyperlink" Target="https://www.etsy.com/ca/listing/4371125103/personalized-dog-baby-bodysuit-custom?transaction_id=5019661910&amp;dd_referrer=" TargetMode="External"/><Relationship Id="rId1168" Type="http://schemas.openxmlformats.org/officeDocument/2006/relationships/hyperlink" Target="https://www.etsy.com/ca/listing/4376399899/the-littlest-book-club-member-baby?transaction_id=4984278838" TargetMode="External"/><Relationship Id="rId1375" Type="http://schemas.openxmlformats.org/officeDocument/2006/relationships/hyperlink" Target="https://www.etsy.com/listing/4509437702/apparently-i-like-fishing-embroidered?transaction_id=5079593642" TargetMode="External"/><Relationship Id="rId1582" Type="http://schemas.openxmlformats.org/officeDocument/2006/relationships/hyperlink" Target="https://www.etsy.com/listing/4509959468/see-ya-later-excavator-embroidered-baby?transaction_id=5090599104" TargetMode="External"/><Relationship Id="rId2219" Type="http://schemas.openxmlformats.org/officeDocument/2006/relationships/hyperlink" Target="https://www.etsy.com/ca/listing/4396750091/mamas-little-latke-embroidered-baby?transaction_id=4806074411" TargetMode="External"/><Relationship Id="rId2426" Type="http://schemas.openxmlformats.org/officeDocument/2006/relationships/hyperlink" Target="https://www.etsy.com/ca/listing/4392929794/little-latke-embroidered-romper-hanukkah?transaction_id=4831242206" TargetMode="External"/><Relationship Id="rId2633" Type="http://schemas.openxmlformats.org/officeDocument/2006/relationships/hyperlink" Target="https://www.etsy.com/ca/listing/4347260564/football-baby-romper-game-day-baby?transaction_id=4870413456" TargetMode="External"/><Relationship Id="rId81" Type="http://schemas.openxmlformats.org/officeDocument/2006/relationships/hyperlink" Target="https://www.etsy.com/listing/4513100217/my-kind-of-formula-embroidered-romper?transaction_id=5107503845" TargetMode="External"/><Relationship Id="rId605" Type="http://schemas.openxmlformats.org/officeDocument/2006/relationships/hyperlink" Target="https://www.etsy.com/ca/listing/4347260564/football-baby-romper-game-day-baby?transaction_id=5098755627" TargetMode="External"/><Relationship Id="rId812" Type="http://schemas.openxmlformats.org/officeDocument/2006/relationships/hyperlink" Target="https://www.etsy.com/ca/listing/4376399899/the-littlest-book-club-member-baby?transaction_id=5056341907" TargetMode="External"/><Relationship Id="rId1028" Type="http://schemas.openxmlformats.org/officeDocument/2006/relationships/hyperlink" Target="https://www.etsy.com/ca/listing/4392935796/box-box-for-fresh-diapers-embroidered?transaction_id=5003971068" TargetMode="External"/><Relationship Id="rId1235" Type="http://schemas.openxmlformats.org/officeDocument/2006/relationships/hyperlink" Target="https://www.etsy.com/ca/listing/4462790215/personalized-cat-baby-bodysuit-custom?transaction_id=4971800102" TargetMode="External"/><Relationship Id="rId1442" Type="http://schemas.openxmlformats.org/officeDocument/2006/relationships/hyperlink" Target="https://www.etsy.com/listing/4376404086/embroidered-lil-nugget-baby-bodysuit?transaction_id=5086125110" TargetMode="External"/><Relationship Id="rId1887" Type="http://schemas.openxmlformats.org/officeDocument/2006/relationships/hyperlink" Target="https://www.etsy.com/ca/listing/4330488178/new-to-the-club-embroidered-baby-romper?transaction_id=4718829522" TargetMode="External"/><Relationship Id="rId2840" Type="http://schemas.openxmlformats.org/officeDocument/2006/relationships/hyperlink" Target="https://www.etsy.com/ca/listing/4333134764/wizard-font-baby-romper-personalized?transaction_id=4904405986" TargetMode="External"/><Relationship Id="rId2938" Type="http://schemas.openxmlformats.org/officeDocument/2006/relationships/hyperlink" Target="https://www.etsy.com/ca/listing/4333134764/wizard-font-baby-romper-personalized?transaction_id=4925553009" TargetMode="External"/><Relationship Id="rId1302" Type="http://schemas.openxmlformats.org/officeDocument/2006/relationships/hyperlink" Target="https://www.etsy.com/listing/4475396971/future-barber-like-my-daddy-embroidered?transaction_id=5047850318" TargetMode="External"/><Relationship Id="rId1747" Type="http://schemas.openxmlformats.org/officeDocument/2006/relationships/hyperlink" Target="https://www.etsy.com/ca/listing/4333134764/wizard-font-baby-romper-personalized?transaction_id=4676923465" TargetMode="External"/><Relationship Id="rId1954" Type="http://schemas.openxmlformats.org/officeDocument/2006/relationships/hyperlink" Target="https://www.etsy.com/ca/listing/4330504943/born-to-play-like-my-daddy-baby-romper?transaction_id=4737522240" TargetMode="External"/><Relationship Id="rId2700" Type="http://schemas.openxmlformats.org/officeDocument/2006/relationships/hyperlink" Target="https://www.etsy.com/ca/listing/4330488178/embroidered-golf-baby-romper-new-to-the?transaction_id=4899650943" TargetMode="External"/><Relationship Id="rId39" Type="http://schemas.openxmlformats.org/officeDocument/2006/relationships/hyperlink" Target="https://www.etsy.com/listing/4396672241/hand-picked-for-earth-by-my-great?transaction_id=5042328507" TargetMode="External"/><Relationship Id="rId1607" Type="http://schemas.openxmlformats.org/officeDocument/2006/relationships/hyperlink" Target="https://www.etsy.com/listing/4429002267/personalized-poodle-embroidered-baby?transaction_id=4967413752" TargetMode="External"/><Relationship Id="rId1814" Type="http://schemas.openxmlformats.org/officeDocument/2006/relationships/hyperlink" Target="https://www.etsy.com/ca/listing/4346126210/daddys-future-lifting-buddy-romper-baby?transaction_id=4696859319" TargetMode="External"/><Relationship Id="rId3267" Type="http://schemas.openxmlformats.org/officeDocument/2006/relationships/hyperlink" Target="https://www.etsy.com/ca/listing/4371125103/personalized-dog-baby-bodysuit-custom?transaction_id=4948085356" TargetMode="External"/><Relationship Id="rId188" Type="http://schemas.openxmlformats.org/officeDocument/2006/relationships/hyperlink" Target="https://www.etsy.com/listing/4444097981/daddys-tiny-striker-baby-romper-soccer?transaction_id=4946235259" TargetMode="External"/><Relationship Id="rId395" Type="http://schemas.openxmlformats.org/officeDocument/2006/relationships/hyperlink" Target="https://www.etsy.com/listing/4475352752/reading-with-mommy-baby-bodysuit-cute?transaction_id=5061492840" TargetMode="External"/><Relationship Id="rId2076" Type="http://schemas.openxmlformats.org/officeDocument/2006/relationships/hyperlink" Target="https://www.etsy.com/ca/listing/4347260564/football-baby-romper-game-day-baby?transaction_id=4763979656" TargetMode="External"/><Relationship Id="rId2283" Type="http://schemas.openxmlformats.org/officeDocument/2006/relationships/hyperlink" Target="https://www.etsy.com/ca/listing/4392935796/box-box-for-fresh-diapers-embroidered?transaction_id=4814969041" TargetMode="External"/><Relationship Id="rId2490" Type="http://schemas.openxmlformats.org/officeDocument/2006/relationships/hyperlink" Target="https://www.etsy.com/ca/listing/4376389783/player-2-baby-romper-gamer-baby-outfit?transaction_id=4860741727&amp;dd_referrer=" TargetMode="External"/><Relationship Id="rId2588" Type="http://schemas.openxmlformats.org/officeDocument/2006/relationships/hyperlink" Target="https://www.etsy.com/ca/listing/4330463387/embroidered-baby-romper-relax-mommy-is-a?transaction_id=4879318535" TargetMode="External"/><Relationship Id="rId3127" Type="http://schemas.openxmlformats.org/officeDocument/2006/relationships/hyperlink" Target="https://www.etsy.com/ca/listing/4392935796/box-box-for-fresh-diapers-embroidered?transaction_id=4931293952" TargetMode="External"/><Relationship Id="rId3334" Type="http://schemas.openxmlformats.org/officeDocument/2006/relationships/hyperlink" Target="https://www.etsy.com/ca/listing/4392962015/cant-wait-to-jam-with-daddy-embroidered?transaction_id=4957551862" TargetMode="External"/><Relationship Id="rId255" Type="http://schemas.openxmlformats.org/officeDocument/2006/relationships/hyperlink" Target="https://www.etsy.com/listing/4437038588/soccer-baby-romper-future-goal-getter?transaction_id=4961002289" TargetMode="External"/><Relationship Id="rId462" Type="http://schemas.openxmlformats.org/officeDocument/2006/relationships/hyperlink" Target="https://www.etsy.com/listing/4445844080/apparently-i-like-fish-embroidered-baby?transaction_id=4958745760" TargetMode="External"/><Relationship Id="rId1092" Type="http://schemas.openxmlformats.org/officeDocument/2006/relationships/hyperlink" Target="https://www.etsy.com/ca/listing/4330485404/cat-face-embroidered-baby-romper-funny?transaction_id=4994141844" TargetMode="External"/><Relationship Id="rId1397" Type="http://schemas.openxmlformats.org/officeDocument/2006/relationships/hyperlink" Target="https://www.etsy.com/listing/4513503284/daddys-future-pickleball-partner?transaction_id=5100012409&amp;dd_referrer=" TargetMode="External"/><Relationship Id="rId2143" Type="http://schemas.openxmlformats.org/officeDocument/2006/relationships/hyperlink" Target="https://www.etsy.com/ca/listing/4347266127/basketball-baby-romper-game-day-baby?transaction_id=4780342274" TargetMode="External"/><Relationship Id="rId2350" Type="http://schemas.openxmlformats.org/officeDocument/2006/relationships/hyperlink" Target="https://www.etsy.com/ca/listing/4392929794/little-latke-embroidered-romper-hanukkah?transaction_id=4821488636" TargetMode="External"/><Relationship Id="rId2795" Type="http://schemas.openxmlformats.org/officeDocument/2006/relationships/hyperlink" Target="https://www.etsy.com/ca/listing/4371112234/personalized-pet-line-art-baby-bodysuit?transaction_id=4914363683" TargetMode="External"/><Relationship Id="rId115" Type="http://schemas.openxmlformats.org/officeDocument/2006/relationships/hyperlink" Target="https://www.etsy.com/listing/4508232934/daddys-tennis-partner-embroidered-baby?transaction_id=5087078406" TargetMode="External"/><Relationship Id="rId322" Type="http://schemas.openxmlformats.org/officeDocument/2006/relationships/hyperlink" Target="https://www.etsy.com/ca/listing/4470615480/apparently-i-like-f1-baby-romper-formula?transaction_id=5043406357" TargetMode="External"/><Relationship Id="rId767" Type="http://schemas.openxmlformats.org/officeDocument/2006/relationships/hyperlink" Target="https://www.etsy.com/ca/listing/4372350408/my-first-football-season-baby-romper?transaction_id=5064545105" TargetMode="External"/><Relationship Id="rId974" Type="http://schemas.openxmlformats.org/officeDocument/2006/relationships/hyperlink" Target="https://www.etsy.com/ca/listing/4392935796/box-box-for-fresh-diapers-embroidered?transaction_id=5015787952" TargetMode="External"/><Relationship Id="rId2003" Type="http://schemas.openxmlformats.org/officeDocument/2006/relationships/hyperlink" Target="https://www.etsy.com/ca/listing/4369781522/crawl-walk-putt-baby-romper-funny-golf?transaction_id=4751014436" TargetMode="External"/><Relationship Id="rId2210" Type="http://schemas.openxmlformats.org/officeDocument/2006/relationships/hyperlink" Target="https://www.etsy.com/ca/listing/4392935796/box-box-for-fresh-diapers-embroidered?transaction_id=4804593617" TargetMode="External"/><Relationship Id="rId2448" Type="http://schemas.openxmlformats.org/officeDocument/2006/relationships/hyperlink" Target="https://www.etsy.com/ca/listing/4392929794/little-latke-embroidered-romper-hanukkah?transaction_id=4847073257" TargetMode="External"/><Relationship Id="rId2655" Type="http://schemas.openxmlformats.org/officeDocument/2006/relationships/hyperlink" Target="https://www.etsy.com/ca/listing/4330488178/embroidered-golf-baby-romper-new-to-the?transaction_id=4889078453" TargetMode="External"/><Relationship Id="rId2862" Type="http://schemas.openxmlformats.org/officeDocument/2006/relationships/hyperlink" Target="https://www.etsy.com/ca/listing/4347263856/besties-baby-romper-matching-baby-outfit?transaction_id=4883381966" TargetMode="External"/><Relationship Id="rId627" Type="http://schemas.openxmlformats.org/officeDocument/2006/relationships/hyperlink" Target="https://www.etsy.com/ca/listing/4505538781/custom-embroidered-dog-portrait?transaction_id=5094791053" TargetMode="External"/><Relationship Id="rId834" Type="http://schemas.openxmlformats.org/officeDocument/2006/relationships/hyperlink" Target="https://www.etsy.com/ca/listing/4330504943/embroidered-tennis-baby-romper-daddys?transaction_id=5040142934" TargetMode="External"/><Relationship Id="rId1257" Type="http://schemas.openxmlformats.org/officeDocument/2006/relationships/hyperlink" Target="https://www.etsy.com/listing/4444685673/daddys-soccer-buddy-baby-romper-custom?transaction_id=5022661137" TargetMode="External"/><Relationship Id="rId1464" Type="http://schemas.openxmlformats.org/officeDocument/2006/relationships/hyperlink" Target="https://www.etsy.com/listing/4376404086/embroidered-lil-nugget-baby-bodysuit?transaction_id=5088792058" TargetMode="External"/><Relationship Id="rId1671" Type="http://schemas.openxmlformats.org/officeDocument/2006/relationships/hyperlink" Target="https://www.etsy.com/listing/4462703193/cool-beans-baby-bodysuit-custom-name?transaction_id=5081332079" TargetMode="External"/><Relationship Id="rId2308" Type="http://schemas.openxmlformats.org/officeDocument/2006/relationships/hyperlink" Target="https://www.etsy.com/ca/listing/4330485404/cat-face-embroidered-baby-romper-funny?transaction_id=4809911836" TargetMode="External"/><Relationship Id="rId2515" Type="http://schemas.openxmlformats.org/officeDocument/2006/relationships/hyperlink" Target="https://www.etsy.com/ca/listing/4376399899/the-littlest-book-club-member-baby?transaction_id=4865910307" TargetMode="External"/><Relationship Id="rId2722" Type="http://schemas.openxmlformats.org/officeDocument/2006/relationships/hyperlink" Target="https://www.etsy.com/ca/listing/4371125103/personalized-dog-baby-bodysuit-custom?transaction_id=4888203516" TargetMode="External"/><Relationship Id="rId901" Type="http://schemas.openxmlformats.org/officeDocument/2006/relationships/hyperlink" Target="https://www.etsy.com/ca/listing/4379194627/new-to-the-farm-embroidered-romper-baby?transaction_id=5040537853&amp;dd_referrer=" TargetMode="External"/><Relationship Id="rId1117" Type="http://schemas.openxmlformats.org/officeDocument/2006/relationships/hyperlink" Target="https://www.etsy.com/ca/listing/4372352286/silly-goose-baby-romper-funny-infant?transaction_id=5001762205" TargetMode="External"/><Relationship Id="rId1324" Type="http://schemas.openxmlformats.org/officeDocument/2006/relationships/hyperlink" Target="https://www.etsy.com/listing/4485710996/masters-2026-augusta-national-golf-club?transaction_id=5060306200" TargetMode="External"/><Relationship Id="rId1531" Type="http://schemas.openxmlformats.org/officeDocument/2006/relationships/hyperlink" Target="https://www.etsy.com/listing/4324722790/custom-embroidered-whale-baby-romper?transaction_id=5109811243" TargetMode="External"/><Relationship Id="rId1769" Type="http://schemas.openxmlformats.org/officeDocument/2006/relationships/hyperlink" Target="https://www.etsy.com/ca/listing/4330492054/cutie-pie-embroidered-baby-outfit-with?transaction_id=4667109780" TargetMode="External"/><Relationship Id="rId1976" Type="http://schemas.openxmlformats.org/officeDocument/2006/relationships/hyperlink" Target="https://www.etsy.com/ca/listing/4344239173/little-pumpkin-baby-romper-fall?transaction_id=4756381983" TargetMode="External"/><Relationship Id="rId3191" Type="http://schemas.openxmlformats.org/officeDocument/2006/relationships/hyperlink" Target="https://www.etsy.com/ca/listing/4344231895/embroidered-baby-romper-shhh-im-reading?transaction_id=4950441467" TargetMode="External"/><Relationship Id="rId30" Type="http://schemas.openxmlformats.org/officeDocument/2006/relationships/hyperlink" Target="https://www.etsy.com/listing/4429565541/here-comes-the-son-baby-romper-cute?transaction_id=5043946714" TargetMode="External"/><Relationship Id="rId1629" Type="http://schemas.openxmlformats.org/officeDocument/2006/relationships/hyperlink" Target="https://www.etsy.com/listing/4467339660/embroidered-daddys-boy-baby-bodysuit?transaction_id=5014359057" TargetMode="External"/><Relationship Id="rId1836" Type="http://schemas.openxmlformats.org/officeDocument/2006/relationships/hyperlink" Target="https://www.etsy.com/ca/listing/4330478867/personalized-hippo-baby-bodysuit?transaction_id=4703692453" TargetMode="External"/><Relationship Id="rId3289" Type="http://schemas.openxmlformats.org/officeDocument/2006/relationships/hyperlink" Target="https://www.etsy.com/ca/listing/4376389783/player-2-baby-romper-gamer-baby-outfit?transaction_id=4951751080" TargetMode="External"/><Relationship Id="rId1903" Type="http://schemas.openxmlformats.org/officeDocument/2006/relationships/hyperlink" Target="https://www.etsy.com/ca/listing/4347260564/football-baby-romper-game-day-baby?transaction_id=4725488854" TargetMode="External"/><Relationship Id="rId2098" Type="http://schemas.openxmlformats.org/officeDocument/2006/relationships/hyperlink" Target="https://www.etsy.com/ca/listing/4330488178/new-to-the-club-embroidered-baby-romper?transaction_id=4770474564" TargetMode="External"/><Relationship Id="rId3051" Type="http://schemas.openxmlformats.org/officeDocument/2006/relationships/hyperlink" Target="https://www.etsy.com/ca/listing/4330488178/embroidered-golf-baby-romper-new-to-the?transaction_id=4923272972" TargetMode="External"/><Relationship Id="rId3149" Type="http://schemas.openxmlformats.org/officeDocument/2006/relationships/hyperlink" Target="https://www.etsy.com/ca/listing/4330485404/cat-face-embroidered-baby-romper-funny?transaction_id=4934227168" TargetMode="External"/><Relationship Id="rId3356" Type="http://schemas.openxmlformats.org/officeDocument/2006/relationships/hyperlink" Target="https://www.etsy.com/ca/listing/4352935112/custom-baby-romper-personalized-newborn?transaction_id=4968486065" TargetMode="External"/><Relationship Id="rId277" Type="http://schemas.openxmlformats.org/officeDocument/2006/relationships/hyperlink" Target="https://www.etsy.com/ca/listing/4518303218/daddys-future-gaming-buddy-romper-gamer?transaction_id=5106208132" TargetMode="External"/><Relationship Id="rId484" Type="http://schemas.openxmlformats.org/officeDocument/2006/relationships/hyperlink" Target="https://www.etsy.com/ca/listing/4511382091/born-in-2026-americas-250th-year-baby?transaction_id=5114900835" TargetMode="External"/><Relationship Id="rId2165" Type="http://schemas.openxmlformats.org/officeDocument/2006/relationships/hyperlink" Target="https://www.etsy.com/ca/listing/4330488178/new-to-the-club-embroidered-baby-romper?transaction_id=4789117098" TargetMode="External"/><Relationship Id="rId3009" Type="http://schemas.openxmlformats.org/officeDocument/2006/relationships/hyperlink" Target="https://www.etsy.com/ca/listing/4376399899/the-littlest-book-club-member-baby?transaction_id=4919639814" TargetMode="External"/><Relationship Id="rId3216" Type="http://schemas.openxmlformats.org/officeDocument/2006/relationships/hyperlink" Target="https://www.etsy.com/ca/listing/4392935796/box-box-for-fresh-diapers-embroidered?transaction_id=4943340888" TargetMode="External"/><Relationship Id="rId137" Type="http://schemas.openxmlformats.org/officeDocument/2006/relationships/hyperlink" Target="https://www.etsy.com/listing/4461643687/daddys-future-lifting-buddy-embroidered?transaction_id=5077348049" TargetMode="External"/><Relationship Id="rId344" Type="http://schemas.openxmlformats.org/officeDocument/2006/relationships/hyperlink" Target="https://www.etsy.com/listing/4509977914/little-book-dragon-embroidered-baby?transaction_id=5106483632" TargetMode="External"/><Relationship Id="rId691" Type="http://schemas.openxmlformats.org/officeDocument/2006/relationships/hyperlink" Target="https://www.etsy.com/ca/listing/4467451258/the-littlest-tennis-club-member-baby?transaction_id=5082408459" TargetMode="External"/><Relationship Id="rId789" Type="http://schemas.openxmlformats.org/officeDocument/2006/relationships/hyperlink" Target="https://www.etsy.com/ca/listing/4372357398/personalized-hunting-baby-romper-custom?transaction_id=5060968109" TargetMode="External"/><Relationship Id="rId996" Type="http://schemas.openxmlformats.org/officeDocument/2006/relationships/hyperlink" Target="https://www.etsy.com/ca/listing/4376399899/the-littlest-book-club-member-baby?transaction_id=5020009859" TargetMode="External"/><Relationship Id="rId2025" Type="http://schemas.openxmlformats.org/officeDocument/2006/relationships/hyperlink" Target="https://www.etsy.com/ca/listing/4379195696/the-life-of-a-babygirl-embroidered?transaction_id=4755787462" TargetMode="External"/><Relationship Id="rId2372" Type="http://schemas.openxmlformats.org/officeDocument/2006/relationships/hyperlink" Target="https://www.etsy.com/ca/listing/4392929794/little-latke-embroidered-romper-hanukkah?transaction_id=4825064008" TargetMode="External"/><Relationship Id="rId2677" Type="http://schemas.openxmlformats.org/officeDocument/2006/relationships/hyperlink" Target="https://www.etsy.com/ca/listing/4372352286/silly-goose-baby-romper-funny-infant?transaction_id=4877681596" TargetMode="External"/><Relationship Id="rId2884" Type="http://schemas.openxmlformats.org/officeDocument/2006/relationships/hyperlink" Target="https://www.etsy.com/ca/listing/4376399899/the-littlest-book-club-member-baby?transaction_id=4907184016" TargetMode="External"/><Relationship Id="rId551" Type="http://schemas.openxmlformats.org/officeDocument/2006/relationships/hyperlink" Target="https://www.etsy.com/ca/listing/4507655767/dads-best-bud-baby-romper-first-fathers?transaction_id=5104467145" TargetMode="External"/><Relationship Id="rId649" Type="http://schemas.openxmlformats.org/officeDocument/2006/relationships/hyperlink" Target="https://www.etsy.com/ca/listing/4376399899/the-littlest-book-club-member-baby?transaction_id=5090388903" TargetMode="External"/><Relationship Id="rId856" Type="http://schemas.openxmlformats.org/officeDocument/2006/relationships/hyperlink" Target="https://www.etsy.com/ca/listing/4376389783/player-2-baby-romper-gamer-baby-outfit?transaction_id=5036003110" TargetMode="External"/><Relationship Id="rId1181" Type="http://schemas.openxmlformats.org/officeDocument/2006/relationships/hyperlink" Target="https://www.etsy.com/ca/listing/4336907597/custom-running-baby-romper-daddys-future?transaction_id=4980373616" TargetMode="External"/><Relationship Id="rId1279" Type="http://schemas.openxmlformats.org/officeDocument/2006/relationships/hyperlink" Target="https://www.etsy.com/listing/4439748073/newest-member-of-the-pack-baby-romper?transaction_id=5039089261" TargetMode="External"/><Relationship Id="rId1486" Type="http://schemas.openxmlformats.org/officeDocument/2006/relationships/hyperlink" Target="https://www.etsy.com/listing/4476306917/pack-my-diaper-im-going-racing-dirt-bike?transaction_id=5102034711" TargetMode="External"/><Relationship Id="rId2232" Type="http://schemas.openxmlformats.org/officeDocument/2006/relationships/hyperlink" Target="https://www.etsy.com/ca/listing/4376389783/player-2-baby-romper-gamer-baby-outfit?transaction_id=4807763449" TargetMode="External"/><Relationship Id="rId2537" Type="http://schemas.openxmlformats.org/officeDocument/2006/relationships/hyperlink" Target="https://www.etsy.com/ca/listing/4372352286/silly-goose-baby-romper-funny-infant?transaction_id=4870233229" TargetMode="External"/><Relationship Id="rId204" Type="http://schemas.openxmlformats.org/officeDocument/2006/relationships/hyperlink" Target="https://www.etsy.com/listing/4499062845/custom-name-embroidered-romper-baby-gift?transaction_id=5095848741" TargetMode="External"/><Relationship Id="rId411" Type="http://schemas.openxmlformats.org/officeDocument/2006/relationships/hyperlink" Target="https://www.etsy.com/listing/4489495881/music-baby-bodysuit-i-cant-wait-to-jam?transaction_id=5044388547" TargetMode="External"/><Relationship Id="rId509" Type="http://schemas.openxmlformats.org/officeDocument/2006/relationships/hyperlink" Target="https://www.etsy.com/ca/listing/4467452578/the-littlest-pickleball-club-member-baby?transaction_id=5102088170" TargetMode="External"/><Relationship Id="rId1041" Type="http://schemas.openxmlformats.org/officeDocument/2006/relationships/hyperlink" Target="https://www.etsy.com/ca/listing/4467440237/the-littlest-coffee-club-member-baby?transaction_id=5002028198" TargetMode="External"/><Relationship Id="rId1139" Type="http://schemas.openxmlformats.org/officeDocument/2006/relationships/hyperlink" Target="https://www.etsy.com/ca/listing/4371125103/personalized-dog-baby-bodysuit-custom?transaction_id=4988716768" TargetMode="External"/><Relationship Id="rId1346" Type="http://schemas.openxmlformats.org/officeDocument/2006/relationships/hyperlink" Target="https://www.etsy.com/listing/4399231639/first-grandbaby-embroidered-baby-romper?transaction_id=5071207874" TargetMode="External"/><Relationship Id="rId1693" Type="http://schemas.openxmlformats.org/officeDocument/2006/relationships/hyperlink" Target="https://www.etsy.com/listing/4346677879/golf-baby-romper-born-to-play-like-daddy?transaction_id=4764172907" TargetMode="External"/><Relationship Id="rId1998" Type="http://schemas.openxmlformats.org/officeDocument/2006/relationships/hyperlink" Target="https://www.etsy.com/ca/listing/4330504943/born-to-play-like-my-daddy-baby-romper?transaction_id=4749788468" TargetMode="External"/><Relationship Id="rId2744" Type="http://schemas.openxmlformats.org/officeDocument/2006/relationships/hyperlink" Target="https://www.etsy.com/ca/listing/4392935796/box-box-for-fresh-diapers-embroidered?transaction_id=4891710306" TargetMode="External"/><Relationship Id="rId2951" Type="http://schemas.openxmlformats.org/officeDocument/2006/relationships/hyperlink" Target="https://www.etsy.com/ca/listing/4376399899/the-littlest-book-club-member-baby?transaction_id=4913626072" TargetMode="External"/><Relationship Id="rId716" Type="http://schemas.openxmlformats.org/officeDocument/2006/relationships/hyperlink" Target="https://www.etsy.com/ca/listing/4346126210/daddys-future-lifting-buddy-romper-baby?transaction_id=5062725502" TargetMode="External"/><Relationship Id="rId923" Type="http://schemas.openxmlformats.org/officeDocument/2006/relationships/hyperlink" Target="https://www.etsy.com/ca/listing/4376399899/the-littlest-book-club-member-baby?transaction_id=5035938667" TargetMode="External"/><Relationship Id="rId1553" Type="http://schemas.openxmlformats.org/officeDocument/2006/relationships/hyperlink" Target="https://www.etsy.com/listing/4473845389/golf-player-outfit-embroidered-baby?transaction_id=5115462705" TargetMode="External"/><Relationship Id="rId1760" Type="http://schemas.openxmlformats.org/officeDocument/2006/relationships/hyperlink" Target="https://www.etsy.com/ca/listing/4336900156/personalized-soccer-baby-romper-daddys?transaction_id=4664910306" TargetMode="External"/><Relationship Id="rId1858" Type="http://schemas.openxmlformats.org/officeDocument/2006/relationships/hyperlink" Target="https://www.etsy.com/ca/listing/4347885967/gigis-bestie-baby-bodysuit-baby-shower?transaction_id=4705446732" TargetMode="External"/><Relationship Id="rId2604" Type="http://schemas.openxmlformats.org/officeDocument/2006/relationships/hyperlink" Target="https://www.etsy.com/ca/listing/4336907597/custom-running-baby-romper-daddys-future?transaction_id=4882928621" TargetMode="External"/><Relationship Id="rId2811" Type="http://schemas.openxmlformats.org/officeDocument/2006/relationships/hyperlink" Target="https://www.etsy.com/ca/listing/4344237213/mamas-coffee-date-baby-bodysuit-funny?transaction_id=4916049657" TargetMode="External"/><Relationship Id="rId52" Type="http://schemas.openxmlformats.org/officeDocument/2006/relationships/hyperlink" Target="https://www.etsy.com/listing/4520537503/custom-baby-romper-personalized?transaction_id=5101635550" TargetMode="External"/><Relationship Id="rId1206" Type="http://schemas.openxmlformats.org/officeDocument/2006/relationships/hyperlink" Target="https://www.etsy.com/ca/listing/4376399899/the-littlest-book-club-member-baby?transaction_id=4977523954" TargetMode="External"/><Relationship Id="rId1413" Type="http://schemas.openxmlformats.org/officeDocument/2006/relationships/hyperlink" Target="https://www.etsy.com/listing/4495418873/daddys-little-caddy-golf-bag-embroidered?transaction_id=5093398666" TargetMode="External"/><Relationship Id="rId1620" Type="http://schemas.openxmlformats.org/officeDocument/2006/relationships/hyperlink" Target="https://www.etsy.com/listing/4465314295/i-have-crazy-aunts-funny-baby?transaction_id=4991591126" TargetMode="External"/><Relationship Id="rId2909" Type="http://schemas.openxmlformats.org/officeDocument/2006/relationships/hyperlink" Target="https://www.etsy.com/ca/listing/4344235128/new-to-the-hive-baby-romper-embroidered?transaction_id=4923428919" TargetMode="External"/><Relationship Id="rId3073" Type="http://schemas.openxmlformats.org/officeDocument/2006/relationships/hyperlink" Target="https://www.etsy.com/ca/listing/4371125103/personalized-dog-baby-bodysuit-custom?transaction_id=4924486628" TargetMode="External"/><Relationship Id="rId3280" Type="http://schemas.openxmlformats.org/officeDocument/2006/relationships/hyperlink" Target="https://www.etsy.com/ca/listing/4347260564/football-baby-romper-game-day-baby?transaction_id=4961623597" TargetMode="External"/><Relationship Id="rId1718" Type="http://schemas.openxmlformats.org/officeDocument/2006/relationships/hyperlink" Target="https://www.etsy.com/ca/listing/4325305509/born-to-birdie-baby-romper-embroidered?transaction_id=4650070797" TargetMode="External"/><Relationship Id="rId1925" Type="http://schemas.openxmlformats.org/officeDocument/2006/relationships/hyperlink" Target="https://www.etsy.com/ca/listing/4330485404/cat-face-embroidered-baby-romper-my?transaction_id=4741423091" TargetMode="External"/><Relationship Id="rId3140" Type="http://schemas.openxmlformats.org/officeDocument/2006/relationships/hyperlink" Target="https://www.etsy.com/ca/listing/4376392339/funny-baby-romper-my-brand-of-formula?transaction_id=4933182068" TargetMode="External"/><Relationship Id="rId3378" Type="http://schemas.openxmlformats.org/officeDocument/2006/relationships/hyperlink" Target="https://www.etsy.com/ca/listing/4330488178/embroidered-golf-baby-romper-new-to-the?transaction_id=4975997875" TargetMode="External"/><Relationship Id="rId299" Type="http://schemas.openxmlformats.org/officeDocument/2006/relationships/hyperlink" Target="https://www.etsy.com/ca/listing/4471171185/crawl-walk-golf-baby-romper-100-cotton?transaction_id=5068631560" TargetMode="External"/><Relationship Id="rId2187" Type="http://schemas.openxmlformats.org/officeDocument/2006/relationships/hyperlink" Target="https://www.etsy.com/ca/listing/4392929794/little-latke-embroidered-romper-hanukkah?transaction_id=4794119302" TargetMode="External"/><Relationship Id="rId2394" Type="http://schemas.openxmlformats.org/officeDocument/2006/relationships/hyperlink" Target="https://www.etsy.com/ca/listing/4330488178/embroidered-golf-baby-romper-new-to-the?transaction_id=4837713919" TargetMode="External"/><Relationship Id="rId3238" Type="http://schemas.openxmlformats.org/officeDocument/2006/relationships/hyperlink" Target="https://www.etsy.com/ca/listing/4330488178/embroidered-golf-baby-romper-new-to-the?transaction_id=4944719110" TargetMode="External"/><Relationship Id="rId159" Type="http://schemas.openxmlformats.org/officeDocument/2006/relationships/hyperlink" Target="https://www.etsy.com/listing/4469480573/daddys-little-digger-embroidered-baby?transaction_id=5024051254" TargetMode="External"/><Relationship Id="rId366" Type="http://schemas.openxmlformats.org/officeDocument/2006/relationships/hyperlink" Target="https://www.etsy.com/listing/4508225352/daddys-tennis-buddy-embroidered-baby?transaction_id=5085567972" TargetMode="External"/><Relationship Id="rId573" Type="http://schemas.openxmlformats.org/officeDocument/2006/relationships/hyperlink" Target="https://www.etsy.com/ca/listing/4473754338/racing-baby-romper-with-daddy-racing?transaction_id=5092362946" TargetMode="External"/><Relationship Id="rId780" Type="http://schemas.openxmlformats.org/officeDocument/2006/relationships/hyperlink" Target="https://www.etsy.com/ca/listing/4486208289/silly-goose-baby-romper-embroidered-cute?transaction_id=5049519574" TargetMode="External"/><Relationship Id="rId2047" Type="http://schemas.openxmlformats.org/officeDocument/2006/relationships/hyperlink" Target="https://www.etsy.com/ca/listing/4352935112/custom-baby-romper-personalized-newborn?transaction_id=4759412658" TargetMode="External"/><Relationship Id="rId2254" Type="http://schemas.openxmlformats.org/officeDocument/2006/relationships/hyperlink" Target="https://www.etsy.com/ca/listing/4330488178/embroidered-golf-baby-romper-new-to-the?transaction_id=4812286771" TargetMode="External"/><Relationship Id="rId2461" Type="http://schemas.openxmlformats.org/officeDocument/2006/relationships/hyperlink" Target="https://www.etsy.com/ca/listing/4392929794/little-latke-embroidered-romper-hanukkah?transaction_id=4840795382" TargetMode="External"/><Relationship Id="rId2699" Type="http://schemas.openxmlformats.org/officeDocument/2006/relationships/hyperlink" Target="https://www.etsy.com/ca/listing/4376389783/player-2-baby-romper-gamer-baby-outfit?transaction_id=4882761154" TargetMode="External"/><Relationship Id="rId3000" Type="http://schemas.openxmlformats.org/officeDocument/2006/relationships/hyperlink" Target="https://www.etsy.com/ca/listing/4376392339/funny-baby-romper-my-brand-of-formula?transaction_id=4901980596" TargetMode="External"/><Relationship Id="rId3305" Type="http://schemas.openxmlformats.org/officeDocument/2006/relationships/hyperlink" Target="https://www.etsy.com/ca/listing/4330488178/embroidered-golf-baby-romper-new-to-the?transaction_id=4953802486" TargetMode="External"/><Relationship Id="rId226" Type="http://schemas.openxmlformats.org/officeDocument/2006/relationships/hyperlink" Target="https://www.etsy.com/listing/4432968408/olive-you-embroidered-baby-romper-cute?transaction_id=5030715540" TargetMode="External"/><Relationship Id="rId433" Type="http://schemas.openxmlformats.org/officeDocument/2006/relationships/hyperlink" Target="https://www.etsy.com/listing/4445823088/its-alright-to-be-a-little-bitty?transaction_id=5012985331" TargetMode="External"/><Relationship Id="rId878" Type="http://schemas.openxmlformats.org/officeDocument/2006/relationships/hyperlink" Target="https://www.etsy.com/ca/listing/4376399899/the-littlest-book-club-member-baby?transaction_id=5031853806" TargetMode="External"/><Relationship Id="rId1063" Type="http://schemas.openxmlformats.org/officeDocument/2006/relationships/hyperlink" Target="https://www.etsy.com/ca/listing/4376399899/the-littlest-book-club-member-baby?transaction_id=4997230230" TargetMode="External"/><Relationship Id="rId1270" Type="http://schemas.openxmlformats.org/officeDocument/2006/relationships/hyperlink" Target="https://www.etsy.com/listing/4485710996/masters-2026-augusta-national-golf-club?transaction_id=5033304769" TargetMode="External"/><Relationship Id="rId2114" Type="http://schemas.openxmlformats.org/officeDocument/2006/relationships/hyperlink" Target="https://www.etsy.com/ca/listing/4330488178/new-to-the-club-embroidered-baby-romper?transaction_id=4775033140" TargetMode="External"/><Relationship Id="rId2559" Type="http://schemas.openxmlformats.org/officeDocument/2006/relationships/hyperlink" Target="https://www.etsy.com/ca/listing/4371125103/personalized-dog-baby-bodysuit-custom?transaction_id=4873692789" TargetMode="External"/><Relationship Id="rId2766" Type="http://schemas.openxmlformats.org/officeDocument/2006/relationships/hyperlink" Target="https://www.etsy.com/ca/listing/4333134764/wizard-font-baby-romper-personalized?transaction_id=4896168384" TargetMode="External"/><Relationship Id="rId2973" Type="http://schemas.openxmlformats.org/officeDocument/2006/relationships/hyperlink" Target="https://www.etsy.com/ca/listing/4343133680/embroidered-bowling-baby-bodysuit-crawl?transaction_id=4928980733" TargetMode="External"/><Relationship Id="rId640" Type="http://schemas.openxmlformats.org/officeDocument/2006/relationships/hyperlink" Target="https://www.etsy.com/ca/listing/4376389783/player-2-baby-romper-gamer-baby-outfit?transaction_id=5092189307" TargetMode="External"/><Relationship Id="rId738" Type="http://schemas.openxmlformats.org/officeDocument/2006/relationships/hyperlink" Target="https://www.etsy.com/ca/listing/4392935796/box-box-for-fresh-diapers-embroidered?transaction_id=5071454243" TargetMode="External"/><Relationship Id="rId945" Type="http://schemas.openxmlformats.org/officeDocument/2006/relationships/hyperlink" Target="https://www.etsy.com/ca/listing/4371125103/personalized-dog-baby-bodysuit-custom?transaction_id=5021044466" TargetMode="External"/><Relationship Id="rId1368" Type="http://schemas.openxmlformats.org/officeDocument/2006/relationships/hyperlink" Target="https://www.etsy.com/listing/4507682211/crawl-walk-golf-embroidered-baby-romper?transaction_id=5078004690" TargetMode="External"/><Relationship Id="rId1575" Type="http://schemas.openxmlformats.org/officeDocument/2006/relationships/hyperlink" Target="https://www.etsy.com/listing/4463219999/little-sprout-baby-romper-custom-name?transaction_id=5072742920" TargetMode="External"/><Relationship Id="rId1782" Type="http://schemas.openxmlformats.org/officeDocument/2006/relationships/hyperlink" Target="https://www.etsy.com/ca/listing/4330488178/new-to-the-club-embroidered-baby-romper?transaction_id=4684778079" TargetMode="External"/><Relationship Id="rId2321" Type="http://schemas.openxmlformats.org/officeDocument/2006/relationships/hyperlink" Target="https://www.etsy.com/ca/listing/4392929794/little-latke-embroidered-romper-hanukkah?transaction_id=4804559924" TargetMode="External"/><Relationship Id="rId2419" Type="http://schemas.openxmlformats.org/officeDocument/2006/relationships/hyperlink" Target="https://www.etsy.com/ca/listing/4330488178/embroidered-golf-baby-romper-new-to-the?transaction_id=4840913493" TargetMode="External"/><Relationship Id="rId2626" Type="http://schemas.openxmlformats.org/officeDocument/2006/relationships/hyperlink" Target="https://www.etsy.com/ca/listing/4376389783/player-2-baby-romper-gamer-baby-outfit?transaction_id=4869473898" TargetMode="External"/><Relationship Id="rId2833" Type="http://schemas.openxmlformats.org/officeDocument/2006/relationships/hyperlink" Target="https://www.etsy.com/ca/listing/4330488178/embroidered-golf-baby-romper-new-to-the?transaction_id=4903720986" TargetMode="External"/><Relationship Id="rId74" Type="http://schemas.openxmlformats.org/officeDocument/2006/relationships/hyperlink" Target="https://www.etsy.com/listing/4512152650/custom-pet-photo-embroidered-romper?transaction_id=5098027806" TargetMode="External"/><Relationship Id="rId500" Type="http://schemas.openxmlformats.org/officeDocument/2006/relationships/hyperlink" Target="https://www.etsy.com/ca/listing/4507678260/fathers-day-baby-girl-outfit-daddys?transaction_id=5112949333" TargetMode="External"/><Relationship Id="rId805" Type="http://schemas.openxmlformats.org/officeDocument/2006/relationships/hyperlink" Target="https://www.etsy.com/ca/listing/4469530783/id-rather-be-drinking-with-uncle-mike?transaction_id=5057833317" TargetMode="External"/><Relationship Id="rId1130" Type="http://schemas.openxmlformats.org/officeDocument/2006/relationships/hyperlink" Target="https://www.etsy.com/ca/listing/4330499732/embroidered-baby-romper-little-sunshine?transaction_id=5000423973" TargetMode="External"/><Relationship Id="rId1228" Type="http://schemas.openxmlformats.org/officeDocument/2006/relationships/hyperlink" Target="https://www.etsy.com/ca/listing/4344231895/embroidered-baby-romper-shhh-im-reading?transaction_id=4973001428" TargetMode="External"/><Relationship Id="rId1435" Type="http://schemas.openxmlformats.org/officeDocument/2006/relationships/hyperlink" Target="https://www.etsy.com/listing/4507031685/apparently-i-like-soccer-embroidered?transaction_id=5102116462" TargetMode="External"/><Relationship Id="rId1642" Type="http://schemas.openxmlformats.org/officeDocument/2006/relationships/hyperlink" Target="https://www.etsy.com/listing/4435898453/personalized-soccer-ball-with-cap?transaction_id=5031457881" TargetMode="External"/><Relationship Id="rId1947" Type="http://schemas.openxmlformats.org/officeDocument/2006/relationships/hyperlink" Target="https://www.etsy.com/ca/listing/4351832735/pretty-eyes-chubby-thighs-baby-romper?transaction_id=4747103845" TargetMode="External"/><Relationship Id="rId2900" Type="http://schemas.openxmlformats.org/officeDocument/2006/relationships/hyperlink" Target="https://www.etsy.com/ca/listing/4347894651/giraffe-baby-bodysuit-you-bet-giraffe-im?transaction_id=4922544503" TargetMode="External"/><Relationship Id="rId3095" Type="http://schemas.openxmlformats.org/officeDocument/2006/relationships/hyperlink" Target="https://www.etsy.com/ca/listing/4330488178/embroidered-golf-baby-romper-new-to-the?transaction_id=4939555643" TargetMode="External"/><Relationship Id="rId1502" Type="http://schemas.openxmlformats.org/officeDocument/2006/relationships/hyperlink" Target="https://www.etsy.com/listing/4376404086/embroidered-lil-nugget-baby-bodysuit?transaction_id=5105043929" TargetMode="External"/><Relationship Id="rId1807" Type="http://schemas.openxmlformats.org/officeDocument/2006/relationships/hyperlink" Target="https://www.etsy.com/ca/listing/4330488178/new-to-the-club-embroidered-baby-romper?transaction_id=4693795163" TargetMode="External"/><Relationship Id="rId3162" Type="http://schemas.openxmlformats.org/officeDocument/2006/relationships/hyperlink" Target="https://www.etsy.com/ca/listing/4371125103/personalized-dog-baby-bodysuit-custom?transaction_id=4935924508" TargetMode="External"/><Relationship Id="rId290" Type="http://schemas.openxmlformats.org/officeDocument/2006/relationships/hyperlink" Target="https://www.etsy.com/ca/listing/4507540167/daddys-little-tennis-buddy-embroidered?transaction_id=5101174721" TargetMode="External"/><Relationship Id="rId388" Type="http://schemas.openxmlformats.org/officeDocument/2006/relationships/hyperlink" Target="https://www.etsy.com/listing/4465222631/born-to-play-tennis-like-my-daddy?transaction_id=5064002796" TargetMode="External"/><Relationship Id="rId2069" Type="http://schemas.openxmlformats.org/officeDocument/2006/relationships/hyperlink" Target="https://www.etsy.com/ca/listing/4330488178/new-to-the-club-embroidered-baby-romper?transaction_id=4762685324" TargetMode="External"/><Relationship Id="rId3022" Type="http://schemas.openxmlformats.org/officeDocument/2006/relationships/hyperlink" Target="https://www.etsy.com/ca/listing/4371125103/personalized-dog-baby-bodysuit-custom?transaction_id=4933394095" TargetMode="External"/><Relationship Id="rId150" Type="http://schemas.openxmlformats.org/officeDocument/2006/relationships/hyperlink" Target="https://www.etsy.com/listing/4475336563/my-daddy-is-faster-than-your-daddy-baby?transaction_id=5049444417" TargetMode="External"/><Relationship Id="rId595" Type="http://schemas.openxmlformats.org/officeDocument/2006/relationships/hyperlink" Target="https://www.etsy.com/ca/listing/4333134764/wizard-font-baby-romper-personalized?transaction_id=5088697384" TargetMode="External"/><Relationship Id="rId2276" Type="http://schemas.openxmlformats.org/officeDocument/2006/relationships/hyperlink" Target="https://www.etsy.com/ca/listing/4376392339/funny-baby-romper-my-brand-of-formula?transaction_id=4814266087" TargetMode="External"/><Relationship Id="rId2483" Type="http://schemas.openxmlformats.org/officeDocument/2006/relationships/hyperlink" Target="https://www.etsy.com/ca/listing/4376401181/challah-at-your-girl-baby-bodysuit-funny?transaction_id=4859044069" TargetMode="External"/><Relationship Id="rId2690" Type="http://schemas.openxmlformats.org/officeDocument/2006/relationships/hyperlink" Target="https://www.etsy.com/ca/listing/4372352286/silly-goose-baby-romper-funny-infant?transaction_id=4896909603" TargetMode="External"/><Relationship Id="rId3327" Type="http://schemas.openxmlformats.org/officeDocument/2006/relationships/hyperlink" Target="https://www.etsy.com/ca/listing/4347260564/football-baby-romper-game-day-baby?transaction_id=4957152008" TargetMode="External"/><Relationship Id="rId248" Type="http://schemas.openxmlformats.org/officeDocument/2006/relationships/hyperlink" Target="https://www.etsy.com/listing/4437014789/born-to-play-basketball-baby-romper?transaction_id=4971947567" TargetMode="External"/><Relationship Id="rId455" Type="http://schemas.openxmlformats.org/officeDocument/2006/relationships/hyperlink" Target="https://www.etsy.com/listing/4444659369/future-bookworm-embroidered-baby?transaction_id=4969672358" TargetMode="External"/><Relationship Id="rId662" Type="http://schemas.openxmlformats.org/officeDocument/2006/relationships/hyperlink" Target="https://www.etsy.com/ca/listing/4376392339/funny-baby-romper-my-brand-of-formula?transaction_id=5074798922&amp;dd_referrer=" TargetMode="External"/><Relationship Id="rId1085" Type="http://schemas.openxmlformats.org/officeDocument/2006/relationships/hyperlink" Target="https://www.etsy.com/ca/listing/4336902854/personalized-football-baby-romper-daddys?transaction_id=4994655186" TargetMode="External"/><Relationship Id="rId1292" Type="http://schemas.openxmlformats.org/officeDocument/2006/relationships/hyperlink" Target="https://www.etsy.com/listing/4399231639/first-grandbaby-embroidered-baby-romper?transaction_id=5050711899" TargetMode="External"/><Relationship Id="rId2136" Type="http://schemas.openxmlformats.org/officeDocument/2006/relationships/hyperlink" Target="https://www.etsy.com/ca/listing/4376389783/player-2-baby-romper-gamer-baby-outfit?transaction_id=4779226476" TargetMode="External"/><Relationship Id="rId2343" Type="http://schemas.openxmlformats.org/officeDocument/2006/relationships/hyperlink" Target="https://www.etsy.com/ca/listing/4330488178/embroidered-golf-baby-romper-new-to-the?transaction_id=4820268122" TargetMode="External"/><Relationship Id="rId2550" Type="http://schemas.openxmlformats.org/officeDocument/2006/relationships/hyperlink" Target="https://www.etsy.com/ca/listing/4330488178/embroidered-golf-baby-romper-new-to-the?transaction_id=4872383461" TargetMode="External"/><Relationship Id="rId2788" Type="http://schemas.openxmlformats.org/officeDocument/2006/relationships/hyperlink" Target="https://www.etsy.com/ca/listing/4330485404/cat-face-embroidered-baby-romper-funny?transaction_id=4898873668" TargetMode="External"/><Relationship Id="rId2995" Type="http://schemas.openxmlformats.org/officeDocument/2006/relationships/hyperlink" Target="https://www.etsy.com/ca/listing/4392935796/box-box-for-fresh-diapers-embroidered?transaction_id=4931078809" TargetMode="External"/><Relationship Id="rId108" Type="http://schemas.openxmlformats.org/officeDocument/2006/relationships/hyperlink" Target="https://www.etsy.com/listing/4512678167/custom-golf-baby-embroidered-romper?transaction_id=5088215722" TargetMode="External"/><Relationship Id="rId315" Type="http://schemas.openxmlformats.org/officeDocument/2006/relationships/hyperlink" Target="https://www.etsy.com/ca/listing/4476229576/daddys-future-trucking-buddy-baby-romper?transaction_id=5039498268" TargetMode="External"/><Relationship Id="rId522" Type="http://schemas.openxmlformats.org/officeDocument/2006/relationships/hyperlink" Target="https://www.etsy.com/ca/listing/4366190473/cat-face-embroidered-baby-romper-my?transaction_id=5109564695" TargetMode="External"/><Relationship Id="rId967" Type="http://schemas.openxmlformats.org/officeDocument/2006/relationships/hyperlink" Target="https://www.etsy.com/ca/listing/4392935796/box-box-for-fresh-diapers-embroidered?transaction_id=5016469770" TargetMode="External"/><Relationship Id="rId1152" Type="http://schemas.openxmlformats.org/officeDocument/2006/relationships/hyperlink" Target="https://www.etsy.com/ca/listing/4376392339/funny-baby-romper-my-brand-of-formula?transaction_id=4986806678" TargetMode="External"/><Relationship Id="rId1597" Type="http://schemas.openxmlformats.org/officeDocument/2006/relationships/hyperlink" Target="https://www.etsy.com/listing/4446342128/new-to-the-club-golf-embroidered-baby?transaction_id=4957133489" TargetMode="External"/><Relationship Id="rId2203" Type="http://schemas.openxmlformats.org/officeDocument/2006/relationships/hyperlink" Target="https://www.etsy.com/ca/listing/4330485404/cat-face-embroidered-baby-romper-funny?transaction_id=4802778277" TargetMode="External"/><Relationship Id="rId2410" Type="http://schemas.openxmlformats.org/officeDocument/2006/relationships/hyperlink" Target="https://www.etsy.com/ca/listing/4392932100/born-to-ride-with-my-daddy-embroidered?transaction_id=4840029619" TargetMode="External"/><Relationship Id="rId2648" Type="http://schemas.openxmlformats.org/officeDocument/2006/relationships/hyperlink" Target="https://www.etsy.com/ca/listing/4392929794/little-latke-embroidered-romper-hanukkah?transaction_id=4872441642" TargetMode="External"/><Relationship Id="rId2855" Type="http://schemas.openxmlformats.org/officeDocument/2006/relationships/hyperlink" Target="https://www.etsy.com/ca/listing/4347263856/besties-baby-romper-matching-baby-outfit?transaction_id=4919675315" TargetMode="External"/><Relationship Id="rId96" Type="http://schemas.openxmlformats.org/officeDocument/2006/relationships/hyperlink" Target="https://www.etsy.com/listing/4490501214/little-cycling-club-baby-romper-bicycle?transaction_id=5092609604" TargetMode="External"/><Relationship Id="rId827" Type="http://schemas.openxmlformats.org/officeDocument/2006/relationships/hyperlink" Target="https://www.etsy.com/ca/listing/4471139539/daddys-future-hunting-buddy-baby-romper?transaction_id=5053802929" TargetMode="External"/><Relationship Id="rId1012" Type="http://schemas.openxmlformats.org/officeDocument/2006/relationships/hyperlink" Target="https://www.etsy.com/ca/listing/4376399899/the-littlest-book-club-member-baby?transaction_id=5016602033" TargetMode="External"/><Relationship Id="rId1457" Type="http://schemas.openxmlformats.org/officeDocument/2006/relationships/hyperlink" Target="https://www.etsy.com/listing/4376404086/embroidered-lil-nugget-baby-bodysuit?transaction_id=5087897166" TargetMode="External"/><Relationship Id="rId1664" Type="http://schemas.openxmlformats.org/officeDocument/2006/relationships/hyperlink" Target="https://www.etsy.com/listing/4430837644/personalized-new-to-the-crew-baby?transaction_id=5055711684" TargetMode="External"/><Relationship Id="rId1871" Type="http://schemas.openxmlformats.org/officeDocument/2006/relationships/hyperlink" Target="https://www.etsy.com/ca/listing/4352935112/custom-baby-romper-personalized-newborn?transaction_id=4711260624" TargetMode="External"/><Relationship Id="rId2508" Type="http://schemas.openxmlformats.org/officeDocument/2006/relationships/hyperlink" Target="https://www.etsy.com/ca/listing/4344231895/embroidered-baby-romper-shhh-im-reading?transaction_id=4864922225" TargetMode="External"/><Relationship Id="rId2715" Type="http://schemas.openxmlformats.org/officeDocument/2006/relationships/hyperlink" Target="https://www.etsy.com/ca/listing/4330488178/embroidered-golf-baby-romper-new-to-the?transaction_id=4886198272" TargetMode="External"/><Relationship Id="rId2922" Type="http://schemas.openxmlformats.org/officeDocument/2006/relationships/hyperlink" Target="https://www.etsy.com/ca/listing/4330488178/embroidered-golf-baby-romper-new-to-the?transaction_id=4911031194" TargetMode="External"/><Relationship Id="rId1317" Type="http://schemas.openxmlformats.org/officeDocument/2006/relationships/hyperlink" Target="https://www.etsy.com/listing/4477885980/sunshine-mood-embroidered-baby-romper?transaction_id=5055669056" TargetMode="External"/><Relationship Id="rId1524" Type="http://schemas.openxmlformats.org/officeDocument/2006/relationships/hyperlink" Target="https://www.etsy.com/listing/4509540549/just-plane-cute-embroidered-baby-romper?transaction_id=5109001791" TargetMode="External"/><Relationship Id="rId1731" Type="http://schemas.openxmlformats.org/officeDocument/2006/relationships/hyperlink" Target="https://www.etsy.com/ca/listing/4330480699/little-prince-baby-romper-embroidered?transaction_id=4672031261" TargetMode="External"/><Relationship Id="rId1969" Type="http://schemas.openxmlformats.org/officeDocument/2006/relationships/hyperlink" Target="https://www.etsy.com/ca/listing/4330488178/new-to-the-club-embroidered-baby-romper?transaction_id=4743006774" TargetMode="External"/><Relationship Id="rId3184" Type="http://schemas.openxmlformats.org/officeDocument/2006/relationships/hyperlink" Target="https://www.etsy.com/ca/listing/4371125103/personalized-dog-baby-bodysuit-custom?transaction_id=4938416818" TargetMode="External"/><Relationship Id="rId23" Type="http://schemas.openxmlformats.org/officeDocument/2006/relationships/hyperlink" Target="https://www.etsy.com/listing/4395078760/new-to-the-hunting-crew-baby-bodysuit?transaction_id=5053462096" TargetMode="External"/><Relationship Id="rId1829" Type="http://schemas.openxmlformats.org/officeDocument/2006/relationships/hyperlink" Target="https://www.etsy.com/ca/listing/4336907597/custom-running-baby-romper-daddys-future?transaction_id=4701568635" TargetMode="External"/><Relationship Id="rId3391" Type="http://schemas.openxmlformats.org/officeDocument/2006/relationships/hyperlink" Target="https://www.etsy.com/ca/listing/4330485404/cat-face-embroidered-baby-romper-funny?transaction_id=4948995038" TargetMode="External"/><Relationship Id="rId2298" Type="http://schemas.openxmlformats.org/officeDocument/2006/relationships/hyperlink" Target="https://www.etsy.com/ca/listing/4330488178/embroidered-golf-baby-romper-new-to-the?transaction_id=4808210264" TargetMode="External"/><Relationship Id="rId3044" Type="http://schemas.openxmlformats.org/officeDocument/2006/relationships/hyperlink" Target="http://www.etsy.com/ca/listing/4392932100/born-to-ride-with-my-daddy-embroidered?transaction_id=4922447106" TargetMode="External"/><Relationship Id="rId3251" Type="http://schemas.openxmlformats.org/officeDocument/2006/relationships/hyperlink" Target="https://www.etsy.com/ca/listing/4330495722/embroidered-golf-baby-romper-custom?transaction_id=4946380996" TargetMode="External"/><Relationship Id="rId3349" Type="http://schemas.openxmlformats.org/officeDocument/2006/relationships/hyperlink" Target="https://www.etsy.com/ca/listing/4392936688/shhh-im-watching-motogp-with-daddy?transaction_id=4969899993" TargetMode="External"/><Relationship Id="rId172" Type="http://schemas.openxmlformats.org/officeDocument/2006/relationships/hyperlink" Target="https://www.etsy.com/listing/4451626020/my-first-racing-season-embroidered-baby?transaction_id=4991427110" TargetMode="External"/><Relationship Id="rId477" Type="http://schemas.openxmlformats.org/officeDocument/2006/relationships/hyperlink" Target="https://www.etsy.com/listing/4444631598/first-edition-published-2026-embroidered?transaction_id=4944423961" TargetMode="External"/><Relationship Id="rId684" Type="http://schemas.openxmlformats.org/officeDocument/2006/relationships/hyperlink" Target="https://www.etsy.com/ca/listing/4499618325/custom-name-construction-embroidered?transaction_id=5070006474" TargetMode="External"/><Relationship Id="rId2060" Type="http://schemas.openxmlformats.org/officeDocument/2006/relationships/hyperlink" Target="https://www.etsy.com/ca/listing/4376389783/player-2-baby-romper-gamer-baby-outfit?transaction_id=4771626417" TargetMode="External"/><Relationship Id="rId2158" Type="http://schemas.openxmlformats.org/officeDocument/2006/relationships/hyperlink" Target="https://www.etsy.com/ca/listing/4392935796/box-box-for-fresh-diapers-embroidered?transaction_id=4794947933" TargetMode="External"/><Relationship Id="rId2365" Type="http://schemas.openxmlformats.org/officeDocument/2006/relationships/hyperlink" Target="https://www.etsy.com/ca/listing/4330487785/personalized-embroidered-baby-romper?transaction_id=4823910892" TargetMode="External"/><Relationship Id="rId3111" Type="http://schemas.openxmlformats.org/officeDocument/2006/relationships/hyperlink" Target="https://www.etsy.com/ca/listing/4330488178/embroidered-golf-baby-romper-new-to-the?transaction_id=4929807872" TargetMode="External"/><Relationship Id="rId3209" Type="http://schemas.openxmlformats.org/officeDocument/2006/relationships/hyperlink" Target="https://www.etsy.com/ca/listing/4371125103/personalized-dog-baby-bodysuit-custom?transaction_id=4941369252" TargetMode="External"/><Relationship Id="rId337" Type="http://schemas.openxmlformats.org/officeDocument/2006/relationships/hyperlink" Target="https://www.etsy.com/ca/listing/4470615480/apparently-i-like-f1-baby-romper-formula?transaction_id=4989437094" TargetMode="External"/><Relationship Id="rId891" Type="http://schemas.openxmlformats.org/officeDocument/2006/relationships/hyperlink" Target="https://www.etsy.com/ca/listing/4392935796/box-box-for-fresh-diapers-embroidered?transaction_id=5030511698" TargetMode="External"/><Relationship Id="rId989" Type="http://schemas.openxmlformats.org/officeDocument/2006/relationships/hyperlink" Target="https://www.etsy.com/ca/listing/4392936688/shhh-im-watching-motogp-with-daddy?transaction_id=5012274298" TargetMode="External"/><Relationship Id="rId2018" Type="http://schemas.openxmlformats.org/officeDocument/2006/relationships/hyperlink" Target="https://www.etsy.com/ca/listing/4330477824/personalized-baby-bodysuit-with?transaction_id=4765597191" TargetMode="External"/><Relationship Id="rId2572" Type="http://schemas.openxmlformats.org/officeDocument/2006/relationships/hyperlink" Target="https://www.etsy.com/ca/listing/4333134764/wizard-font-baby-romper-personalized?transaction_id=4876267959" TargetMode="External"/><Relationship Id="rId2877" Type="http://schemas.openxmlformats.org/officeDocument/2006/relationships/hyperlink" Target="https://www.etsy.com/ca/listing/4330504943/embroidered-tennis-baby-romper-daddys?transaction_id=4920675535" TargetMode="External"/><Relationship Id="rId544" Type="http://schemas.openxmlformats.org/officeDocument/2006/relationships/hyperlink" Target="https://www.etsy.com/ca/listing/4515635452/newest-member-camping-crew-embroidered?transaction_id=5107135315" TargetMode="External"/><Relationship Id="rId751" Type="http://schemas.openxmlformats.org/officeDocument/2006/relationships/hyperlink" Target="https://www.etsy.com/ca/listing/4392932100/born-to-ride-with-my-daddy-embroidered?transaction_id=5068177811" TargetMode="External"/><Relationship Id="rId849" Type="http://schemas.openxmlformats.org/officeDocument/2006/relationships/hyperlink" Target="https://www.etsy.com/ca/listing/4376399899/the-littlest-book-club-member-baby?transaction_id=5050267047" TargetMode="External"/><Relationship Id="rId1174" Type="http://schemas.openxmlformats.org/officeDocument/2006/relationships/hyperlink" Target="https://www.etsy.com/ca/listing/4347885967/gigis-bestie-baby-bodysuit-baby-shower?transaction_id=4993112761" TargetMode="External"/><Relationship Id="rId1381" Type="http://schemas.openxmlformats.org/officeDocument/2006/relationships/hyperlink" Target="https://www.etsy.com/listing/4509960222/on-sundays-we-watch-football-with-daddy?transaction_id=5081874660" TargetMode="External"/><Relationship Id="rId1479" Type="http://schemas.openxmlformats.org/officeDocument/2006/relationships/hyperlink" Target="https://www.etsy.com/listing/4321796572/i-love-my-custom-name-embroidered-romper?transaction_id=5090153556" TargetMode="External"/><Relationship Id="rId1686" Type="http://schemas.openxmlformats.org/officeDocument/2006/relationships/hyperlink" Target="https://www.etsy.com/listing/4429018238/personalized-eggplant-baby-bodysuit?transaction_id=5101597506" TargetMode="External"/><Relationship Id="rId2225" Type="http://schemas.openxmlformats.org/officeDocument/2006/relationships/hyperlink" Target="https://www.etsy.com/ca/listing/4330485404/cat-face-embroidered-baby-romper-funny?transaction_id=4799712304" TargetMode="External"/><Relationship Id="rId2432" Type="http://schemas.openxmlformats.org/officeDocument/2006/relationships/hyperlink" Target="https://www.etsy.com/ca/listing/4330504943/embroidered-tennis-baby-romper-daddys?transaction_id=4831627370" TargetMode="External"/><Relationship Id="rId404" Type="http://schemas.openxmlformats.org/officeDocument/2006/relationships/hyperlink" Target="https://www.etsy.com/listing/4474936599/is-it-too-soon-to-ask-for-a-guitar-baby?transaction_id=5035261126" TargetMode="External"/><Relationship Id="rId611" Type="http://schemas.openxmlformats.org/officeDocument/2006/relationships/hyperlink" Target="https://www.etsy.com/ca/listing/4392936688/shhh-im-watching-motogp-with-daddy?transaction_id=5085659936" TargetMode="External"/><Relationship Id="rId1034" Type="http://schemas.openxmlformats.org/officeDocument/2006/relationships/hyperlink" Target="https://www.etsy.com/ca/listing/4392935796/box-box-for-fresh-diapers-embroidered?transaction_id=5012746899" TargetMode="External"/><Relationship Id="rId1241" Type="http://schemas.openxmlformats.org/officeDocument/2006/relationships/hyperlink" Target="https://www.etsy.com/ca/listing/4346124431/small-and-spicy-baby-romper-embroidered?transaction_id=4981180031" TargetMode="External"/><Relationship Id="rId1339" Type="http://schemas.openxmlformats.org/officeDocument/2006/relationships/hyperlink" Target="https://www.etsy.com/listing/4481749299/future-world-traveler-embroidered-baby?transaction_id=5065568336" TargetMode="External"/><Relationship Id="rId1893" Type="http://schemas.openxmlformats.org/officeDocument/2006/relationships/hyperlink" Target="https://www.etsy.com/ca/listing/4330504943/born-to-play-like-my-daddy-baby-romper?transaction_id=4731398031" TargetMode="External"/><Relationship Id="rId2737" Type="http://schemas.openxmlformats.org/officeDocument/2006/relationships/hyperlink" Target="https://www.etsy.com/ca/listing/4392932100/born-to-ride-with-my-daddy-embroidered?transaction_id=4906190347" TargetMode="External"/><Relationship Id="rId2944" Type="http://schemas.openxmlformats.org/officeDocument/2006/relationships/hyperlink" Target="https://www.etsy.com/ca/listing/4330488178/embroidered-golf-baby-romper-new-to-the?transaction_id=4913277232" TargetMode="External"/><Relationship Id="rId709" Type="http://schemas.openxmlformats.org/officeDocument/2006/relationships/hyperlink" Target="https://www.etsy.com/ca/listing/4379194627/new-to-the-farm-embroidered-romper-baby?transaction_id=5076509205" TargetMode="External"/><Relationship Id="rId916" Type="http://schemas.openxmlformats.org/officeDocument/2006/relationships/hyperlink" Target="https://www.etsy.com/ca/listing/4376399899/the-littlest-book-club-member-baby?transaction_id=5037370747" TargetMode="External"/><Relationship Id="rId1101" Type="http://schemas.openxmlformats.org/officeDocument/2006/relationships/hyperlink" Target="https://www.etsy.com/ca/listing/4371125103/personalized-dog-baby-bodysuit-custom?transaction_id=4993709380" TargetMode="External"/><Relationship Id="rId1546" Type="http://schemas.openxmlformats.org/officeDocument/2006/relationships/hyperlink" Target="https://www.etsy.com/listing/4465289107/embroidered-if-you-can-read-this-diaper?transaction_id=5104714346" TargetMode="External"/><Relationship Id="rId1753" Type="http://schemas.openxmlformats.org/officeDocument/2006/relationships/hyperlink" Target="https://www.etsy.com/ca/listing/4330504400/born-to-play-like-my-daddy-baby-romper?transaction_id=4662976286" TargetMode="External"/><Relationship Id="rId1960" Type="http://schemas.openxmlformats.org/officeDocument/2006/relationships/hyperlink" Target="https://www.etsy.com/ca/listing/4330477824/personalized-baby-bodysuit-with?transaction_id=4738824442" TargetMode="External"/><Relationship Id="rId2804" Type="http://schemas.openxmlformats.org/officeDocument/2006/relationships/hyperlink" Target="https://www.etsy.com/ca/listing/4392935796/box-box-for-fresh-diapers-embroidered?transaction_id=4915183043" TargetMode="External"/><Relationship Id="rId45" Type="http://schemas.openxmlformats.org/officeDocument/2006/relationships/hyperlink" Target="https://www.etsy.com/listing/4427449114/kinda-a-big-dill-baby-bodysuit-funny?transaction_id=5025876044" TargetMode="External"/><Relationship Id="rId1406" Type="http://schemas.openxmlformats.org/officeDocument/2006/relationships/hyperlink" Target="https://www.etsy.com/listing/4495408355/theres-no-crying-in-baseball-embroidered?transaction_id=5091300322&amp;dd_referrer=" TargetMode="External"/><Relationship Id="rId1613" Type="http://schemas.openxmlformats.org/officeDocument/2006/relationships/hyperlink" Target="https://www.etsy.com/listing/4437045794/new-to-the-crew-rowing-embroidered-baby?transaction_id=4978891922" TargetMode="External"/><Relationship Id="rId1820" Type="http://schemas.openxmlformats.org/officeDocument/2006/relationships/hyperlink" Target="https://www.etsy.com/ca/listing/4346126210/daddys-future-lifting-buddy-romper-baby?transaction_id=4686599774" TargetMode="External"/><Relationship Id="rId3066" Type="http://schemas.openxmlformats.org/officeDocument/2006/relationships/hyperlink" Target="https://www.etsy.com/ca/listing/4372350408/my-first-football-season-baby-romper?transaction_id=4915439999" TargetMode="External"/><Relationship Id="rId3273" Type="http://schemas.openxmlformats.org/officeDocument/2006/relationships/hyperlink" Target="https://www.etsy.com/ca/listing/4376392339/funny-baby-romper-my-brand-of-formula?transaction_id=4950258100" TargetMode="External"/><Relationship Id="rId194" Type="http://schemas.openxmlformats.org/officeDocument/2006/relationships/hyperlink" Target="https://www.etsy.com/listing/4499062845/custom-name-embroidered-romper-baby-gift?transaction_id=5109300833" TargetMode="External"/><Relationship Id="rId1918" Type="http://schemas.openxmlformats.org/officeDocument/2006/relationships/hyperlink" Target="https://www.etsy.com/ca/listing/4330504943/born-to-play-like-my-daddy-baby-romper?transaction_id=4740247833" TargetMode="External"/><Relationship Id="rId2082" Type="http://schemas.openxmlformats.org/officeDocument/2006/relationships/hyperlink" Target="https://www.etsy.com/ca/listing/4330488178/new-to-the-club-embroidered-baby-romper?transaction_id=4775459183" TargetMode="External"/><Relationship Id="rId3133" Type="http://schemas.openxmlformats.org/officeDocument/2006/relationships/hyperlink" Target="https://www.etsy.com/ca/listing/4371125103/personalized-dog-baby-bodysuit-custom?transaction_id=4944144695" TargetMode="External"/><Relationship Id="rId261" Type="http://schemas.openxmlformats.org/officeDocument/2006/relationships/hyperlink" Target="https://www.etsy.com/listing/4432968408/olive-you-embroidered-baby-romper-cute?transaction_id=4950322557" TargetMode="External"/><Relationship Id="rId499" Type="http://schemas.openxmlformats.org/officeDocument/2006/relationships/hyperlink" Target="https://www.etsy.com/ca/listing/4471139539/daddys-future-hunting-buddy-baby-romper?transaction_id=5112949515" TargetMode="External"/><Relationship Id="rId2387" Type="http://schemas.openxmlformats.org/officeDocument/2006/relationships/hyperlink" Target="https://www.etsy.com/ca/listing/4392929794/little-latke-embroidered-romper-hanukkah?transaction_id=4826317594" TargetMode="External"/><Relationship Id="rId2594" Type="http://schemas.openxmlformats.org/officeDocument/2006/relationships/hyperlink" Target="https://www.etsy.com/ca/listing/4351827687/handsome-just-like-daddy-baby-romper?transaction_id=4865442062" TargetMode="External"/><Relationship Id="rId3340" Type="http://schemas.openxmlformats.org/officeDocument/2006/relationships/hyperlink" Target="https://www.etsy.com/ca/listing/4330493015/embroidered-mini-golfer-baby-romper?transaction_id=4958877784" TargetMode="External"/><Relationship Id="rId359" Type="http://schemas.openxmlformats.org/officeDocument/2006/relationships/hyperlink" Target="https://www.etsy.com/listing/4509977914/little-book-dragon-embroidered-baby?transaction_id=5104020737" TargetMode="External"/><Relationship Id="rId566" Type="http://schemas.openxmlformats.org/officeDocument/2006/relationships/hyperlink" Target="https://www.etsy.com/ca/listing/4511381564/born-a-champion-baby-romper-sports-baby?transaction_id=5093214426" TargetMode="External"/><Relationship Id="rId773" Type="http://schemas.openxmlformats.org/officeDocument/2006/relationships/hyperlink" Target="https://www.etsy.com/ca/listing/4376389783/player-2-baby-romper-gamer-baby-outfit?transaction_id=5063582939" TargetMode="External"/><Relationship Id="rId1196" Type="http://schemas.openxmlformats.org/officeDocument/2006/relationships/hyperlink" Target="https://www.etsy.com/ca/listing/4393855716/lil-chef-embroidered-romper-cute-baby?transaction_id=4978176224" TargetMode="External"/><Relationship Id="rId2247" Type="http://schemas.openxmlformats.org/officeDocument/2006/relationships/hyperlink" Target="https://www.etsy.com/ca/listing/4376389783/player-2-baby-romper-gamer-baby-outfit?transaction_id=4803865092" TargetMode="External"/><Relationship Id="rId2454" Type="http://schemas.openxmlformats.org/officeDocument/2006/relationships/hyperlink" Target="https://www.etsy.com/ca/listing/4336900156/personalized-soccer-baby-romper?transaction_id=4837114200" TargetMode="External"/><Relationship Id="rId2899" Type="http://schemas.openxmlformats.org/officeDocument/2006/relationships/hyperlink" Target="https://www.etsy.com/ca/listing/4371125103/personalized-dog-baby-bodysuit-custom?transaction_id=4908792180" TargetMode="External"/><Relationship Id="rId3200" Type="http://schemas.openxmlformats.org/officeDocument/2006/relationships/hyperlink" Target="https://www.etsy.com/ca/listing/4330474831/embroidered-hedgehog-baby-bodysuit?transaction_id=4951378649" TargetMode="External"/><Relationship Id="rId121" Type="http://schemas.openxmlformats.org/officeDocument/2006/relationships/hyperlink" Target="https://www.etsy.com/listing/4480604492/new-to-the-club-tennis-baby-romper?transaction_id=5083674476" TargetMode="External"/><Relationship Id="rId219" Type="http://schemas.openxmlformats.org/officeDocument/2006/relationships/hyperlink" Target="https://www.etsy.com/listing/4477977946/apparently-i-like-f1-baby-romper-funny?transaction_id=5055379081" TargetMode="External"/><Relationship Id="rId426" Type="http://schemas.openxmlformats.org/officeDocument/2006/relationships/hyperlink" Target="https://www.etsy.com/listing/4477984420/cant-wait-to-jam-with-daddy-baby?transaction_id=5014139562" TargetMode="External"/><Relationship Id="rId633" Type="http://schemas.openxmlformats.org/officeDocument/2006/relationships/hyperlink" Target="https://www.etsy.com/ca/listing/4376392339/funny-baby-romper-my-brand-of-formula?transaction_id=5081371852" TargetMode="External"/><Relationship Id="rId980" Type="http://schemas.openxmlformats.org/officeDocument/2006/relationships/hyperlink" Target="https://www.etsy.com/ca/listing/4344235128/new-to-the-hive-baby-romper-embroidered?transaction_id=5024324125" TargetMode="External"/><Relationship Id="rId1056" Type="http://schemas.openxmlformats.org/officeDocument/2006/relationships/hyperlink" Target="https://www.etsy.com/ca/listing/4330488178/embroidered-golf-baby-romper-new-to-the?transaction_id=5008525811" TargetMode="External"/><Relationship Id="rId1263" Type="http://schemas.openxmlformats.org/officeDocument/2006/relationships/hyperlink" Target="https://www.etsy.com/listing/4430527392/daddys-little-apprentice-baby-romper?transaction_id=5030488947" TargetMode="External"/><Relationship Id="rId2107" Type="http://schemas.openxmlformats.org/officeDocument/2006/relationships/hyperlink" Target="https://www.etsy.com/ca/listing/4344237949/great-grandma-baby-romper-embroidered?transaction_id=4782043373" TargetMode="External"/><Relationship Id="rId2314" Type="http://schemas.openxmlformats.org/officeDocument/2006/relationships/hyperlink" Target="https://www.etsy.com/ca/listing/4330495722/embroidered-golf-baby-romper-custom?transaction_id=4810978258" TargetMode="External"/><Relationship Id="rId2661" Type="http://schemas.openxmlformats.org/officeDocument/2006/relationships/hyperlink" Target="https://www.etsy.com/ca/listing/4330488178/embroidered-golf-baby-romper-new-to-the?transaction_id=4873820262" TargetMode="External"/><Relationship Id="rId2759" Type="http://schemas.openxmlformats.org/officeDocument/2006/relationships/hyperlink" Target="https://www.etsy.com/ca/listing/4330480699/little-prince-baby-romper-embroidered?transaction_id=4909578467" TargetMode="External"/><Relationship Id="rId2966" Type="http://schemas.openxmlformats.org/officeDocument/2006/relationships/hyperlink" Target="https://www.etsy.com/ca/listing/4344231895/embroidered-baby-romper-shhh-im-reading?transaction_id=4928400879" TargetMode="External"/><Relationship Id="rId840" Type="http://schemas.openxmlformats.org/officeDocument/2006/relationships/hyperlink" Target="https://www.etsy.com/ca/listing/4487705892/i-love-my-aunties-embroidered-baby?transaction_id=5038901918" TargetMode="External"/><Relationship Id="rId938" Type="http://schemas.openxmlformats.org/officeDocument/2006/relationships/hyperlink" Target="https://www.etsy.com/ca/listing/4392932100/born-to-ride-with-my-daddy-embroidered?transaction_id=5021947328" TargetMode="External"/><Relationship Id="rId1470" Type="http://schemas.openxmlformats.org/officeDocument/2006/relationships/hyperlink" Target="https://www.etsy.com/listing/4376404086/embroidered-lil-nugget-baby-bodysuit?transaction_id=5100476737" TargetMode="External"/><Relationship Id="rId1568" Type="http://schemas.openxmlformats.org/officeDocument/2006/relationships/hyperlink" Target="https://www.etsy.com/listing/4473244004/personalized-baby-romper-embroidered?transaction_id=5061381751" TargetMode="External"/><Relationship Id="rId1775" Type="http://schemas.openxmlformats.org/officeDocument/2006/relationships/hyperlink" Target="https://www.etsy.com/ca/listing/4333135410/little-pumpkin-baby-romper-fall?transaction_id=4683203891" TargetMode="External"/><Relationship Id="rId2521" Type="http://schemas.openxmlformats.org/officeDocument/2006/relationships/hyperlink" Target="https://www.etsy.com/ca/listing/4392932100/born-to-ride-with-my-daddy-embroidered?transaction_id=4867372495" TargetMode="External"/><Relationship Id="rId2619" Type="http://schemas.openxmlformats.org/officeDocument/2006/relationships/hyperlink" Target="https://www.etsy.com/ca/listing/4330488178/embroidered-golf-baby-romper-new-to-the?transaction_id=4868970124" TargetMode="External"/><Relationship Id="rId2826" Type="http://schemas.openxmlformats.org/officeDocument/2006/relationships/hyperlink" Target="https://www.etsy.com/ca/listing/4343133641/golf-skills-loading-embroidered-baby?transaction_id=4903092920" TargetMode="External"/><Relationship Id="rId67" Type="http://schemas.openxmlformats.org/officeDocument/2006/relationships/hyperlink" Target="https://www.etsy.com/listing/4513106219/new-to-the-crew-embroidered-romper?transaction_id=5109898553" TargetMode="External"/><Relationship Id="rId700" Type="http://schemas.openxmlformats.org/officeDocument/2006/relationships/hyperlink" Target="https://www.etsy.com/ca/listing/4467446644/the-littlest-baking-club-member-baby?transaction_id=5065354126" TargetMode="External"/><Relationship Id="rId1123" Type="http://schemas.openxmlformats.org/officeDocument/2006/relationships/hyperlink" Target="https://www.etsy.com/ca/listing/4376392339/funny-baby-romper-my-brand-of-formula?transaction_id=4991294402" TargetMode="External"/><Relationship Id="rId1330" Type="http://schemas.openxmlformats.org/officeDocument/2006/relationships/hyperlink" Target="https://www.etsy.com/listing/4478439582/new-to-the-club-bodysuit-embroidered?transaction_id=5062184894" TargetMode="External"/><Relationship Id="rId1428" Type="http://schemas.openxmlformats.org/officeDocument/2006/relationships/hyperlink" Target="https://www.etsy.com/listing/4509960222/on-sundays-we-watch-football-with-daddy?transaction_id=5097908120" TargetMode="External"/><Relationship Id="rId1635" Type="http://schemas.openxmlformats.org/officeDocument/2006/relationships/hyperlink" Target="https://www.etsy.com/listing/4447913264/little-pierogi-embroidered-baby-custom?transaction_id=5009955734" TargetMode="External"/><Relationship Id="rId1982" Type="http://schemas.openxmlformats.org/officeDocument/2006/relationships/hyperlink" Target="https://www.etsy.com/ca/listing/4333134764/wizard-font-baby-romper-personalized" TargetMode="External"/><Relationship Id="rId3088" Type="http://schemas.openxmlformats.org/officeDocument/2006/relationships/hyperlink" Target="https://www.etsy.com/ca/listing/4376389783/player-2-baby-romper-gamer-baby-outfit?transaction_id=4926358382" TargetMode="External"/><Relationship Id="rId1842" Type="http://schemas.openxmlformats.org/officeDocument/2006/relationships/hyperlink" Target="https://www.etsy.com/ca/listing/4347885967/gigis-bestie-baby-bodysuit-baby-shower?transaction_id=4696218022" TargetMode="External"/><Relationship Id="rId3295" Type="http://schemas.openxmlformats.org/officeDocument/2006/relationships/hyperlink" Target="https://www.etsy.com/ca/listing/4376399899/the-littlest-book-club-member-baby?transaction_id=4962909409" TargetMode="External"/><Relationship Id="rId1702" Type="http://schemas.openxmlformats.org/officeDocument/2006/relationships/hyperlink" Target="https://www.etsy.com/listing/4350619954/personalized-tennis-baby-romper?transaction_id=4809937745" TargetMode="External"/><Relationship Id="rId3155" Type="http://schemas.openxmlformats.org/officeDocument/2006/relationships/hyperlink" Target="https://www.etsy.com/ca/listing/4376399899/the-littlest-book-club-member-baby?transaction_id=4946789667" TargetMode="External"/><Relationship Id="rId3362" Type="http://schemas.openxmlformats.org/officeDocument/2006/relationships/hyperlink" Target="https://www.etsy.com/ca/listing/4379187006/future-birder-embroidered-romper-cute?transaction_id=4962384964" TargetMode="External"/><Relationship Id="rId283" Type="http://schemas.openxmlformats.org/officeDocument/2006/relationships/hyperlink" Target="https://www.etsy.com/ca/listing/4477996848/daddy-is-my-spark-baby-romper?transaction_id=5109864723" TargetMode="External"/><Relationship Id="rId490" Type="http://schemas.openxmlformats.org/officeDocument/2006/relationships/hyperlink" Target="https://www.etsy.com/ca/listing/4329601875/embroidered-baby-romper-custom-name?transaction_id=5104729208" TargetMode="External"/><Relationship Id="rId2171" Type="http://schemas.openxmlformats.org/officeDocument/2006/relationships/hyperlink" Target="https://www.etsy.com/ca/listing/4371125103/personalized-dog-baby-bodysuit-custom?transaction_id=4790701024" TargetMode="External"/><Relationship Id="rId3015" Type="http://schemas.openxmlformats.org/officeDocument/2006/relationships/hyperlink" Target="https://www.etsy.com/ca/listing/4392935796/box-box-for-fresh-diapers-embroidered?transaction_id=4920258280" TargetMode="External"/><Relationship Id="rId3222" Type="http://schemas.openxmlformats.org/officeDocument/2006/relationships/hyperlink" Target="https://www.etsy.com/ca/listing/4330488178/embroidered-golf-baby-romper-new-to-the?transaction_id=4943574960" TargetMode="External"/><Relationship Id="rId143" Type="http://schemas.openxmlformats.org/officeDocument/2006/relationships/hyperlink" Target="https://www.etsy.com/listing/4490501214/little-cycling-club-baby-romper-bicycle?transaction_id=5065323629" TargetMode="External"/><Relationship Id="rId350" Type="http://schemas.openxmlformats.org/officeDocument/2006/relationships/hyperlink" Target="https://www.etsy.com/listing/4484990810/little-baker-baby-bodysuit-cute-baking?transaction_id=5099336804" TargetMode="External"/><Relationship Id="rId588" Type="http://schemas.openxmlformats.org/officeDocument/2006/relationships/hyperlink" Target="https://www.etsy.com/ca/listing/4467452578/the-littlest-pickleball-club-member-baby?transaction_id=5089451048" TargetMode="External"/><Relationship Id="rId795" Type="http://schemas.openxmlformats.org/officeDocument/2006/relationships/hyperlink" Target="https://www.etsy.com/ca/listing/4392935796/box-box-for-fresh-diapers-embroidered?transaction_id=5047360328" TargetMode="External"/><Relationship Id="rId2031" Type="http://schemas.openxmlformats.org/officeDocument/2006/relationships/hyperlink" Target="https://www.etsy.com/ca/listing/4379188978/littlest-firehouse-embroidered-romper?transaction_id=4757258450" TargetMode="External"/><Relationship Id="rId2269" Type="http://schemas.openxmlformats.org/officeDocument/2006/relationships/hyperlink" Target="https://www.etsy.com/ca/listing/4396746353/its-a-beaut-clark-embroidered-baby?transaction_id=4805750412" TargetMode="External"/><Relationship Id="rId2476" Type="http://schemas.openxmlformats.org/officeDocument/2006/relationships/hyperlink" Target="https://www.etsy.com/ca/listing/4330492054/embroidered-baby-romper-cutie-pie-design?transaction_id=4844773376" TargetMode="External"/><Relationship Id="rId2683" Type="http://schemas.openxmlformats.org/officeDocument/2006/relationships/hyperlink" Target="https://www.etsy.com/ca/listing/4376401181/challah-at-your-girl-baby-bodysuit-funny?transaction_id=4879590438" TargetMode="External"/><Relationship Id="rId2890" Type="http://schemas.openxmlformats.org/officeDocument/2006/relationships/hyperlink" Target="https://www.etsy.com/ca/listing/4376399899/the-littlest-book-club-member-baby?transaction_id=4908043188" TargetMode="External"/><Relationship Id="rId9" Type="http://schemas.openxmlformats.org/officeDocument/2006/relationships/hyperlink" Target="https://www.etsy.com/listing/4396677612/daddys-future-lifting-buddy-bodysuit-new?transaction_id=5092268245" TargetMode="External"/><Relationship Id="rId210" Type="http://schemas.openxmlformats.org/officeDocument/2006/relationships/hyperlink" Target="https://www.etsy.com/listing/4499062845/custom-name-embroidered-romper-baby-gift?transaction_id=5084428685" TargetMode="External"/><Relationship Id="rId448" Type="http://schemas.openxmlformats.org/officeDocument/2006/relationships/hyperlink" Target="https://www.etsy.com/listing/4451637630/construction-truck-embroidered-baby?transaction_id=4996874413" TargetMode="External"/><Relationship Id="rId655" Type="http://schemas.openxmlformats.org/officeDocument/2006/relationships/hyperlink" Target="https://www.etsy.com/ca/listing/4507655767/dads-best-bud-baby-romper-first-fathers?transaction_id=5089172157" TargetMode="External"/><Relationship Id="rId862" Type="http://schemas.openxmlformats.org/officeDocument/2006/relationships/hyperlink" Target="https://www.etsy.com/ca/listing/4467440237/the-littlest-coffee-club-member-baby?transaction_id=5046495771" TargetMode="External"/><Relationship Id="rId1078" Type="http://schemas.openxmlformats.org/officeDocument/2006/relationships/hyperlink" Target="https://www.etsy.com/ca/listing/4371125103/personalized-dog-baby-bodysuit-custom?transaction_id=5005198453" TargetMode="External"/><Relationship Id="rId1285" Type="http://schemas.openxmlformats.org/officeDocument/2006/relationships/hyperlink" Target="https://www.etsy.com/listing/4481744448/powered-by-milk-funny-racing-car?transaction_id=5034318018" TargetMode="External"/><Relationship Id="rId1492" Type="http://schemas.openxmlformats.org/officeDocument/2006/relationships/hyperlink" Target="https://www.etsy.com/listing/4364069693/embroidered-cat-baby-romper-personalized?transaction_id=5092455656" TargetMode="External"/><Relationship Id="rId2129" Type="http://schemas.openxmlformats.org/officeDocument/2006/relationships/hyperlink" Target="https://www.etsy.com/ca/listing/4346126210/daddys-future-lifting-buddy-romper-baby?transaction_id=4778186828" TargetMode="External"/><Relationship Id="rId2336" Type="http://schemas.openxmlformats.org/officeDocument/2006/relationships/hyperlink" Target="https://www.etsy.com/ca/listing/4330504400/embroidered-bicycle-baby-romper-born-to?transaction_id=4817517114" TargetMode="External"/><Relationship Id="rId2543" Type="http://schemas.openxmlformats.org/officeDocument/2006/relationships/hyperlink" Target="https://www.etsy.com/ca/listing/4371125103/personalized-dog-baby-bodysuit-custom?transaction_id=4754387044" TargetMode="External"/><Relationship Id="rId2750" Type="http://schemas.openxmlformats.org/officeDocument/2006/relationships/hyperlink" Target="https://www.etsy.com/ca/listing/4371125103/personalized-dog-baby-bodysuit-custom?transaction_id=4908650725" TargetMode="External"/><Relationship Id="rId2988" Type="http://schemas.openxmlformats.org/officeDocument/2006/relationships/hyperlink" Target="https://www.etsy.com/ca/listing/4376399899/the-littlest-book-club-member-baby?transaction_id=4917624230" TargetMode="External"/><Relationship Id="rId308" Type="http://schemas.openxmlformats.org/officeDocument/2006/relationships/hyperlink" Target="https://www.etsy.com/ca/listing/4470615480/apparently-i-like-f1-baby-romper-formula?transaction_id=5045877650" TargetMode="External"/><Relationship Id="rId515" Type="http://schemas.openxmlformats.org/officeDocument/2006/relationships/hyperlink" Target="https://www.etsy.com/ca/listing/4333135410/little-pumpkin-baby-romper-fall?transaction_id=5100789506" TargetMode="External"/><Relationship Id="rId722" Type="http://schemas.openxmlformats.org/officeDocument/2006/relationships/hyperlink" Target="https://www.etsy.com/ca/listing/4482807926/funny-baby-romper-sleepless-nights?transaction_id=5074617575" TargetMode="External"/><Relationship Id="rId1145" Type="http://schemas.openxmlformats.org/officeDocument/2006/relationships/hyperlink" Target="https://www.etsy.com/ca/listing/4376389783/player-2-baby-romper-gamer-baby-outfit?transaction_id=4997742993" TargetMode="External"/><Relationship Id="rId1352" Type="http://schemas.openxmlformats.org/officeDocument/2006/relationships/hyperlink" Target="https://www.etsy.com/listing/4376404086/embroidered-lil-nugget-baby-bodysuit?transaction_id=5072891550" TargetMode="External"/><Relationship Id="rId1797" Type="http://schemas.openxmlformats.org/officeDocument/2006/relationships/hyperlink" Target="https://www.etsy.com/ca/listing/4330488178/new-to-the-club-embroidered-baby-romper?transaction_id=4674480072" TargetMode="External"/><Relationship Id="rId2403" Type="http://schemas.openxmlformats.org/officeDocument/2006/relationships/hyperlink" Target="https://www.etsy.com/ca/listing/4392929794/little-latke-embroidered-romper-hanukkah?transaction_id=4839093187" TargetMode="External"/><Relationship Id="rId2848" Type="http://schemas.openxmlformats.org/officeDocument/2006/relationships/hyperlink" Target="https://www.etsy.com/ca/listing/4376399899/the-littlest-book-club-member-baby?transaction_id=4919206035" TargetMode="External"/><Relationship Id="rId89" Type="http://schemas.openxmlformats.org/officeDocument/2006/relationships/hyperlink" Target="https://www.etsy.com/listing/4514972016/daddys-copilot-baby-romper-airplane?transaction_id=5105965591" TargetMode="External"/><Relationship Id="rId1005" Type="http://schemas.openxmlformats.org/officeDocument/2006/relationships/hyperlink" Target="https://www.etsy.com/ca/listing/4392935796/box-box-for-fresh-diapers-embroidered?transaction_id=5018127557" TargetMode="External"/><Relationship Id="rId1212" Type="http://schemas.openxmlformats.org/officeDocument/2006/relationships/hyperlink" Target="https://www.etsy.com/ca/listing/4376389783/player-2-baby-romper-gamer-baby-outfit?transaction_id=4975342404" TargetMode="External"/><Relationship Id="rId1657" Type="http://schemas.openxmlformats.org/officeDocument/2006/relationships/hyperlink" Target="https://www.etsy.com/listing/4430824034/funny-apparently-i-like-golf-baby?transaction_id=5054595699" TargetMode="External"/><Relationship Id="rId1864" Type="http://schemas.openxmlformats.org/officeDocument/2006/relationships/hyperlink" Target="https://www.etsy.com/ca/listing/4330488178/new-to-the-club-embroidered-baby-romper?transaction_id=4707721896" TargetMode="External"/><Relationship Id="rId2610" Type="http://schemas.openxmlformats.org/officeDocument/2006/relationships/hyperlink" Target="https://www.etsy.com/ca/listing/4371125103/personalized-dog-baby-bodysuit-custom?transaction_id=4883723607" TargetMode="External"/><Relationship Id="rId2708" Type="http://schemas.openxmlformats.org/officeDocument/2006/relationships/hyperlink" Target="https://www.etsy.com/ca/listing/4376389783/player-2-baby-romper-gamer-baby-outfit?transaction_id=4883801206" TargetMode="External"/><Relationship Id="rId2915" Type="http://schemas.openxmlformats.org/officeDocument/2006/relationships/hyperlink" Target="https://www.etsy.com/ca/listing/4330488178/embroidered-golf-baby-romper-new-to-the?transaction_id=4910112184" TargetMode="External"/><Relationship Id="rId1517" Type="http://schemas.openxmlformats.org/officeDocument/2006/relationships/hyperlink" Target="https://www.etsy.com/listing/4509541505/new-to-the-crew-embroidered-baby-romper?transaction_id=5097824684" TargetMode="External"/><Relationship Id="rId1724" Type="http://schemas.openxmlformats.org/officeDocument/2006/relationships/hyperlink" Target="https://www.etsy.com/ca/listing/4330489800/personalized-badminton-baby-romper?transaction_id=4667628827" TargetMode="External"/><Relationship Id="rId3177" Type="http://schemas.openxmlformats.org/officeDocument/2006/relationships/hyperlink" Target="https://www.etsy.com/ca/listing/4330488178/embroidered-golf-baby-romper-new-to-the?transaction_id=4937813930" TargetMode="External"/><Relationship Id="rId16" Type="http://schemas.openxmlformats.org/officeDocument/2006/relationships/hyperlink" Target="https://www.etsy.com/listing/4471165394/i-love-my-gigi-embroidered-baby-bodysuit?transaction_id=5075960083" TargetMode="External"/><Relationship Id="rId1931" Type="http://schemas.openxmlformats.org/officeDocument/2006/relationships/hyperlink" Target="https://www.etsy.com/ca/listing/4333134764/wizard-font-baby-romper-personalized?transaction_id=47435381299" TargetMode="External"/><Relationship Id="rId3037" Type="http://schemas.openxmlformats.org/officeDocument/2006/relationships/hyperlink" Target="https://www.etsy.com/ca/listing/4376389783/player-2-baby-romper-gamer-baby-outfit?transaction_id=4921714902" TargetMode="External"/><Relationship Id="rId3384" Type="http://schemas.openxmlformats.org/officeDocument/2006/relationships/hyperlink" Target="https://www.etsy.com/ca/listing/4369766034/funny-golf-baby-romper-i-just-shanked-my?transaction_id=4967009382" TargetMode="External"/><Relationship Id="rId2193" Type="http://schemas.openxmlformats.org/officeDocument/2006/relationships/hyperlink" Target="https://www.etsy.com/ca/listing/4392929794/little-latke-embroidered-romper-hanukkah?transaction_id=4801894013" TargetMode="External"/><Relationship Id="rId2498" Type="http://schemas.openxmlformats.org/officeDocument/2006/relationships/hyperlink" Target="https://www.etsy.com/ca/listing/4330488178/embroidered-golf-baby-romper-new-to-the?transaction_id=4862651945" TargetMode="External"/><Relationship Id="rId3244" Type="http://schemas.openxmlformats.org/officeDocument/2006/relationships/hyperlink" Target="https://www.etsy.com/ca/listing/4376399899/the-littlest-book-club-member-baby?transaction_id=4945116826" TargetMode="External"/><Relationship Id="rId165" Type="http://schemas.openxmlformats.org/officeDocument/2006/relationships/hyperlink" Target="https://www.etsy.com/listing/4469990179/crawl-walk-tennis-baby-romper-tennis?transaction_id=5000088562" TargetMode="External"/><Relationship Id="rId372" Type="http://schemas.openxmlformats.org/officeDocument/2006/relationships/hyperlink" Target="https://www.etsy.com/listing/4468994168/listening-to-taylor-with-my-mom-baby?transaction_id=5093572063" TargetMode="External"/><Relationship Id="rId677" Type="http://schemas.openxmlformats.org/officeDocument/2006/relationships/hyperlink" Target="https://www.etsy.com/ca/listing/4330485404/cat-face-embroidered-baby-romper-funny?transaction_id=5071661542" TargetMode="External"/><Relationship Id="rId2053" Type="http://schemas.openxmlformats.org/officeDocument/2006/relationships/hyperlink" Target="https://www.etsy.com/ca/listing/4376392339/funny-baby-romper-my-brand-of-formula?transaction_id=4760592110" TargetMode="External"/><Relationship Id="rId2260" Type="http://schemas.openxmlformats.org/officeDocument/2006/relationships/hyperlink" Target="https://www.etsy.com/ca/listing/4392929794/little-latke-embroidered-romper-hanukkah?transaction_id=4812721631" TargetMode="External"/><Relationship Id="rId2358" Type="http://schemas.openxmlformats.org/officeDocument/2006/relationships/hyperlink" Target="https://www.etsy.com/ca/listing/4393855716/lil-chef-embroidered-romper-cute-baby?transaction_id=4832616651" TargetMode="External"/><Relationship Id="rId3104" Type="http://schemas.openxmlformats.org/officeDocument/2006/relationships/hyperlink" Target="https://www.etsy.com/ca/listing/4371125103/personalized-dog-baby-bodysuit-custom?transaction_id=4940653097" TargetMode="External"/><Relationship Id="rId3311" Type="http://schemas.openxmlformats.org/officeDocument/2006/relationships/hyperlink" Target="https://www.etsy.com/ca/listing/4330488178/embroidered-golf-baby-romper-new-to-the?transaction_id=4954612558" TargetMode="External"/><Relationship Id="rId232" Type="http://schemas.openxmlformats.org/officeDocument/2006/relationships/hyperlink" Target="https://www.etsy.com/listing/4436965790/daddys-future-riding-buddy-embroidered?transaction_id=5023195012" TargetMode="External"/><Relationship Id="rId884" Type="http://schemas.openxmlformats.org/officeDocument/2006/relationships/hyperlink" Target="https://www.etsy.com/ca/listing/4467440237/the-littlest-coffee-club-member-baby?transaction_id=5031154556" TargetMode="External"/><Relationship Id="rId2120" Type="http://schemas.openxmlformats.org/officeDocument/2006/relationships/hyperlink" Target="https://www.etsy.com/ca/listing/4330485404/cat-face-embroidered-baby-romper-my?transaction_id=4784992435" TargetMode="External"/><Relationship Id="rId2565" Type="http://schemas.openxmlformats.org/officeDocument/2006/relationships/hyperlink" Target="https://www.etsy.com/ca/listing/4376389783/player-2-baby-romper-gamer-baby-outfit?transaction_id=4875410555" TargetMode="External"/><Relationship Id="rId2772" Type="http://schemas.openxmlformats.org/officeDocument/2006/relationships/hyperlink" Target="https://www.etsy.com/ca/listing/4392935796/box-box-for-fresh-diapers-embroidered?transaction_id=4896775706" TargetMode="External"/><Relationship Id="rId537" Type="http://schemas.openxmlformats.org/officeDocument/2006/relationships/hyperlink" Target="https://www.etsy.com/ca/listing/4499626742/mamas-little-cannoli-embroidered-baby?transaction_id=5097519384" TargetMode="External"/><Relationship Id="rId744" Type="http://schemas.openxmlformats.org/officeDocument/2006/relationships/hyperlink" Target="https://www.etsy.com/ca/listing/4467440237/the-littlest-coffee-club-member-baby?transaction_id=5057261440" TargetMode="External"/><Relationship Id="rId951" Type="http://schemas.openxmlformats.org/officeDocument/2006/relationships/hyperlink" Target="https://www.etsy.com/ca/listing/4471139005/going-home-to-meet-my-pups-baby-romper?transaction_id=5020339870" TargetMode="External"/><Relationship Id="rId1167" Type="http://schemas.openxmlformats.org/officeDocument/2006/relationships/hyperlink" Target="https://www.etsy.com/ca/listing/4376399899/the-littlest-book-club-member-baby?transaction_id=4984327642" TargetMode="External"/><Relationship Id="rId1374" Type="http://schemas.openxmlformats.org/officeDocument/2006/relationships/hyperlink" Target="https://www.etsy.com/listing/4500096662/running-buddy-sneaker-embroidered-baby?transaction_id=5080186736" TargetMode="External"/><Relationship Id="rId1581" Type="http://schemas.openxmlformats.org/officeDocument/2006/relationships/hyperlink" Target="https://www.etsy.com/listing/4502978234/big-sister-daisy-embroidered-baby-romper?transaction_id=5100530377" TargetMode="External"/><Relationship Id="rId1679" Type="http://schemas.openxmlformats.org/officeDocument/2006/relationships/hyperlink" Target="https://www.etsy.com/listing/4430837644/personalized-new-to-the-crew-baby?transaction_id=5080256034" TargetMode="External"/><Relationship Id="rId2218" Type="http://schemas.openxmlformats.org/officeDocument/2006/relationships/hyperlink" Target="https://www.etsy.com/ca/listing/4396731652/personalized-babys-first-christmas?transaction_id=4805818697" TargetMode="External"/><Relationship Id="rId2425" Type="http://schemas.openxmlformats.org/officeDocument/2006/relationships/hyperlink" Target="https://www.etsy.com/ca/listing/4330488178/embroidered-golf-baby-romper-new-to-the?transaction_id=4831215412" TargetMode="External"/><Relationship Id="rId2632" Type="http://schemas.openxmlformats.org/officeDocument/2006/relationships/hyperlink" Target="https://www.etsy.com/ca/listing/4346126210/daddys-future-lifting-buddy-romper-baby?transaction_id=4886310337" TargetMode="External"/><Relationship Id="rId80" Type="http://schemas.openxmlformats.org/officeDocument/2006/relationships/hyperlink" Target="https://www.etsy.com/listing/4512484234/little-shredder-club-embroidered-baby?transaction_id=5097562804" TargetMode="External"/><Relationship Id="rId604" Type="http://schemas.openxmlformats.org/officeDocument/2006/relationships/hyperlink" Target="https://www.etsy.com/ca/listing/4376389783/player-2-baby-romper-gamer-baby-outfit?transaction_id=5098879881" TargetMode="External"/><Relationship Id="rId811" Type="http://schemas.openxmlformats.org/officeDocument/2006/relationships/hyperlink" Target="https://www.etsy.com/ca/listing/4376401181/challah-at-your-girl-baby-bodysuit-funny?transaction_id=5056959433" TargetMode="External"/><Relationship Id="rId1027" Type="http://schemas.openxmlformats.org/officeDocument/2006/relationships/hyperlink" Target="https://www.etsy.com/ca/listing/4471141630/crawl-walk-hockey-baby-romper-hockey?transaction_id=5013743793" TargetMode="External"/><Relationship Id="rId1234" Type="http://schemas.openxmlformats.org/officeDocument/2006/relationships/hyperlink" Target="https://www.etsy.com/ca/listing/4347885967/gigis-bestie-baby-bodysuit-baby-shower?transaction_id=4982612383" TargetMode="External"/><Relationship Id="rId1441" Type="http://schemas.openxmlformats.org/officeDocument/2006/relationships/hyperlink" Target="https://www.etsy.com/listing/4376404086/embroidered-lil-nugget-baby-bodysuit?transaction_id=5086125110" TargetMode="External"/><Relationship Id="rId1886" Type="http://schemas.openxmlformats.org/officeDocument/2006/relationships/hyperlink" Target="https://www.etsy.com/ca/listing/4330485404/cat-face-embroidered-baby-romper-my?transaction_id=4728765645" TargetMode="External"/><Relationship Id="rId2937" Type="http://schemas.openxmlformats.org/officeDocument/2006/relationships/hyperlink" Target="https://www.etsy.com/ca/listing/4344231895/embroidered-baby-romper-shhh-im-reading?transaction_id=4912076660" TargetMode="External"/><Relationship Id="rId909" Type="http://schemas.openxmlformats.org/officeDocument/2006/relationships/hyperlink" Target="https://www.etsy.com/ca/listing/4486216770/music-skills-loading-baby-romper?transaction_id=5038739451&amp;dd_referrer=" TargetMode="External"/><Relationship Id="rId1301" Type="http://schemas.openxmlformats.org/officeDocument/2006/relationships/hyperlink" Target="https://www.etsy.com/listing/4489482442/custom-two-new-best-friend-embroidered?transaction_id=5058485517" TargetMode="External"/><Relationship Id="rId1539" Type="http://schemas.openxmlformats.org/officeDocument/2006/relationships/hyperlink" Target="https://www.etsy.com/listing/4346110995/funny-baby-romper-nacho-quote?transaction_id=5111696241" TargetMode="External"/><Relationship Id="rId1746" Type="http://schemas.openxmlformats.org/officeDocument/2006/relationships/hyperlink" Target="https://www.etsy.com/ca/listing/4333129905/personalized-pumpkin-baby-romper-fall?transaction_id=4661466548" TargetMode="External"/><Relationship Id="rId1953" Type="http://schemas.openxmlformats.org/officeDocument/2006/relationships/hyperlink" Target="https://www.etsy.com/ca/listing/4330495722/born-to-birdie-baby-romper-embroidered?transaction_id=4737448014" TargetMode="External"/><Relationship Id="rId3199" Type="http://schemas.openxmlformats.org/officeDocument/2006/relationships/hyperlink" Target="https://www.etsy.com/ca/listing/4376399899/the-littlest-book-club-member-baby?transaction_id=4939763814" TargetMode="External"/><Relationship Id="rId38" Type="http://schemas.openxmlformats.org/officeDocument/2006/relationships/hyperlink" Target="https://www.etsy.com/listing/4440285195/i-love-yoga-embroidered-baby-bodysuit?transaction_id=5042667029" TargetMode="External"/><Relationship Id="rId1606" Type="http://schemas.openxmlformats.org/officeDocument/2006/relationships/hyperlink" Target="https://www.etsy.com/listing/4436430931/personalized-new-to-the-crew-basketball?transaction_id=4965722018" TargetMode="External"/><Relationship Id="rId1813" Type="http://schemas.openxmlformats.org/officeDocument/2006/relationships/hyperlink" Target="https://www.etsy.com/ca/listing/4344235495/new-kid-on-the-block-baby-bodysuit-funny?transaction_id=4696189625" TargetMode="External"/><Relationship Id="rId3059" Type="http://schemas.openxmlformats.org/officeDocument/2006/relationships/hyperlink" Target="https://www.etsy.com/ca/listing/4333134764/wizard-font-baby-romper-personalized?transaction_id=4923833174" TargetMode="External"/><Relationship Id="rId3266" Type="http://schemas.openxmlformats.org/officeDocument/2006/relationships/hyperlink" Target="https://www.etsy.com/ca/listing/4330485404/cat-face-embroidered-baby-romper-funny?transaction_id=4958584327" TargetMode="External"/><Relationship Id="rId187" Type="http://schemas.openxmlformats.org/officeDocument/2006/relationships/hyperlink" Target="https://www.etsy.com/listing/4444104554/its-in-my-dna-bowling-baby-romper?transaction_id=4937644612" TargetMode="External"/><Relationship Id="rId394" Type="http://schemas.openxmlformats.org/officeDocument/2006/relationships/hyperlink" Target="https://www.etsy.com/listing/4495319713/newest-band-member-baby-bodysuit-music?transaction_id=5074209967" TargetMode="External"/><Relationship Id="rId2075" Type="http://schemas.openxmlformats.org/officeDocument/2006/relationships/hyperlink" Target="https://www.etsy.com/ca/listing/4330485404/cat-face-embroidered-baby-romper-my?transaction_id=4773480441" TargetMode="External"/><Relationship Id="rId2282" Type="http://schemas.openxmlformats.org/officeDocument/2006/relationships/hyperlink" Target="https://www.etsy.com/ca/listing/4392929794/little-latke-embroidered-romper-hanukkah?transaction_id=4814813459" TargetMode="External"/><Relationship Id="rId3126" Type="http://schemas.openxmlformats.org/officeDocument/2006/relationships/hyperlink" Target="https://www.etsy.com/ca/listing/4346126210/daddys-future-lifting-buddy-romper-baby?transaction_id=4942768509" TargetMode="External"/><Relationship Id="rId254" Type="http://schemas.openxmlformats.org/officeDocument/2006/relationships/hyperlink" Target="https://www.etsy.com/listing/4435900956/tiger-pride-baby-romper-cute-animal?transaction_id=4951539462" TargetMode="External"/><Relationship Id="rId699" Type="http://schemas.openxmlformats.org/officeDocument/2006/relationships/hyperlink" Target="https://www.etsy.com/ca/listing/4347260564/football-baby-romper-game-day-baby?transaction_id=5078074247" TargetMode="External"/><Relationship Id="rId1091" Type="http://schemas.openxmlformats.org/officeDocument/2006/relationships/hyperlink" Target="https://www.etsy.com/ca/listing/4344231895/embroidered-baby-romper-shhh-im-reading?transaction_id=4994141842" TargetMode="External"/><Relationship Id="rId2587" Type="http://schemas.openxmlformats.org/officeDocument/2006/relationships/hyperlink" Target="https://www.etsy.com/ca/listing/4371125103/personalized-dog-baby-bodysuit-custom?transaction_id=4864361708" TargetMode="External"/><Relationship Id="rId2794" Type="http://schemas.openxmlformats.org/officeDocument/2006/relationships/hyperlink" Target="https://www.etsy.com/ca/listing/4376399899/the-littlest-book-club-member-baby?transaction_id=4914235745" TargetMode="External"/><Relationship Id="rId3333" Type="http://schemas.openxmlformats.org/officeDocument/2006/relationships/hyperlink" Target="https://www.etsy.com/ca/listing/4376392339/funny-baby-romper-my-brand-of-formula?transaction_id=4967804263" TargetMode="External"/><Relationship Id="rId114" Type="http://schemas.openxmlformats.org/officeDocument/2006/relationships/hyperlink" Target="https://www.etsy.com/listing/4512152650/custom-pet-photo-embroidered-romper?transaction_id=5087403632" TargetMode="External"/><Relationship Id="rId461" Type="http://schemas.openxmlformats.org/officeDocument/2006/relationships/hyperlink" Target="https://www.etsy.com/listing/4445848948/jazz-baby-bodysuit-embroidered-saxophone?transaction_id=4959382068" TargetMode="External"/><Relationship Id="rId559" Type="http://schemas.openxmlformats.org/officeDocument/2006/relationships/hyperlink" Target="https://www.etsy.com/ca/listing/4474903749/daddys-future-running-buddy-baby-romper?transaction_id=5094202266" TargetMode="External"/><Relationship Id="rId766" Type="http://schemas.openxmlformats.org/officeDocument/2006/relationships/hyperlink" Target="https://www.etsy.com/ca/listing/4336907597/custom-running-baby-romper-daddys-future?transaction_id=5052294510" TargetMode="External"/><Relationship Id="rId1189" Type="http://schemas.openxmlformats.org/officeDocument/2006/relationships/hyperlink" Target="https://www.etsy.com/ca/listing/4376399899/the-littlest-book-club-member-baby?transaction_id=4989448267" TargetMode="External"/><Relationship Id="rId1396" Type="http://schemas.openxmlformats.org/officeDocument/2006/relationships/hyperlink" Target="https://www.etsy.com/listing/4485710996/masters-2026-augusta-national-golf-club?transaction_id=5098981545" TargetMode="External"/><Relationship Id="rId2142" Type="http://schemas.openxmlformats.org/officeDocument/2006/relationships/hyperlink" Target="https://www.etsy.com/ca/listing/4346126210/daddys-future-lifting-buddy-romper-baby?transaction_id=4788547263" TargetMode="External"/><Relationship Id="rId2447" Type="http://schemas.openxmlformats.org/officeDocument/2006/relationships/hyperlink" Target="https://www.etsy.com/ca/listing/4330485404/cat-face-embroidered-baby-romper-funny?transaction_id=4835569368" TargetMode="External"/><Relationship Id="rId321" Type="http://schemas.openxmlformats.org/officeDocument/2006/relationships/hyperlink" Target="https://www.etsy.com/ca/listing/4483717191/new-to-the-squad-embroidered-baby-romper?transaction_id=5032079210" TargetMode="External"/><Relationship Id="rId419" Type="http://schemas.openxmlformats.org/officeDocument/2006/relationships/hyperlink" Target="https://www.etsy.com/listing/4474939594/mommys-little-pierogi-baby-bodysuit-cute?transaction_id=5034017495" TargetMode="External"/><Relationship Id="rId626" Type="http://schemas.openxmlformats.org/officeDocument/2006/relationships/hyperlink" Target="https://www.etsy.com/ca/listing/4376399899/the-littlest-book-club-member-baby?transaction_id=5051996577" TargetMode="External"/><Relationship Id="rId973" Type="http://schemas.openxmlformats.org/officeDocument/2006/relationships/hyperlink" Target="https://www.etsy.com/ca/listing/4376399899/the-littlest-book-club-member-baby?transaction_id=5015936336" TargetMode="External"/><Relationship Id="rId1049" Type="http://schemas.openxmlformats.org/officeDocument/2006/relationships/hyperlink" Target="https://www.etsy.com/ca/listing/4376399899/the-littlest-book-club-member-baby?transaction_id=5010964223" TargetMode="External"/><Relationship Id="rId1256" Type="http://schemas.openxmlformats.org/officeDocument/2006/relationships/hyperlink" Target="https://www.etsy.com/listing/4404016464/player-3-has-entered-the-game?transaction_id=5012174054" TargetMode="External"/><Relationship Id="rId2002" Type="http://schemas.openxmlformats.org/officeDocument/2006/relationships/hyperlink" Target="https://www.etsy.com/ca/listing/4330500656/born-to-care-like-my-mommy-baby-romper?transaction_id=4750972816" TargetMode="External"/><Relationship Id="rId2307" Type="http://schemas.openxmlformats.org/officeDocument/2006/relationships/hyperlink" Target="https://www.etsy.com/ca/listing/4392929794/little-latke-embroidered-romper-hanukkah?transaction_id=4818350025" TargetMode="External"/><Relationship Id="rId2654" Type="http://schemas.openxmlformats.org/officeDocument/2006/relationships/hyperlink" Target="https://www.etsy.com/ca/listing/4376389783/player-2-baby-romper-gamer-baby-outfit?transaction_id=4872736882" TargetMode="External"/><Relationship Id="rId2861" Type="http://schemas.openxmlformats.org/officeDocument/2006/relationships/hyperlink" Target="https://www.etsy.com/ca/listing/4347263856/besties-baby-romper-matching-baby-outfit?transaction_id=4883381966" TargetMode="External"/><Relationship Id="rId2959" Type="http://schemas.openxmlformats.org/officeDocument/2006/relationships/hyperlink" Target="https://www.etsy.com/ca/listing/4371125103/personalized-dog-baby-bodysuit-custom?transaction_id=4927947279" TargetMode="External"/><Relationship Id="rId833" Type="http://schemas.openxmlformats.org/officeDocument/2006/relationships/hyperlink" Target="https://www.etsy.com/ca/listing/4392932100/born-to-ride-with-my-daddy-embroidered?transaction_id=5040352358" TargetMode="External"/><Relationship Id="rId1116" Type="http://schemas.openxmlformats.org/officeDocument/2006/relationships/hyperlink" Target="https://www.etsy.com/ca/listing/4392935796/box-box-for-fresh-diapers-embroidered?transaction_id=5001982335" TargetMode="External"/><Relationship Id="rId1463" Type="http://schemas.openxmlformats.org/officeDocument/2006/relationships/hyperlink" Target="https://www.etsy.com/listing/4376404086/embroidered-lil-nugget-baby-bodysuit?transaction_id=5088727320" TargetMode="External"/><Relationship Id="rId1670" Type="http://schemas.openxmlformats.org/officeDocument/2006/relationships/hyperlink" Target="https://www.etsy.com/listing/4504154416/apparently-i-like-soccer-embroidered?transaction_id=5068234106" TargetMode="External"/><Relationship Id="rId1768" Type="http://schemas.openxmlformats.org/officeDocument/2006/relationships/hyperlink" Target="https://www.etsy.com/ca/listing/4330488178/new-to-the-club-embroidered-baby-romper?transaction_id=4681773589" TargetMode="External"/><Relationship Id="rId2514" Type="http://schemas.openxmlformats.org/officeDocument/2006/relationships/hyperlink" Target="https://www.etsy.com/ca/listing/4392929794/little-latke-embroidered-romper-hanukkah?transaction_id=4852556518" TargetMode="External"/><Relationship Id="rId2721" Type="http://schemas.openxmlformats.org/officeDocument/2006/relationships/hyperlink" Target="https://www.etsy.com/ca/listing/4369781522/crawl-walk-putt-baby-romper-funny-golf?transaction_id=4888120482" TargetMode="External"/><Relationship Id="rId2819" Type="http://schemas.openxmlformats.org/officeDocument/2006/relationships/hyperlink" Target="https://www.etsy.com/ca/listing/4330478867/personalized-hippo-baby-bodysuit-custom?transaction_id=4902125888" TargetMode="External"/><Relationship Id="rId900" Type="http://schemas.openxmlformats.org/officeDocument/2006/relationships/hyperlink" Target="https://www.etsy.com/ca/listing/4336900156/personalized-soccer-baby-romper?transaction_id=5018289530" TargetMode="External"/><Relationship Id="rId1323" Type="http://schemas.openxmlformats.org/officeDocument/2006/relationships/hyperlink" Target="https://www.etsy.com/listing/4500080239/daddys-future-lifting-partner-retro?transaction_id=5071745351" TargetMode="External"/><Relationship Id="rId1530" Type="http://schemas.openxmlformats.org/officeDocument/2006/relationships/hyperlink" Target="https://www.etsy.com/listing/4376404086/embroidered-lil-nugget-baby-bodysuit?transaction_id=5109637109" TargetMode="External"/><Relationship Id="rId1628" Type="http://schemas.openxmlformats.org/officeDocument/2006/relationships/hyperlink" Target="https://www.etsy.com/listing/4430837644/personalized-new-to-the-crew-baby?transaction_id=5001270876" TargetMode="External"/><Relationship Id="rId1975" Type="http://schemas.openxmlformats.org/officeDocument/2006/relationships/hyperlink" Target="https://www.etsy.com/ca/listing/4369781522/crawl-walk-putt-baby-romper-funny-golf?transaction_id=4756371993" TargetMode="External"/><Relationship Id="rId3190" Type="http://schemas.openxmlformats.org/officeDocument/2006/relationships/hyperlink" Target="https://www.etsy.com/ca/listing/4330495722/embroidered-golf-baby-romper-custom?transaction_id=4939137062" TargetMode="External"/><Relationship Id="rId1835" Type="http://schemas.openxmlformats.org/officeDocument/2006/relationships/hyperlink" Target="https://www.etsy.com/ca/listing/4347885967/gigis-bestie-baby-bodysuit-baby-shower?transaction_id=4691662478" TargetMode="External"/><Relationship Id="rId3050" Type="http://schemas.openxmlformats.org/officeDocument/2006/relationships/hyperlink" Target="https://www.etsy.com/ca/listing/4376399899/the-littlest-book-club-member-baby?transaction_id=4923270804" TargetMode="External"/><Relationship Id="rId3288" Type="http://schemas.openxmlformats.org/officeDocument/2006/relationships/hyperlink" Target="https://www.etsy.com/ca/listing/4347260564/football-baby-romper-game-day-baby?transaction_id=4962231587" TargetMode="External"/><Relationship Id="rId1902" Type="http://schemas.openxmlformats.org/officeDocument/2006/relationships/hyperlink" Target="https://www.etsy.com/ca/listing/4330488178/new-to-the-club-embroidered-baby-romper?transaction_id=4736192207" TargetMode="External"/><Relationship Id="rId2097" Type="http://schemas.openxmlformats.org/officeDocument/2006/relationships/hyperlink" Target="https://www.etsy.com/ca/listing/4379182759/golf-baby-outfit-custom-name-golf-cart?transaction_id=4779301133" TargetMode="External"/><Relationship Id="rId3148" Type="http://schemas.openxmlformats.org/officeDocument/2006/relationships/hyperlink" Target="https://www.etsy.com/ca/listing/4344239173/little-pumpkin-baby-romper-fall?transaction_id=4945647767" TargetMode="External"/><Relationship Id="rId3355" Type="http://schemas.openxmlformats.org/officeDocument/2006/relationships/hyperlink" Target="https://www.etsy.com/ca/listing/4346126210/daddys-future-lifting-buddy-romper-baby?transaction_id=4961610608" TargetMode="External"/><Relationship Id="rId276" Type="http://schemas.openxmlformats.org/officeDocument/2006/relationships/hyperlink" Target="https://www.etsy.com/listing/4436476647/golf-baby-romper-embroidered-golf-theme?transaction_id=4923919551" TargetMode="External"/><Relationship Id="rId483" Type="http://schemas.openxmlformats.org/officeDocument/2006/relationships/hyperlink" Target="https://www.etsy.com/ca/listing/4515633002/my-dad-is-the-best-by-par-embroidered?transaction_id=5105838124" TargetMode="External"/><Relationship Id="rId690" Type="http://schemas.openxmlformats.org/officeDocument/2006/relationships/hyperlink" Target="https://www.etsy.com/ca/listing/4343133641/golf-skills-loading-embroidered-baby?transaction_id=5069425174" TargetMode="External"/><Relationship Id="rId2164" Type="http://schemas.openxmlformats.org/officeDocument/2006/relationships/hyperlink" Target="https://www.etsy.com/ca/listing/4392932100/born-to-ride-with-my-daddy-embroidered?transaction_id=4789074346" TargetMode="External"/><Relationship Id="rId2371" Type="http://schemas.openxmlformats.org/officeDocument/2006/relationships/hyperlink" Target="http://www.etsy.com/ca/listing/4376389783/player-2-baby-romper-gamer-baby-outfit?transaction_id=4834361419" TargetMode="External"/><Relationship Id="rId3008" Type="http://schemas.openxmlformats.org/officeDocument/2006/relationships/hyperlink" Target="https://www.etsy.com/ca/listing/4346126210/daddys-future-lifting-buddy-romper-baby?transaction_id=4932211689" TargetMode="External"/><Relationship Id="rId3215" Type="http://schemas.openxmlformats.org/officeDocument/2006/relationships/hyperlink" Target="https://www.etsy.com/ca/listing/4330488178/embroidered-golf-baby-romper-new-to-the?transaction_id=4954187879" TargetMode="External"/><Relationship Id="rId136" Type="http://schemas.openxmlformats.org/officeDocument/2006/relationships/hyperlink" Target="https://www.etsy.com/listing/4492117324/red-hot-silly-peppers-baby-romper-funny" TargetMode="External"/><Relationship Id="rId343" Type="http://schemas.openxmlformats.org/officeDocument/2006/relationships/hyperlink" Target="https://www.etsy.com/listing/4445837519/cant-wait-to-jam-with-daddy-embroidered?transaction_id=5106544186" TargetMode="External"/><Relationship Id="rId550" Type="http://schemas.openxmlformats.org/officeDocument/2006/relationships/hyperlink" Target="https://www.etsy.com/ca/listing/4346126210/daddys-future-lifting-buddy-romper-baby?transaction_id=5094214706" TargetMode="External"/><Relationship Id="rId788" Type="http://schemas.openxmlformats.org/officeDocument/2006/relationships/hyperlink" Target="https://www.etsy.com/ca/listing/4392932100/born-to-ride-with-my-daddy-embroidered?transaction_id=5048538918" TargetMode="External"/><Relationship Id="rId995" Type="http://schemas.openxmlformats.org/officeDocument/2006/relationships/hyperlink" Target="https://www.etsy.com/ca/listing/4392935796/box-box-for-fresh-diapers-embroidered?transaction_id=5010435800" TargetMode="External"/><Relationship Id="rId1180" Type="http://schemas.openxmlformats.org/officeDocument/2006/relationships/hyperlink" Target="https://www.etsy.com/ca/listing/4376399899/the-littlest-book-club-member-baby?transaction_id=4991016879" TargetMode="External"/><Relationship Id="rId2024" Type="http://schemas.openxmlformats.org/officeDocument/2006/relationships/hyperlink" Target="https://www.etsy.com/ca/listing/4371125103/personalized-dog-baby-bodysuit-custom?transaction_id=4755787464" TargetMode="External"/><Relationship Id="rId2231" Type="http://schemas.openxmlformats.org/officeDocument/2006/relationships/hyperlink" Target="https://www.etsy.com/ca/listing/4371125103/personalized-dog-baby-bodysuit-custom?transaction_id=4800504760" TargetMode="External"/><Relationship Id="rId2469" Type="http://schemas.openxmlformats.org/officeDocument/2006/relationships/hyperlink" Target="https://www.etsy.com/ca/listing/4376399899/the-littlest-book-club-member-baby?transaction_id=4856026739" TargetMode="External"/><Relationship Id="rId2676" Type="http://schemas.openxmlformats.org/officeDocument/2006/relationships/hyperlink" Target="https://www.etsy.com/ca/listing/4392935796/box-box-for-fresh-diapers-embroidered?transaction_id=4893912781" TargetMode="External"/><Relationship Id="rId2883" Type="http://schemas.openxmlformats.org/officeDocument/2006/relationships/hyperlink" Target="https://www.etsy.com/ca/listing/4376399899/the-littlest-book-club-member-baby?transaction_id=4907113370" TargetMode="External"/><Relationship Id="rId203" Type="http://schemas.openxmlformats.org/officeDocument/2006/relationships/hyperlink" Target="https://www.etsy.com/listing/4499062845/custom-name-embroidered-romper-baby-gift?transaction_id=5096466201" TargetMode="External"/><Relationship Id="rId648" Type="http://schemas.openxmlformats.org/officeDocument/2006/relationships/hyperlink" Target="https://www.etsy.com/ca/listing/4376392339/funny-baby-romper-my-brand-of-formula?transaction_id=5077838196" TargetMode="External"/><Relationship Id="rId855" Type="http://schemas.openxmlformats.org/officeDocument/2006/relationships/hyperlink" Target="https://www.etsy.com/ca/listing/4392932100/born-to-ride-with-my-daddy-embroidered?transaction_id=5048301987" TargetMode="External"/><Relationship Id="rId1040" Type="http://schemas.openxmlformats.org/officeDocument/2006/relationships/hyperlink" Target="https://www.etsy.com/ca/listing/4392935796/box-box-for-fresh-diapers-embroidered?transaction_id=5011945921" TargetMode="External"/><Relationship Id="rId1278" Type="http://schemas.openxmlformats.org/officeDocument/2006/relationships/hyperlink" Target="https://www.etsy.com/listing/4439748073/newest-member-of-the-pack-baby-romper?transaction_id=5039089261" TargetMode="External"/><Relationship Id="rId1485" Type="http://schemas.openxmlformats.org/officeDocument/2006/relationships/hyperlink" Target="https://www.etsy.com/listing/4376404086/embroidered-lil-nugget-baby-bodysuit?transaction_id=5090828786" TargetMode="External"/><Relationship Id="rId1692" Type="http://schemas.openxmlformats.org/officeDocument/2006/relationships/hyperlink" Target="https://www.etsy.com/listing/4350637965/little-sister-baby-romper-embroidered?transaction_id=4762231907" TargetMode="External"/><Relationship Id="rId2329" Type="http://schemas.openxmlformats.org/officeDocument/2006/relationships/hyperlink" Target="https://www.etsy.com/ca/listing/4346126210/daddys-future-lifting-buddy-romper-baby?transaction_id=4814340176" TargetMode="External"/><Relationship Id="rId2536" Type="http://schemas.openxmlformats.org/officeDocument/2006/relationships/hyperlink" Target="https://www.etsy.com/ca/listing/4371125103/personalized-dog-baby-bodysuit-custom?transaction_id=4870023497" TargetMode="External"/><Relationship Id="rId2743" Type="http://schemas.openxmlformats.org/officeDocument/2006/relationships/hyperlink" Target="https://www.etsy.com/ca/listing/4344231895/embroidered-baby-romper-shhh-im-reading?transaction_id=4907374827" TargetMode="External"/><Relationship Id="rId410" Type="http://schemas.openxmlformats.org/officeDocument/2006/relationships/hyperlink" Target="https://www.etsy.com/listing/4485620709/nap-now-jam-later-baby-bodysuit-funny?transaction_id=5044388543" TargetMode="External"/><Relationship Id="rId508" Type="http://schemas.openxmlformats.org/officeDocument/2006/relationships/hyperlink" Target="https://www.etsy.com/ca/listing/4376392339/funny-baby-romper-my-brand-of-formula?transaction_id=5111922219" TargetMode="External"/><Relationship Id="rId715" Type="http://schemas.openxmlformats.org/officeDocument/2006/relationships/hyperlink" Target="https://www.etsy.com/ca/listing/4330504155/born-to-play-like-my-daddy-baby-romper?transaction_id=5063029530" TargetMode="External"/><Relationship Id="rId922" Type="http://schemas.openxmlformats.org/officeDocument/2006/relationships/hyperlink" Target="https://www.etsy.com/ca/listing/4376399899/the-littlest-book-club-member-baby?transaction_id=5036001337" TargetMode="External"/><Relationship Id="rId1138" Type="http://schemas.openxmlformats.org/officeDocument/2006/relationships/hyperlink" Target="https://www.etsy.com/ca/listing/4467451258/the-littlest-tennis-club-member-baby?transaction_id=4989122294" TargetMode="External"/><Relationship Id="rId1345" Type="http://schemas.openxmlformats.org/officeDocument/2006/relationships/hyperlink" Target="https://www.etsy.com/listing/4493305337/daddys-hunting-buddy-embroidered-baby?transaction_id=5082831833" TargetMode="External"/><Relationship Id="rId1552" Type="http://schemas.openxmlformats.org/officeDocument/2006/relationships/hyperlink" Target="https://www.etsy.com/listing/4364059829/embroidered-baby-romper-funny-challah-at?transaction_id=5106258260" TargetMode="External"/><Relationship Id="rId1997" Type="http://schemas.openxmlformats.org/officeDocument/2006/relationships/hyperlink" Target="https://www.etsy.com/ca/listing/4333134764/wizard-font-baby-romper-personalized?transaction_id=4749051208" TargetMode="External"/><Relationship Id="rId2603" Type="http://schemas.openxmlformats.org/officeDocument/2006/relationships/hyperlink" Target="https://www.etsy.com/ca/listing/4392925828/hello-grandma-embroidered-romper-i-cant?transaction_id=4882809817" TargetMode="External"/><Relationship Id="rId2950" Type="http://schemas.openxmlformats.org/officeDocument/2006/relationships/hyperlink" Target="https://www.etsy.com/ca/listing/4376399899/the-littlest-book-club-member-baby?transaction_id=4913439056" TargetMode="External"/><Relationship Id="rId1205" Type="http://schemas.openxmlformats.org/officeDocument/2006/relationships/hyperlink" Target="https://www.etsy.com/ca/listing/4376399899/the-littlest-book-club-member-baby?transaction_id=4988155347" TargetMode="External"/><Relationship Id="rId1857" Type="http://schemas.openxmlformats.org/officeDocument/2006/relationships/hyperlink" Target="https://www.etsy.com/ca/listing/4336900156/personalized-soccer-baby-romper-daddys?transaction_id=4705376910" TargetMode="External"/><Relationship Id="rId2810" Type="http://schemas.openxmlformats.org/officeDocument/2006/relationships/hyperlink" Target="https://www.etsy.com/ca/listing/4376399899/the-littlest-book-club-member-baby?transaction_id=4915751627" TargetMode="External"/><Relationship Id="rId2908" Type="http://schemas.openxmlformats.org/officeDocument/2006/relationships/hyperlink" Target="https://www.etsy.com/ca/listing/4393855716/lil-chef-embroidered-romper-cute-baby?transaction_id=4923228875" TargetMode="External"/><Relationship Id="rId51" Type="http://schemas.openxmlformats.org/officeDocument/2006/relationships/hyperlink" Target="https://www.etsy.com/listing/4512152650/custom-pet-photo-embroidered-romper?transaction_id=5101981938" TargetMode="External"/><Relationship Id="rId1412" Type="http://schemas.openxmlformats.org/officeDocument/2006/relationships/hyperlink" Target="https://www.etsy.com/listing/4508974153/daddys-co-pilot-embroidered-baby-romper?transaction_id=5104075369" TargetMode="External"/><Relationship Id="rId1717" Type="http://schemas.openxmlformats.org/officeDocument/2006/relationships/hyperlink" Target="https://www.etsy.com/ca/listing/4315977993/personalized-baby-bodysuit-with-tiger?transaction_id=4648064701" TargetMode="External"/><Relationship Id="rId1924" Type="http://schemas.openxmlformats.org/officeDocument/2006/relationships/hyperlink" Target="https://www.etsy.com/ca/listing/4330485404/cat-face-embroidered-baby-romper-my?transaction_id=4741366103" TargetMode="External"/><Relationship Id="rId3072" Type="http://schemas.openxmlformats.org/officeDocument/2006/relationships/hyperlink" Target="https://www.etsy.com/ca/listing/4336907597/custom-running-baby-romper-daddys-future?transaction_id=4924469510" TargetMode="External"/><Relationship Id="rId3377" Type="http://schemas.openxmlformats.org/officeDocument/2006/relationships/hyperlink" Target="https://www.etsy.com/ca/listing/4376399899/the-littlest-book-club-member-baby?transaction_id=4975910673" TargetMode="External"/><Relationship Id="rId298" Type="http://schemas.openxmlformats.org/officeDocument/2006/relationships/hyperlink" Target="https://www.etsy.com/ca/listing/4477990621/dirt-is-my-daddys-office-baby-romper?transaction_id=5076516924" TargetMode="External"/><Relationship Id="rId158" Type="http://schemas.openxmlformats.org/officeDocument/2006/relationships/hyperlink" Target="https://www.etsy.com/listing/4482243976/i-call-the-shots-baby-romper-funny?transaction_id=5034685549" TargetMode="External"/><Relationship Id="rId2186" Type="http://schemas.openxmlformats.org/officeDocument/2006/relationships/hyperlink" Target="https://www.etsy.com/ca/listing/4330488178/new-to-the-club-embroidered-baby-romper?transaction_id=4801210545" TargetMode="External"/><Relationship Id="rId2393" Type="http://schemas.openxmlformats.org/officeDocument/2006/relationships/hyperlink" Target="https://www.etsy.com/ca/listing/4376392339/funny-baby-romper-my-brand-of-formula?transaction_id=4837409439" TargetMode="External"/><Relationship Id="rId2698" Type="http://schemas.openxmlformats.org/officeDocument/2006/relationships/hyperlink" Target="https://www.etsy.com/ca/listing/4376389783/player-2-baby-romper-gamer-baby-outfit?transaction_id=4899076897" TargetMode="External"/><Relationship Id="rId3237" Type="http://schemas.openxmlformats.org/officeDocument/2006/relationships/hyperlink" Target="https://www.etsy.com/ca/listing/4376399899/the-littlest-book-club-member-baby?transaction_id=4955541305" TargetMode="External"/><Relationship Id="rId365" Type="http://schemas.openxmlformats.org/officeDocument/2006/relationships/hyperlink" Target="https://www.etsy.com/listing/4445850114/the-littlest-book-club-member-baby?transaction_id=5086261024" TargetMode="External"/><Relationship Id="rId572" Type="http://schemas.openxmlformats.org/officeDocument/2006/relationships/hyperlink" Target="https://www.etsy.com/ca/listing/4330495722/embroidered-golf-baby-romper-custom?transaction_id=5103225951" TargetMode="External"/><Relationship Id="rId2046" Type="http://schemas.openxmlformats.org/officeDocument/2006/relationships/hyperlink" Target="https://www.etsy.com/ca/listing/4369781522/crawl-walk-putt-baby-romper-funny-golf?transaction_id=4759412660" TargetMode="External"/><Relationship Id="rId2253" Type="http://schemas.openxmlformats.org/officeDocument/2006/relationships/hyperlink" Target="https://www.etsy.com/ca/listing/4336902854/personalized-football-baby-romper-daddys?transaction_id=4804423442" TargetMode="External"/><Relationship Id="rId2460" Type="http://schemas.openxmlformats.org/officeDocument/2006/relationships/hyperlink" Target="https://www.etsy.com/ca/listing/4379194627/new-to-the-farm-embroidered-romper-baby?transaction_id=4840461952" TargetMode="External"/><Relationship Id="rId3304" Type="http://schemas.openxmlformats.org/officeDocument/2006/relationships/hyperlink" Target="https://www.etsy.com/ca/listing/4371125103/personalized-dog-baby-bodysuit-custom?transaction_id=4948085356" TargetMode="External"/><Relationship Id="rId225" Type="http://schemas.openxmlformats.org/officeDocument/2006/relationships/hyperlink" Target="https://www.etsy.com/listing/4440230726/crawl-walk-snowmobile-baby-romper?transaction_id=5042961751" TargetMode="External"/><Relationship Id="rId432" Type="http://schemas.openxmlformats.org/officeDocument/2006/relationships/hyperlink" Target="https://www.etsy.com/listing/4468963265/our-tiny-love-song-baby-bodysuit-music?transaction_id=5013605597" TargetMode="External"/><Relationship Id="rId877" Type="http://schemas.openxmlformats.org/officeDocument/2006/relationships/hyperlink" Target="https://www.etsy.com/ca/listing/4343133641/golf-skills-loading-embroidered-baby?transaction_id=5043260207" TargetMode="External"/><Relationship Id="rId1062" Type="http://schemas.openxmlformats.org/officeDocument/2006/relationships/hyperlink" Target="https://www.etsy.com/ca/listing/4336902854/personalized-football-baby-romper-daddys?transaction_id=5007331189" TargetMode="External"/><Relationship Id="rId2113" Type="http://schemas.openxmlformats.org/officeDocument/2006/relationships/hyperlink" Target="https://www.etsy.com/ca/listing/4376392339/funny-baby-romper-my-brand-of-formula?transaction_id=4775021540" TargetMode="External"/><Relationship Id="rId2320" Type="http://schemas.openxmlformats.org/officeDocument/2006/relationships/hyperlink" Target="https://www.etsy.com/ca/listing/4347885967/gigis-bestie-baby-bodysuit-baby-shower" TargetMode="External"/><Relationship Id="rId2558" Type="http://schemas.openxmlformats.org/officeDocument/2006/relationships/hyperlink" Target="https://www.etsy.com/ca/listing/4330488178/embroidered-golf-baby-romper-new-to-the?transaction_id=4859183606" TargetMode="External"/><Relationship Id="rId2765" Type="http://schemas.openxmlformats.org/officeDocument/2006/relationships/hyperlink" Target="https://www.etsy.com/ca/listing/4344230374/food-critic-baby-bodysuit-funny-newborn?transaction_id=4910519761" TargetMode="External"/><Relationship Id="rId2972" Type="http://schemas.openxmlformats.org/officeDocument/2006/relationships/hyperlink" Target="https://www.etsy.com/ca/listing/4330477824/embroidered-crocodile-baby-bodysuit?transaction_id=4928916289" TargetMode="External"/><Relationship Id="rId737" Type="http://schemas.openxmlformats.org/officeDocument/2006/relationships/hyperlink" Target="https://www.etsy.com/ca/listing/4371125103/personalized-dog-baby-bodysuit-custom?transaction_id=5058902344" TargetMode="External"/><Relationship Id="rId944" Type="http://schemas.openxmlformats.org/officeDocument/2006/relationships/hyperlink" Target="https://www.etsy.com/ca/listing/4376401181/challah-at-your-girl-baby-bodysuit-funny?transaction_id=5021064874" TargetMode="External"/><Relationship Id="rId1367" Type="http://schemas.openxmlformats.org/officeDocument/2006/relationships/hyperlink" Target="https://www.etsy.com/listing/4507630409/tiny-agent-of-chaos-frog-embroidered?transaction_id=5077259176" TargetMode="External"/><Relationship Id="rId1574" Type="http://schemas.openxmlformats.org/officeDocument/2006/relationships/hyperlink" Target="https://www.etsy.com/listing/4473244004/personalized-baby-romper-embroidered?transaction_id=5078858179" TargetMode="External"/><Relationship Id="rId1781" Type="http://schemas.openxmlformats.org/officeDocument/2006/relationships/hyperlink" Target="https://www.etsy.com/ca/listing/4333131808/mamas-little-pumpkin-baby-romper-fall?transaction_id=4670199470" TargetMode="External"/><Relationship Id="rId2418" Type="http://schemas.openxmlformats.org/officeDocument/2006/relationships/hyperlink" Target="https://www.etsy.com/ca/listing/4371125103/personalized-dog-baby-bodysuit-custom?transaction_id=4830152730" TargetMode="External"/><Relationship Id="rId2625" Type="http://schemas.openxmlformats.org/officeDocument/2006/relationships/hyperlink" Target="https://www.etsy.com/ca/listing/4392929794/little-latke-embroidered-romper-hanukkah?transaction_id=4885168883" TargetMode="External"/><Relationship Id="rId2832" Type="http://schemas.openxmlformats.org/officeDocument/2006/relationships/hyperlink" Target="https://www.etsy.com/ca/listing/4376399899/the-littlest-book-club-member-baby?transaction_id=4917792051" TargetMode="External"/><Relationship Id="rId73" Type="http://schemas.openxmlformats.org/officeDocument/2006/relationships/hyperlink" Target="https://www.etsy.com/listing/4513104471/new-to-the-fishing-crew-embroidered?transaction_id=5108532299" TargetMode="External"/><Relationship Id="rId804" Type="http://schemas.openxmlformats.org/officeDocument/2006/relationships/hyperlink" Target="https://www.etsy.com/ca/listing/4467440237/the-littlest-coffee-club-member-baby?transaction_id=5045268404" TargetMode="External"/><Relationship Id="rId1227" Type="http://schemas.openxmlformats.org/officeDocument/2006/relationships/hyperlink" Target="https://www.etsy.com/ca/listing/4376399899/the-littlest-book-club-member-baby?transaction_id=4983442727" TargetMode="External"/><Relationship Id="rId1434" Type="http://schemas.openxmlformats.org/officeDocument/2006/relationships/hyperlink" Target="https://www.etsy.com/listing/4404016464/player-3-has-entered-the-game?transaction_id=5111720663&amp;dd_referrer=" TargetMode="External"/><Relationship Id="rId1641" Type="http://schemas.openxmlformats.org/officeDocument/2006/relationships/hyperlink" Target="https://www.etsy.com/listing/4453389627/new-to-the-cousin-crew-embroidered-baby?transaction_id=5019751994" TargetMode="External"/><Relationship Id="rId1879" Type="http://schemas.openxmlformats.org/officeDocument/2006/relationships/hyperlink" Target="https://www.etsy.com/ca/listing/4330488178/new-to-the-club-embroidered-baby-romper?transaction_id=4725500739" TargetMode="External"/><Relationship Id="rId3094" Type="http://schemas.openxmlformats.org/officeDocument/2006/relationships/hyperlink" Target="https://www.etsy.com/ca/listing/4344231895/embroidered-baby-romper-shhh-im-reading?transaction_id=4927485328" TargetMode="External"/><Relationship Id="rId1501" Type="http://schemas.openxmlformats.org/officeDocument/2006/relationships/hyperlink" Target="https://www.etsy.com/listing/4376404086/embroidered-lil-nugget-baby-bodysuit?transaction_id=5105043929" TargetMode="External"/><Relationship Id="rId1739" Type="http://schemas.openxmlformats.org/officeDocument/2006/relationships/hyperlink" Target="https://www.etsy.com/ca/listing/4330488178/new-to-the-club-embroidered-baby-romper?transaction_id=4658510778" TargetMode="External"/><Relationship Id="rId1946" Type="http://schemas.openxmlformats.org/officeDocument/2006/relationships/hyperlink" Target="https://www.etsy.com/ca/listing/4347260564/football-baby-romper-game-day-baby?transaction_id=4736149260" TargetMode="External"/><Relationship Id="rId1806" Type="http://schemas.openxmlformats.org/officeDocument/2006/relationships/hyperlink" Target="https://www.etsy.com/ca/listing/4330485404/cat-face-embroidered-baby-romper-my?transaction_id=4680506698" TargetMode="External"/><Relationship Id="rId3161" Type="http://schemas.openxmlformats.org/officeDocument/2006/relationships/hyperlink" Target="https://www.etsy.com/ca/listing/4330488178/embroidered-golf-baby-romper-new-to-the?transaction_id=4935857716" TargetMode="External"/><Relationship Id="rId3259" Type="http://schemas.openxmlformats.org/officeDocument/2006/relationships/hyperlink" Target="https://www.etsy.com/ca/listing/4330485404/cat-face-embroidered-baby-romper-funny?transaction_id=4947257836" TargetMode="External"/><Relationship Id="rId387" Type="http://schemas.openxmlformats.org/officeDocument/2006/relationships/hyperlink" Target="https://www.etsy.com/listing/4482262637/is-it-too-soon-to-ask-for-a-motorbike?transaction_id=5077110745" TargetMode="External"/><Relationship Id="rId594" Type="http://schemas.openxmlformats.org/officeDocument/2006/relationships/hyperlink" Target="https://www.etsy.com/ca/listing/4507678260/fathers-day-baby-girl-outfit-daddys?transaction_id=5099909219" TargetMode="External"/><Relationship Id="rId2068" Type="http://schemas.openxmlformats.org/officeDocument/2006/relationships/hyperlink" Target="https://www.etsy.com/ca/listing/4344235128/new-to-the-hive-baby-romper-embroidered?transaction_id=4772047349" TargetMode="External"/><Relationship Id="rId2275" Type="http://schemas.openxmlformats.org/officeDocument/2006/relationships/hyperlink" Target="https://www.etsy.com/ca/listing/4376389783/player-2-baby-romper-gamer-baby-outfit?transaction_id=4806219414" TargetMode="External"/><Relationship Id="rId3021" Type="http://schemas.openxmlformats.org/officeDocument/2006/relationships/hyperlink" Target="https://www.etsy.com/ca/listing/4352935112/custom-baby-romper-personalized-newborn?transaction_id=4920730680" TargetMode="External"/><Relationship Id="rId3119" Type="http://schemas.openxmlformats.org/officeDocument/2006/relationships/hyperlink" Target="https://www.etsy.com/ca/listing/4392935796/box-box-for-fresh-diapers-embroidered?transaction_id=4930470896" TargetMode="External"/><Relationship Id="rId3326" Type="http://schemas.openxmlformats.org/officeDocument/2006/relationships/hyperlink" Target="https://www.etsy.com/ca/listing/4336902854/personalized-football-baby-romper-daddys?transaction_id=4956866612" TargetMode="External"/><Relationship Id="rId247" Type="http://schemas.openxmlformats.org/officeDocument/2006/relationships/hyperlink" Target="https://www.etsy.com/listing/4432961851/my-daddy-plays-in-the-dirt-baby-romper?transaction_id=4965112512" TargetMode="External"/><Relationship Id="rId899" Type="http://schemas.openxmlformats.org/officeDocument/2006/relationships/hyperlink" Target="https://www.etsy.com/ca/listing/4371125103/personalized-dog-baby-bodysuit-custom?transaction_id=5014462679" TargetMode="External"/><Relationship Id="rId1084" Type="http://schemas.openxmlformats.org/officeDocument/2006/relationships/hyperlink" Target="https://www.etsy.com/ca/listing/4467440237/the-littlest-coffee-club-member-baby?transaction_id=4994682498" TargetMode="External"/><Relationship Id="rId2482" Type="http://schemas.openxmlformats.org/officeDocument/2006/relationships/hyperlink" Target="https://www.etsy.com/ca/listing/4371125103/personalized-dog-baby-bodysuit-custom?transaction_id=4846019980" TargetMode="External"/><Relationship Id="rId2787" Type="http://schemas.openxmlformats.org/officeDocument/2006/relationships/hyperlink" Target="https://www.etsy.com/ca/listing/4369764524/embroidered-snowman-baby-romper?transaction_id=4898751622" TargetMode="External"/><Relationship Id="rId107" Type="http://schemas.openxmlformats.org/officeDocument/2006/relationships/hyperlink" Target="https://www.etsy.com/listing/4461649232/daddys-co-captain-baby-romper-nautical?transaction_id=5099856555" TargetMode="External"/><Relationship Id="rId454" Type="http://schemas.openxmlformats.org/officeDocument/2006/relationships/hyperlink" Target="https://www.etsy.com/listing/4444631598/first-edition-published-2026-embroidered?transaction_id=4973100906" TargetMode="External"/><Relationship Id="rId661" Type="http://schemas.openxmlformats.org/officeDocument/2006/relationships/hyperlink" Target="https://www.etsy.com/ca/listing/4376399899/the-littlest-book-club-member-baby?transaction_id=5087910599" TargetMode="External"/><Relationship Id="rId759" Type="http://schemas.openxmlformats.org/officeDocument/2006/relationships/hyperlink" Target="https://www.etsy.com/ca/listing/4376399899/the-littlest-book-club-member-baby?transaction_id=5067281551" TargetMode="External"/><Relationship Id="rId966" Type="http://schemas.openxmlformats.org/officeDocument/2006/relationships/hyperlink" Target="https://www.etsy.com/ca/listing/4330474476/so-ducking-cute-embroidered-baby-romper?transaction_id=5016788538" TargetMode="External"/><Relationship Id="rId1291" Type="http://schemas.openxmlformats.org/officeDocument/2006/relationships/hyperlink" Target="https://www.etsy.com/listing/4484971607/newest-hunting-buddy-duck-embroidered?transaction_id=5037992372" TargetMode="External"/><Relationship Id="rId1389" Type="http://schemas.openxmlformats.org/officeDocument/2006/relationships/hyperlink" Target="https://www.etsy.com/listing/4480040494/little-beach-bum-embroidered-baby-romper?transaction_id=5096584091" TargetMode="External"/><Relationship Id="rId1596" Type="http://schemas.openxmlformats.org/officeDocument/2006/relationships/hyperlink" Target="https://www.etsy.com/listing/4430824034/funny-apparently-i-like-golf-baby?transaction_id=4957133491" TargetMode="External"/><Relationship Id="rId2135" Type="http://schemas.openxmlformats.org/officeDocument/2006/relationships/hyperlink" Target="https://www.etsy.com/ca/listing/4330488178/new-to-the-club-embroidered-baby-romper?transaction_id=4779126338" TargetMode="External"/><Relationship Id="rId2342" Type="http://schemas.openxmlformats.org/officeDocument/2006/relationships/hyperlink" Target="https://www.etsy.com/ca/listing/4376392339/funny-baby-romper-my-brand-of-formula?transaction_id=4828822419" TargetMode="External"/><Relationship Id="rId2647" Type="http://schemas.openxmlformats.org/officeDocument/2006/relationships/hyperlink" Target="https://www.etsy.com/ca/listing/4376389783/player-2-baby-romper-gamer-baby-outfit?transaction_id=4872439302" TargetMode="External"/><Relationship Id="rId2994" Type="http://schemas.openxmlformats.org/officeDocument/2006/relationships/hyperlink" Target="https://www.etsy.com/ca/listing/4372352286/silly-goose-baby-romper-funny-infant?transaction_id=4918397822" TargetMode="External"/><Relationship Id="rId314" Type="http://schemas.openxmlformats.org/officeDocument/2006/relationships/hyperlink" Target="https://www.etsy.com/ca/listing/4488364374/is-it-too-soon-to-play-pickleball?transaction_id=5052404679" TargetMode="External"/><Relationship Id="rId521" Type="http://schemas.openxmlformats.org/officeDocument/2006/relationships/hyperlink" Target="https://www.etsy.com/ca/listing/4507655767/dads-best-bud-baby-romper-first-fathers?transaction_id=5109719861" TargetMode="External"/><Relationship Id="rId619" Type="http://schemas.openxmlformats.org/officeDocument/2006/relationships/hyperlink" Target="https://www.etsy.com/ca/listing/4376399899/the-littlest-book-club-member-baby?transaction_id=5083834200" TargetMode="External"/><Relationship Id="rId1151" Type="http://schemas.openxmlformats.org/officeDocument/2006/relationships/hyperlink" Target="https://www.etsy.com/ca/listing/4369781522/crawl-walk-putt-baby-romper-funny-golf?transaction_id=4996785389" TargetMode="External"/><Relationship Id="rId1249" Type="http://schemas.openxmlformats.org/officeDocument/2006/relationships/hyperlink" Target="https://www.etsy.com/ca/listing/4371125103/personalized-dog-baby-bodysuit-custom?transaction_id=4968475262" TargetMode="External"/><Relationship Id="rId2202" Type="http://schemas.openxmlformats.org/officeDocument/2006/relationships/hyperlink" Target="https://www.etsy.com/ca/listing/4392929794/little-latke-embroidered-romper-hanukkah?transaction_id=4795710912" TargetMode="External"/><Relationship Id="rId2854" Type="http://schemas.openxmlformats.org/officeDocument/2006/relationships/hyperlink" Target="https://www.etsy.com/ca/listing/4376399899/the-littlest-book-club-member-baby?transaction_id=4905571542" TargetMode="External"/><Relationship Id="rId95" Type="http://schemas.openxmlformats.org/officeDocument/2006/relationships/hyperlink" Target="https://www.etsy.com/listing/4513108125/new-to-the-hunting-crew-embroidered?transaction_id=5092822608" TargetMode="External"/><Relationship Id="rId826" Type="http://schemas.openxmlformats.org/officeDocument/2006/relationships/hyperlink" Target="https://www.etsy.com/ca/listing/4372357398/personalized-hunting-baby-romper-custom?transaction_id=5040998376" TargetMode="External"/><Relationship Id="rId1011" Type="http://schemas.openxmlformats.org/officeDocument/2006/relationships/hyperlink" Target="https://www.etsy.com/ca/listing/4346126210/daddys-future-lifting-buddy-romper-baby?transaction_id=5016747363" TargetMode="External"/><Relationship Id="rId1109" Type="http://schemas.openxmlformats.org/officeDocument/2006/relationships/hyperlink" Target="https://www.etsy.com/ca/listing/4392925828/hello-grandma-embroidered-romper-i-cant?transaction_id=4992787322" TargetMode="External"/><Relationship Id="rId1456" Type="http://schemas.openxmlformats.org/officeDocument/2006/relationships/hyperlink" Target="https://www.etsy.com/listing/4376404086/embroidered-lil-nugget-baby-bodysuit?transaction_id=5087897166" TargetMode="External"/><Relationship Id="rId1663" Type="http://schemas.openxmlformats.org/officeDocument/2006/relationships/hyperlink" Target="https://www.etsy.com/listing/4477382165/holy-blockamole-bodysuit-embroidered?transaction_id=5067388177" TargetMode="External"/><Relationship Id="rId1870" Type="http://schemas.openxmlformats.org/officeDocument/2006/relationships/hyperlink" Target="https://www.etsy.com/ca/listing/4330488178/new-to-the-club-embroidered-baby-romper?transaction_id=4721084755" TargetMode="External"/><Relationship Id="rId1968" Type="http://schemas.openxmlformats.org/officeDocument/2006/relationships/hyperlink" Target="https://www.etsy.com/ca/listing/4372355391/personalized-pumpkin-baby-romper?transaction_id=4753648309" TargetMode="External"/><Relationship Id="rId2507" Type="http://schemas.openxmlformats.org/officeDocument/2006/relationships/hyperlink" Target="https://www.etsy.com/ca/listing/4392929794/little-latke-embroidered-romper-hanukkah?transaction_id=4851387206" TargetMode="External"/><Relationship Id="rId2714" Type="http://schemas.openxmlformats.org/officeDocument/2006/relationships/hyperlink" Target="https://www.etsy.com/ca/listing/4330485404/cat-face-embroidered-baby-romper-funny?transaction_id=4885741524" TargetMode="External"/><Relationship Id="rId2921" Type="http://schemas.openxmlformats.org/officeDocument/2006/relationships/hyperlink" Target="https://www.etsy.com/ca/listing/4344231895/embroidered-baby-romper-shhh-im-reading?transaction_id=4910883696" TargetMode="External"/><Relationship Id="rId1316" Type="http://schemas.openxmlformats.org/officeDocument/2006/relationships/hyperlink" Target="https://www.etsy.com/listing/4474310208/fearfully-wonderfully-made-bodysuit?transaction_id=5067902085" TargetMode="External"/><Relationship Id="rId1523" Type="http://schemas.openxmlformats.org/officeDocument/2006/relationships/hyperlink" Target="https://www.etsy.com/listing/4507007670/daddys-co-pilot-embroidered-baby-romper?transaction_id=5109001793" TargetMode="External"/><Relationship Id="rId1730" Type="http://schemas.openxmlformats.org/officeDocument/2006/relationships/hyperlink" Target="https://www.etsy.com/ca/listing/4330504943/born-to-play-like-my-daddy-baby-romper?transaction_id=4671551695" TargetMode="External"/><Relationship Id="rId3183" Type="http://schemas.openxmlformats.org/officeDocument/2006/relationships/hyperlink" Target="https://www.etsy.com/ca/listing/4392936921/apparently-i-like-golf-embroidered?transaction_id=4949584817" TargetMode="External"/><Relationship Id="rId3390" Type="http://schemas.openxmlformats.org/officeDocument/2006/relationships/hyperlink" Target="https://www.etsy.com/ca/listing/4376399899/the-littlest-book-club-member-baby?transaction_id=4967248556" TargetMode="External"/><Relationship Id="rId22" Type="http://schemas.openxmlformats.org/officeDocument/2006/relationships/hyperlink" Target="https://www.etsy.com/listing/4493907972/book-lover-baby-bodysuit-shh-im-reading?transaction_id=5054223622" TargetMode="External"/><Relationship Id="rId1828" Type="http://schemas.openxmlformats.org/officeDocument/2006/relationships/hyperlink" Target="https://www.etsy.com/ca/listing/4330480699/little-prince-baby-romper-embroidered?transaction_id=4701054055" TargetMode="External"/><Relationship Id="rId3043" Type="http://schemas.openxmlformats.org/officeDocument/2006/relationships/hyperlink" Target="https://www.etsy.com/ca/listing/4330488178/embroidered-golf-baby-romper-new-to-the?transaction_id=4922299592" TargetMode="External"/><Relationship Id="rId3250" Type="http://schemas.openxmlformats.org/officeDocument/2006/relationships/hyperlink" Target="https://www.etsy.com/ca/listing/4330463387/embroidered-baby-romper-relax-mommy-is-a?transaction_id=4946211706" TargetMode="External"/><Relationship Id="rId171" Type="http://schemas.openxmlformats.org/officeDocument/2006/relationships/hyperlink" Target="https://www.etsy.com/listing/4444107682/little-slam-dunk-baby-romper-basketball?transaction_id=4991598400" TargetMode="External"/><Relationship Id="rId2297" Type="http://schemas.openxmlformats.org/officeDocument/2006/relationships/hyperlink" Target="https://www.etsy.com/ca/listing/4392929794/little-latke-embroidered-romper-hanukkah?transaction_id=4816558449" TargetMode="External"/><Relationship Id="rId3348" Type="http://schemas.openxmlformats.org/officeDocument/2006/relationships/hyperlink" Target="https://www.etsy.com/ca/listing/4330483435/embroidered-coffee-bean-baby-romper?transaction_id=4969781855" TargetMode="External"/><Relationship Id="rId269" Type="http://schemas.openxmlformats.org/officeDocument/2006/relationships/hyperlink" Target="https://www.etsy.com/listing/4440230726/crawl-walk-snowmobile-baby-romper?transaction_id=4938989535" TargetMode="External"/><Relationship Id="rId476" Type="http://schemas.openxmlformats.org/officeDocument/2006/relationships/hyperlink" Target="https://www.etsy.com/listing/4444631598/first-edition-published-2026-embroidered?transaction_id=4935047224" TargetMode="External"/><Relationship Id="rId683" Type="http://schemas.openxmlformats.org/officeDocument/2006/relationships/hyperlink" Target="https://www.etsy.com/ca/listing/4347260564/football-baby-romper-game-day-baby?transaction_id=5083051265" TargetMode="External"/><Relationship Id="rId890" Type="http://schemas.openxmlformats.org/officeDocument/2006/relationships/hyperlink" Target="https://www.etsy.com/ca/listing/4467440237/the-littlest-coffee-club-member-baby?transaction_id=5041695977" TargetMode="External"/><Relationship Id="rId2157" Type="http://schemas.openxmlformats.org/officeDocument/2006/relationships/hyperlink" Target="https://www.etsy.com/ca/listing/4330488178/new-to-the-club-embroidered-baby-romper?transaction_id=4794753885" TargetMode="External"/><Relationship Id="rId2364" Type="http://schemas.openxmlformats.org/officeDocument/2006/relationships/hyperlink" Target="https://www.etsy.com/ca/listing/4392936921/apparently-i-like-golf-embroidered?transaction_id=4823834506" TargetMode="External"/><Relationship Id="rId2571" Type="http://schemas.openxmlformats.org/officeDocument/2006/relationships/hyperlink" Target="https://www.etsy.com/ca/listing/4392929794/little-latke-embroidered-romper-hanukkah?transaction_id=4861578816" TargetMode="External"/><Relationship Id="rId3110" Type="http://schemas.openxmlformats.org/officeDocument/2006/relationships/hyperlink" Target="https://www.etsy.com/ca/listing/4371125103/personalized-dog-baby-bodysuit-custom?transaction_id=4941630649" TargetMode="External"/><Relationship Id="rId3208" Type="http://schemas.openxmlformats.org/officeDocument/2006/relationships/hyperlink" Target="https://www.etsy.com/ca/listing/4330488178/embroidered-golf-baby-romper-new-to-the?transaction_id=4952362953" TargetMode="External"/><Relationship Id="rId129" Type="http://schemas.openxmlformats.org/officeDocument/2006/relationships/hyperlink" Target="https://www.etsy.com/listing/4468938480/milk-then-burpees-baby-romper-funny-gym?transaction_id=5083460743" TargetMode="External"/><Relationship Id="rId336" Type="http://schemas.openxmlformats.org/officeDocument/2006/relationships/hyperlink" Target="https://www.etsy.com/ca/listing/4470615480/apparently-i-like-f1-baby-romper-formula?transaction_id=5003043950" TargetMode="External"/><Relationship Id="rId543" Type="http://schemas.openxmlformats.org/officeDocument/2006/relationships/hyperlink" Target="https://www.etsy.com/ca/listing/4507655767/dads-best-bud-baby-romper-first-fathers?transaction_id=5097100790" TargetMode="External"/><Relationship Id="rId988" Type="http://schemas.openxmlformats.org/officeDocument/2006/relationships/hyperlink" Target="https://www.etsy.com/ca/listing/4376399899/the-littlest-book-club-member-baby?transaction_id=5022514811" TargetMode="External"/><Relationship Id="rId1173" Type="http://schemas.openxmlformats.org/officeDocument/2006/relationships/hyperlink" Target="https://www.etsy.com/ca/listing/4392935796/box-box-for-fresh-diapers-embroidered?transaction_id=4983619200" TargetMode="External"/><Relationship Id="rId1380" Type="http://schemas.openxmlformats.org/officeDocument/2006/relationships/hyperlink" Target="https://www.etsy.com/listing/4473734263/custom-kangaroo-embroidered-baby-romper?transaction_id=5094265953" TargetMode="External"/><Relationship Id="rId2017" Type="http://schemas.openxmlformats.org/officeDocument/2006/relationships/hyperlink" Target="https://www.etsy.com/ca/listing/4351829723/i-stole-everyones-heart-baby-romper?transaction_id=4765154843" TargetMode="External"/><Relationship Id="rId2224" Type="http://schemas.openxmlformats.org/officeDocument/2006/relationships/hyperlink" Target="https://www.etsy.com/ca/listing/4392929794/little-latke-embroidered-romper-hanukkah?transaction_id=4806898897" TargetMode="External"/><Relationship Id="rId2669" Type="http://schemas.openxmlformats.org/officeDocument/2006/relationships/hyperlink" Target="https://www.etsy.com/ca/listing/4346126210/daddys-future-lifting-buddy-romper-baby?transaction_id=4892836885" TargetMode="External"/><Relationship Id="rId2876" Type="http://schemas.openxmlformats.org/officeDocument/2006/relationships/hyperlink" Target="https://www.etsy.com/ca/listing/4376399899/the-littlest-book-club-member-baby?transaction_id=4920493027" TargetMode="External"/><Relationship Id="rId403" Type="http://schemas.openxmlformats.org/officeDocument/2006/relationships/hyperlink" Target="https://www.etsy.com/listing/4445837519/cant-wait-to-jam-with-daddy-embroidered?transaction_id=5056445213" TargetMode="External"/><Relationship Id="rId750" Type="http://schemas.openxmlformats.org/officeDocument/2006/relationships/hyperlink" Target="https://www.etsy.com/ca/listing/4467440237/the-littlest-coffee-club-member-baby?transaction_id=5055789602" TargetMode="External"/><Relationship Id="rId848" Type="http://schemas.openxmlformats.org/officeDocument/2006/relationships/hyperlink" Target="https://www.etsy.com/ca/listing/4471139539/daddys-future-hunting-buddy-baby-romper?transaction_id=5038052938" TargetMode="External"/><Relationship Id="rId1033" Type="http://schemas.openxmlformats.org/officeDocument/2006/relationships/hyperlink" Target="https://www.etsy.com/ca/listing/4376399899/the-littlest-book-club-member-baby?transaction_id=5003621998" TargetMode="External"/><Relationship Id="rId1478" Type="http://schemas.openxmlformats.org/officeDocument/2006/relationships/hyperlink" Target="https://www.etsy.com/listing/4376404086/embroidered-lil-nugget-baby-bodysuit?transaction_id=5090092042" TargetMode="External"/><Relationship Id="rId1685" Type="http://schemas.openxmlformats.org/officeDocument/2006/relationships/hyperlink" Target="https://www.etsy.com/listing/4430824034/funny-apparently-i-like-golf-baby?transaction_id=5096548862" TargetMode="External"/><Relationship Id="rId1892" Type="http://schemas.openxmlformats.org/officeDocument/2006/relationships/hyperlink" Target="https://www.etsy.com/ca/listing/4330485404/cat-face-embroidered-baby-romper-my?transaction_id=4730800635" TargetMode="External"/><Relationship Id="rId2431" Type="http://schemas.openxmlformats.org/officeDocument/2006/relationships/hyperlink" Target="https://www.etsy.com/ca/listing/4343133641/golf-skills-loading-embroidered-baby?transaction_id=4831568176" TargetMode="External"/><Relationship Id="rId2529" Type="http://schemas.openxmlformats.org/officeDocument/2006/relationships/hyperlink" Target="https://www.etsy.com/ca/listing/4371125103/personalized-dog-baby-bodysuit-custom?transaction_id=4855456748" TargetMode="External"/><Relationship Id="rId2736" Type="http://schemas.openxmlformats.org/officeDocument/2006/relationships/hyperlink" Target="https://www.etsy.com/ca/listing/4371125103/personalized-dog-baby-bodysuit-custom?transaction_id=4890198310" TargetMode="External"/><Relationship Id="rId610" Type="http://schemas.openxmlformats.org/officeDocument/2006/relationships/hyperlink" Target="https://www.etsy.com/ca/listing/4503545399/little-meatball-baby-romper-embroidered?transaction_id=5097365541" TargetMode="External"/><Relationship Id="rId708" Type="http://schemas.openxmlformats.org/officeDocument/2006/relationships/hyperlink" Target="https://www.etsy.com/ca/listing/4392935796/box-box-for-fresh-diapers-embroidered?transaction_id=5076511747" TargetMode="External"/><Relationship Id="rId915" Type="http://schemas.openxmlformats.org/officeDocument/2006/relationships/hyperlink" Target="https://www.etsy.com/ca/listing/4462790215/personalized-cat-baby-bodysuit-custom?transaction_id=5037461055" TargetMode="External"/><Relationship Id="rId1240" Type="http://schemas.openxmlformats.org/officeDocument/2006/relationships/hyperlink" Target="https://www.etsy.com/ca/listing/4330504943/embroidered-tennis-baby-romper-daddys?transaction_id=4981284539" TargetMode="External"/><Relationship Id="rId1338" Type="http://schemas.openxmlformats.org/officeDocument/2006/relationships/hyperlink" Target="https://www.etsy.com/listing/4500080239/daddys-future-lifting-partner-retro?transaction_id=5064477522" TargetMode="External"/><Relationship Id="rId1545" Type="http://schemas.openxmlformats.org/officeDocument/2006/relationships/hyperlink" Target="https://www.etsy.com/listing/4476295581/the-littlest-book-club-member?transaction_id=5103252148" TargetMode="External"/><Relationship Id="rId2943" Type="http://schemas.openxmlformats.org/officeDocument/2006/relationships/hyperlink" Target="https://www.etsy.com/ca/listing/4376399899/the-littlest-book-club-member-baby?transaction_id=4912801296" TargetMode="External"/><Relationship Id="rId1100" Type="http://schemas.openxmlformats.org/officeDocument/2006/relationships/hyperlink" Target="https://www.etsy.com/ca/listing/4376399899/the-littlest-book-club-member-baby?transaction_id=5003583273" TargetMode="External"/><Relationship Id="rId1405" Type="http://schemas.openxmlformats.org/officeDocument/2006/relationships/hyperlink" Target="https://www.etsy.com/listing/4495406377/my-daddy-is-a-better-golfer-funny-golf?transaction_id=5090263702" TargetMode="External"/><Relationship Id="rId1752" Type="http://schemas.openxmlformats.org/officeDocument/2006/relationships/hyperlink" Target="https://www.etsy.com/ca/listing/4333135410/little-pumpkin-baby-romper-fall?transaction_id=4677962607" TargetMode="External"/><Relationship Id="rId2803" Type="http://schemas.openxmlformats.org/officeDocument/2006/relationships/hyperlink" Target="https://www.etsy.com/ca/listing/4344232490/freshly-brewed-baby-bodysuit-cute-coffee?transaction_id=4900522506" TargetMode="External"/><Relationship Id="rId44" Type="http://schemas.openxmlformats.org/officeDocument/2006/relationships/hyperlink" Target="https://www.etsy.com/listing/4441943477/crawl-walk-snowmobile-embroidered-baby?transaction_id=5026575732" TargetMode="External"/><Relationship Id="rId1612" Type="http://schemas.openxmlformats.org/officeDocument/2006/relationships/hyperlink" Target="https://www.etsy.com/listing/4462705441/small-family-mushroom-embroidered-baby?transaction_id=4988543783" TargetMode="External"/><Relationship Id="rId1917" Type="http://schemas.openxmlformats.org/officeDocument/2006/relationships/hyperlink" Target="https://www.etsy.com/ca/listing/4352935112/custom-baby-romper-personalized-newborn?transaction_id=4739949575" TargetMode="External"/><Relationship Id="rId3065" Type="http://schemas.openxmlformats.org/officeDocument/2006/relationships/hyperlink" Target="https://www.etsy.com/ca/listing/4392935796/box-box-for-fresh-diapers-embroidered?transaction_id=4915183043" TargetMode="External"/><Relationship Id="rId3272" Type="http://schemas.openxmlformats.org/officeDocument/2006/relationships/hyperlink" Target="https://www.etsy.com/ca/listing/4371125103/personalized-dog-baby-bodysuit-custom?transaction_id=4960008691" TargetMode="External"/><Relationship Id="rId193" Type="http://schemas.openxmlformats.org/officeDocument/2006/relationships/hyperlink" Target="https://www.etsy.com/listing/4499062845/custom-name-embroidered-romper-baby-gift?transaction_id=5109300833" TargetMode="External"/><Relationship Id="rId498" Type="http://schemas.openxmlformats.org/officeDocument/2006/relationships/hyperlink" Target="https://www.etsy.com/ca/listing/4376399899/the-littlest-book-club-member-baby?transaction_id=5113129763" TargetMode="External"/><Relationship Id="rId2081" Type="http://schemas.openxmlformats.org/officeDocument/2006/relationships/hyperlink" Target="https://www.etsy.com/ca/listing/4352935112/custom-baby-romper-personalized-newborn?transaction_id=4775409257" TargetMode="External"/><Relationship Id="rId2179" Type="http://schemas.openxmlformats.org/officeDocument/2006/relationships/hyperlink" Target="https://www.etsy.com/ca/listing/4344231895/shhh-im-reading-with-mommy-baby-bodysuit?transaction_id=4792415746" TargetMode="External"/><Relationship Id="rId3132" Type="http://schemas.openxmlformats.org/officeDocument/2006/relationships/hyperlink" Target="https://www.etsy.com/ca/listing/4371125103/personalized-dog-baby-bodysuit-custom?transaction_id=4943922629" TargetMode="External"/><Relationship Id="rId260" Type="http://schemas.openxmlformats.org/officeDocument/2006/relationships/hyperlink" Target="https://www.etsy.com/listing/4436466725/custom-name-sailboat-embroidered-romper?transaction_id=4955706739" TargetMode="External"/><Relationship Id="rId2386" Type="http://schemas.openxmlformats.org/officeDocument/2006/relationships/hyperlink" Target="https://www.etsy.com/ca/listing/4392929794/little-latke-embroidered-romper-hanukkah?transaction_id=4835967145" TargetMode="External"/><Relationship Id="rId2593" Type="http://schemas.openxmlformats.org/officeDocument/2006/relationships/hyperlink" Target="https://www.etsy.com/ca/listing/4376389783/player-2-baby-romper-gamer-baby-outfit?transaction_id=4880351691" TargetMode="External"/><Relationship Id="rId120" Type="http://schemas.openxmlformats.org/officeDocument/2006/relationships/hyperlink" Target="https://www.etsy.com/listing/4488820349/little-muggle-baby-romper-funny-baby?transaction_id=5084934502" TargetMode="External"/><Relationship Id="rId358" Type="http://schemas.openxmlformats.org/officeDocument/2006/relationships/hyperlink" Target="https://www.etsy.com/listing/4476223868/im-proof-my-mommy-cant-resist?transaction_id=5093340234" TargetMode="External"/><Relationship Id="rId565" Type="http://schemas.openxmlformats.org/officeDocument/2006/relationships/hyperlink" Target="https://www.etsy.com/ca/listing/4376389783/player-2-baby-romper-gamer-baby-outfit?transaction_id=5104129057" TargetMode="External"/><Relationship Id="rId772" Type="http://schemas.openxmlformats.org/officeDocument/2006/relationships/hyperlink" Target="https://www.etsy.com/ca/listing/4376389783/player-2-baby-romper-gamer-baby-outfit?transaction_id=5063582939" TargetMode="External"/><Relationship Id="rId1195" Type="http://schemas.openxmlformats.org/officeDocument/2006/relationships/hyperlink" Target="https://www.etsy.com/ca/listing/4376399899/the-littlest-book-club-member-baby?transaction_id=4988826947" TargetMode="External"/><Relationship Id="rId2039" Type="http://schemas.openxmlformats.org/officeDocument/2006/relationships/hyperlink" Target="https://www.etsy.com/ca/listing/4330488178/new-to-the-club-embroidered-baby-romper?transaction_id=4758158642" TargetMode="External"/><Relationship Id="rId2246" Type="http://schemas.openxmlformats.org/officeDocument/2006/relationships/hyperlink" Target="https://www.etsy.com/ca/listing/4369781522/crawl-walk-putt-baby-romper-funny-golf?transaction_id=4811507637" TargetMode="External"/><Relationship Id="rId2453" Type="http://schemas.openxmlformats.org/officeDocument/2006/relationships/hyperlink" Target="https://www.etsy.com/ca/listing/4376401181/challah-at-your-girl-baby-bodysuit-funny?transaction_id=4836905376" TargetMode="External"/><Relationship Id="rId2660" Type="http://schemas.openxmlformats.org/officeDocument/2006/relationships/hyperlink" Target="https://www.etsy.com/ca/listing/4392935796/box-box-for-fresh-diapers-embroidered?transaction_id=4889775189" TargetMode="External"/><Relationship Id="rId2898" Type="http://schemas.openxmlformats.org/officeDocument/2006/relationships/hyperlink" Target="https://www.etsy.com/ca/listing/4347266987/hi-im-new-here-romper-newborn-baby?transaction_id=4908569896" TargetMode="External"/><Relationship Id="rId218" Type="http://schemas.openxmlformats.org/officeDocument/2006/relationships/hyperlink" Target="https://www.etsy.com/listing/4432961851/my-daddy-plays-in-the-dirt-baby-romper?transaction_id=5056330199" TargetMode="External"/><Relationship Id="rId425" Type="http://schemas.openxmlformats.org/officeDocument/2006/relationships/hyperlink" Target="https://www.etsy.com/listing/4445823392/future-firefighter-embroidered-baby?transaction_id=5016569082" TargetMode="External"/><Relationship Id="rId632" Type="http://schemas.openxmlformats.org/officeDocument/2006/relationships/hyperlink" Target="https://www.etsy.com/ca/listing/4372352286/silly-goose-baby-romper-funny-infant?transaction_id=5093707855" TargetMode="External"/><Relationship Id="rId1055" Type="http://schemas.openxmlformats.org/officeDocument/2006/relationships/hyperlink" Target="https://www.etsy.com/ca/listing/4376399899/the-littlest-book-club-member-baby?transaction_id=5008580137" TargetMode="External"/><Relationship Id="rId1262" Type="http://schemas.openxmlformats.org/officeDocument/2006/relationships/hyperlink" Target="https://www.etsy.com/in-en/listing/4471244416/embroidered-baby-romper-future-carpenter?transaction_id=5030707503" TargetMode="External"/><Relationship Id="rId2106" Type="http://schemas.openxmlformats.org/officeDocument/2006/relationships/hyperlink" Target="https://www.etsy.com/ca/listing/4330488178/new-to-the-club-embroidered-baby-romper?transaction_id=4772820858" TargetMode="External"/><Relationship Id="rId2313" Type="http://schemas.openxmlformats.org/officeDocument/2006/relationships/hyperlink" Target="https://www.etsy.com/ca/listing/4376399899/the-littlest-book-club-member-baby?transaction_id=4819325883" TargetMode="External"/><Relationship Id="rId2520" Type="http://schemas.openxmlformats.org/officeDocument/2006/relationships/hyperlink" Target="https://www.etsy.com/ca/listing/4372352286/silly-goose-baby-romper-funny-infant?transaction_id=4853725384" TargetMode="External"/><Relationship Id="rId2758" Type="http://schemas.openxmlformats.org/officeDocument/2006/relationships/hyperlink" Target="https://www.etsy.com/ca/listing/4392935796/box-box-for-fresh-diapers-embroidered?transaction_id=4894144848" TargetMode="External"/><Relationship Id="rId2965" Type="http://schemas.openxmlformats.org/officeDocument/2006/relationships/hyperlink" Target="https://www.etsy.com/ca/listing/4330504943/embroidered-tennis-baby-romper-daddys?transaction_id=4915455604" TargetMode="External"/><Relationship Id="rId937" Type="http://schemas.openxmlformats.org/officeDocument/2006/relationships/hyperlink" Target="https://www.etsy.com/ca/listing/4376399899/the-littlest-book-club-member-baby?transaction_id=5022042608" TargetMode="External"/><Relationship Id="rId1122" Type="http://schemas.openxmlformats.org/officeDocument/2006/relationships/hyperlink" Target="https://www.etsy.com/ca/listing/4376401181/challah-at-your-girl-baby-bodysuit-funny?transaction_id=4991305390" TargetMode="External"/><Relationship Id="rId1567" Type="http://schemas.openxmlformats.org/officeDocument/2006/relationships/hyperlink" Target="https://www.etsy.com/listing/4473244004/personalized-baby-romper-embroidered?transaction_id=5049466025" TargetMode="External"/><Relationship Id="rId1774" Type="http://schemas.openxmlformats.org/officeDocument/2006/relationships/hyperlink" Target="https://www.etsy.com/ca/listing/4330480699/little-prince-baby-romper-embroidered?transaction_id=4668028980" TargetMode="External"/><Relationship Id="rId1981" Type="http://schemas.openxmlformats.org/officeDocument/2006/relationships/hyperlink" Target="https://www.etsy.com/ca/listing/4347260564/football-baby-romper-game-day-baby?transaction_id=4746178452" TargetMode="External"/><Relationship Id="rId2618" Type="http://schemas.openxmlformats.org/officeDocument/2006/relationships/hyperlink" Target="https://www.etsy.com/ca/listing/4392935796/box-box-for-fresh-diapers-embroidered?transaction_id=4884573003" TargetMode="External"/><Relationship Id="rId2825" Type="http://schemas.openxmlformats.org/officeDocument/2006/relationships/hyperlink" Target="https://www.etsy.com/ca/listing/4343133641/golf-skills-loading-embroidered-baby?transaction_id=4917301321" TargetMode="External"/><Relationship Id="rId66" Type="http://schemas.openxmlformats.org/officeDocument/2006/relationships/hyperlink" Target="https://www.etsy.com/listing/4513104471/new-to-the-fishing-crew-embroidered?transaction_id=5100180204" TargetMode="External"/><Relationship Id="rId1427" Type="http://schemas.openxmlformats.org/officeDocument/2006/relationships/hyperlink" Target="https://www.etsy.com/listing/4399222424/milk-then-burpees-embroidered-baby?transaction_id=5101335636" TargetMode="External"/><Relationship Id="rId1634" Type="http://schemas.openxmlformats.org/officeDocument/2006/relationships/hyperlink" Target="https://www.etsy.com/listing/4451151625/jack-personalized-golf-baby-bodysuit?transaction_id=5009887816" TargetMode="External"/><Relationship Id="rId1841" Type="http://schemas.openxmlformats.org/officeDocument/2006/relationships/hyperlink" Target="https://www.etsy.com/ca/listing/4330485404/cat-face-embroidered-baby-romper-my?transaction_id=4706765723" TargetMode="External"/><Relationship Id="rId3087" Type="http://schemas.openxmlformats.org/officeDocument/2006/relationships/hyperlink" Target="https://www.etsy.com/ca/listing/4371125103/personalized-dog-baby-bodysuit-custom?transaction_id=4926141350" TargetMode="External"/><Relationship Id="rId3294" Type="http://schemas.openxmlformats.org/officeDocument/2006/relationships/hyperlink" Target="https://www.etsy.com/ca/listing/4347260564/football-baby-romper-game-day-baby?transaction_id=4962907159" TargetMode="External"/><Relationship Id="rId1939" Type="http://schemas.openxmlformats.org/officeDocument/2006/relationships/hyperlink" Target="https://www.etsy.com/ca/listing/4351828361/i-may-be-small-but-im-the-boss-baby?transaction_id=4734579254" TargetMode="External"/><Relationship Id="rId1701" Type="http://schemas.openxmlformats.org/officeDocument/2006/relationships/hyperlink" Target="https://www.etsy.com/listing/4350639885/my-sibling-has-paws-baby-romper?transaction_id=4802172610" TargetMode="External"/><Relationship Id="rId3154" Type="http://schemas.openxmlformats.org/officeDocument/2006/relationships/hyperlink" Target="https://www.etsy.com/ca/listing/4392932100/born-to-ride-with-my-daddy-embroidered?transaction_id=4935352762" TargetMode="External"/><Relationship Id="rId3361" Type="http://schemas.openxmlformats.org/officeDocument/2006/relationships/hyperlink" Target="https://www.etsy.com/ca/listing/4376392339/funny-baby-romper-my-brand-of-formula?transaction_id=4962315402" TargetMode="External"/><Relationship Id="rId282" Type="http://schemas.openxmlformats.org/officeDocument/2006/relationships/hyperlink" Target="https://www.etsy.com/ca/listing/4516747148/little-firecracker-baby-romper-patriotic?transaction_id=5110025873" TargetMode="External"/><Relationship Id="rId587" Type="http://schemas.openxmlformats.org/officeDocument/2006/relationships/hyperlink" Target="https://www.etsy.com/ca/listing/4330504943/embroidered-tennis-baby-romper-daddys?transaction_id=5089634574" TargetMode="External"/><Relationship Id="rId2170" Type="http://schemas.openxmlformats.org/officeDocument/2006/relationships/hyperlink" Target="https://www.etsy.com/ca/listing/4392932100/born-to-ride-with-my-daddy-embroidered?transaction_id=4798046737" TargetMode="External"/><Relationship Id="rId2268" Type="http://schemas.openxmlformats.org/officeDocument/2006/relationships/hyperlink" Target="https://www.etsy.com/ca/listing/4371125103/personalized-dog-baby-bodysuit-custom?transaction_id=4805704874" TargetMode="External"/><Relationship Id="rId3014" Type="http://schemas.openxmlformats.org/officeDocument/2006/relationships/hyperlink" Target="https://www.etsy.com/ca/listing/4330488178/embroidered-golf-baby-romper-new-to-the?transaction_id=4919915038" TargetMode="External"/><Relationship Id="rId3221" Type="http://schemas.openxmlformats.org/officeDocument/2006/relationships/hyperlink" Target="https://www.etsy.com/ca/listing/4376399899/the-littlest-book-club-member-baby?transaction_id=4943476692" TargetMode="External"/><Relationship Id="rId3319" Type="http://schemas.openxmlformats.org/officeDocument/2006/relationships/hyperlink" Target="https://www.etsy.com/ca/listing/4371125103/personalized-dog-baby-bodysuit-custom?transaction_id=4955322146" TargetMode="External"/><Relationship Id="rId8" Type="http://schemas.openxmlformats.org/officeDocument/2006/relationships/hyperlink" Target="https://www.etsy.com/listing/4491428109/halfling-baby-bodysuit-fantasy-baby?transaction_id=5082133048" TargetMode="External"/><Relationship Id="rId142" Type="http://schemas.openxmlformats.org/officeDocument/2006/relationships/hyperlink" Target="https://www.etsy.com/listing/4475336563/my-daddy-is-faster-than-your-daddy-baby?transaction_id=5056677068" TargetMode="External"/><Relationship Id="rId447" Type="http://schemas.openxmlformats.org/officeDocument/2006/relationships/hyperlink" Target="https://www.etsy.com/listing/4445823088/its-alright-to-be-a-little-bitty?transaction_id=4997012411" TargetMode="External"/><Relationship Id="rId794" Type="http://schemas.openxmlformats.org/officeDocument/2006/relationships/hyperlink" Target="https://www.etsy.com/ca/listing/4467452578/the-littlest-pickleball-club-member-baby?transaction_id=5060180715" TargetMode="External"/><Relationship Id="rId1077" Type="http://schemas.openxmlformats.org/officeDocument/2006/relationships/hyperlink" Target="https://www.etsy.com/ca/listing/4376399899/the-littlest-book-club-member-baby?transaction_id=5005540989" TargetMode="External"/><Relationship Id="rId2030" Type="http://schemas.openxmlformats.org/officeDocument/2006/relationships/hyperlink" Target="https://www.etsy.com/ca/listing/4371125103/personalized-dog-baby-bodysuit-custom?transaction_id=4767393821" TargetMode="External"/><Relationship Id="rId2128" Type="http://schemas.openxmlformats.org/officeDocument/2006/relationships/hyperlink" Target="https://www.etsy.com/ca/listing/4330485404/cat-face-embroidered-baby-romper-my?transaction_id=4777989480" TargetMode="External"/><Relationship Id="rId2475" Type="http://schemas.openxmlformats.org/officeDocument/2006/relationships/hyperlink" Target="https://www.etsy.com/ca/listing/4330485404/cat-face-embroidered-baby-romper-funny?transaction_id=4857344845" TargetMode="External"/><Relationship Id="rId2682" Type="http://schemas.openxmlformats.org/officeDocument/2006/relationships/hyperlink" Target="https://www.etsy.com/ca/listing/4346126210/daddys-future-lifting-buddy-romper-baby?transaction_id=4895221615" TargetMode="External"/><Relationship Id="rId2987" Type="http://schemas.openxmlformats.org/officeDocument/2006/relationships/hyperlink" Target="https://www.etsy.com/ca/listing/4330485404/cat-face-embroidered-baby-romper-funny?transaction_id=4917572764" TargetMode="External"/><Relationship Id="rId654" Type="http://schemas.openxmlformats.org/officeDocument/2006/relationships/hyperlink" Target="https://www.etsy.com/ca/listing/4352935112/custom-baby-romper-personalized-newborn?transaction_id=5089172159" TargetMode="External"/><Relationship Id="rId861" Type="http://schemas.openxmlformats.org/officeDocument/2006/relationships/hyperlink" Target="https://www.etsy.com/ca/listing/4376389783/player-2-baby-romper-gamer-baby-outfit?transaction_id=5046670253" TargetMode="External"/><Relationship Id="rId959" Type="http://schemas.openxmlformats.org/officeDocument/2006/relationships/hyperlink" Target="https://www.etsy.com/ca/listing/4376399899/the-littlest-book-club-member-baby?transaction_id=5018593294" TargetMode="External"/><Relationship Id="rId1284" Type="http://schemas.openxmlformats.org/officeDocument/2006/relationships/hyperlink" Target="https://www.etsy.com/listing/4485710996/masters-2026-augusta-national-golf-club?transaction_id=5047154851" TargetMode="External"/><Relationship Id="rId1491" Type="http://schemas.openxmlformats.org/officeDocument/2006/relationships/hyperlink" Target="https://www.etsy.com/listing/4347838451/custom-embroidered-nonnas-little?transaction_id=5092417092" TargetMode="External"/><Relationship Id="rId1589" Type="http://schemas.openxmlformats.org/officeDocument/2006/relationships/hyperlink" Target="https://www.etsy.com/listing/4430068497/personalized-i-love-my-daddy-baby?transaction_id=4938323156" TargetMode="External"/><Relationship Id="rId2335" Type="http://schemas.openxmlformats.org/officeDocument/2006/relationships/hyperlink" Target="https://www.etsy.com/ca/listing/4392929794/little-latke-embroidered-romper-hanukkah?transaction_id=4816858292" TargetMode="External"/><Relationship Id="rId2542" Type="http://schemas.openxmlformats.org/officeDocument/2006/relationships/hyperlink" Target="https://www.etsy.com/ca/listing/4376399899/the-littlest-book-club-member-baby?transaction_id=4857209986" TargetMode="External"/><Relationship Id="rId307" Type="http://schemas.openxmlformats.org/officeDocument/2006/relationships/hyperlink" Target="https://www.etsy.com/ca/listing/4483717191/new-to-the-squad-embroidered-baby-romper?transaction_id=5049302690" TargetMode="External"/><Relationship Id="rId514" Type="http://schemas.openxmlformats.org/officeDocument/2006/relationships/hyperlink" Target="https://www.etsy.com/ca/listing/4330479964/personalized-fox-baby-bodysuit-custom?transaction_id=5110707789" TargetMode="External"/><Relationship Id="rId721" Type="http://schemas.openxmlformats.org/officeDocument/2006/relationships/hyperlink" Target="https://www.etsy.com/ca/listing/4392932100/born-to-ride-with-my-daddy-embroidered?transaction_id=5074681279" TargetMode="External"/><Relationship Id="rId1144" Type="http://schemas.openxmlformats.org/officeDocument/2006/relationships/hyperlink" Target="https://www.etsy.com/ca/listing/4347263856/besties-baby-romper-matching-baby-outfit?transaction_id=4987842354" TargetMode="External"/><Relationship Id="rId1351" Type="http://schemas.openxmlformats.org/officeDocument/2006/relationships/hyperlink" Target="https://www.etsy.com/listing/4447378305/opal-personalized-shell-embroidered-baby?transaction_id=5072089578" TargetMode="External"/><Relationship Id="rId1449" Type="http://schemas.openxmlformats.org/officeDocument/2006/relationships/hyperlink" Target="https://www.etsy.com/listing/4376404086/embroidered-lil-nugget-baby-bodysuit?transaction_id=5087326006" TargetMode="External"/><Relationship Id="rId1796" Type="http://schemas.openxmlformats.org/officeDocument/2006/relationships/hyperlink" Target="https://www.etsy.com/ca/listing/4330488178/new-to-the-club-embroidered-baby-romper?transaction_id=4674097642" TargetMode="External"/><Relationship Id="rId2402" Type="http://schemas.openxmlformats.org/officeDocument/2006/relationships/hyperlink" Target="https://www.etsy.com/ca/listing/4392929794/little-latke-embroidered-romper-hanukkah?transaction_id=4839076481" TargetMode="External"/><Relationship Id="rId2847" Type="http://schemas.openxmlformats.org/officeDocument/2006/relationships/hyperlink" Target="https://www.etsy.com/ca/listing/4376389783/player-2-baby-romper-gamer-baby-outfit?transaction_id=4905193530" TargetMode="External"/><Relationship Id="rId88" Type="http://schemas.openxmlformats.org/officeDocument/2006/relationships/hyperlink" Target="https://www.etsy.com/listing/4516827753/new-to-the-hive-baby-bodysuit-bee-baby?transaction_id=5096011416" TargetMode="External"/><Relationship Id="rId819" Type="http://schemas.openxmlformats.org/officeDocument/2006/relationships/hyperlink" Target="https://www.etsy.com/ca/listing/4376399899/the-littlest-book-club-member-baby?transaction_id=5042513010" TargetMode="External"/><Relationship Id="rId1004" Type="http://schemas.openxmlformats.org/officeDocument/2006/relationships/hyperlink" Target="https://www.etsy.com/ca/listing/4336900156/personalized-soccer-baby-romper?transaction_id=5008201224" TargetMode="External"/><Relationship Id="rId1211" Type="http://schemas.openxmlformats.org/officeDocument/2006/relationships/hyperlink" Target="https://www.etsy.com/ca/listing/4330485404/cat-face-embroidered-baby-romper-funny?transaction_id=4975575138" TargetMode="External"/><Relationship Id="rId1656" Type="http://schemas.openxmlformats.org/officeDocument/2006/relationships/hyperlink" Target="https://www.etsy.com/listing/4462707332/daddys-future-golf-buddy-baby-bodysuit?transaction_id=5049030855" TargetMode="External"/><Relationship Id="rId1863" Type="http://schemas.openxmlformats.org/officeDocument/2006/relationships/hyperlink" Target="https://www.etsy.com/ca/listing/4330488178/new-to-the-club-embroidered-baby-romper?transaction_id=4707355032" TargetMode="External"/><Relationship Id="rId2707" Type="http://schemas.openxmlformats.org/officeDocument/2006/relationships/hyperlink" Target="https://www.etsy.com/ca/listing/4330488178/embroidered-golf-baby-romper-new-to-the?transaction_id=4883687990" TargetMode="External"/><Relationship Id="rId2914" Type="http://schemas.openxmlformats.org/officeDocument/2006/relationships/hyperlink" Target="https://www.etsy.com/ca/listing/4330486464/crawl-walk-hunt-baby-romper-embroidered?transaction_id=4910100320" TargetMode="External"/><Relationship Id="rId1309" Type="http://schemas.openxmlformats.org/officeDocument/2006/relationships/hyperlink" Target="https://www.etsy.com/listing/4404016464/player-3-has-entered-the-game?transaction_id=5052362998" TargetMode="External"/><Relationship Id="rId1516" Type="http://schemas.openxmlformats.org/officeDocument/2006/relationships/hyperlink" Target="https://www.etsy.com/listing/4507001437/outwit-outplay-outnap-embroidered-baby?transaction_id=5107196821" TargetMode="External"/><Relationship Id="rId1723" Type="http://schemas.openxmlformats.org/officeDocument/2006/relationships/hyperlink" Target="https://www.etsy.com/ca/listing/4330504943/born-to-play-like-my-daddy-baby-romper?transaction_id=4649774246" TargetMode="External"/><Relationship Id="rId1930" Type="http://schemas.openxmlformats.org/officeDocument/2006/relationships/hyperlink" Target="https://www.etsy.com/ca/listing/4330485404/cat-face-embroidered-baby-romper-my?transaction_id=4742843379" TargetMode="External"/><Relationship Id="rId3176" Type="http://schemas.openxmlformats.org/officeDocument/2006/relationships/hyperlink" Target="https://www.etsy.com/ca/listing/4376401181/challah-at-your-girl-baby-bodysuit-funny?transaction_id=4937634946" TargetMode="External"/><Relationship Id="rId3383" Type="http://schemas.openxmlformats.org/officeDocument/2006/relationships/hyperlink" Target="https://www.etsy.com/ca/listing/4330485404/cat-face-embroidered-baby-romper-funny?transaction_id=4966707238" TargetMode="External"/><Relationship Id="rId15" Type="http://schemas.openxmlformats.org/officeDocument/2006/relationships/hyperlink" Target="https://www.etsy.com/listing/4421358682/born-to-play-basketball-like-my-daddy?transaction_id=5069459584" TargetMode="External"/><Relationship Id="rId2192" Type="http://schemas.openxmlformats.org/officeDocument/2006/relationships/hyperlink" Target="https://www.etsy.com/ca/listing/4379182759/golf-baby-outfit-custom-name-golf-cart?transaction_id=4801856889" TargetMode="External"/><Relationship Id="rId3036" Type="http://schemas.openxmlformats.org/officeDocument/2006/relationships/hyperlink" Target="https://www.etsy.com/ca/listing/4376399899/the-littlest-book-club-member-baby?transaction_id=4921575824" TargetMode="External"/><Relationship Id="rId3243" Type="http://schemas.openxmlformats.org/officeDocument/2006/relationships/hyperlink" Target="https://www.etsy.com/ca/listing/4376399899/the-littlest-book-club-member-baby?transaction_id=4945116826" TargetMode="External"/><Relationship Id="rId164" Type="http://schemas.openxmlformats.org/officeDocument/2006/relationships/hyperlink" Target="https://www.etsy.com/listing/4448380248/see-you-on-the-court-baby-romper?transaction_id=5010382655" TargetMode="External"/><Relationship Id="rId371" Type="http://schemas.openxmlformats.org/officeDocument/2006/relationships/hyperlink" Target="https://www.etsy.com/listing/4500801384/little-peanut-baby-bodysuit-embroidered?transaction_id=5081464834" TargetMode="External"/><Relationship Id="rId2052" Type="http://schemas.openxmlformats.org/officeDocument/2006/relationships/hyperlink" Target="https://www.etsy.com/ca/listing/4336907597/custom-running-baby-romper-daddys-future?transaction_id=4770390255" TargetMode="External"/><Relationship Id="rId2497" Type="http://schemas.openxmlformats.org/officeDocument/2006/relationships/hyperlink" Target="https://www.etsy.com/ca/listing/4371125103/personalized-dog-baby-bodysuit-custom?transaction_id=4848772802" TargetMode="External"/><Relationship Id="rId469" Type="http://schemas.openxmlformats.org/officeDocument/2006/relationships/hyperlink" Target="https://www.etsy.com/listing/4444631598/first-edition-published-2026-embroidered?transaction_id=4948240154" TargetMode="External"/><Relationship Id="rId676" Type="http://schemas.openxmlformats.org/officeDocument/2006/relationships/hyperlink" Target="https://www.etsy.com/ca/listing/4507678260/fathers-day-baby-girl-outfit-daddys?transaction_id=5085872865" TargetMode="External"/><Relationship Id="rId883" Type="http://schemas.openxmlformats.org/officeDocument/2006/relationships/hyperlink" Target="https://www.etsy.com/ca/listing/4376399899/the-littlest-book-club-member-baby?transaction_id=5042512311" TargetMode="External"/><Relationship Id="rId1099" Type="http://schemas.openxmlformats.org/officeDocument/2006/relationships/hyperlink" Target="https://www.etsy.com/ca/listing/4376399899/the-littlest-book-club-member-baby?transaction_id=5003583273" TargetMode="External"/><Relationship Id="rId2357" Type="http://schemas.openxmlformats.org/officeDocument/2006/relationships/hyperlink" Target="https://www.etsy.com/ca/listing/4392929794/little-latke-embroidered-romper-hanukkah?transaction_id=4823057016" TargetMode="External"/><Relationship Id="rId2564" Type="http://schemas.openxmlformats.org/officeDocument/2006/relationships/hyperlink" Target="https://www.etsy.com/ca/listing/4392932100/born-to-ride-with-my-daddy-embroidered?transaction_id=4860100358" TargetMode="External"/><Relationship Id="rId3103" Type="http://schemas.openxmlformats.org/officeDocument/2006/relationships/hyperlink" Target="https://www.etsy.com/ca/listing/4376399899/the-littlest-book-club-member-baby?transaction_id=4940500239" TargetMode="External"/><Relationship Id="rId3310" Type="http://schemas.openxmlformats.org/officeDocument/2006/relationships/hyperlink" Target="https://www.etsy.com/ca/listing/4392935796/box-box-for-fresh-diapers-embroidered?transaction_id=4965091119" TargetMode="External"/><Relationship Id="rId231" Type="http://schemas.openxmlformats.org/officeDocument/2006/relationships/hyperlink" Target="https://www.etsy.com/listing/4436476647/golf-baby-romper-embroidered-golf-theme?transaction_id=5035725219" TargetMode="External"/><Relationship Id="rId329" Type="http://schemas.openxmlformats.org/officeDocument/2006/relationships/hyperlink" Target="https://www.etsy.com/ca/listing/4449569507/mom-and-dads-game-changer-baby-romper?transaction_id=5015439286" TargetMode="External"/><Relationship Id="rId536" Type="http://schemas.openxmlformats.org/officeDocument/2006/relationships/hyperlink" Target="https://www.etsy.com/ca/listing/4347260564/football-baby-romper-game-day-baby?transaction_id=5107714843" TargetMode="External"/><Relationship Id="rId1166" Type="http://schemas.openxmlformats.org/officeDocument/2006/relationships/hyperlink" Target="https://www.etsy.com/ca/listing/4344232490/freshly-brewed-baby-bodysuit-cute-coffee?transaction_id=4984464432" TargetMode="External"/><Relationship Id="rId1373" Type="http://schemas.openxmlformats.org/officeDocument/2006/relationships/hyperlink" Target="https://www.etsy.com/listing/4408354290/born-to-run-with-dad-baby-romper-runner?transaction_id=5080019032" TargetMode="External"/><Relationship Id="rId2217" Type="http://schemas.openxmlformats.org/officeDocument/2006/relationships/hyperlink" Target="https://www.etsy.com/listing/4330492936/a-roar-able-dinosaur-baby-bodysuit-cute" TargetMode="External"/><Relationship Id="rId2771" Type="http://schemas.openxmlformats.org/officeDocument/2006/relationships/hyperlink" Target="https://www.etsy.com/ca/listing/4344232490/freshly-brewed-baby-bodysuit-cute-coffee?transaction_id=4896684618" TargetMode="External"/><Relationship Id="rId2869" Type="http://schemas.openxmlformats.org/officeDocument/2006/relationships/hyperlink" Target="https://www.etsy.com/ca/listing/4376399899/the-littlest-book-club-member-baby?transaction_id=4906130344" TargetMode="External"/><Relationship Id="rId743" Type="http://schemas.openxmlformats.org/officeDocument/2006/relationships/hyperlink" Target="https://www.etsy.com/ca/listing/4476226361/funny-pony-baby-romper-cute-girl-newborn?transaction_id=5070105779" TargetMode="External"/><Relationship Id="rId950" Type="http://schemas.openxmlformats.org/officeDocument/2006/relationships/hyperlink" Target="https://www.etsy.com/ca/listing/4392929794/little-latke-embroidered-romper-hanukkah?transaction_id=5020415034" TargetMode="External"/><Relationship Id="rId1026" Type="http://schemas.openxmlformats.org/officeDocument/2006/relationships/hyperlink" Target="https://www.etsy.com/ca/listing/4344231895/embroidered-baby-romper-shhh-im-reading?transaction_id=5014064455" TargetMode="External"/><Relationship Id="rId1580" Type="http://schemas.openxmlformats.org/officeDocument/2006/relationships/hyperlink" Target="https://www.etsy.com/listing/4513488423/big-cousin-club-embroidered-romper?transaction_id=5087847766" TargetMode="External"/><Relationship Id="rId1678" Type="http://schemas.openxmlformats.org/officeDocument/2006/relationships/hyperlink" Target="https://www.etsy.com/listing/4452247143/custom-team-name-basketball-embroidered?transaction_id=5078244672" TargetMode="External"/><Relationship Id="rId1885" Type="http://schemas.openxmlformats.org/officeDocument/2006/relationships/hyperlink" Target="https://www.etsy.com/ca/listing/4330485404/cat-face-embroidered-baby-romper-my?transaction_id=4728548465" TargetMode="External"/><Relationship Id="rId2424" Type="http://schemas.openxmlformats.org/officeDocument/2006/relationships/hyperlink" Target="https://www.etsy.com/ca/listing/4330488178/embroidered-golf-baby-romper-new-to-the?transaction_id=4831215414" TargetMode="External"/><Relationship Id="rId2631" Type="http://schemas.openxmlformats.org/officeDocument/2006/relationships/hyperlink" Target="https://www.etsy.com/ca/listing/4376399899/the-littlest-book-club-member-baby?transaction_id=4870302272" TargetMode="External"/><Relationship Id="rId2729" Type="http://schemas.openxmlformats.org/officeDocument/2006/relationships/hyperlink" Target="https://www.etsy.com/ca/listing/4376399899/the-littlest-book-club-member-baby?transaction_id=4905456551" TargetMode="External"/><Relationship Id="rId2936" Type="http://schemas.openxmlformats.org/officeDocument/2006/relationships/hyperlink" Target="https://www.etsy.com/ca/listing/4392935796/box-box-for-fresh-diapers-embroidered?transaction_id=4925350807" TargetMode="External"/><Relationship Id="rId603" Type="http://schemas.openxmlformats.org/officeDocument/2006/relationships/hyperlink" Target="https://www.etsy.com/ca/listing/4372352286/silly-goose-baby-romper-funny-infant?transaction_id=5088147786" TargetMode="External"/><Relationship Id="rId810" Type="http://schemas.openxmlformats.org/officeDocument/2006/relationships/hyperlink" Target="https://www.etsy.com/ca/listing/4376401181/challah-at-your-girl-baby-bodysuit-funny?transaction_id=5056959433" TargetMode="External"/><Relationship Id="rId908" Type="http://schemas.openxmlformats.org/officeDocument/2006/relationships/hyperlink" Target="https://www.etsy.com/ca/listing/4376399899/the-littlest-book-club-member-baby?transaction_id=5039137937" TargetMode="External"/><Relationship Id="rId1233" Type="http://schemas.openxmlformats.org/officeDocument/2006/relationships/hyperlink" Target="https://www.etsy.com/ca/listing/4392936921/apparently-i-like-golf-embroidered?transaction_id=4982664659" TargetMode="External"/><Relationship Id="rId1440" Type="http://schemas.openxmlformats.org/officeDocument/2006/relationships/hyperlink" Target="https://www.etsy.com/listing/4376404086/embroidered-lil-nugget-baby-bodysuit?transaction_id=5086125110" TargetMode="External"/><Relationship Id="rId1538" Type="http://schemas.openxmlformats.org/officeDocument/2006/relationships/hyperlink" Target="https://www.etsy.com/listing/4476308950/pack-my-diapers-im-going-racing?transaction_id=5111495983" TargetMode="External"/><Relationship Id="rId1300" Type="http://schemas.openxmlformats.org/officeDocument/2006/relationships/hyperlink" Target="https://www.etsy.com/in-en/listing/4477320181/personalized-mouse-name-baby-romper?transaction_id=5046991818" TargetMode="External"/><Relationship Id="rId1745" Type="http://schemas.openxmlformats.org/officeDocument/2006/relationships/hyperlink" Target="https://www.etsy.com/ca/listing/4330504943/born-to-play-like-my-daddy-baby-romper?transaction_id=4676150837" TargetMode="External"/><Relationship Id="rId1952" Type="http://schemas.openxmlformats.org/officeDocument/2006/relationships/hyperlink" Target="https://www.etsy.com/ca/listing/4346126210/daddys-future-lifting-buddy-romper-baby?transaction_id=4737423808" TargetMode="External"/><Relationship Id="rId3198" Type="http://schemas.openxmlformats.org/officeDocument/2006/relationships/hyperlink" Target="https://www.etsy.com/ca/listing/4344230374/food-critic-baby-bodysuit-funny-newborn?transaction_id=4939711722" TargetMode="External"/><Relationship Id="rId37" Type="http://schemas.openxmlformats.org/officeDocument/2006/relationships/hyperlink" Target="https://www.etsy.com/listing/4395134075/cool-like-my-uncle-embroidered-baby?transaction_id=5047186051" TargetMode="External"/><Relationship Id="rId1605" Type="http://schemas.openxmlformats.org/officeDocument/2006/relationships/hyperlink" Target="https://www.etsy.com/listing/4430824034/funny-apparently-i-like-golf-baby?transaction_id=4962620890" TargetMode="External"/><Relationship Id="rId1812" Type="http://schemas.openxmlformats.org/officeDocument/2006/relationships/hyperlink" Target="https://www.etsy.com/ca/listing/4346129239/soccer-baby-romper-embroidered-daddy-and?transaction_id=4681784078" TargetMode="External"/><Relationship Id="rId3058" Type="http://schemas.openxmlformats.org/officeDocument/2006/relationships/hyperlink" Target="https://www.etsy.com/ca/listing/4376389783/player-2-baby-romper-gamer-baby-outfit?transaction_id=4936002325" TargetMode="External"/><Relationship Id="rId3265" Type="http://schemas.openxmlformats.org/officeDocument/2006/relationships/hyperlink" Target="https://www.etsy.com/ca/listing/4330504943/embroidered-tennis-baby-romper-daddys?transaction_id=4958554841" TargetMode="External"/><Relationship Id="rId186" Type="http://schemas.openxmlformats.org/officeDocument/2006/relationships/hyperlink" Target="https://www.etsy.com/listing/4444107682/little-slam-dunk-baby-romper-basketball?transaction_id=4937783962" TargetMode="External"/><Relationship Id="rId393" Type="http://schemas.openxmlformats.org/officeDocument/2006/relationships/hyperlink" Target="https://www.etsy.com/listing/4500801384/little-peanut-baby-bodysuit-embroidered?transaction_id=5074448259" TargetMode="External"/><Relationship Id="rId2074" Type="http://schemas.openxmlformats.org/officeDocument/2006/relationships/hyperlink" Target="https://www.etsy.com/ca/listing/4372352286/silly-goose-baby-romper-funny-infant?transaction_id=4773219415" TargetMode="External"/><Relationship Id="rId2281" Type="http://schemas.openxmlformats.org/officeDocument/2006/relationships/hyperlink" Target="https://www.etsy.com/ca/listing/4330492054/embroidered-baby-romper-cutie-pie-design?transaction_id=4814767741" TargetMode="External"/><Relationship Id="rId3125" Type="http://schemas.openxmlformats.org/officeDocument/2006/relationships/hyperlink" Target="https://www.etsy.com/ca/listing/4330463387/embroidered-baby-romper-relax-mommy-is-a?transaction_id=4942606753" TargetMode="External"/><Relationship Id="rId3332" Type="http://schemas.openxmlformats.org/officeDocument/2006/relationships/hyperlink" Target="https://www.etsy.com/ca/listing/4330492936/a-roar-able-dinosaur-baby-bodysuit-cute?transaction_id=4957445120" TargetMode="External"/><Relationship Id="rId253" Type="http://schemas.openxmlformats.org/officeDocument/2006/relationships/hyperlink" Target="https://www.etsy.com/listing/4432963344/little-sunshine-embroidered-baby-romper?transaction_id=4951570744" TargetMode="External"/><Relationship Id="rId460" Type="http://schemas.openxmlformats.org/officeDocument/2006/relationships/hyperlink" Target="https://www.etsy.com/listing/4445850114/the-littlest-book-club-member-baby?transaction_id=4960221064" TargetMode="External"/><Relationship Id="rId698" Type="http://schemas.openxmlformats.org/officeDocument/2006/relationships/hyperlink" Target="https://www.etsy.com/ca/listing/4487705892/i-love-my-aunties-embroidered-baby?transaction_id=5065889804" TargetMode="External"/><Relationship Id="rId1090" Type="http://schemas.openxmlformats.org/officeDocument/2006/relationships/hyperlink" Target="https://www.etsy.com/ca/listing/4376399899/the-littlest-book-club-member-baby?transaction_id=4994301476" TargetMode="External"/><Relationship Id="rId2141" Type="http://schemas.openxmlformats.org/officeDocument/2006/relationships/hyperlink" Target="https://www.etsy.com/ca/listing/4376389783/player-2-baby-romper-gamer-baby-outfit?transaction_id=4788282177" TargetMode="External"/><Relationship Id="rId2379" Type="http://schemas.openxmlformats.org/officeDocument/2006/relationships/hyperlink" Target="https://www.etsy.com/ca/listing/4392929794/little-latke-embroidered-romper-hanukkah?transaction_id=4825675808" TargetMode="External"/><Relationship Id="rId2586" Type="http://schemas.openxmlformats.org/officeDocument/2006/relationships/hyperlink" Target="https://www.etsy.com/ca/listing/4376399899/the-littlest-book-club-member-baby?transaction_id=4879156403" TargetMode="External"/><Relationship Id="rId2793" Type="http://schemas.openxmlformats.org/officeDocument/2006/relationships/hyperlink" Target="https://www.etsy.com/ca/listing/4392935796/box-box-for-fresh-diapers-embroidered?transaction_id=4914202407" TargetMode="External"/><Relationship Id="rId113" Type="http://schemas.openxmlformats.org/officeDocument/2006/relationships/hyperlink" Target="https://www.etsy.com/listing/4512154554/custom-dog-photo-embroidered-romper?transaction_id=5087403630" TargetMode="External"/><Relationship Id="rId320" Type="http://schemas.openxmlformats.org/officeDocument/2006/relationships/hyperlink" Target="https://www.etsy.com/ca/listing/4470615480/apparently-i-like-f1-baby-romper-formula?transaction_id=5032903802" TargetMode="External"/><Relationship Id="rId558" Type="http://schemas.openxmlformats.org/officeDocument/2006/relationships/hyperlink" Target="https://www.etsy.com/ca/listing/4346126210/daddys-future-lifting-buddy-romper-baby?transaction_id=5094214706" TargetMode="External"/><Relationship Id="rId765" Type="http://schemas.openxmlformats.org/officeDocument/2006/relationships/hyperlink" Target="https://www.etsy.com/ca/listing/4392932100/born-to-ride-with-my-daddy-embroidered?transaction_id=5064875493" TargetMode="External"/><Relationship Id="rId972" Type="http://schemas.openxmlformats.org/officeDocument/2006/relationships/hyperlink" Target="https://www.etsy.com/ca/listing/4376399899/the-littlest-book-club-member-baby?transaction_id=5026204571" TargetMode="External"/><Relationship Id="rId1188" Type="http://schemas.openxmlformats.org/officeDocument/2006/relationships/hyperlink" Target="https://www.etsy.com/ca/listing/4352935112/custom-baby-romper-personalized-newborn?transaction_id=4953221190" TargetMode="External"/><Relationship Id="rId1395" Type="http://schemas.openxmlformats.org/officeDocument/2006/relationships/hyperlink" Target="https://www.etsy.com/listing/4485710996/masters-2026-augusta-national-golf-club?transaction_id=5098981545" TargetMode="External"/><Relationship Id="rId2001" Type="http://schemas.openxmlformats.org/officeDocument/2006/relationships/hyperlink" Target="https://www.etsy.com/ca/listing/4371125103/personalized-dog-baby-bodysuit-custom?transaction_id=4760992175" TargetMode="External"/><Relationship Id="rId2239" Type="http://schemas.openxmlformats.org/officeDocument/2006/relationships/hyperlink" Target="https://www.etsy.com/ca/listing/4396746353/its-a-beaut-clark-embroidered-baby?transaction_id=4809563799" TargetMode="External"/><Relationship Id="rId2446" Type="http://schemas.openxmlformats.org/officeDocument/2006/relationships/hyperlink" Target="https://www.etsy.com/ca/listing/4330478867/personalized-hippo-baby-bodysuit-custom?transaction_id=4835152714" TargetMode="External"/><Relationship Id="rId2653" Type="http://schemas.openxmlformats.org/officeDocument/2006/relationships/hyperlink" Target="https://www.etsy.com/ca/listing/4392935796/box-box-for-fresh-diapers-embroidered?transaction_id=4872736884" TargetMode="External"/><Relationship Id="rId2860" Type="http://schemas.openxmlformats.org/officeDocument/2006/relationships/hyperlink" Target="https://www.etsy.com/ca/listing/4376399899/the-littlest-book-club-member-baby?transaction_id=4905846156" TargetMode="External"/><Relationship Id="rId418" Type="http://schemas.openxmlformats.org/officeDocument/2006/relationships/hyperlink" Target="https://www.etsy.com/listing/4482263561/is-it-too-soon-to-ask-for-a-fishing-pole?transaction_id=5025653790" TargetMode="External"/><Relationship Id="rId625" Type="http://schemas.openxmlformats.org/officeDocument/2006/relationships/hyperlink" Target="https://www.etsy.com/ca/listing/4508996324/custom-name-embroidered-romper-my-daddys?transaction_id=5095263143" TargetMode="External"/><Relationship Id="rId832" Type="http://schemas.openxmlformats.org/officeDocument/2006/relationships/hyperlink" Target="https://www.etsy.com/ca/listing/4376399899/the-littlest-book-club-member-baby?transaction_id=5053093079" TargetMode="External"/><Relationship Id="rId1048" Type="http://schemas.openxmlformats.org/officeDocument/2006/relationships/hyperlink" Target="https://www.etsy.com/ca/listing/4372352286/silly-goose-baby-romper-funny-infant?transaction_id=5011242241" TargetMode="External"/><Relationship Id="rId1255" Type="http://schemas.openxmlformats.org/officeDocument/2006/relationships/hyperlink" Target="https://www.etsy.com/ca/listing/4392932100/born-to-ride-with-my-daddy-embroidered?transaction_id=4977670653" TargetMode="External"/><Relationship Id="rId1462" Type="http://schemas.openxmlformats.org/officeDocument/2006/relationships/hyperlink" Target="https://www.etsy.com/listing/4473844239/funny-f1-racing-quote-embroidered-baby?transaction_id=5088683626" TargetMode="External"/><Relationship Id="rId2306" Type="http://schemas.openxmlformats.org/officeDocument/2006/relationships/hyperlink" Target="https://www.etsy.com/ca/listing/4352935112/custom-baby-romper-personalized-newborn?transaction_id=4809851478" TargetMode="External"/><Relationship Id="rId2513" Type="http://schemas.openxmlformats.org/officeDocument/2006/relationships/hyperlink" Target="https://www.etsy.com/ca/listing/4376389783/player-2-baby-romper-gamer-baby-outfit?transaction_id=4865226661" TargetMode="External"/><Relationship Id="rId2958" Type="http://schemas.openxmlformats.org/officeDocument/2006/relationships/hyperlink" Target="https://www.etsy.com/ca/listing/4376399899/the-littlest-book-club-member-baby?transaction_id=4914909730" TargetMode="External"/><Relationship Id="rId1115" Type="http://schemas.openxmlformats.org/officeDocument/2006/relationships/hyperlink" Target="https://www.etsy.com/ca/listing/4376392339/funny-baby-romper-my-brand-of-formula?transaction_id=4992159688" TargetMode="External"/><Relationship Id="rId1322" Type="http://schemas.openxmlformats.org/officeDocument/2006/relationships/hyperlink" Target="https://www.etsy.com/listing/4444686051/new-to-the-farm-baby-romper-custom?transaction_id=5070575969" TargetMode="External"/><Relationship Id="rId1767" Type="http://schemas.openxmlformats.org/officeDocument/2006/relationships/hyperlink" Target="https://www.etsy.com/ca/listing/4330480699/little-prince-baby-romper-embroidered?transaction_id=4666670884" TargetMode="External"/><Relationship Id="rId1974" Type="http://schemas.openxmlformats.org/officeDocument/2006/relationships/hyperlink" Target="https://www.etsy.com/ca/listing/4347260564/football-baby-romper-game-day-baby?transaction_id=4744104096" TargetMode="External"/><Relationship Id="rId2720" Type="http://schemas.openxmlformats.org/officeDocument/2006/relationships/hyperlink" Target="https://www.etsy.com/ca/listing/4346128211/golf-baby-romper-embroidered-daddy-and?transaction_id=4888120484" TargetMode="External"/><Relationship Id="rId2818" Type="http://schemas.openxmlformats.org/officeDocument/2006/relationships/hyperlink" Target="https://www.etsy.com/ca/listing/4371125103/personalized-dog-baby-bodysuit-custom?transaction_id=4916381469" TargetMode="External"/><Relationship Id="rId59" Type="http://schemas.openxmlformats.org/officeDocument/2006/relationships/hyperlink" Target="https://www.etsy.com/listing/4444097981/daddys-tiny-striker-baby-romper-soccer?transaction_id=5101207676" TargetMode="External"/><Relationship Id="rId1627" Type="http://schemas.openxmlformats.org/officeDocument/2006/relationships/hyperlink" Target="https://www.etsy.com/listing/4430837644/personalized-new-to-the-crew-baby?transaction_id=5007107331" TargetMode="External"/><Relationship Id="rId1834" Type="http://schemas.openxmlformats.org/officeDocument/2006/relationships/hyperlink" Target="https://www.etsy.com/ca/listing/4330504943/born-to-play-like-my-daddy-baby-romper?transaction_id=4691410912" TargetMode="External"/><Relationship Id="rId3287" Type="http://schemas.openxmlformats.org/officeDocument/2006/relationships/hyperlink" Target="https://www.etsy.com/ca/listing/4371125103/personalized-dog-baby-bodysuit-custom?transaction_id=4962121155" TargetMode="External"/><Relationship Id="rId2096" Type="http://schemas.openxmlformats.org/officeDocument/2006/relationships/hyperlink" Target="https://www.etsy.com/ca/listing/4330485404/cat-face-embroidered-baby-romper-my?transaction_id=4769968346" TargetMode="External"/><Relationship Id="rId1901" Type="http://schemas.openxmlformats.org/officeDocument/2006/relationships/hyperlink" Target="https://www.etsy.com/ca/listing/4330485404/cat-face-embroidered-baby-romper-my?transaction_id=4735335509" TargetMode="External"/><Relationship Id="rId3147" Type="http://schemas.openxmlformats.org/officeDocument/2006/relationships/hyperlink" Target="https://www.etsy.com/ca/listing/4371125103/personalized-dog-baby-bodysuit-custom?transaction_id=4934190034" TargetMode="External"/><Relationship Id="rId3354" Type="http://schemas.openxmlformats.org/officeDocument/2006/relationships/hyperlink" Target="https://www.etsy.com/ca/listing/4346126210/daddys-future-lifting-buddy-romper-baby?transaction_id=4960733102" TargetMode="External"/><Relationship Id="rId275" Type="http://schemas.openxmlformats.org/officeDocument/2006/relationships/hyperlink" Target="https://www.etsy.com/listing/4432961851/my-daddy-plays-in-the-dirt-baby-romper?transaction_id=4913320884" TargetMode="External"/><Relationship Id="rId482" Type="http://schemas.openxmlformats.org/officeDocument/2006/relationships/hyperlink" Target="https://www.etsy.com/ca/listing/4471139539/daddys-future-hunting-buddy-baby-romper?transaction_id=5115102859" TargetMode="External"/><Relationship Id="rId2163" Type="http://schemas.openxmlformats.org/officeDocument/2006/relationships/hyperlink" Target="https://www.etsy.com/ca/listing/4330488178/new-to-the-club-embroidered-baby-romper?transaction_id=4788888486" TargetMode="External"/><Relationship Id="rId2370" Type="http://schemas.openxmlformats.org/officeDocument/2006/relationships/hyperlink" Target="https://www.etsy.com/ca/listing/4330488178/embroidered-golf-baby-romper-new-to-the?transaction_id=4834336723" TargetMode="External"/><Relationship Id="rId3007" Type="http://schemas.openxmlformats.org/officeDocument/2006/relationships/hyperlink" Target="https://www.etsy.com/ca/listing/4376399899/the-littlest-book-club-member-baby?transaction_id=4932184329" TargetMode="External"/><Relationship Id="rId3214" Type="http://schemas.openxmlformats.org/officeDocument/2006/relationships/hyperlink" Target="https://www.etsy.com/ca/listing/4371125103/personalized-dog-baby-bodysuit-custom?transaction_id=4953646437" TargetMode="External"/><Relationship Id="rId135" Type="http://schemas.openxmlformats.org/officeDocument/2006/relationships/hyperlink" Target="https://www.etsy.com/listing/4489486323/daddys-running-buddy-baby-romper-funny" TargetMode="External"/><Relationship Id="rId342" Type="http://schemas.openxmlformats.org/officeDocument/2006/relationships/hyperlink" Target="https://www.etsy.com/listing/4482258711/is-it-too-soon-to-ask-for-a-stethoscope?transaction_id=5106547874" TargetMode="External"/><Relationship Id="rId787" Type="http://schemas.openxmlformats.org/officeDocument/2006/relationships/hyperlink" Target="https://www.etsy.com/ca/listing/4336903235/personalized-tennis-baby-romper?transaction_id=5048860854" TargetMode="External"/><Relationship Id="rId994" Type="http://schemas.openxmlformats.org/officeDocument/2006/relationships/hyperlink" Target="https://www.etsy.com/ca/listing/4467440237/the-littlest-coffee-club-member-baby?transaction_id=5020596985" TargetMode="External"/><Relationship Id="rId2023" Type="http://schemas.openxmlformats.org/officeDocument/2006/relationships/hyperlink" Target="https://www.etsy.com/ca/listing/4372352286/silly-goose-baby-romper-funny-infant?transaction_id=4766191571" TargetMode="External"/><Relationship Id="rId2230" Type="http://schemas.openxmlformats.org/officeDocument/2006/relationships/hyperlink" Target="https://www.etsy.com/ca/listing/4330504943/embroidered-tennis-baby-romper-daddys?transaction_id=4807498661" TargetMode="External"/><Relationship Id="rId2468" Type="http://schemas.openxmlformats.org/officeDocument/2006/relationships/hyperlink" Target="https://www.etsy.com/ca/listing/4376399899/the-littlest-book-club-member-baby?transaction_id=4855773915" TargetMode="External"/><Relationship Id="rId2675" Type="http://schemas.openxmlformats.org/officeDocument/2006/relationships/hyperlink" Target="https://www.etsy.com/ca/listing/4376389783/player-2-baby-romper-gamer-baby-outfit?transaction_id=4877439160" TargetMode="External"/><Relationship Id="rId2882" Type="http://schemas.openxmlformats.org/officeDocument/2006/relationships/hyperlink" Target="https://www.etsy.com/ca/listing/4330488178/embroidered-golf-baby-romper-new-to-the?transaction_id=4920892779" TargetMode="External"/><Relationship Id="rId202" Type="http://schemas.openxmlformats.org/officeDocument/2006/relationships/hyperlink" Target="https://www.etsy.com/listing/4440230726/crawl-walk-snowmobile-baby-romper?transaction_id=5096550531" TargetMode="External"/><Relationship Id="rId647" Type="http://schemas.openxmlformats.org/officeDocument/2006/relationships/hyperlink" Target="https://www.etsy.com/ca/listing/4503545399/little-meatball-baby-romper-embroidered?transaction_id=5077838194" TargetMode="External"/><Relationship Id="rId854" Type="http://schemas.openxmlformats.org/officeDocument/2006/relationships/hyperlink" Target="https://www.etsy.com/ca/listing/4330504943/embroidered-tennis-baby-romper-daddys?transaction_id=5036592608" TargetMode="External"/><Relationship Id="rId1277" Type="http://schemas.openxmlformats.org/officeDocument/2006/relationships/hyperlink" Target="https://www.etsy.com/listing/4485710996/masters-2026-augusta-national-golf-club?transaction_id=5038461767" TargetMode="External"/><Relationship Id="rId1484" Type="http://schemas.openxmlformats.org/officeDocument/2006/relationships/hyperlink" Target="https://www.etsy.com/listing/4507008272/new-to-the-crew-embroidered-baby-romper?transaction_id=5090787170" TargetMode="External"/><Relationship Id="rId1691" Type="http://schemas.openxmlformats.org/officeDocument/2006/relationships/hyperlink" Target="https://www.etsy.com/listing/4350639885/my-sibling-has-paws-baby-romper?transaction_id=4715472462" TargetMode="External"/><Relationship Id="rId2328" Type="http://schemas.openxmlformats.org/officeDocument/2006/relationships/hyperlink" Target="https://www.etsy.com/ca/listing/4392932100/born-to-ride-with-my-daddy-embroidered?transaction_id=4814144518" TargetMode="External"/><Relationship Id="rId2535" Type="http://schemas.openxmlformats.org/officeDocument/2006/relationships/hyperlink" Target="https://www.etsy.com/ca/listing/4371125103/personalized-dog-baby-bodysuit-custom?transaction_id=4856097780" TargetMode="External"/><Relationship Id="rId2742" Type="http://schemas.openxmlformats.org/officeDocument/2006/relationships/hyperlink" Target="https://www.etsy.com/ca/listing/4330488178/embroidered-golf-baby-romper-new-to-the?transaction_id=4891446486" TargetMode="External"/><Relationship Id="rId507" Type="http://schemas.openxmlformats.org/officeDocument/2006/relationships/hyperlink" Target="https://www.etsy.com/ca/listing/4503552705/check-engine-diaper-baby-romper?transaction_id=5111940185" TargetMode="External"/><Relationship Id="rId714" Type="http://schemas.openxmlformats.org/officeDocument/2006/relationships/hyperlink" Target="https://www.etsy.com/ca/listing/4336907597/custom-running-baby-romper-daddys-future?transaction_id=5075645155" TargetMode="External"/><Relationship Id="rId921" Type="http://schemas.openxmlformats.org/officeDocument/2006/relationships/hyperlink" Target="https://www.etsy.com/ca/listing/4392932100/born-to-ride-with-my-daddy-embroidered?transaction_id=5036215455" TargetMode="External"/><Relationship Id="rId1137" Type="http://schemas.openxmlformats.org/officeDocument/2006/relationships/hyperlink" Target="https://www.etsy.com/ca/listing/4376392339/funny-baby-romper-my-brand-of-formula?transaction_id=4989145366" TargetMode="External"/><Relationship Id="rId1344" Type="http://schemas.openxmlformats.org/officeDocument/2006/relationships/hyperlink" Target="https://www.etsy.com/listing/4485710161/apparently-i-like-running-embroidered?transaction_id=5081568415" TargetMode="External"/><Relationship Id="rId1551" Type="http://schemas.openxmlformats.org/officeDocument/2006/relationships/hyperlink" Target="https://www.etsy.com/listing/4507001437/outwit-outplay-outnap-embroidered-baby?transaction_id=5105816734" TargetMode="External"/><Relationship Id="rId1789" Type="http://schemas.openxmlformats.org/officeDocument/2006/relationships/hyperlink" Target="https://www.etsy.com/ca/listing/4330488178/new-to-the-club-embroidered-baby-romper?transaction_id=4671813296" TargetMode="External"/><Relationship Id="rId1996" Type="http://schemas.openxmlformats.org/officeDocument/2006/relationships/hyperlink" Target="https://www.etsy.com/ca/listing/4333134764/wizard-font-baby-romper-personalized?transaction_id=4759660065" TargetMode="External"/><Relationship Id="rId2602" Type="http://schemas.openxmlformats.org/officeDocument/2006/relationships/hyperlink" Target="https://www.etsy.com/ca/listing/4330488178/embroidered-golf-baby-romper-new-to-the?transaction_id=4867118654" TargetMode="External"/><Relationship Id="rId50" Type="http://schemas.openxmlformats.org/officeDocument/2006/relationships/hyperlink" Target="https://www.etsy.com/listing/4512152650/custom-pet-photo-embroidered-romper?transaction_id=5111674143" TargetMode="External"/><Relationship Id="rId1204" Type="http://schemas.openxmlformats.org/officeDocument/2006/relationships/hyperlink" Target="https://www.etsy.com/ca/listing/4392935796/box-box-for-fresh-diapers-embroidered?transaction_id=4988163289" TargetMode="External"/><Relationship Id="rId1411" Type="http://schemas.openxmlformats.org/officeDocument/2006/relationships/hyperlink" Target="https://www.etsy.com/listing/4493302667/newest-hunting-buddy-embroidered-baby?transaction_id=5102828319" TargetMode="External"/><Relationship Id="rId1649" Type="http://schemas.openxmlformats.org/officeDocument/2006/relationships/hyperlink" Target="https://www.etsy.com/listing/4429015692/personalized-daddys-badminton-buddy?transaction_id=5024012578" TargetMode="External"/><Relationship Id="rId1856" Type="http://schemas.openxmlformats.org/officeDocument/2006/relationships/hyperlink" Target="https://www.etsy.com/ca/listing/4330504943/born-to-play-like-my-daddy-baby-romper?transaction_id=4714761471" TargetMode="External"/><Relationship Id="rId2907" Type="http://schemas.openxmlformats.org/officeDocument/2006/relationships/hyperlink" Target="https://www.etsy.com/ca/listing/4333134764/wizard-font-baby-romper-personalized?transaction_id=4909635090" TargetMode="External"/><Relationship Id="rId3071" Type="http://schemas.openxmlformats.org/officeDocument/2006/relationships/hyperlink" Target="https://www.etsy.com/ca/listing/4376389783/player-2-baby-romper-gamer-baby-outfit?transaction_id=4924402406" TargetMode="External"/><Relationship Id="rId1509" Type="http://schemas.openxmlformats.org/officeDocument/2006/relationships/hyperlink" Target="https://www.etsy.com/listing/4347838451/custom-embroidered-nonnas-little?transaction_id=5106124025" TargetMode="External"/><Relationship Id="rId1716" Type="http://schemas.openxmlformats.org/officeDocument/2006/relationships/hyperlink" Target="https://www.etsy.com/listing/4318314926/little-prince-baby-romper-embroidered?ref=shop_home_active_1&amp;logging_key=6f5d653e9e799e8cd1e69f97b36830c767b2374d%3A4318314926" TargetMode="External"/><Relationship Id="rId1923" Type="http://schemas.openxmlformats.org/officeDocument/2006/relationships/hyperlink" Target="https://www.etsy.com/ca/listing/4344235128/new-to-the-hive-baby-romper-embroidered?transaction_id=4730370306" TargetMode="External"/><Relationship Id="rId3169" Type="http://schemas.openxmlformats.org/officeDocument/2006/relationships/hyperlink" Target="https://www.etsy.com/ca/listing/4376399899/the-littlest-book-club-member-baby?transaction_id=4936925444" TargetMode="External"/><Relationship Id="rId3376" Type="http://schemas.openxmlformats.org/officeDocument/2006/relationships/hyperlink" Target="https://www.etsy.com/ca/listing/4336900156/personalized-soccer-baby-romper?transaction_id=4965604302" TargetMode="External"/><Relationship Id="rId297" Type="http://schemas.openxmlformats.org/officeDocument/2006/relationships/hyperlink" Target="https://www.etsy.com/ca/listing/4470016481/milk-then-burpees-embroidered-baby?transaction_id=5091484591" TargetMode="External"/><Relationship Id="rId2185" Type="http://schemas.openxmlformats.org/officeDocument/2006/relationships/hyperlink" Target="https://www.etsy.com/ca/listing/4330485404/cat-face-embroidered-baby-romper-my?transaction_id=4793202970" TargetMode="External"/><Relationship Id="rId2392" Type="http://schemas.openxmlformats.org/officeDocument/2006/relationships/hyperlink" Target="https://www.etsy.com/ca/listing/4392929794/little-latke-embroidered-romper-hanukkah?transaction_id=4826804620" TargetMode="External"/><Relationship Id="rId3029" Type="http://schemas.openxmlformats.org/officeDocument/2006/relationships/hyperlink" Target="https://www.etsy.com/ca/listing/4330485404/cat-face-embroidered-baby-romper-funny?transaction_id=4921211826" TargetMode="External"/><Relationship Id="rId3236" Type="http://schemas.openxmlformats.org/officeDocument/2006/relationships/hyperlink" Target="https://www.etsy.com/ca/listing/4330485404/cat-face-embroidered-baby-romper-funny?transaction_id=4955249583" TargetMode="External"/><Relationship Id="rId157" Type="http://schemas.openxmlformats.org/officeDocument/2006/relationships/hyperlink" Target="https://www.etsy.com/listing/4444103023/crawl-walk-snowmobile-baby-romper-funny?transaction_id=5024368100" TargetMode="External"/><Relationship Id="rId364" Type="http://schemas.openxmlformats.org/officeDocument/2006/relationships/hyperlink" Target="https://www.etsy.com/listing/4445813825/grandpas-future-sailing-buddy?transaction_id=5089352856" TargetMode="External"/><Relationship Id="rId2045" Type="http://schemas.openxmlformats.org/officeDocument/2006/relationships/hyperlink" Target="https://www.etsy.com/ca/listing/4346126210/daddys-future-lifting-buddy-romper-baby?transaction_id=4759188558" TargetMode="External"/><Relationship Id="rId2697" Type="http://schemas.openxmlformats.org/officeDocument/2006/relationships/hyperlink" Target="https://www.etsy.com/ca/listing/4392936688/shhh-im-watching-motogp-with-daddy?transaction_id=4882341734" TargetMode="External"/><Relationship Id="rId571" Type="http://schemas.openxmlformats.org/officeDocument/2006/relationships/hyperlink" Target="https://www.etsy.com/ca/listing/4510983683/daddys-first-fathers-day-romper?transaction_id=5092557110" TargetMode="External"/><Relationship Id="rId669" Type="http://schemas.openxmlformats.org/officeDocument/2006/relationships/hyperlink" Target="https://www.etsy.com/ca/listing/4346126210/daddys-future-lifting-buddy-romper-baby?transaction_id=5086795403" TargetMode="External"/><Relationship Id="rId876" Type="http://schemas.openxmlformats.org/officeDocument/2006/relationships/hyperlink" Target="https://www.etsy.com/ca/listing/4482810867/custom-name-first-mothers-day-baby?transaction_id=5043266585" TargetMode="External"/><Relationship Id="rId1299" Type="http://schemas.openxmlformats.org/officeDocument/2006/relationships/hyperlink" Target="https://www.etsy.com/listing/4442577224/im-the-new-guy-embroidered-baby?transaction_id=5043700114" TargetMode="External"/><Relationship Id="rId2252" Type="http://schemas.openxmlformats.org/officeDocument/2006/relationships/hyperlink" Target="https://www.etsy.com/ca/listing/4371125103/personalized-dog-baby-bodysuit-custom?transaction_id=4811990173" TargetMode="External"/><Relationship Id="rId2557" Type="http://schemas.openxmlformats.org/officeDocument/2006/relationships/hyperlink" Target="https://www.etsy.com/ca/listing/4346126210/daddys-future-lifting-buddy-romper-baby?transaction_id=4859129110" TargetMode="External"/><Relationship Id="rId3303" Type="http://schemas.openxmlformats.org/officeDocument/2006/relationships/hyperlink" Target="https://www.etsy.com/ca/listing/4392936921/apparently-i-like-golf-embroidered?transaction_id=4963912835" TargetMode="External"/><Relationship Id="rId224" Type="http://schemas.openxmlformats.org/officeDocument/2006/relationships/hyperlink" Target="https://www.etsy.com/listing/4440191236/pasta-baby-romper-embroidered-italian?transaction_id=5032020246" TargetMode="External"/><Relationship Id="rId431" Type="http://schemas.openxmlformats.org/officeDocument/2006/relationships/hyperlink" Target="https://www.etsy.com/listing/4445850114/the-littlest-book-club-member-baby?transaction_id=5004070906" TargetMode="External"/><Relationship Id="rId529" Type="http://schemas.openxmlformats.org/officeDocument/2006/relationships/hyperlink" Target="https://www.etsy.com/ca/listing/4376401181/challah-at-your-girl-baby-bodysuit-funny?transaction_id=5108757621" TargetMode="External"/><Relationship Id="rId736" Type="http://schemas.openxmlformats.org/officeDocument/2006/relationships/hyperlink" Target="https://www.etsy.com/ca/listing/4376399899/the-littlest-book-club-member-baby?transaction_id=5071507279" TargetMode="External"/><Relationship Id="rId1061" Type="http://schemas.openxmlformats.org/officeDocument/2006/relationships/hyperlink" Target="https://www.etsy.com/ca/listing/4467440237/the-littlest-coffee-club-member-baby?transaction_id=5007382239" TargetMode="External"/><Relationship Id="rId1159" Type="http://schemas.openxmlformats.org/officeDocument/2006/relationships/hyperlink" Target="https://www.etsy.com/ca/listing/4376399899/the-littlest-book-club-member-baby?transaction_id=4955231794" TargetMode="External"/><Relationship Id="rId1366" Type="http://schemas.openxmlformats.org/officeDocument/2006/relationships/hyperlink" Target="https://www.etsy.com/listing/4475403120/future-drummer-like-daddy-embroidered?transaction_id=5076993930" TargetMode="External"/><Relationship Id="rId2112" Type="http://schemas.openxmlformats.org/officeDocument/2006/relationships/hyperlink" Target="https://www.etsy.com/ca/listing/4336907597/custom-running-baby-romper-daddys-future?transaction_id=4783207265" TargetMode="External"/><Relationship Id="rId2417" Type="http://schemas.openxmlformats.org/officeDocument/2006/relationships/hyperlink" Target="https://www.etsy.com/ca/listing/4346126210/daddys-future-lifting-buddy-romper-baby?transaction_id=4840540997" TargetMode="External"/><Relationship Id="rId2764" Type="http://schemas.openxmlformats.org/officeDocument/2006/relationships/hyperlink" Target="https://www.etsy.com/ca/listing/4392935796/box-box-for-fresh-diapers-embroidered?transaction_id=4895102070" TargetMode="External"/><Relationship Id="rId2971" Type="http://schemas.openxmlformats.org/officeDocument/2006/relationships/hyperlink" Target="https://www.etsy.com/ca/listing/4376399899/the-littlest-book-club-member-baby?transaction_id=4928913677" TargetMode="External"/><Relationship Id="rId943" Type="http://schemas.openxmlformats.org/officeDocument/2006/relationships/hyperlink" Target="https://www.etsy.com/ca/listing/4346130567/hockey-baby-romper-embroidered-bodysuit?transaction_id=5031324451" TargetMode="External"/><Relationship Id="rId1019" Type="http://schemas.openxmlformats.org/officeDocument/2006/relationships/hyperlink" Target="https://www.etsy.com/ca/listing/4376399899/the-littlest-book-club-member-baby?transaction_id=5005518144" TargetMode="External"/><Relationship Id="rId1573" Type="http://schemas.openxmlformats.org/officeDocument/2006/relationships/hyperlink" Target="https://www.etsy.com/listing/4472700822/sun-baby-romper-little-ray-of-sunshine?transaction_id=5077774187" TargetMode="External"/><Relationship Id="rId1780" Type="http://schemas.openxmlformats.org/officeDocument/2006/relationships/hyperlink" Target="https://www.etsy.com/ca/listing/4330504943/born-to-play-like-my-daddy-baby-romper?transaction_id=4684296685" TargetMode="External"/><Relationship Id="rId1878" Type="http://schemas.openxmlformats.org/officeDocument/2006/relationships/hyperlink" Target="https://www.etsy.com/ca/listing/4344239173/little-pumpkin-baby-romper-fall?transaction_id=4715074104" TargetMode="External"/><Relationship Id="rId2624" Type="http://schemas.openxmlformats.org/officeDocument/2006/relationships/hyperlink" Target="https://www.etsy.com/ca/listing/4347269351/captain-crabby-baby-romper-funny-crab?ref=shop_home_active_35&amp;logging_key=2d6b1dd046c252e1bcf9e20ad9add27dd3f263c7%3A4347269351" TargetMode="External"/><Relationship Id="rId2831" Type="http://schemas.openxmlformats.org/officeDocument/2006/relationships/hyperlink" Target="https://www.etsy.com/ca/listing/4376399899/the-littlest-book-club-member-baby?transaction_id=4903598262" TargetMode="External"/><Relationship Id="rId2929" Type="http://schemas.openxmlformats.org/officeDocument/2006/relationships/hyperlink" Target="https://www.etsy.com/ca/listing/4371125103/personalized-dog-baby-bodysuit-custom?transaction_id=4911462386" TargetMode="External"/><Relationship Id="rId72" Type="http://schemas.openxmlformats.org/officeDocument/2006/relationships/hyperlink" Target="https://www.etsy.com/listing/4513575160/i-love-you-from-my-head-to-ma-toes?transaction_id=5098593642" TargetMode="External"/><Relationship Id="rId803" Type="http://schemas.openxmlformats.org/officeDocument/2006/relationships/hyperlink" Target="https://www.etsy.com/ca/listing/4346126210/daddys-future-lifting-buddy-romper-baby?transaction_id=5045392382" TargetMode="External"/><Relationship Id="rId1226" Type="http://schemas.openxmlformats.org/officeDocument/2006/relationships/hyperlink" Target="https://www.etsy.com/ca/listing/4376389783/player-2-baby-romper-gamer-baby-outfit?transaction_id=4983868413" TargetMode="External"/><Relationship Id="rId1433" Type="http://schemas.openxmlformats.org/officeDocument/2006/relationships/hyperlink" Target="https://www.etsy.com/listing/4495418873/daddys-little-caddy-golf-bag-embroidered?transaction_id=5101445220" TargetMode="External"/><Relationship Id="rId1640" Type="http://schemas.openxmlformats.org/officeDocument/2006/relationships/hyperlink" Target="https://www.etsy.com/listing/4430837644/personalized-new-to-the-crew-baby?transaction_id=5024999045" TargetMode="External"/><Relationship Id="rId1738" Type="http://schemas.openxmlformats.org/officeDocument/2006/relationships/hyperlink" Target="https://www.etsy.com/ca/listing/4333134764/wizard-font-baby-romper-personalized?transaction_id=4658878928" TargetMode="External"/><Relationship Id="rId3093" Type="http://schemas.openxmlformats.org/officeDocument/2006/relationships/hyperlink" Target="https://www.etsy.com/ca/listing/4376399899/the-littlest-book-club-member-baby?transaction_id=4939394421" TargetMode="External"/><Relationship Id="rId1500" Type="http://schemas.openxmlformats.org/officeDocument/2006/relationships/hyperlink" Target="https://www.etsy.com/listing/4507001437/outwit-outplay-outnap-embroidered-baby?transaction_id=5094508826" TargetMode="External"/><Relationship Id="rId1945" Type="http://schemas.openxmlformats.org/officeDocument/2006/relationships/hyperlink" Target="https://www.etsy.com/ca/listing/4330488178/new-to-the-club-embroidered-baby-romper?transaction_id=4746834159" TargetMode="External"/><Relationship Id="rId3160" Type="http://schemas.openxmlformats.org/officeDocument/2006/relationships/hyperlink" Target="https://www.etsy.com/ca/listing/4369766034/funny-golf-baby-romper-i-just-shanked-my?transaction_id=4935828606" TargetMode="External"/><Relationship Id="rId1805" Type="http://schemas.openxmlformats.org/officeDocument/2006/relationships/hyperlink" Target="https://www.etsy.com/ca/listing/4330482502/mama-is-my-bestie-romper-embroidered?transaction_id=4693585207" TargetMode="External"/><Relationship Id="rId3020" Type="http://schemas.openxmlformats.org/officeDocument/2006/relationships/hyperlink" Target="https://www.etsy.com/ca/listing/4376399899/the-littlest-book-club-member-baby?transaction_id=4920673408" TargetMode="External"/><Relationship Id="rId3258" Type="http://schemas.openxmlformats.org/officeDocument/2006/relationships/hyperlink" Target="https://www.etsy.com/ca/listing/4330495722/embroidered-golf-baby-romper-custom?transaction_id=4957846909" TargetMode="External"/><Relationship Id="rId179" Type="http://schemas.openxmlformats.org/officeDocument/2006/relationships/hyperlink" Target="https://www.etsy.com/listing/4448380248/see-you-on-the-court-baby-romper?transaction_id=4986999317" TargetMode="External"/><Relationship Id="rId386" Type="http://schemas.openxmlformats.org/officeDocument/2006/relationships/hyperlink" Target="https://www.etsy.com/listing/4445846846/daddys-future-golf-buddy-embroidered?transaction_id=5066325626" TargetMode="External"/><Relationship Id="rId593" Type="http://schemas.openxmlformats.org/officeDocument/2006/relationships/hyperlink" Target="https://www.etsy.com/ca/listing/4471139539/daddys-future-hunting-buddy-baby-romper?transaction_id=5100035543" TargetMode="External"/><Relationship Id="rId2067" Type="http://schemas.openxmlformats.org/officeDocument/2006/relationships/hyperlink" Target="https://www.etsy.com/ca/listing/4333134764/wizard-font-baby-romper-personalized?transaction_id=4762134210" TargetMode="External"/><Relationship Id="rId2274" Type="http://schemas.openxmlformats.org/officeDocument/2006/relationships/hyperlink" Target="https://www.etsy.com/ca/listing/4392929794/little-latke-embroidered-romper-hanukkah?transaction_id=4814210757" TargetMode="External"/><Relationship Id="rId2481" Type="http://schemas.openxmlformats.org/officeDocument/2006/relationships/hyperlink" Target="https://www.etsy.com/ca/listing/4392935796/box-box-for-fresh-diapers-embroidered?transaction_id=4845560574" TargetMode="External"/><Relationship Id="rId3118" Type="http://schemas.openxmlformats.org/officeDocument/2006/relationships/hyperlink" Target="https://www.etsy.com/ca/listing/4369779608/baby-vampire-halloween-romper-funny?transaction_id=4942275265" TargetMode="External"/><Relationship Id="rId3325" Type="http://schemas.openxmlformats.org/officeDocument/2006/relationships/hyperlink" Target="https://www.etsy.com/ca/listing/4376399899/the-littlest-book-club-member-baby?transaction_id=4967186851" TargetMode="External"/><Relationship Id="rId246" Type="http://schemas.openxmlformats.org/officeDocument/2006/relationships/hyperlink" Target="https://www.etsy.com/listing/4436466725/custom-name-sailboat-embroidered-romper?transaction_id=4980395753" TargetMode="External"/><Relationship Id="rId453" Type="http://schemas.openxmlformats.org/officeDocument/2006/relationships/hyperlink" Target="https://www.etsy.com/listing/4445821812/yes-im-treble-embroidered-baby-bodysuit?transaction_id=4986023643" TargetMode="External"/><Relationship Id="rId660" Type="http://schemas.openxmlformats.org/officeDocument/2006/relationships/hyperlink" Target="https://www.etsy.com/ca/listing/4376399899/the-littlest-book-club-member-baby?transaction_id=5088363707" TargetMode="External"/><Relationship Id="rId898" Type="http://schemas.openxmlformats.org/officeDocument/2006/relationships/hyperlink" Target="https://www.etsy.com/ca/listing/4330485404/cat-face-embroidered-baby-romper-funny?transaction_id=5040786827" TargetMode="External"/><Relationship Id="rId1083" Type="http://schemas.openxmlformats.org/officeDocument/2006/relationships/hyperlink" Target="https://www.etsy.com/ca/listing/4392935796/box-box-for-fresh-diapers-embroidered?transaction_id=4994950320" TargetMode="External"/><Relationship Id="rId1290" Type="http://schemas.openxmlformats.org/officeDocument/2006/relationships/hyperlink" Target="https://www.etsy.com/listing/4480040494/little-beach-bum-embroidered-baby-romper?transaction_id=5049925631" TargetMode="External"/><Relationship Id="rId2134" Type="http://schemas.openxmlformats.org/officeDocument/2006/relationships/hyperlink" Target="https://www.etsy.com/ca/listing/4330488178/new-to-the-club-embroidered-baby-romper?transaction_id=4787414565" TargetMode="External"/><Relationship Id="rId2341" Type="http://schemas.openxmlformats.org/officeDocument/2006/relationships/hyperlink" Target="https://www.etsy.com/ca/listing/4330474831/embroidered-hedgehog-baby-bodysuit?transaction_id=4819885272" TargetMode="External"/><Relationship Id="rId2579" Type="http://schemas.openxmlformats.org/officeDocument/2006/relationships/hyperlink" Target="https://www.etsy.com/ca/listing/4336902854/personalized-football-baby-romper-daddys?transaction_id=4877587813" TargetMode="External"/><Relationship Id="rId2786" Type="http://schemas.openxmlformats.org/officeDocument/2006/relationships/hyperlink" Target="https://www.etsy.com/ca/listing/4346126210/daddys-future-lifting-buddy-romper-baby?transaction_id=4898581806" TargetMode="External"/><Relationship Id="rId2993" Type="http://schemas.openxmlformats.org/officeDocument/2006/relationships/hyperlink" Target="https://www.etsy.com/ca/listing/4371125103/personalized-dog-baby-bodysuit-custom?transaction_id=4918230022" TargetMode="External"/><Relationship Id="rId106" Type="http://schemas.openxmlformats.org/officeDocument/2006/relationships/hyperlink" Target="https://www.etsy.com/listing/4513575160/i-love-you-from-my-head-to-ma-toes?transaction_id=5100151551" TargetMode="External"/><Relationship Id="rId313" Type="http://schemas.openxmlformats.org/officeDocument/2006/relationships/hyperlink" Target="https://www.etsy.com/ca/listing/4483717191/new-to-the-squad-embroidered-baby-romper?transaction_id=5040873354" TargetMode="External"/><Relationship Id="rId758" Type="http://schemas.openxmlformats.org/officeDocument/2006/relationships/hyperlink" Target="https://www.etsy.com/ca/listing/4477329625/custom-name-baseball-baby-romper?transaction_id=5055002930" TargetMode="External"/><Relationship Id="rId965" Type="http://schemas.openxmlformats.org/officeDocument/2006/relationships/hyperlink" Target="https://www.etsy.com/ca/listing/4376401181/challah-at-your-girl-baby-bodysuit-funny?transaction_id=5017276926" TargetMode="External"/><Relationship Id="rId1150" Type="http://schemas.openxmlformats.org/officeDocument/2006/relationships/hyperlink" Target="https://www.etsy.com/ca/listing/4343131516/embroidered-pickleball-baby-bodysuit?transaction_id=4987078544" TargetMode="External"/><Relationship Id="rId1388" Type="http://schemas.openxmlformats.org/officeDocument/2006/relationships/hyperlink" Target="https://www.etsy.com/listing/4475396971/future-barber-like-my-daddy-embroidered?transaction_id=5084301098" TargetMode="External"/><Relationship Id="rId1595" Type="http://schemas.openxmlformats.org/officeDocument/2006/relationships/hyperlink" Target="https://www.etsy.com/listing/4430837644/personalized-new-to-the-crew-baby?transaction_id=4945177054" TargetMode="External"/><Relationship Id="rId2439" Type="http://schemas.openxmlformats.org/officeDocument/2006/relationships/hyperlink" Target="https://www.etsy.com/ca/listing/4371125103/personalized-dog-baby-bodysuit-custom?transaction_id=4843925027" TargetMode="External"/><Relationship Id="rId2646" Type="http://schemas.openxmlformats.org/officeDocument/2006/relationships/hyperlink" Target="https://www.etsy.com/ca/listing/4392935796/box-box-for-fresh-diapers-embroidered?transaction_id=4872346382" TargetMode="External"/><Relationship Id="rId2853" Type="http://schemas.openxmlformats.org/officeDocument/2006/relationships/hyperlink" Target="https://www.etsy.com/ca/listing/4392936921/apparently-i-like-golf-embroidered?transaction_id=4919519099" TargetMode="External"/><Relationship Id="rId94" Type="http://schemas.openxmlformats.org/officeDocument/2006/relationships/hyperlink" Target="https://www.etsy.com/listing/4489486323/daddys-running-buddy-baby-romper-funny?transaction_id=5103663819" TargetMode="External"/><Relationship Id="rId520" Type="http://schemas.openxmlformats.org/officeDocument/2006/relationships/hyperlink" Target="https://www.etsy.com/ca/listing/4366190473/cat-face-embroidered-baby-romper-my?transaction_id=5109847945" TargetMode="External"/><Relationship Id="rId618" Type="http://schemas.openxmlformats.org/officeDocument/2006/relationships/hyperlink" Target="https://www.etsy.com/ca/listing/4467451258/the-littlest-tennis-club-member-baby?transaction_id=5084332148" TargetMode="External"/><Relationship Id="rId825" Type="http://schemas.openxmlformats.org/officeDocument/2006/relationships/hyperlink" Target="https://www.etsy.com/ca/listing/4376399899/the-littlest-book-club-member-baby?transaction_id=5041052724" TargetMode="External"/><Relationship Id="rId1248" Type="http://schemas.openxmlformats.org/officeDocument/2006/relationships/hyperlink" Target="https://www.etsy.com/ca/listing/4376399899/the-littlest-book-club-member-baby?transaction_id=4969428744" TargetMode="External"/><Relationship Id="rId1455" Type="http://schemas.openxmlformats.org/officeDocument/2006/relationships/hyperlink" Target="https://www.etsy.com/listing/4376404086/embroidered-lil-nugget-baby-bodysuit?transaction_id=5087897166" TargetMode="External"/><Relationship Id="rId1662" Type="http://schemas.openxmlformats.org/officeDocument/2006/relationships/hyperlink" Target="https://www.etsy.com/listing/4469526782/thats-my-daddy-embroidered-baby-lineman?transaction_id=5067342233" TargetMode="External"/><Relationship Id="rId2201" Type="http://schemas.openxmlformats.org/officeDocument/2006/relationships/hyperlink" Target="https://www.etsy.com/ca/listing/4376389783/player-2-baby-romper-gamer-baby-outfit?transaction_id=4802761791" TargetMode="External"/><Relationship Id="rId2506" Type="http://schemas.openxmlformats.org/officeDocument/2006/relationships/hyperlink" Target="https://www.etsy.com/ca/listing/4376392339/funny-baby-romper-my-brand-of-formula?transaction_id=4851133384" TargetMode="External"/><Relationship Id="rId1010" Type="http://schemas.openxmlformats.org/officeDocument/2006/relationships/hyperlink" Target="https://www.etsy.com/ca/listing/4392935796/box-box-for-fresh-diapers-embroidered?transaction_id=5007124268" TargetMode="External"/><Relationship Id="rId1108" Type="http://schemas.openxmlformats.org/officeDocument/2006/relationships/hyperlink" Target="https://www.etsy.com/ca/listing/4392935796/box-box-for-fresh-diapers-embroidered?transaction_id=5002616643" TargetMode="External"/><Relationship Id="rId1315" Type="http://schemas.openxmlformats.org/officeDocument/2006/relationships/hyperlink" Target="https://www.etsy.com/listing/4485710161/apparently-i-like-running-embroidered?transaction_id=5053879736" TargetMode="External"/><Relationship Id="rId1967" Type="http://schemas.openxmlformats.org/officeDocument/2006/relationships/hyperlink" Target="https://www.etsy.com/ca/listing/4330504943/born-to-play-like-my-daddy-baby-romper?transaction_id=4753374241" TargetMode="External"/><Relationship Id="rId2713" Type="http://schemas.openxmlformats.org/officeDocument/2006/relationships/hyperlink" Target="https://www.etsy.com/ca/listing/4376392339/funny-baby-romper-my-brand-of-formula?transaction_id=4884645054" TargetMode="External"/><Relationship Id="rId2920" Type="http://schemas.openxmlformats.org/officeDocument/2006/relationships/hyperlink" Target="https://www.etsy.com/ca/listing/4376399899/the-littlest-book-club-member-baby?transaction_id=4910883698" TargetMode="External"/><Relationship Id="rId1522" Type="http://schemas.openxmlformats.org/officeDocument/2006/relationships/hyperlink" Target="https://www.etsy.com/listing/4507006418/mommys-little-nugget-embroidered-baby?transaction_id=5108983961" TargetMode="External"/><Relationship Id="rId21" Type="http://schemas.openxmlformats.org/officeDocument/2006/relationships/hyperlink" Target="https://www.etsy.com/listing/4396671728/on-sundays-we-watch-with-daddy?transaction_id=5055400370" TargetMode="External"/><Relationship Id="rId2089" Type="http://schemas.openxmlformats.org/officeDocument/2006/relationships/hyperlink" Target="https://www.etsy.com/ca/listing/4330485404/cat-face-embroidered-baby-romper-my?transaction_id=4777131415" TargetMode="External"/><Relationship Id="rId2296" Type="http://schemas.openxmlformats.org/officeDocument/2006/relationships/hyperlink" Target="https://www.etsy.com/ca/listing/4392929794/little-latke-embroidered-romper-hanukkah?transaction_id=4808203700" TargetMode="External"/><Relationship Id="rId3347" Type="http://schemas.openxmlformats.org/officeDocument/2006/relationships/hyperlink" Target="https://www.etsy.com/ca/listing/4392962015/cant-wait-to-jam-with-daddy-embroidered?transaction_id=4959472408" TargetMode="External"/><Relationship Id="rId268" Type="http://schemas.openxmlformats.org/officeDocument/2006/relationships/hyperlink" Target="https://www.etsy.com/listing/4442026118/future-triathlete-baby-romper-swim-bike?transaction_id=4928835778" TargetMode="External"/><Relationship Id="rId475" Type="http://schemas.openxmlformats.org/officeDocument/2006/relationships/hyperlink" Target="https://www.etsy.com/listing/4445823088/its-alright-to-be-a-little-bitty?transaction_id=4953144105" TargetMode="External"/><Relationship Id="rId682" Type="http://schemas.openxmlformats.org/officeDocument/2006/relationships/hyperlink" Target="https://www.etsy.com/ca/listing/4372350408/my-first-football-season-baby-romper?transaction_id=5070250456" TargetMode="External"/><Relationship Id="rId2156" Type="http://schemas.openxmlformats.org/officeDocument/2006/relationships/hyperlink" Target="https://www.etsy.com/ca/listing/4330504943/born-to-play-like-my-daddy-baby-romper?transaction_id=4786479914" TargetMode="External"/><Relationship Id="rId2363" Type="http://schemas.openxmlformats.org/officeDocument/2006/relationships/hyperlink" Target="https://www.etsy.com/ca/listing/4330485404/cat-face-embroidered-baby-romper-funny?transaction_id=4823802770" TargetMode="External"/><Relationship Id="rId2570" Type="http://schemas.openxmlformats.org/officeDocument/2006/relationships/hyperlink" Target="https://www.etsy.com/ca/listing/4392929794/little-latke-embroidered-romper-hanukkah?transaction_id=4876267957" TargetMode="External"/><Relationship Id="rId3207" Type="http://schemas.openxmlformats.org/officeDocument/2006/relationships/hyperlink" Target="https://www.etsy.com/ca/listing/4376399899/the-littlest-book-club-member-baby?transaction_id=4941230498" TargetMode="External"/><Relationship Id="rId128" Type="http://schemas.openxmlformats.org/officeDocument/2006/relationships/hyperlink" Target="https://www.etsy.com/listing/4482244700/apparently-i-like-tennis-baby-romper?transaction_id=5085199419" TargetMode="External"/><Relationship Id="rId335" Type="http://schemas.openxmlformats.org/officeDocument/2006/relationships/hyperlink" Target="https://www.etsy.com/ca/listing/4470615480/apparently-i-like-f1-baby-romper-formula?transaction_id=5016427093" TargetMode="External"/><Relationship Id="rId542" Type="http://schemas.openxmlformats.org/officeDocument/2006/relationships/hyperlink" Target="https://www.etsy.com/ca/listing/4393855716/lil-chef-embroidered-romper-cute-baby?transaction_id=5107327619" TargetMode="External"/><Relationship Id="rId1172" Type="http://schemas.openxmlformats.org/officeDocument/2006/relationships/hyperlink" Target="https://www.etsy.com/ca/listing/4392935796/box-box-for-fresh-diapers-embroidered?transaction_id=4983670400" TargetMode="External"/><Relationship Id="rId2016" Type="http://schemas.openxmlformats.org/officeDocument/2006/relationships/hyperlink" Target="https://www.etsy.com/ca/listing/4371125103/personalized-dog-baby-bodysuit-custom?transaction_id=4754387044" TargetMode="External"/><Relationship Id="rId2223" Type="http://schemas.openxmlformats.org/officeDocument/2006/relationships/hyperlink" Target="https://www.etsy.com/ca/listing/4376399899/the-littlest-book-club-member-baby?transaction_id=4806670939" TargetMode="External"/><Relationship Id="rId2430" Type="http://schemas.openxmlformats.org/officeDocument/2006/relationships/hyperlink" Target="https://www.etsy.com/ca/listing/4330485404/cat-face-embroidered-baby-romper-funny?transaction_id=4842089139" TargetMode="External"/><Relationship Id="rId402" Type="http://schemas.openxmlformats.org/officeDocument/2006/relationships/hyperlink" Target="https://www.etsy.com/listing/4482267440/is-it-too-soon-to-ask-for-a-bike-baby?transaction_id=5061815209" TargetMode="External"/><Relationship Id="rId1032" Type="http://schemas.openxmlformats.org/officeDocument/2006/relationships/hyperlink" Target="https://www.etsy.com/ca/listing/4330488178/embroidered-golf-baby-romper-new-to-the?transaction_id=5013448521" TargetMode="External"/><Relationship Id="rId1989" Type="http://schemas.openxmlformats.org/officeDocument/2006/relationships/hyperlink" Target="https://www.etsy.com/ca/listing/4330482502/mama-is-my-bestie-romper-embroidered?transaction_id=4757787031" TargetMode="External"/><Relationship Id="rId1849" Type="http://schemas.openxmlformats.org/officeDocument/2006/relationships/hyperlink" Target="https://www.etsy.com/ca/listing/4330483435/little-bean-embroidered-baby-romper-cute?transaction_id=4699126392" TargetMode="External"/><Relationship Id="rId3064" Type="http://schemas.openxmlformats.org/officeDocument/2006/relationships/hyperlink" Target="https://www.etsy.com/ca/listing/4393819210/sweet-dreams-are-made-of-cheese?transaction_id=4915695277" TargetMode="External"/><Relationship Id="rId192" Type="http://schemas.openxmlformats.org/officeDocument/2006/relationships/hyperlink" Target="https://www.etsy.com/listing/4499062845/custom-name-embroidered-romper-baby-gift?transaction_id=5112430987" TargetMode="External"/><Relationship Id="rId1709" Type="http://schemas.openxmlformats.org/officeDocument/2006/relationships/hyperlink" Target="https://www.etsy.com/listing/4350639885/my-sibling-has-paws-baby-romper?transaction_id=4840273513" TargetMode="External"/><Relationship Id="rId1916" Type="http://schemas.openxmlformats.org/officeDocument/2006/relationships/hyperlink" Target="https://www.etsy.com/ca/listing/4344237213/mamas-coffee-date-baby-bodysuit-funny?transaction_id=4728825380" TargetMode="External"/><Relationship Id="rId3271" Type="http://schemas.openxmlformats.org/officeDocument/2006/relationships/hyperlink" Target="https://www.etsy.com/ca/listing/4376399899/the-littlest-book-club-member-baby?transaction_id=4949228434" TargetMode="External"/><Relationship Id="rId2080" Type="http://schemas.openxmlformats.org/officeDocument/2006/relationships/hyperlink" Target="https://www.etsy.com/ca/listing/4330488178/new-to-the-club-embroidered-baby-romper?transaction_id=4775275115" TargetMode="External"/><Relationship Id="rId3131" Type="http://schemas.openxmlformats.org/officeDocument/2006/relationships/hyperlink" Target="https://www.etsy.com/ca/listing/4371125103/personalized-dog-baby-bodysuit-custom?transaction_id=4932321700" TargetMode="External"/><Relationship Id="rId2897" Type="http://schemas.openxmlformats.org/officeDocument/2006/relationships/hyperlink" Target="https://www.etsy.com/ca/listing/4379182759/golf-baby-outfit-custom-name-golf-cart?transaction_id=4908467814" TargetMode="External"/><Relationship Id="rId869" Type="http://schemas.openxmlformats.org/officeDocument/2006/relationships/hyperlink" Target="https://www.etsy.com/ca/listing/4471141028/custom-name-embroidered-romper-i-love-my?transaction_id=5034179714" TargetMode="External"/><Relationship Id="rId1499" Type="http://schemas.openxmlformats.org/officeDocument/2006/relationships/hyperlink" Target="https://www.etsy.com/listing/4336892730/funny-golf-baby-romper-apparently-i-like?transaction_id=5104917531" TargetMode="External"/><Relationship Id="rId729" Type="http://schemas.openxmlformats.org/officeDocument/2006/relationships/hyperlink" Target="https://www.etsy.com/ca/listing/4467440237/the-littlest-coffee-club-member-baby?transaction_id=5060294894" TargetMode="External"/><Relationship Id="rId1359" Type="http://schemas.openxmlformats.org/officeDocument/2006/relationships/hyperlink" Target="https://www.etsy.com/listing/4418854736/i-cant-wait-to-jam-with-daddy-piano?transaction_id=5088179937" TargetMode="External"/><Relationship Id="rId2757" Type="http://schemas.openxmlformats.org/officeDocument/2006/relationships/hyperlink" Target="https://www.etsy.com/ca/listing/4392935796/box-box-for-fresh-diapers-embroidered?transaction_id=4909436883" TargetMode="External"/><Relationship Id="rId2964" Type="http://schemas.openxmlformats.org/officeDocument/2006/relationships/hyperlink" Target="https://www.etsy.com/ca/listing/4392935796/box-box-for-fresh-diapers-embroidered?transaction_id=4928305065" TargetMode="External"/><Relationship Id="rId936" Type="http://schemas.openxmlformats.org/officeDocument/2006/relationships/hyperlink" Target="https://www.etsy.com/ca/listing/4376399899/the-littlest-book-club-member-baby?transaction_id=5022458666" TargetMode="External"/><Relationship Id="rId1219" Type="http://schemas.openxmlformats.org/officeDocument/2006/relationships/hyperlink" Target="https://www.etsy.com/ca/listing/4392935796/box-box-for-fresh-diapers-embroidered?transaction_id=4974239244" TargetMode="External"/><Relationship Id="rId1566" Type="http://schemas.openxmlformats.org/officeDocument/2006/relationships/hyperlink" Target="https://www.etsy.com/listing/4472718936/power-lifting-baby-romper-custom-name?transaction_id=5035703080" TargetMode="External"/><Relationship Id="rId1773" Type="http://schemas.openxmlformats.org/officeDocument/2006/relationships/hyperlink" Target="https://www.etsy.com/ca/listing/4330504400/born-to-play-like-my-daddy-baby-romper?transaction_id=4667873380" TargetMode="External"/><Relationship Id="rId1980" Type="http://schemas.openxmlformats.org/officeDocument/2006/relationships/hyperlink" Target="https://www.etsy.com/ca/listing/4346126111/promoted-to-big-brother-romper?transaction_id=4756633233" TargetMode="External"/><Relationship Id="rId2617" Type="http://schemas.openxmlformats.org/officeDocument/2006/relationships/hyperlink" Target="https://www.etsy.com/ca/listing/4392929794/little-latke-embroidered-romper-hanukkah?transaction_id=4884267909" TargetMode="External"/><Relationship Id="rId2824" Type="http://schemas.openxmlformats.org/officeDocument/2006/relationships/hyperlink" Target="https://www.etsy.com/ca/listing/4372360540/taco-bout-cute-baby-romper-funny-food?transaction_id=4902844386" TargetMode="External"/><Relationship Id="rId65" Type="http://schemas.openxmlformats.org/officeDocument/2006/relationships/hyperlink" Target="https://www.etsy.com/listing/4490501214/little-cycling-club-baby-romper-bicycle?transaction_id=5110118139" TargetMode="External"/><Relationship Id="rId1426" Type="http://schemas.openxmlformats.org/officeDocument/2006/relationships/hyperlink" Target="https://www.etsy.com/listing/4481744448/powered-by-milk-funny-racing-car?transaction_id=5099279898" TargetMode="External"/><Relationship Id="rId1633" Type="http://schemas.openxmlformats.org/officeDocument/2006/relationships/hyperlink" Target="https://www.etsy.com/listing/4430076790/personalized-newest-hockey-fan-baby?transaction_id=5019104499" TargetMode="External"/><Relationship Id="rId1840" Type="http://schemas.openxmlformats.org/officeDocument/2006/relationships/hyperlink" Target="https://www.etsy.com/ca/listing/4333134764/wizard-font-baby-romper-personalized?transaction_id=4695135916" TargetMode="External"/><Relationship Id="rId1700" Type="http://schemas.openxmlformats.org/officeDocument/2006/relationships/hyperlink" Target="https://www.etsy.com/listing/4346680175/tennis-baby-romper-born-to-play-like?transaction_id=4799218134" TargetMode="External"/><Relationship Id="rId379" Type="http://schemas.openxmlformats.org/officeDocument/2006/relationships/hyperlink" Target="https://www.etsy.com/listing/4484990810/little-baker-baby-bodysuit-cute-baking?transaction_id=5090369365" TargetMode="External"/><Relationship Id="rId586" Type="http://schemas.openxmlformats.org/officeDocument/2006/relationships/hyperlink" Target="https://www.etsy.com/ca/listing/4510985933/i-go-where-mommy-goes-romper-duck-baby?transaction_id=5101211245" TargetMode="External"/><Relationship Id="rId793" Type="http://schemas.openxmlformats.org/officeDocument/2006/relationships/hyperlink" Target="https://www.etsy.com/ca/listing/4343131516/embroidered-pickleball-baby-bodysuit?transaction_id=5047506404" TargetMode="External"/><Relationship Id="rId2267" Type="http://schemas.openxmlformats.org/officeDocument/2006/relationships/hyperlink" Target="https://www.etsy.com/ca/listing/4376399899/the-littlest-book-club-member-baby?transaction_id=4813609249" TargetMode="External"/><Relationship Id="rId2474" Type="http://schemas.openxmlformats.org/officeDocument/2006/relationships/hyperlink" Target="https://www.etsy.com/ca/listing/4352935112/custom-baby-romper-personalized-newborn?transaction_id=4844419070" TargetMode="External"/><Relationship Id="rId2681" Type="http://schemas.openxmlformats.org/officeDocument/2006/relationships/hyperlink" Target="https://www.etsy.com/ca/listing/4330488178/embroidered-golf-baby-romper-new-to-the?transaction_id=4895121237" TargetMode="External"/><Relationship Id="rId3318" Type="http://schemas.openxmlformats.org/officeDocument/2006/relationships/hyperlink" Target="https://www.etsy.com/ca/listing/4376399899/the-littlest-book-club-member-baby?transaction_id=4955261716" TargetMode="External"/><Relationship Id="rId239" Type="http://schemas.openxmlformats.org/officeDocument/2006/relationships/hyperlink" Target="https://www.etsy.com/listing/4432961851/my-daddy-plays-in-the-dirt-baby-romper?transaction_id=4998711516" TargetMode="External"/><Relationship Id="rId446" Type="http://schemas.openxmlformats.org/officeDocument/2006/relationships/hyperlink" Target="https://www.etsy.com/listing/4445837519/cant-wait-to-jam-with-daddy-embroidered?transaction_id=4987483098" TargetMode="External"/><Relationship Id="rId653" Type="http://schemas.openxmlformats.org/officeDocument/2006/relationships/hyperlink" Target="https://www.etsy.com/ca/listing/4330502784/lacrosse-baby-bodysuit-born-to-play-like?transaction_id=5076344202" TargetMode="External"/><Relationship Id="rId1076" Type="http://schemas.openxmlformats.org/officeDocument/2006/relationships/hyperlink" Target="https://www.etsy.com/ca/listing/4343133680/embroidered-bowling-baby-bodysuit-crawl?transaction_id=4995732022" TargetMode="External"/><Relationship Id="rId1283" Type="http://schemas.openxmlformats.org/officeDocument/2006/relationships/hyperlink" Target="https://www.etsy.com/listing/4473734263/custom-kangaroo-embroidered-baby-romper?transaction_id=5044615789" TargetMode="External"/><Relationship Id="rId1490" Type="http://schemas.openxmlformats.org/officeDocument/2006/relationships/hyperlink" Target="https://www.etsy.com/listing/4490553331/aww-shucks-embroidered-baby-romper-cute?transaction_id=5092023768" TargetMode="External"/><Relationship Id="rId2127" Type="http://schemas.openxmlformats.org/officeDocument/2006/relationships/hyperlink" Target="https://www.etsy.com/ca/listing/4347880114/funny-baby-romper-sorry-i-tooted-outfit?transaction_id=4777943286" TargetMode="External"/><Relationship Id="rId2334" Type="http://schemas.openxmlformats.org/officeDocument/2006/relationships/hyperlink" Target="https://www.etsy.com/ca/listing/4344235128/new-to-the-hive-baby-romper-embroidered?transaction_id=4799880870" TargetMode="External"/><Relationship Id="rId306" Type="http://schemas.openxmlformats.org/officeDocument/2006/relationships/hyperlink" Target="https://www.etsy.com/ca/listing/4470615480/apparently-i-like-f1-baby-romper-formula?transaction_id=5064410381" TargetMode="External"/><Relationship Id="rId860" Type="http://schemas.openxmlformats.org/officeDocument/2006/relationships/hyperlink" Target="https://www.etsy.com/ca/listing/4333134764/wizard-font-baby-romper-personalized?transaction_id=4925553009" TargetMode="External"/><Relationship Id="rId1143" Type="http://schemas.openxmlformats.org/officeDocument/2006/relationships/hyperlink" Target="https://www.etsy.com/ca/listing/4347263856/besties-baby-romper-matching-baby-outfit?transaction_id=4987842352" TargetMode="External"/><Relationship Id="rId2541" Type="http://schemas.openxmlformats.org/officeDocument/2006/relationships/hyperlink" Target="https://www.etsy.com/ca/listing/4344231895/embroidered-baby-romper-shhh-im-reading?transaction_id=4857209988" TargetMode="External"/><Relationship Id="rId513" Type="http://schemas.openxmlformats.org/officeDocument/2006/relationships/hyperlink" Target="https://www.etsy.com/ca/listing/4507678260/fathers-day-baby-girl-outfit-daddys?transaction_id=5101026358" TargetMode="External"/><Relationship Id="rId720" Type="http://schemas.openxmlformats.org/officeDocument/2006/relationships/hyperlink" Target="https://www.etsy.com/ca/listing/4471139539/daddys-future-hunting-buddy-baby-romper?transaction_id=5062277224" TargetMode="External"/><Relationship Id="rId1350" Type="http://schemas.openxmlformats.org/officeDocument/2006/relationships/hyperlink" Target="https://www.etsy.com/listing/4493262715/new-to-the-club-golf-embroidered-baby?transaction_id=5071280368" TargetMode="External"/><Relationship Id="rId2401" Type="http://schemas.openxmlformats.org/officeDocument/2006/relationships/hyperlink" Target="https://www.etsy.com/ca/listing/4393819210/sweet-dreams-are-made-of-cheese?transaction_id=4828312364" TargetMode="External"/><Relationship Id="rId1003" Type="http://schemas.openxmlformats.org/officeDocument/2006/relationships/hyperlink" Target="https://www.etsy.com/ca/listing/4376392339/funny-baby-romper-my-brand-of-formula?transaction_id=5018525509" TargetMode="External"/><Relationship Id="rId1210" Type="http://schemas.openxmlformats.org/officeDocument/2006/relationships/hyperlink" Target="https://www.etsy.com/ca/listing/4376392339/funny-baby-romper-my-brand-of-formula?transaction_id=4975776012" TargetMode="External"/><Relationship Id="rId3175" Type="http://schemas.openxmlformats.org/officeDocument/2006/relationships/hyperlink" Target="https://www.etsy.com/ca/listing/4371125103/personalized-dog-baby-bodysuit-custom?transaction_id=4948936101" TargetMode="External"/><Relationship Id="rId3382" Type="http://schemas.openxmlformats.org/officeDocument/2006/relationships/hyperlink" Target="https://www.etsy.com/ca/listing/4376399899/the-littlest-book-club-member-baby?transaction_id=4966600456" TargetMode="External"/><Relationship Id="rId2191" Type="http://schemas.openxmlformats.org/officeDocument/2006/relationships/hyperlink" Target="https://www.etsy.com/ca/listing/4392929794/little-latke-embroidered-romper-hanukkah?transaction_id=4801754261" TargetMode="External"/><Relationship Id="rId3035" Type="http://schemas.openxmlformats.org/officeDocument/2006/relationships/hyperlink" Target="https://www.etsy.com/ca/listing/4376392339/funny-baby-romper-my-brand-of-formula?transaction_id=4921358584" TargetMode="External"/><Relationship Id="rId3242" Type="http://schemas.openxmlformats.org/officeDocument/2006/relationships/hyperlink" Target="https://www.etsy.com/ca/listing/4376399899/the-littlest-book-club-member-baby?transaction_id=4945116826" TargetMode="External"/><Relationship Id="rId163" Type="http://schemas.openxmlformats.org/officeDocument/2006/relationships/hyperlink" Target="https://www.etsy.com/listing/4467396310/little-racer-embroidered-baby-romper?transaction_id=5011787949" TargetMode="External"/><Relationship Id="rId370" Type="http://schemas.openxmlformats.org/officeDocument/2006/relationships/hyperlink" Target="https://www.etsy.com/listing/4482262637/is-it-too-soon-to-ask-for-a-motorbike?transaction_id=5093904381" TargetMode="External"/><Relationship Id="rId2051" Type="http://schemas.openxmlformats.org/officeDocument/2006/relationships/hyperlink" Target="https://www.etsy.com/ca/listing/4347263856/besties-baby-romper-matching-baby-outfit?transaction_id=4770174271" TargetMode="External"/><Relationship Id="rId3102" Type="http://schemas.openxmlformats.org/officeDocument/2006/relationships/hyperlink" Target="https://www.etsy.com/ca/listing/4392936688/shhh-im-watching-motogp-with-daddy?transaction_id=4928159008" TargetMode="External"/><Relationship Id="rId230" Type="http://schemas.openxmlformats.org/officeDocument/2006/relationships/hyperlink" Target="https://www.etsy.com/listing/4476202378/daddys-sous-chef-baby-romper-funny?transaction_id=5025405440" TargetMode="External"/><Relationship Id="rId2868" Type="http://schemas.openxmlformats.org/officeDocument/2006/relationships/hyperlink" Target="https://www.etsy.com/ca/listing/4351827687/handsome-just-like-daddy-baby-romper?transaction_id=4920029055" TargetMode="External"/><Relationship Id="rId1677" Type="http://schemas.openxmlformats.org/officeDocument/2006/relationships/hyperlink" Target="https://www.etsy.com/listing/4505389154/future-triathlete-embroidered-baby?transaction_id=5078870450" TargetMode="External"/><Relationship Id="rId1884" Type="http://schemas.openxmlformats.org/officeDocument/2006/relationships/hyperlink" Target="https://www.etsy.com/ca/listing/4330488178/new-to-the-club-embroidered-baby-romper?transaction_id=4728275669" TargetMode="External"/><Relationship Id="rId2728" Type="http://schemas.openxmlformats.org/officeDocument/2006/relationships/hyperlink" Target="https://www.etsy.com/ca/listing/4371125103/personalized-dog-baby-bodysuit-custom?transaction_id=4905085873" TargetMode="External"/><Relationship Id="rId2935" Type="http://schemas.openxmlformats.org/officeDocument/2006/relationships/hyperlink" Target="https://www.etsy.com/ca/listing/4344231895/embroidered-baby-romper-shhh-im-reading?transaction_id=4911898974" TargetMode="External"/><Relationship Id="rId907" Type="http://schemas.openxmlformats.org/officeDocument/2006/relationships/hyperlink" Target="https://www.etsy.com/ca/listing/4485619704/little-swiftie-baby-romper-taylor-fan?transaction_id=5028220264" TargetMode="External"/><Relationship Id="rId1537" Type="http://schemas.openxmlformats.org/officeDocument/2006/relationships/hyperlink" Target="https://www.etsy.com/listing/4507005480/milk-then-burpees-embroidered-baby?transaction_id=5111427017" TargetMode="External"/><Relationship Id="rId1744" Type="http://schemas.openxmlformats.org/officeDocument/2006/relationships/hyperlink" Target="https://www.etsy.com/ca/listing/4330494075/little-sprout-baby-romper-embroidered?transaction_id=4675124059" TargetMode="External"/><Relationship Id="rId1951" Type="http://schemas.openxmlformats.org/officeDocument/2006/relationships/hyperlink" Target="https://www.etsy.com/ca/listing/4330485404/cat-face-embroidered-baby-romper-my?transaction_id=4748190737" TargetMode="External"/><Relationship Id="rId36" Type="http://schemas.openxmlformats.org/officeDocument/2006/relationships/hyperlink" Target="https://www.etsy.com/listing/4395094410/do-not-kiss-me-if-im-nacho-baby?transaction_id=5035713692" TargetMode="External"/><Relationship Id="rId1604" Type="http://schemas.openxmlformats.org/officeDocument/2006/relationships/hyperlink" Target="https://www.etsy.com/listing/4437034108/daddys-future-partner-tennis-embroidered?transaction_id=4969547331" TargetMode="External"/><Relationship Id="rId1811" Type="http://schemas.openxmlformats.org/officeDocument/2006/relationships/hyperlink" Target="https://www.etsy.com/ca/listing/4336907597/custom-running-baby-romper-daddys-future?transaction_id=4694504845" TargetMode="External"/><Relationship Id="rId697" Type="http://schemas.openxmlformats.org/officeDocument/2006/relationships/hyperlink" Target="https://www.etsy.com/ca/listing/4379194627/new-to-the-farm-embroidered-romper-baby?transaction_id=5078714221" TargetMode="External"/><Relationship Id="rId2378" Type="http://schemas.openxmlformats.org/officeDocument/2006/relationships/hyperlink" Target="https://www.etsy.com/ca/listing/4392929794/little-latke-embroidered-romper-hanukkah?transaction_id=4825588060" TargetMode="External"/><Relationship Id="rId1187" Type="http://schemas.openxmlformats.org/officeDocument/2006/relationships/hyperlink" Target="https://www.etsy.com/ca/listing/4376399899/the-littlest-book-club-member-baby?transaction_id=4979421208" TargetMode="External"/><Relationship Id="rId2585" Type="http://schemas.openxmlformats.org/officeDocument/2006/relationships/hyperlink" Target="https://www.etsy.com/ca/listing/4376389783/player-2-baby-romper-gamer-baby-outfit?transaction_id=4864072150" TargetMode="External"/><Relationship Id="rId2792" Type="http://schemas.openxmlformats.org/officeDocument/2006/relationships/hyperlink" Target="https://www.etsy.com/ca/listing/4376399899/the-littlest-book-club-member-baby?transaction_id=4899385354" TargetMode="External"/><Relationship Id="rId557" Type="http://schemas.openxmlformats.org/officeDocument/2006/relationships/hyperlink" Target="https://www.etsy.com/ca/listing/4376389783/player-2-baby-romper-gamer-baby-outfit?transaction_id=5104814449" TargetMode="External"/><Relationship Id="rId764" Type="http://schemas.openxmlformats.org/officeDocument/2006/relationships/hyperlink" Target="https://www.etsy.com/ca/listing/4376399899/the-littlest-book-club-member-baby?transaction_id=5052550368" TargetMode="External"/><Relationship Id="rId971" Type="http://schemas.openxmlformats.org/officeDocument/2006/relationships/hyperlink" Target="https://www.etsy.com/ca/listing/4347260564/football-baby-romper-game-day-baby?transaction_id=5026494115" TargetMode="External"/><Relationship Id="rId1394" Type="http://schemas.openxmlformats.org/officeDocument/2006/relationships/hyperlink" Target="https://www.etsy.com/listing/4510957011/new-to-the-crew-embroidered-baby-romper?transaction_id=5098515129" TargetMode="External"/><Relationship Id="rId2238" Type="http://schemas.openxmlformats.org/officeDocument/2006/relationships/hyperlink" Target="https://www.etsy.com/ca/listing/4369778165/funny-baby-romper-resting-baby-face?transaction_id=4801750072" TargetMode="External"/><Relationship Id="rId2445" Type="http://schemas.openxmlformats.org/officeDocument/2006/relationships/hyperlink" Target="https://www.etsy.com/ca/listing/4379194627/new-to-the-farm-embroidered-romper-baby?transaction_id=4834862858" TargetMode="External"/><Relationship Id="rId2652" Type="http://schemas.openxmlformats.org/officeDocument/2006/relationships/hyperlink" Target="https://www.etsy.com/ca/listing/4376389783/player-2-baby-romper-gamer-baby-outfit?transaction_id=4895590685" TargetMode="External"/><Relationship Id="rId417" Type="http://schemas.openxmlformats.org/officeDocument/2006/relationships/hyperlink" Target="https://www.etsy.com/listing/4466846574/the-littlest-book-club-member-baby?transaction_id=5026793442" TargetMode="External"/><Relationship Id="rId624" Type="http://schemas.openxmlformats.org/officeDocument/2006/relationships/hyperlink" Target="https://www.etsy.com/ca/listing/4503545399/little-meatball-baby-romper-embroidered?transaction_id=5083354450" TargetMode="External"/><Relationship Id="rId831" Type="http://schemas.openxmlformats.org/officeDocument/2006/relationships/hyperlink" Target="https://www.etsy.com/ca/listing/4467446644/the-littlest-baking-club-member-baby?transaction_id=5040446520" TargetMode="External"/><Relationship Id="rId1047" Type="http://schemas.openxmlformats.org/officeDocument/2006/relationships/hyperlink" Target="https://www.etsy.com/ca/listing/4467449868/the-littlest-garden-club-member-baby?transaction_id=5001463758" TargetMode="External"/><Relationship Id="rId1254" Type="http://schemas.openxmlformats.org/officeDocument/2006/relationships/hyperlink" Target="https://www.etsy.com/ca/listing/4330463387/embroidered-baby-romper-relax-mommy-is-a?transaction_id=4978033783" TargetMode="External"/><Relationship Id="rId1461" Type="http://schemas.openxmlformats.org/officeDocument/2006/relationships/hyperlink" Target="https://www.etsy.com/listing/4507006418/mommys-little-nugget-embroidered-baby?transaction_id=5099541999" TargetMode="External"/><Relationship Id="rId2305" Type="http://schemas.openxmlformats.org/officeDocument/2006/relationships/hyperlink" Target="https://www.etsy.com/ca/listing/4352935112/custom-baby-romper-personalized-newborn?transaction_id=4818317325" TargetMode="External"/><Relationship Id="rId2512" Type="http://schemas.openxmlformats.org/officeDocument/2006/relationships/hyperlink" Target="https://www.etsy.com/ca/listing/4371125103/personalized-dog-baby-bodysuit-custom?transaction_id=4851875430" TargetMode="External"/><Relationship Id="rId1114" Type="http://schemas.openxmlformats.org/officeDocument/2006/relationships/hyperlink" Target="https://www.etsy.com/ca/listing/4330480699/little-prince-baby-romper-embroidered?transaction_id=5002161959" TargetMode="External"/><Relationship Id="rId1321" Type="http://schemas.openxmlformats.org/officeDocument/2006/relationships/hyperlink" Target="https://www.etsy.com/listing/4399219527/new-to-the-club-swimming-embroidered?transaction_id=5069610173" TargetMode="External"/><Relationship Id="rId3079" Type="http://schemas.openxmlformats.org/officeDocument/2006/relationships/hyperlink" Target="https://www.etsy.com/ca/listing/4371125103/personalized-dog-baby-bodysuit-custom?transaction_id=4936866023" TargetMode="External"/><Relationship Id="rId3286" Type="http://schemas.openxmlformats.org/officeDocument/2006/relationships/hyperlink" Target="https://www.etsy.com/ca/listing/4330488178/embroidered-golf-baby-romper-new-to-the?transaction_id=4962118241" TargetMode="External"/><Relationship Id="rId2095" Type="http://schemas.openxmlformats.org/officeDocument/2006/relationships/hyperlink" Target="https://www.etsy.com/ca/listing/4376392339/funny-baby-romper-my-brand-of-formula?transaction_id=4769137900" TargetMode="External"/><Relationship Id="rId3146" Type="http://schemas.openxmlformats.org/officeDocument/2006/relationships/hyperlink" Target="https://www.etsy.com/ca/listing/4393855716/lil-chef-embroidered-romper-cute-baby?transaction_id=4934134598" TargetMode="External"/><Relationship Id="rId3353" Type="http://schemas.openxmlformats.org/officeDocument/2006/relationships/hyperlink" Target="https://www.etsy.com/ca/listing/4330483435/embroidered-coffee-bean-baby-romper?transaction_id=4970840657" TargetMode="External"/><Relationship Id="rId274" Type="http://schemas.openxmlformats.org/officeDocument/2006/relationships/hyperlink" Target="https://www.etsy.com/listing/4432954535/my-other-car-seat-is-on-the-golf-cart?transaction_id=4931004395" TargetMode="External"/><Relationship Id="rId481" Type="http://schemas.openxmlformats.org/officeDocument/2006/relationships/hyperlink" Target="https://www.etsy.com/ca/listing/4467452578/the-littlest-pickleball-club-member-baby?transaction_id=5115345747" TargetMode="External"/><Relationship Id="rId2162" Type="http://schemas.openxmlformats.org/officeDocument/2006/relationships/hyperlink" Target="https://www.etsy.com/ca/listing/4392929794/little-latke-embroidered-romper-hanukkah?transaction_id=4796034497" TargetMode="External"/><Relationship Id="rId3006" Type="http://schemas.openxmlformats.org/officeDocument/2006/relationships/hyperlink" Target="https://www.etsy.com/ca/listing/4376399899/the-littlest-book-club-member-baby?transaction_id=4931985051" TargetMode="External"/><Relationship Id="rId134" Type="http://schemas.openxmlformats.org/officeDocument/2006/relationships/hyperlink" Target="https://www.etsy.com/listing/4477967584/daddys-future-lifting-partner-baby" TargetMode="External"/><Relationship Id="rId3213" Type="http://schemas.openxmlformats.org/officeDocument/2006/relationships/hyperlink" Target="https://www.etsy.com/ca/listing/4330488178/embroidered-golf-baby-romper-new-to-the?transaction_id=4954037833" TargetMode="External"/><Relationship Id="rId341" Type="http://schemas.openxmlformats.org/officeDocument/2006/relationships/hyperlink" Target="https://www.etsy.com/ca/listing/4451695034/my-first-racing-season-baby-romper?transaction_id=4964172936" TargetMode="External"/><Relationship Id="rId2022" Type="http://schemas.openxmlformats.org/officeDocument/2006/relationships/hyperlink" Target="https://www.etsy.com/ca/listing/4336899579/personalized-basketball-baby-romper?transaction_id=4766150721" TargetMode="External"/><Relationship Id="rId2979" Type="http://schemas.openxmlformats.org/officeDocument/2006/relationships/hyperlink" Target="https://www.etsy.com/ca/listing/4330493015/embroidered-mini-golfer-baby-romper?transaction_id=4916652108" TargetMode="External"/><Relationship Id="rId201" Type="http://schemas.openxmlformats.org/officeDocument/2006/relationships/hyperlink" Target="https://www.etsy.com/listing/4432961851/my-daddy-plays-in-the-dirt-baby-romper?transaction_id=5099808575" TargetMode="External"/><Relationship Id="rId1788" Type="http://schemas.openxmlformats.org/officeDocument/2006/relationships/hyperlink" Target="https://www.etsy.com/ca/listing/4330486464/crawl-walk-hunt-baby-romper-embroidered?transaction_id=4671511988" TargetMode="External"/><Relationship Id="rId1995" Type="http://schemas.openxmlformats.org/officeDocument/2006/relationships/hyperlink" Target="https://www.etsy.com/ca/listing/4347893451/little-snuggle-bug-baby-romper-ladybug?transaction_id=4748721594" TargetMode="External"/><Relationship Id="rId2839" Type="http://schemas.openxmlformats.org/officeDocument/2006/relationships/hyperlink" Target="https://www.etsy.com/ca/listing/4333134764/wizard-font-baby-romper-personalized?transaction_id=4918491641" TargetMode="External"/><Relationship Id="rId1648" Type="http://schemas.openxmlformats.org/officeDocument/2006/relationships/hyperlink" Target="https://www.etsy.com/listing/4436440178/personalized-newest-baseball-fan?transaction_id=5033693891" TargetMode="External"/><Relationship Id="rId1508" Type="http://schemas.openxmlformats.org/officeDocument/2006/relationships/hyperlink" Target="https://www.etsy.com/listing/4473845389/golf-player-outfit-embroidered-baby?transaction_id=5095327124" TargetMode="External"/><Relationship Id="rId1855" Type="http://schemas.openxmlformats.org/officeDocument/2006/relationships/hyperlink" Target="https://www.etsy.com/ca/listing/4336900156/personalized-soccer-baby-romper-daddys?transaction_id=4714293849" TargetMode="External"/><Relationship Id="rId2906" Type="http://schemas.openxmlformats.org/officeDocument/2006/relationships/hyperlink" Target="https://www.etsy.com/ca/listing/4330483435/embroidered-coffee-bean-baby-romper?transaction_id=4909628892" TargetMode="External"/><Relationship Id="rId3070" Type="http://schemas.openxmlformats.org/officeDocument/2006/relationships/hyperlink" Target="https://www.etsy.com/ca/listing/4376392339/funny-baby-romper-my-brand-of-formula?transaction_id=4936287457" TargetMode="External"/><Relationship Id="rId1715" Type="http://schemas.openxmlformats.org/officeDocument/2006/relationships/hyperlink" Target="https://www.etsy.com/listing/4350619954/personalized-tennis-baby-romper?transaction_id=4954082307" TargetMode="External"/><Relationship Id="rId1922" Type="http://schemas.openxmlformats.org/officeDocument/2006/relationships/hyperlink" Target="https://www.etsy.com/ca/listing/4330485404/cat-face-embroidered-baby-romper-my?transaction_id=4741265621" TargetMode="External"/><Relationship Id="rId2489" Type="http://schemas.openxmlformats.org/officeDocument/2006/relationships/hyperlink" Target="https://www.etsy.com/ca/listing/4371125103/personalized-dog-baby-bodysuit-custom?transaction_id=4860278387" TargetMode="External"/><Relationship Id="rId2696" Type="http://schemas.openxmlformats.org/officeDocument/2006/relationships/hyperlink" Target="https://www.etsy.com/ca/listing/4372357398/personalized-hunting-baby-romper-custom?transaction_id=4898651399" TargetMode="External"/><Relationship Id="rId668" Type="http://schemas.openxmlformats.org/officeDocument/2006/relationships/hyperlink" Target="https://www.etsy.com/ca/listing/4392935796/box-box-for-fresh-diapers-embroidered?transaction_id=5073794162" TargetMode="External"/><Relationship Id="rId875" Type="http://schemas.openxmlformats.org/officeDocument/2006/relationships/hyperlink" Target="https://www.etsy.com/ca/listing/4330488178/embroidered-golf-baby-romper-new-to-the?transaction_id=5032125592" TargetMode="External"/><Relationship Id="rId1298" Type="http://schemas.openxmlformats.org/officeDocument/2006/relationships/hyperlink" Target="https://www.etsy.com/listing/4426850215/apparently-i-like-soccer-baby-romper?transaction_id=5043481228" TargetMode="External"/><Relationship Id="rId2349" Type="http://schemas.openxmlformats.org/officeDocument/2006/relationships/hyperlink" Target="https://www.etsy.com/ca/listing/4371125103/personalized-dog-baby-bodysuit-custom?transaction_id=4830530457" TargetMode="External"/><Relationship Id="rId2556" Type="http://schemas.openxmlformats.org/officeDocument/2006/relationships/hyperlink" Target="https://www.etsy.com/ca/listing/4392962015/cant-wait-to-jam-with-daddy-embroidered?transaction_id=4873539821" TargetMode="External"/><Relationship Id="rId2763" Type="http://schemas.openxmlformats.org/officeDocument/2006/relationships/hyperlink" Target="https://www.etsy.com/ca/listing/4371125103/personalized-dog-baby-bodysuit-custom?transaction_id=4895047350" TargetMode="External"/><Relationship Id="rId2970" Type="http://schemas.openxmlformats.org/officeDocument/2006/relationships/hyperlink" Target="https://www.etsy.com/ca/listing/4376392339/funny-baby-romper-my-brand-of-formula?transaction_id=4916041924" TargetMode="External"/><Relationship Id="rId528" Type="http://schemas.openxmlformats.org/officeDocument/2006/relationships/hyperlink" Target="https://www.etsy.com/ca/listing/4347260564/football-baby-romper-game-day-baby?transaction_id=5099103656" TargetMode="External"/><Relationship Id="rId735" Type="http://schemas.openxmlformats.org/officeDocument/2006/relationships/hyperlink" Target="https://www.etsy.com/ca/listing/4346126210/daddys-future-lifting-buddy-romper-baby?transaction_id=5059005754" TargetMode="External"/><Relationship Id="rId942" Type="http://schemas.openxmlformats.org/officeDocument/2006/relationships/hyperlink" Target="https://www.etsy.com/ca/listing/4376399899/the-littlest-book-club-member-baby?transaction_id=5031475433" TargetMode="External"/><Relationship Id="rId1158" Type="http://schemas.openxmlformats.org/officeDocument/2006/relationships/hyperlink" Target="https://www.etsy.com/ca/listing/4371125103/personalized-dog-baby-bodysuit-custom?transaction_id=4996160545" TargetMode="External"/><Relationship Id="rId1365" Type="http://schemas.openxmlformats.org/officeDocument/2006/relationships/hyperlink" Target="https://www.etsy.com/listing/4490490949/daddys-little-caddy-embroidered-baby?transaction_id=5089085089" TargetMode="External"/><Relationship Id="rId1572" Type="http://schemas.openxmlformats.org/officeDocument/2006/relationships/hyperlink" Target="https://www.etsy.com/listing/4481671705/relax-my-daddy-is-a-firefighter?transaction_id=5064884800" TargetMode="External"/><Relationship Id="rId2209" Type="http://schemas.openxmlformats.org/officeDocument/2006/relationships/hyperlink" Target="https://www.etsy.com/ca/listing/4372352286/silly-goose-baby-romper-funny-infant?transaction_id=4797264906" TargetMode="External"/><Relationship Id="rId2416" Type="http://schemas.openxmlformats.org/officeDocument/2006/relationships/hyperlink" Target="https://www.etsy.com/ca/listing/4343130134/embroidered-golf-baby-bodysuit-funny?transaction_id=4840521365" TargetMode="External"/><Relationship Id="rId2623" Type="http://schemas.openxmlformats.org/officeDocument/2006/relationships/hyperlink" Target="https://www.etsy.com/ca/listing/4392935796/box-box-for-fresh-diapers-embroidered?transaction_id=4842776271" TargetMode="External"/><Relationship Id="rId1018" Type="http://schemas.openxmlformats.org/officeDocument/2006/relationships/hyperlink" Target="https://www.etsy.com/ca/listing/4467440237/the-littlest-coffee-club-member-baby?transaction_id=5015643379" TargetMode="External"/><Relationship Id="rId1225" Type="http://schemas.openxmlformats.org/officeDocument/2006/relationships/hyperlink" Target="https://www.etsy.com/ca/listing/4371125103/personalized-dog-baby-bodysuit-custom?transaction_id=4983907013" TargetMode="External"/><Relationship Id="rId1432" Type="http://schemas.openxmlformats.org/officeDocument/2006/relationships/hyperlink" Target="https://www.etsy.com/listing/4509963336/daddys-future-lifting-buddy-embroidered?transaction_id=5100005214" TargetMode="External"/><Relationship Id="rId2830" Type="http://schemas.openxmlformats.org/officeDocument/2006/relationships/hyperlink" Target="https://www.etsy.com/ca/listing/4376399899/the-littlest-book-club-member-baby?transaction_id=4917745355" TargetMode="External"/><Relationship Id="rId71" Type="http://schemas.openxmlformats.org/officeDocument/2006/relationships/hyperlink" Target="https://www.etsy.com/listing/4515499602/little-cannoli-embroidered-baby-romper?transaction_id=5109454067" TargetMode="External"/><Relationship Id="rId802" Type="http://schemas.openxmlformats.org/officeDocument/2006/relationships/hyperlink" Target="https://www.etsy.com/ca/listing/4376399899/the-littlest-book-club-member-baby?transaction_id=5058207489" TargetMode="External"/><Relationship Id="rId178" Type="http://schemas.openxmlformats.org/officeDocument/2006/relationships/hyperlink" Target="https://www.etsy.com/listing/4451626020/my-first-racing-season-embroidered-baby?transaction_id=4989285119" TargetMode="External"/><Relationship Id="rId3257" Type="http://schemas.openxmlformats.org/officeDocument/2006/relationships/hyperlink" Target="https://www.etsy.com/ca/listing/4346126210/daddys-future-lifting-buddy-romper-baby?transaction_id=4947002586" TargetMode="External"/><Relationship Id="rId385" Type="http://schemas.openxmlformats.org/officeDocument/2006/relationships/hyperlink" Target="https://www.etsy.com/listing/4495319713/newest-band-member-baby-bodysuit-music?transaction_id=5069039850" TargetMode="External"/><Relationship Id="rId592" Type="http://schemas.openxmlformats.org/officeDocument/2006/relationships/hyperlink" Target="https://www.etsy.com/ca/listing/4507678260/fathers-day-baby-girl-outfit-daddys?transaction_id=5100248865" TargetMode="External"/><Relationship Id="rId2066" Type="http://schemas.openxmlformats.org/officeDocument/2006/relationships/hyperlink" Target="https://www.etsy.com/ca/listing/4330488178/new-to-the-club-embroidered-baby-romper?transaction_id=4762085608" TargetMode="External"/><Relationship Id="rId2273" Type="http://schemas.openxmlformats.org/officeDocument/2006/relationships/hyperlink" Target="https://www.etsy.com/ca/listing/4392929794/little-latke-embroidered-romper-hanukkah?transaction_id=4806188280" TargetMode="External"/><Relationship Id="rId2480" Type="http://schemas.openxmlformats.org/officeDocument/2006/relationships/hyperlink" Target="https://www.etsy.com/ca/listing/4376401181/challah-at-your-girl-baby-bodysuit-funny?transaction_id=4858359967" TargetMode="External"/><Relationship Id="rId3117" Type="http://schemas.openxmlformats.org/officeDocument/2006/relationships/hyperlink" Target="https://www.etsy.com/ca/listing/4330488178/embroidered-golf-baby-romper-new-to-the?transaction_id=4942112259" TargetMode="External"/><Relationship Id="rId3324" Type="http://schemas.openxmlformats.org/officeDocument/2006/relationships/hyperlink" Target="https://www.etsy.com/ca/listing/4376399899/the-littlest-book-club-member-baby?transaction_id=4956296490" TargetMode="External"/><Relationship Id="rId245" Type="http://schemas.openxmlformats.org/officeDocument/2006/relationships/hyperlink" Target="https://www.etsy.com/listing/4432961851/my-daddy-plays-in-the-dirt-baby-romper?transaction_id=4974360398" TargetMode="External"/><Relationship Id="rId452" Type="http://schemas.openxmlformats.org/officeDocument/2006/relationships/hyperlink" Target="https://www.etsy.com/listing/4445820850/newest-member-of-the-band-embroidered?transaction_id=4976351672" TargetMode="External"/><Relationship Id="rId1082" Type="http://schemas.openxmlformats.org/officeDocument/2006/relationships/hyperlink" Target="https://www.etsy.com/ca/listing/4392936688/shhh-im-watching-motogp-with-daddy?transaction_id=5004928317" TargetMode="External"/><Relationship Id="rId2133" Type="http://schemas.openxmlformats.org/officeDocument/2006/relationships/hyperlink" Target="https://www.etsy.com/ca/listing/4330488178/new-to-the-club-embroidered-baby-romper?transaction_id=4778924846" TargetMode="External"/><Relationship Id="rId2340" Type="http://schemas.openxmlformats.org/officeDocument/2006/relationships/hyperlink" Target="https://www.etsy.com/ca/listing/4330474831/embroidered-hedgehog-baby-bodysuit?transaction_id=4819885272" TargetMode="External"/><Relationship Id="rId105" Type="http://schemas.openxmlformats.org/officeDocument/2006/relationships/hyperlink" Target="https://www.etsy.com/listing/4485588168/new-to-the-club-baby-romper-golf-baby?transaction_id=5100734733" TargetMode="External"/><Relationship Id="rId312" Type="http://schemas.openxmlformats.org/officeDocument/2006/relationships/hyperlink" Target="https://www.etsy.com/ca/listing/4470615480/apparently-i-like-f1-baby-romper-formula?transaction_id=5054391967" TargetMode="External"/><Relationship Id="rId2200" Type="http://schemas.openxmlformats.org/officeDocument/2006/relationships/hyperlink" Target="https://www.etsy.com/ca/listing/4344235128/new-to-the-hive-baby-romper-embroidered?transaction_id=4802598967" TargetMode="External"/><Relationship Id="rId1899" Type="http://schemas.openxmlformats.org/officeDocument/2006/relationships/hyperlink" Target="https://www.etsy.com/ca/listing/4330485404/cat-face-embroidered-baby-romper-my?transaction_id=4724144604" TargetMode="External"/><Relationship Id="rId1759" Type="http://schemas.openxmlformats.org/officeDocument/2006/relationships/hyperlink" Target="https://www.etsy.com/ca/listing/4333135410/little-pumpkin-baby-romper-fall?transaction_id=4679967069" TargetMode="External"/><Relationship Id="rId1966" Type="http://schemas.openxmlformats.org/officeDocument/2006/relationships/hyperlink" Target="https://www.etsy.com/ca/listing/4330504943/born-to-play-like-my-daddy-baby-romper?transaction_id=4742308982" TargetMode="External"/><Relationship Id="rId3181" Type="http://schemas.openxmlformats.org/officeDocument/2006/relationships/hyperlink" Target="https://www.etsy.com/ca/listing/4347263856/besties-baby-romper-matching-baby-outfit?transaction_id=4883381966" TargetMode="External"/><Relationship Id="rId1619" Type="http://schemas.openxmlformats.org/officeDocument/2006/relationships/hyperlink" Target="https://www.etsy.com/listing/4465315598/embroidered-ocean-fish-custom-name-baby?transaction_id=4988434662" TargetMode="External"/><Relationship Id="rId1826" Type="http://schemas.openxmlformats.org/officeDocument/2006/relationships/hyperlink" Target="https://www.etsy.com/ca/listing/4330495722/born-to-birdie-baby-romper-embroidered?transaction_id=4700062467" TargetMode="External"/><Relationship Id="rId3041" Type="http://schemas.openxmlformats.org/officeDocument/2006/relationships/hyperlink" Target="https://www.etsy.com/ca/listing/4330488178/embroidered-golf-baby-romper-new-to-the?transaction_id=4934616519" TargetMode="External"/><Relationship Id="rId779" Type="http://schemas.openxmlformats.org/officeDocument/2006/relationships/hyperlink" Target="https://www.etsy.com/ca/listing/4376399899/the-littlest-book-club-member-baby?transaction_id=5062286629" TargetMode="External"/><Relationship Id="rId986" Type="http://schemas.openxmlformats.org/officeDocument/2006/relationships/hyperlink" Target="https://www.etsy.com/ca/listing/4392932100/born-to-ride-with-my-daddy-embroidered?transaction_id=5013365610" TargetMode="External"/><Relationship Id="rId2667" Type="http://schemas.openxmlformats.org/officeDocument/2006/relationships/hyperlink" Target="https://www.etsy.com/ca/listing/4371125103/personalized-dog-baby-bodysuit-custom?transaction_id=4875332340" TargetMode="External"/><Relationship Id="rId639" Type="http://schemas.openxmlformats.org/officeDocument/2006/relationships/hyperlink" Target="https://www.etsy.com/ca/listing/4467449868/the-littlest-garden-club-member-baby?transaction_id=5092562733" TargetMode="External"/><Relationship Id="rId1269" Type="http://schemas.openxmlformats.org/officeDocument/2006/relationships/hyperlink" Target="https://www.etsy.com/listing/4485710996/masters-2026-augusta-national-golf-club?transaction_id=5033304769" TargetMode="External"/><Relationship Id="rId1476" Type="http://schemas.openxmlformats.org/officeDocument/2006/relationships/hyperlink" Target="https://www.etsy.com/listing/4321796572/i-love-my-custom-name-embroidered-romper?transaction_id=5100993523" TargetMode="External"/><Relationship Id="rId2874" Type="http://schemas.openxmlformats.org/officeDocument/2006/relationships/hyperlink" Target="https://www.etsy.com/ca/listing/4376399899/the-littlest-book-club-member-baby?transaction_id=4920405157" TargetMode="External"/><Relationship Id="rId846" Type="http://schemas.openxmlformats.org/officeDocument/2006/relationships/hyperlink" Target="https://www.etsy.com/ca/listing/4467446644/the-littlest-baking-club-member-baby?transaction_id=5050668245" TargetMode="External"/><Relationship Id="rId1129" Type="http://schemas.openxmlformats.org/officeDocument/2006/relationships/hyperlink" Target="https://www.etsy.com/ca/listing/4376399899/the-littlest-book-club-member-baby?transaction_id=5000475451" TargetMode="External"/><Relationship Id="rId1683" Type="http://schemas.openxmlformats.org/officeDocument/2006/relationships/hyperlink" Target="https://www.etsy.com/listing/4462702419/im-a-little-chili-baby-bodysuit-custom?transaction_id=5091469258" TargetMode="External"/><Relationship Id="rId1890" Type="http://schemas.openxmlformats.org/officeDocument/2006/relationships/hyperlink" Target="https://www.etsy.com/ca/listing/4347260564/football-baby-romper-game-day-baby?transaction_id=4719602546" TargetMode="External"/><Relationship Id="rId2527" Type="http://schemas.openxmlformats.org/officeDocument/2006/relationships/hyperlink" Target="https://www.etsy.com/ca/listing/4376399899/the-littlest-book-club-member-baby?transaction_id=4855119846" TargetMode="External"/><Relationship Id="rId2734" Type="http://schemas.openxmlformats.org/officeDocument/2006/relationships/hyperlink" Target="https://www.etsy.com/ca/listing/4371125103/personalized-dog-baby-bodysuit-custom?transaction_id=4890169652" TargetMode="External"/><Relationship Id="rId2941" Type="http://schemas.openxmlformats.org/officeDocument/2006/relationships/hyperlink" Target="https://www.etsy.com/ca/listing/4371125103/personalized-dog-baby-bodysuit-custom?transaction_id=4925982433" TargetMode="External"/><Relationship Id="rId706" Type="http://schemas.openxmlformats.org/officeDocument/2006/relationships/hyperlink" Target="https://www.etsy.com/ca/listing/4471139539/daddys-future-hunting-buddy-baby-romper?transaction_id=5077368225" TargetMode="External"/><Relationship Id="rId913" Type="http://schemas.openxmlformats.org/officeDocument/2006/relationships/hyperlink" Target="https://www.etsy.com/ca/listing/4376399899/the-littlest-book-club-member-baby?transaction_id=5026990408" TargetMode="External"/><Relationship Id="rId1336" Type="http://schemas.openxmlformats.org/officeDocument/2006/relationships/hyperlink" Target="https://www.etsy.com/listing/4490067659/daddys-little-caddy-embroidered-baby?transaction_id=5075349531" TargetMode="External"/><Relationship Id="rId1543" Type="http://schemas.openxmlformats.org/officeDocument/2006/relationships/hyperlink" Target="https://www.etsy.com/listing/4476297611/box-box-racing-car-embroidered-baby?transaction_id=5102931512" TargetMode="External"/><Relationship Id="rId1750" Type="http://schemas.openxmlformats.org/officeDocument/2006/relationships/hyperlink" Target="https://www.etsy.com/ca/listing/4333134764/wizard-font-baby-romper-personalized?transaction_id=4662380754" TargetMode="External"/><Relationship Id="rId2801" Type="http://schemas.openxmlformats.org/officeDocument/2006/relationships/hyperlink" Target="https://www.etsy.com/ca/listing/4371125103/personalized-dog-baby-bodysuit-custom?transaction_id=4914809919" TargetMode="External"/><Relationship Id="rId42" Type="http://schemas.openxmlformats.org/officeDocument/2006/relationships/hyperlink" Target="https://www.etsy.com/listing/4418212637/born-to-snap-like-my-daddy-baby-bodysuit?transaction_id=5040017619" TargetMode="External"/><Relationship Id="rId1403" Type="http://schemas.openxmlformats.org/officeDocument/2006/relationships/hyperlink" Target="https://www.etsy.com/listing/4485708736/daddys-caddie-embroidered-baby-romper?transaction_id=5101488115" TargetMode="External"/><Relationship Id="rId1610" Type="http://schemas.openxmlformats.org/officeDocument/2006/relationships/hyperlink" Target="https://www.etsy.com/listing/4435908861/personalized-little-putter-golf?transaction_id=4974976348" TargetMode="External"/><Relationship Id="rId3368" Type="http://schemas.openxmlformats.org/officeDocument/2006/relationships/hyperlink" Target="https://www.etsy.com/ca/listing/4330479964/personalized-fox-baby-bodysuit-custom?transaction_id=4964058244" TargetMode="External"/><Relationship Id="rId289" Type="http://schemas.openxmlformats.org/officeDocument/2006/relationships/hyperlink" Target="https://www.etsy.com/ca/listing/4486218469/my-daddy-bowls-better-than-your-daddy?transaction_id=5102836305" TargetMode="External"/><Relationship Id="rId496" Type="http://schemas.openxmlformats.org/officeDocument/2006/relationships/hyperlink" Target="https://www.etsy.com/ca/listing/4515637261/level-1-human-embroidered-baby-romper?transaction_id=5113505739" TargetMode="External"/><Relationship Id="rId2177" Type="http://schemas.openxmlformats.org/officeDocument/2006/relationships/hyperlink" Target="https://www.etsy.com/ca/listing/4392929794/little-latke-embroidered-romper-hanukkah?transaction_id=4799541059" TargetMode="External"/><Relationship Id="rId2384" Type="http://schemas.openxmlformats.org/officeDocument/2006/relationships/hyperlink" Target="https://www.etsy.com/ca/listing/4392936921/apparently-i-like-golf-embroidered?transaction_id=4835721825" TargetMode="External"/><Relationship Id="rId2591" Type="http://schemas.openxmlformats.org/officeDocument/2006/relationships/hyperlink" Target="https://www.etsy.com/ca/listing/4344231895/embroidered-baby-romper-shhh-im-reading?transaction_id=4879826921" TargetMode="External"/><Relationship Id="rId3228" Type="http://schemas.openxmlformats.org/officeDocument/2006/relationships/hyperlink" Target="https://www.etsy.com/ca/listing/4376401181/challah-at-your-girl-baby-bodysuit-funny?transaction_id=4954906975" TargetMode="External"/><Relationship Id="rId149" Type="http://schemas.openxmlformats.org/officeDocument/2006/relationships/hyperlink" Target="https://www.etsy.com/listing/4461643687/daddys-future-lifting-buddy-embroidered?transaction_id=5053955335" TargetMode="External"/><Relationship Id="rId356" Type="http://schemas.openxmlformats.org/officeDocument/2006/relationships/hyperlink" Target="https://www.etsy.com/listing/4508225352/daddys-tennis-buddy-embroidered-baby?transaction_id=5106250741" TargetMode="External"/><Relationship Id="rId563" Type="http://schemas.openxmlformats.org/officeDocument/2006/relationships/hyperlink" Target="https://www.etsy.com/ca/listing/4346126210/daddys-future-lifting-buddy-romper-baby?transaction_id=5104427595" TargetMode="External"/><Relationship Id="rId770" Type="http://schemas.openxmlformats.org/officeDocument/2006/relationships/hyperlink" Target="https://www.etsy.com/ca/listing/4351813412/mini-boss-baby-bodysuit-baby-shower-gift?transaction_id=5063862799" TargetMode="External"/><Relationship Id="rId1193" Type="http://schemas.openxmlformats.org/officeDocument/2006/relationships/hyperlink" Target="https://www.etsy.com/ca/listing/4343133680/embroidered-bowling-baby-bodysuit-crawl?transaction_id=4989263965" TargetMode="External"/><Relationship Id="rId2037" Type="http://schemas.openxmlformats.org/officeDocument/2006/relationships/hyperlink" Target="https://www.etsy.com/ca/listing/4333134764/wizard-font-baby-romper-personalized?transaction_id=4768005245" TargetMode="External"/><Relationship Id="rId2244" Type="http://schemas.openxmlformats.org/officeDocument/2006/relationships/hyperlink" Target="https://www.etsy.com/ca/listing/4376401181/challah-at-your-girl-baby-bodysuit-funny?transaction_id=4802584146" TargetMode="External"/><Relationship Id="rId2451" Type="http://schemas.openxmlformats.org/officeDocument/2006/relationships/hyperlink" Target="https://www.etsy.com/ca/listing/4346126210/daddys-future-lifting-buddy-romper-baby?transaction_id=4848064345" TargetMode="External"/><Relationship Id="rId216" Type="http://schemas.openxmlformats.org/officeDocument/2006/relationships/hyperlink" Target="https://www.etsy.com/listing/4477977946/apparently-i-like-f1-baby-romper-funny?transaction_id=5076305981" TargetMode="External"/><Relationship Id="rId423" Type="http://schemas.openxmlformats.org/officeDocument/2006/relationships/hyperlink" Target="https://www.etsy.com/listing/4445843132/player-3-has-entered-the-game?transaction_id=5019968686" TargetMode="External"/><Relationship Id="rId1053" Type="http://schemas.openxmlformats.org/officeDocument/2006/relationships/hyperlink" Target="https://www.etsy.com/ca/listing/4473754338/f1-baby-romper-with-daddy-racing-baby?transaction_id=5009951243" TargetMode="External"/><Relationship Id="rId1260" Type="http://schemas.openxmlformats.org/officeDocument/2006/relationships/hyperlink" Target="https://www.etsy.com/in-en/listing/4474813381/daddys-fishing-buddy-baby-romper-custom?transaction_id=5018701850" TargetMode="External"/><Relationship Id="rId2104" Type="http://schemas.openxmlformats.org/officeDocument/2006/relationships/hyperlink" Target="https://www.etsy.com/ca/listing/4330488178/new-to-the-club-embroidered-baby-romper?transaction_id=4772692816" TargetMode="External"/><Relationship Id="rId630" Type="http://schemas.openxmlformats.org/officeDocument/2006/relationships/hyperlink" Target="https://www.etsy.com/ca/listing/4392962015/cant-wait-to-jam-with-daddy-embroidered?transaction_id=5093849519" TargetMode="External"/><Relationship Id="rId2311" Type="http://schemas.openxmlformats.org/officeDocument/2006/relationships/hyperlink" Target="https://www.etsy.com/ca/listing/4371125103/personalized-dog-baby-bodysuit-custom?transaction_id=4818919225" TargetMode="External"/><Relationship Id="rId1120" Type="http://schemas.openxmlformats.org/officeDocument/2006/relationships/hyperlink" Target="https://www.etsy.com/ca/listing/4392962015/cant-wait-to-jam-with-daddy-embroidered?transaction_id=4991754250" TargetMode="External"/><Relationship Id="rId1937" Type="http://schemas.openxmlformats.org/officeDocument/2006/relationships/hyperlink" Target="https://www.etsy.com/ca/listing/4330479964/personalized-fox-baby-bodysuit?transaction_id=4744914049" TargetMode="External"/><Relationship Id="rId3085" Type="http://schemas.openxmlformats.org/officeDocument/2006/relationships/hyperlink" Target="https://www.etsy.com/ca/listing/4330488178/embroidered-golf-baby-romper-new-to-the?transaction_id=4937890871" TargetMode="External"/><Relationship Id="rId3292" Type="http://schemas.openxmlformats.org/officeDocument/2006/relationships/hyperlink" Target="https://www.etsy.com/ca/listing/4376389783/player-2-baby-romper-gamer-baby-outfit?transaction_id=4962438723" TargetMode="External"/><Relationship Id="rId3152" Type="http://schemas.openxmlformats.org/officeDocument/2006/relationships/hyperlink" Target="https://www.etsy.com/ca/listing/4371125103/personalized-dog-baby-bodysuit-custom?transaction_id=4934852272" TargetMode="External"/><Relationship Id="rId280" Type="http://schemas.openxmlformats.org/officeDocument/2006/relationships/hyperlink" Target="https://www.etsy.com/ca/listing/4481642703/born-to-play-tennis-with-my-daddy-baby?transaction_id=5103329901" TargetMode="External"/><Relationship Id="rId3012" Type="http://schemas.openxmlformats.org/officeDocument/2006/relationships/hyperlink" Target="https://www.etsy.com/ca/listing/4376399899/the-littlest-book-club-member-baby?transaction_id=4932380357" TargetMode="External"/><Relationship Id="rId140" Type="http://schemas.openxmlformats.org/officeDocument/2006/relationships/hyperlink" Target="https://www.etsy.com/listing/4489486323/daddys-running-buddy-baby-romper-funny?transaction_id=5060714182" TargetMode="External"/><Relationship Id="rId6" Type="http://schemas.openxmlformats.org/officeDocument/2006/relationships/hyperlink" Target="https://www.etsy.com/listing/4491428109/halfling-baby-bodysuit-fantasy-baby?transaction_id=5095421425" TargetMode="External"/><Relationship Id="rId2778" Type="http://schemas.openxmlformats.org/officeDocument/2006/relationships/hyperlink" Target="https://www.etsy.com/ca/listing/4376399899/the-littlest-book-club-member-baby?transaction_id=4897633698" TargetMode="External"/><Relationship Id="rId2985" Type="http://schemas.openxmlformats.org/officeDocument/2006/relationships/hyperlink" Target="https://www.etsy.com/ca/listing/4330488178/embroidered-golf-baby-romper-new-to-the?transaction_id=4917444630" TargetMode="External"/><Relationship Id="rId957" Type="http://schemas.openxmlformats.org/officeDocument/2006/relationships/hyperlink" Target="https://www.etsy.com/ca/listing/4475325519/daddys-future-fishing-buddy-baby?transaction_id=5029253059" TargetMode="External"/><Relationship Id="rId1587" Type="http://schemas.openxmlformats.org/officeDocument/2006/relationships/hyperlink" Target="https://www.etsy.com/listing/4502978234/big-sister-daisy-embroidered-baby-romper?transaction_id=5103928810" TargetMode="External"/><Relationship Id="rId1794" Type="http://schemas.openxmlformats.org/officeDocument/2006/relationships/hyperlink" Target="https://www.etsy.com/ca/listing/4330504400/born-to-play-like-my-daddy-baby-romper?transaction_id=4673342016" TargetMode="External"/><Relationship Id="rId2638" Type="http://schemas.openxmlformats.org/officeDocument/2006/relationships/hyperlink" Target="https://www.etsy.com/ca/listing/4392962015/cant-wait-to-jam-with-daddy-embroidered?transaction_id=4886789511" TargetMode="External"/><Relationship Id="rId2845" Type="http://schemas.openxmlformats.org/officeDocument/2006/relationships/hyperlink" Target="https://www.etsy.com/ca/listing/4376392339/funny-baby-romper-my-brand-of-formula?transaction_id=4919165019" TargetMode="External"/><Relationship Id="rId86" Type="http://schemas.openxmlformats.org/officeDocument/2006/relationships/hyperlink" Target="https://www.etsy.com/listing/4516843071/cutest-by-par-baby-bodysuit-golf-baby?transaction_id=5106666007" TargetMode="External"/><Relationship Id="rId817" Type="http://schemas.openxmlformats.org/officeDocument/2006/relationships/hyperlink" Target="https://www.etsy.com/ca/listing/4371125103/personalized-dog-baby-bodysuit-custom?transaction_id=5055400869" TargetMode="External"/><Relationship Id="rId1447" Type="http://schemas.openxmlformats.org/officeDocument/2006/relationships/hyperlink" Target="https://www.etsy.com/listing/4507007670/daddys-co-pilot-embroidered-baby-romper?transaction_id=5086776132" TargetMode="External"/><Relationship Id="rId1654" Type="http://schemas.openxmlformats.org/officeDocument/2006/relationships/hyperlink" Target="https://www.etsy.com/listing/4486159440/personalized-monogram-baby?transaction_id=5035197766" TargetMode="External"/><Relationship Id="rId1861" Type="http://schemas.openxmlformats.org/officeDocument/2006/relationships/hyperlink" Target="https://www.etsy.com/ca/listing/4333135410/little-pumpkin-baby-romper-fall?transaction_id=4716243711" TargetMode="External"/><Relationship Id="rId2705" Type="http://schemas.openxmlformats.org/officeDocument/2006/relationships/hyperlink" Target="https://www.etsy.com/ca/listing/4346126210/daddys-future-lifting-buddy-romper-baby?transaction_id=4849415519" TargetMode="External"/><Relationship Id="rId2912" Type="http://schemas.openxmlformats.org/officeDocument/2006/relationships/hyperlink" Target="https://www.etsy.com/ca/listing/4371125103/personalized-dog-baby-bodysuit-custom?transaction_id=4923604555" TargetMode="External"/><Relationship Id="rId1307" Type="http://schemas.openxmlformats.org/officeDocument/2006/relationships/hyperlink" Target="https://www.etsy.com/listing/4485708190/daddys-little-caddy-embroidered-baby?transaction_id=5064110813" TargetMode="External"/><Relationship Id="rId1514" Type="http://schemas.openxmlformats.org/officeDocument/2006/relationships/hyperlink" Target="https://www.etsy.com/listing/4336892730/funny-golf-baby-romper-apparently-i-like?transaction_id=5106742557" TargetMode="External"/><Relationship Id="rId1721" Type="http://schemas.openxmlformats.org/officeDocument/2006/relationships/hyperlink" Target="https://www.etsy.com/ca/listing/4330488178/new-to-the-club-embroidered-baby-romper?transaction_id=4663152577" TargetMode="External"/><Relationship Id="rId13" Type="http://schemas.openxmlformats.org/officeDocument/2006/relationships/hyperlink" Target="https://www.etsy.com/listing/4395656915/cute-little-raspberry-embroidered-baby?transaction_id=5084411025" TargetMode="External"/><Relationship Id="rId2288" Type="http://schemas.openxmlformats.org/officeDocument/2006/relationships/hyperlink" Target="https://www.etsy.com/ca/listing/4371125103/personalized-dog-baby-bodysuit-custom?transaction_id=4815384505" TargetMode="External"/><Relationship Id="rId2495" Type="http://schemas.openxmlformats.org/officeDocument/2006/relationships/hyperlink" Target="https://www.etsy.com/ca/listing/4344231895/embroidered-baby-romper-shhh-im-reading?transaction_id=4861599579" TargetMode="External"/><Relationship Id="rId3339" Type="http://schemas.openxmlformats.org/officeDocument/2006/relationships/hyperlink" Target="https://www.etsy.com/ca/listing/4344231159/embroidered-bookworm-baby-romper?transaction_id=4958544660" TargetMode="External"/><Relationship Id="rId467" Type="http://schemas.openxmlformats.org/officeDocument/2006/relationships/hyperlink" Target="https://www.etsy.com/listing/4444654013/you-are-the-notes-to-my-heart?transaction_id=4962825555" TargetMode="External"/><Relationship Id="rId1097" Type="http://schemas.openxmlformats.org/officeDocument/2006/relationships/hyperlink" Target="https://www.etsy.com/ca/listing/4376401181/challah-at-your-girl-baby-bodysuit-funny?transaction_id=5003596925" TargetMode="External"/><Relationship Id="rId2148" Type="http://schemas.openxmlformats.org/officeDocument/2006/relationships/hyperlink" Target="https://www.etsy.com/ca/listing/4344237949/great-grandma-baby-romper-embroidered?transaction_id=4790351165" TargetMode="External"/><Relationship Id="rId674" Type="http://schemas.openxmlformats.org/officeDocument/2006/relationships/hyperlink" Target="https://www.etsy.com/ca/listing/4347260564/football-baby-romper-game-day-baby?transaction_id=5086039743" TargetMode="External"/><Relationship Id="rId881" Type="http://schemas.openxmlformats.org/officeDocument/2006/relationships/hyperlink" Target="https://www.etsy.com/ca/listing/4330474831/embroidered-hedgehog-baby-bodysuit?transaction_id=5031496618" TargetMode="External"/><Relationship Id="rId2355" Type="http://schemas.openxmlformats.org/officeDocument/2006/relationships/hyperlink" Target="https://www.etsy.com/ca/listing/4392929794/little-latke-embroidered-romper-hanukkah?transaction_id=4822367496" TargetMode="External"/><Relationship Id="rId2562" Type="http://schemas.openxmlformats.org/officeDocument/2006/relationships/hyperlink" Target="https://www.etsy.com/ca/listing/4392929794/little-latke-embroidered-romper-hanukkah?transaction_id=4874086211" TargetMode="External"/><Relationship Id="rId327" Type="http://schemas.openxmlformats.org/officeDocument/2006/relationships/hyperlink" Target="https://www.etsy.com/ca/listing/4474915842/is-it-too-soon-to-ask-for-the-car-baby?transaction_id=5031413447" TargetMode="External"/><Relationship Id="rId534" Type="http://schemas.openxmlformats.org/officeDocument/2006/relationships/hyperlink" Target="https://www.etsy.com/ca/listing/4507655767/dads-best-bud-baby-romper-first-fathers?transaction_id=5097942076" TargetMode="External"/><Relationship Id="rId741" Type="http://schemas.openxmlformats.org/officeDocument/2006/relationships/hyperlink" Target="https://www.etsy.com/ca/listing/4376399899/the-littlest-book-club-member-baby?transaction_id=5070448739" TargetMode="External"/><Relationship Id="rId1164" Type="http://schemas.openxmlformats.org/officeDocument/2006/relationships/hyperlink" Target="https://www.etsy.com/ca/listing/4392962015/cant-wait-to-jam-with-daddy-embroidered?transaction_id=4985120032" TargetMode="External"/><Relationship Id="rId1371" Type="http://schemas.openxmlformats.org/officeDocument/2006/relationships/hyperlink" Target="https://www.etsy.com/listing/4481746930/custom-name-golf-club-bag-embroidered?transaction_id=5091354243" TargetMode="External"/><Relationship Id="rId2008" Type="http://schemas.openxmlformats.org/officeDocument/2006/relationships/hyperlink" Target="https://www.etsy.com/ca/listing/4376392339/funny-baby-romper-my-brand-of-formula?transaction_id=4762747497" TargetMode="External"/><Relationship Id="rId2215" Type="http://schemas.openxmlformats.org/officeDocument/2006/relationships/hyperlink" Target="https://www.etsy.com/ca/listing/4330488178/embroidered-golf-baby-romper-new-to-the?transaction_id=4805299605" TargetMode="External"/><Relationship Id="rId2422" Type="http://schemas.openxmlformats.org/officeDocument/2006/relationships/hyperlink" Target="https://www.etsy.com/ca/listing/4392929794/little-latke-embroidered-romper-hanukkah?transaction_id=4841809237" TargetMode="External"/><Relationship Id="rId601" Type="http://schemas.openxmlformats.org/officeDocument/2006/relationships/hyperlink" Target="https://www.etsy.com/ca/listing/4510985933/i-go-where-mommy-goes-romper-duck-baby?transaction_id=5088309936" TargetMode="External"/><Relationship Id="rId1024" Type="http://schemas.openxmlformats.org/officeDocument/2006/relationships/hyperlink" Target="https://www.etsy.com/ca/listing/4376399899/the-littlest-book-club-member-baby?transaction_id=5014082637" TargetMode="External"/><Relationship Id="rId1231" Type="http://schemas.openxmlformats.org/officeDocument/2006/relationships/hyperlink" Target="https://www.etsy.com/ca/listing/4330485404/cat-face-embroidered-baby-romper-funny?transaction_id=4983152787" TargetMode="External"/><Relationship Id="rId3196" Type="http://schemas.openxmlformats.org/officeDocument/2006/relationships/hyperlink" Target="https://www.etsy.com/ca/listing/4372360540/taco-bout-cute-baby-romper-funny-food?transaction_id=4939711726" TargetMode="External"/><Relationship Id="rId3056" Type="http://schemas.openxmlformats.org/officeDocument/2006/relationships/hyperlink" Target="https://www.etsy.com/ca/listing/4392962015/cant-wait-to-jam-with-daddy-embroidered?transaction_id=4935812517" TargetMode="External"/><Relationship Id="rId3263" Type="http://schemas.openxmlformats.org/officeDocument/2006/relationships/hyperlink" Target="https://www.etsy.com/ca/listing/4344235128/new-to-the-hive-baby-romper-embroidered?transaction_id=4958450773" TargetMode="External"/><Relationship Id="rId184" Type="http://schemas.openxmlformats.org/officeDocument/2006/relationships/hyperlink" Target="https://www.etsy.com/listing/4451626020/my-first-racing-season-embroidered-baby?transaction_id=4963741705" TargetMode="External"/><Relationship Id="rId391" Type="http://schemas.openxmlformats.org/officeDocument/2006/relationships/hyperlink" Target="https://www.etsy.com/listing/4484984853/baking-with-mommy-baby-bodysuit-cute?transaction_id=5074936985" TargetMode="External"/><Relationship Id="rId1908" Type="http://schemas.openxmlformats.org/officeDocument/2006/relationships/hyperlink" Target="https://www.etsy.com/ca/listing/4336907597/custom-running-baby-romper-daddys-future?transaction_id=4738334005" TargetMode="External"/><Relationship Id="rId2072" Type="http://schemas.openxmlformats.org/officeDocument/2006/relationships/hyperlink" Target="https://www.etsy.com/ca/listing/4346126210/daddys-future-lifting-buddy-romper-baby?transaction_id=4763036282" TargetMode="External"/><Relationship Id="rId3123" Type="http://schemas.openxmlformats.org/officeDocument/2006/relationships/hyperlink" Target="https://www.etsy.com/ca/listing/4347260564/football-baby-romper-game-day-baby?transaction_id=4942491783" TargetMode="External"/><Relationship Id="rId251" Type="http://schemas.openxmlformats.org/officeDocument/2006/relationships/hyperlink" Target="https://www.etsy.com/listing/4430529160/hello-embroidered-baby-romper-minimal?transaction_id=4966743301" TargetMode="External"/><Relationship Id="rId3330" Type="http://schemas.openxmlformats.org/officeDocument/2006/relationships/hyperlink" Target="https://www.etsy.com/ca/listing/4376392339/funny-baby-romper-my-brand-of-formula?transaction_id=4957277886" TargetMode="External"/><Relationship Id="rId2889" Type="http://schemas.openxmlformats.org/officeDocument/2006/relationships/hyperlink" Target="https://www.etsy.com/ca/listing/4330488178/embroidered-golf-baby-romper-new-to-the?transaction_id=4907827022" TargetMode="External"/><Relationship Id="rId111" Type="http://schemas.openxmlformats.org/officeDocument/2006/relationships/hyperlink" Target="https://www.etsy.com/listing/4512150138/custom-name-4th-of-july-embroidered?transaction_id=5098744079" TargetMode="External"/><Relationship Id="rId1698" Type="http://schemas.openxmlformats.org/officeDocument/2006/relationships/hyperlink" Target="https://www.etsy.com/listing/4346680175/tennis-baby-romper-born-to-play-like?transaction_id=4788656287" TargetMode="External"/><Relationship Id="rId2749" Type="http://schemas.openxmlformats.org/officeDocument/2006/relationships/hyperlink" Target="https://www.etsy.com/ca/listing/4376399899/the-littlest-book-club-member-baby?transaction_id=4892824690" TargetMode="External"/><Relationship Id="rId2956" Type="http://schemas.openxmlformats.org/officeDocument/2006/relationships/hyperlink" Target="https://www.etsy.com/ca/listing/4347263856/besties-baby-romper-matching-baby-outfit?transaction_id=4927766087" TargetMode="External"/><Relationship Id="rId928" Type="http://schemas.openxmlformats.org/officeDocument/2006/relationships/hyperlink" Target="https://www.etsy.com/ca/listing/4351827687/handsome-just-like-daddy-baby-romper?transaction_id=5035259907" TargetMode="External"/><Relationship Id="rId1558" Type="http://schemas.openxmlformats.org/officeDocument/2006/relationships/hyperlink" Target="https://www.etsy.com/listing/4473230310/future-metalhead-baby-romper-custom-name?transaction_id=5012691249" TargetMode="External"/><Relationship Id="rId1765" Type="http://schemas.openxmlformats.org/officeDocument/2006/relationships/hyperlink" Target="https://www.etsy.com/ca/listing/4330488178/new-to-the-club-embroidered-baby-romper?transaction_id=4666080848" TargetMode="External"/><Relationship Id="rId2609" Type="http://schemas.openxmlformats.org/officeDocument/2006/relationships/hyperlink" Target="https://www.etsy.com/ca/listing/4392929794/little-latke-embroidered-romper-hanukkah?transaction_id=4868023350" TargetMode="External"/><Relationship Id="rId57" Type="http://schemas.openxmlformats.org/officeDocument/2006/relationships/hyperlink" Target="https://www.etsy.com/listing/4513018518/little-road-warrior-baby-romper?transaction_id=5101232876" TargetMode="External"/><Relationship Id="rId1418" Type="http://schemas.openxmlformats.org/officeDocument/2006/relationships/hyperlink" Target="https://www.etsy.com/listing/4478439582/new-to-the-club-bodysuit-embroidered?transaction_id=5106106717" TargetMode="External"/><Relationship Id="rId1972" Type="http://schemas.openxmlformats.org/officeDocument/2006/relationships/hyperlink" Target="https://www.etsy.com/ca/listing/4330492936/a-roar-able-dinosaur-baby-bodysuit-cute?transaction_id=47" TargetMode="External"/><Relationship Id="rId2816" Type="http://schemas.openxmlformats.org/officeDocument/2006/relationships/hyperlink" Target="https://www.etsy.com/ca/listing/4371125103/personalized-dog-baby-bodysuit-custom?transaction_id=4901964620" TargetMode="External"/><Relationship Id="rId1625" Type="http://schemas.openxmlformats.org/officeDocument/2006/relationships/hyperlink" Target="https://www.etsy.com/listing/4462701746/awww-shucks-baby-bodysuit-custom-name?transaction_id=5005590527" TargetMode="External"/><Relationship Id="rId1832" Type="http://schemas.openxmlformats.org/officeDocument/2006/relationships/hyperlink" Target="https://www.etsy.com/ca/listing/4347265018/made-with-love-baby-romper-funny-baby?transaction_id=4690630414" TargetMode="External"/><Relationship Id="rId2399" Type="http://schemas.openxmlformats.org/officeDocument/2006/relationships/hyperlink" Target="https://www.etsy.com/ca/listing/4376392339/funny-baby-romper-my-brand-of-formula?transaction_id=4828194470" TargetMode="External"/><Relationship Id="rId578" Type="http://schemas.openxmlformats.org/officeDocument/2006/relationships/hyperlink" Target="https://www.etsy.com/ca/listing/4467451258/the-littlest-tennis-club-member-baby?transaction_id=5091774734" TargetMode="External"/><Relationship Id="rId785" Type="http://schemas.openxmlformats.org/officeDocument/2006/relationships/hyperlink" Target="https://www.etsy.com/ca/listing/4369781522/crawl-walk-putt-baby-romper-funny-golf?transaction_id=5061565359" TargetMode="External"/><Relationship Id="rId992" Type="http://schemas.openxmlformats.org/officeDocument/2006/relationships/hyperlink" Target="https://www.etsy.com/ca/listing/4344235128/new-to-the-hive-baby-romper-embroidered?transaction_id=5011379112" TargetMode="External"/><Relationship Id="rId2259" Type="http://schemas.openxmlformats.org/officeDocument/2006/relationships/hyperlink" Target="https://www.etsy.com/ca/listing/4371125103/personalized-dog-baby-bodysuit-custom?transaction_id=4812626437" TargetMode="External"/><Relationship Id="rId2466" Type="http://schemas.openxmlformats.org/officeDocument/2006/relationships/hyperlink" Target="https://www.etsy.com/ca/listing/4376399899/the-littlest-book-club-member-baby?transaction_id=4854052517" TargetMode="External"/><Relationship Id="rId2673" Type="http://schemas.openxmlformats.org/officeDocument/2006/relationships/hyperlink" Target="https://www.etsy.com/ca/listing/4376389783/player-2-baby-romper-gamer-baby-outfit?transaction_id=4893442257" TargetMode="External"/><Relationship Id="rId2880" Type="http://schemas.openxmlformats.org/officeDocument/2006/relationships/hyperlink" Target="https://www.etsy.com/ca/listing/4372350408/my-first-football-season-baby-romper?transaction_id=4920786839" TargetMode="External"/><Relationship Id="rId438" Type="http://schemas.openxmlformats.org/officeDocument/2006/relationships/hyperlink" Target="https://www.etsy.com/listing/4444631598/first-edition-published-2026-embroidered?transaction_id=4999623804" TargetMode="External"/><Relationship Id="rId645" Type="http://schemas.openxmlformats.org/officeDocument/2006/relationships/hyperlink" Target="https://www.etsy.com/ca/listing/4371125103/personalized-dog-baby-bodysuit-custom?transaction_id=5090983897" TargetMode="External"/><Relationship Id="rId852" Type="http://schemas.openxmlformats.org/officeDocument/2006/relationships/hyperlink" Target="https://www.etsy.com/ca/listing/4392932100/born-to-ride-with-my-daddy-embroidered?transaction_id=5036886088" TargetMode="External"/><Relationship Id="rId1068" Type="http://schemas.openxmlformats.org/officeDocument/2006/relationships/hyperlink" Target="https://www.etsy.com/ca/listing/4330479964/personalized-fox-baby-bodysuit-custom?transaction_id=5006773313" TargetMode="External"/><Relationship Id="rId1275" Type="http://schemas.openxmlformats.org/officeDocument/2006/relationships/hyperlink" Target="https://www.etsy.com/listing/4473747526/custom-penguin-bodysuit-embroidered-baby?transaction_id=5037471835" TargetMode="External"/><Relationship Id="rId1482" Type="http://schemas.openxmlformats.org/officeDocument/2006/relationships/hyperlink" Target="https://www.etsy.com/listing/4376404086/embroidered-lil-nugget-baby-bodysuit?transaction_id=5090741694" TargetMode="External"/><Relationship Id="rId2119" Type="http://schemas.openxmlformats.org/officeDocument/2006/relationships/hyperlink" Target="https://www.etsy.com/ca/listing/4376392339/funny-baby-romper-my-brand-of-formula?transaction_id=4784943489" TargetMode="External"/><Relationship Id="rId2326" Type="http://schemas.openxmlformats.org/officeDocument/2006/relationships/hyperlink" Target="https://www.etsy.com/ca/listing/4392936921/apparently-i-like-golf-embroidered?transaction_id=4813550968" TargetMode="External"/><Relationship Id="rId2533" Type="http://schemas.openxmlformats.org/officeDocument/2006/relationships/hyperlink" Target="https://www.etsy.com/ca/listing/4392935796/box-box-for-fresh-diapers-embroidered?transaction_id=4869823017" TargetMode="External"/><Relationship Id="rId2740" Type="http://schemas.openxmlformats.org/officeDocument/2006/relationships/hyperlink" Target="https://www.etsy.com/ca/listing/4376399899/the-littlest-book-club-member-baby?transaction_id=4906829363" TargetMode="External"/><Relationship Id="rId505" Type="http://schemas.openxmlformats.org/officeDocument/2006/relationships/hyperlink" Target="https://www.etsy.com/ca/listing/4330504943/embroidered-tennis-baby-romper-daddys?transaction_id=5102798900" TargetMode="External"/><Relationship Id="rId712" Type="http://schemas.openxmlformats.org/officeDocument/2006/relationships/hyperlink" Target="https://www.etsy.com/ca/listing/4330489800/personalized-badminton-baby-romper?transaction_id=5076367833" TargetMode="External"/><Relationship Id="rId1135" Type="http://schemas.openxmlformats.org/officeDocument/2006/relationships/hyperlink" Target="https://www.etsy.com/ca/listing/4467440237/the-littlest-coffee-club-member-baby?transaction_id=4999477955" TargetMode="External"/><Relationship Id="rId1342" Type="http://schemas.openxmlformats.org/officeDocument/2006/relationships/hyperlink" Target="https://www.etsy.com/listing/4399213134/new-to-the-club-bike-embroidered-baby?transaction_id=5080844053" TargetMode="External"/><Relationship Id="rId1202" Type="http://schemas.openxmlformats.org/officeDocument/2006/relationships/hyperlink" Target="https://www.etsy.com/ca/listing/4336900922/personalized-baseball-baby-romper-daddys?transaction_id=4988307089" TargetMode="External"/><Relationship Id="rId2600" Type="http://schemas.openxmlformats.org/officeDocument/2006/relationships/hyperlink" Target="https://www.etsy.com/ca/listing/4346126111/promoted-to-big-brother-romper?transaction_id=4866616984" TargetMode="External"/><Relationship Id="rId3167" Type="http://schemas.openxmlformats.org/officeDocument/2006/relationships/hyperlink" Target="https://www.etsy.com/ca/listing/4393855716/lil-chef-embroidered-romper-cute-baby?transaction_id=4948066033" TargetMode="External"/><Relationship Id="rId295" Type="http://schemas.openxmlformats.org/officeDocument/2006/relationships/hyperlink" Target="https://www.etsy.com/ca/listing/4483717191/new-to-the-squad-embroidered-baby-romper?transaction_id=5094140335" TargetMode="External"/><Relationship Id="rId3374" Type="http://schemas.openxmlformats.org/officeDocument/2006/relationships/hyperlink" Target="https://www.etsy.com/ca/listing/4330485404/cat-face-embroidered-baby-romper-funny?transaction_id=4964820430" TargetMode="External"/><Relationship Id="rId2183" Type="http://schemas.openxmlformats.org/officeDocument/2006/relationships/hyperlink" Target="https://www.etsy.com/ca/listing/4347885967/gigis-bestie-baby-bodysuit-baby-shower?transaction_id=4778189496" TargetMode="External"/><Relationship Id="rId2390" Type="http://schemas.openxmlformats.org/officeDocument/2006/relationships/hyperlink" Target="https://www.etsy.com/ca/listing/4393855716/lil-chef-embroidered-romper-cute-baby?transaction_id=4826588198" TargetMode="External"/><Relationship Id="rId3027" Type="http://schemas.openxmlformats.org/officeDocument/2006/relationships/hyperlink" Target="https://www.etsy.com/ca/listing/4376399899/the-littlest-book-club-member-baby?transaction_id=4921084850" TargetMode="External"/><Relationship Id="rId3234" Type="http://schemas.openxmlformats.org/officeDocument/2006/relationships/hyperlink" Target="https://www.etsy.com/ca/listing/4376399899/the-littlest-book-club-member-baby?transaction_id=4944321220" TargetMode="External"/><Relationship Id="rId155" Type="http://schemas.openxmlformats.org/officeDocument/2006/relationships/hyperlink" Target="https://www.etsy.com/listing/4485588168/new-to-the-club-baby-romper-golf-baby?transaction_id=5037845985" TargetMode="External"/><Relationship Id="rId362" Type="http://schemas.openxmlformats.org/officeDocument/2006/relationships/hyperlink" Target="https://www.etsy.com/listing/4444655159/do-not-kiss-me-if-im-nacho-baby?transaction_id=5090309072" TargetMode="External"/><Relationship Id="rId2043" Type="http://schemas.openxmlformats.org/officeDocument/2006/relationships/hyperlink" Target="https://www.etsy.com/ca/listing/4352935112/custom-baby-romper-personalized-newborn?transaction_id=4768863895" TargetMode="External"/><Relationship Id="rId2250" Type="http://schemas.openxmlformats.org/officeDocument/2006/relationships/hyperlink" Target="https://www.etsy.com/ca/listing/4376401181/challah-at-your-girl-baby-bodysuit-funny?transaction_id=4804161288" TargetMode="External"/><Relationship Id="rId3301" Type="http://schemas.openxmlformats.org/officeDocument/2006/relationships/hyperlink" Target="https://www.etsy.com/ca/listing/4376399899/the-littlest-book-club-member-baby?transaction_id=4953363702" TargetMode="External"/><Relationship Id="rId222" Type="http://schemas.openxmlformats.org/officeDocument/2006/relationships/hyperlink" Target="https://www.etsy.com/listing/4438216030/i-love-yoga-embroidered-baby-romper-cute?transaction_id=5051109485" TargetMode="External"/><Relationship Id="rId2110" Type="http://schemas.openxmlformats.org/officeDocument/2006/relationships/hyperlink" Target="https://www.etsy.com/ca/listing/4371125103/personalized-dog-baby-bodysuit-custom?transaction_id=4773423356" TargetMode="External"/><Relationship Id="rId1669" Type="http://schemas.openxmlformats.org/officeDocument/2006/relationships/hyperlink" Target="https://www.etsy.com/listing/4462692655/sweety-berry-strawberry-embroidered-baby?transaction_id=5079352119" TargetMode="External"/><Relationship Id="rId1876" Type="http://schemas.openxmlformats.org/officeDocument/2006/relationships/hyperlink" Target="https://www.etsy.com/ca/listing/4344239173/little-pumpkin-baby-romper-fall?transaction_id=4713646560" TargetMode="External"/><Relationship Id="rId2927" Type="http://schemas.openxmlformats.org/officeDocument/2006/relationships/hyperlink" Target="https://www.etsy.com/ca/listing/4371125103/personalized-dog-baby-bodysuit-custom?transaction_id=4924711357" TargetMode="External"/><Relationship Id="rId3091" Type="http://schemas.openxmlformats.org/officeDocument/2006/relationships/hyperlink" Target="https://www.etsy.com/ca/listing/4376399899/the-littlest-book-club-member-baby?transaction_id=4927178010" TargetMode="External"/><Relationship Id="rId1529" Type="http://schemas.openxmlformats.org/officeDocument/2006/relationships/hyperlink" Target="https://www.etsy.com/listing/4376404086/embroidered-lil-nugget-baby-bodysuit?transaction_id=5099444900" TargetMode="External"/><Relationship Id="rId1736" Type="http://schemas.openxmlformats.org/officeDocument/2006/relationships/hyperlink" Target="https://www.etsy.com/ca/listing/4333134764/wizard-font-baby-romper-personalized?transaction_id=4659153918" TargetMode="External"/><Relationship Id="rId1943" Type="http://schemas.openxmlformats.org/officeDocument/2006/relationships/hyperlink" Target="https://www.etsy.com/ca/listing/4330485404/cat-face-embroidered-baby-romper-my?transaction_id=4735363162" TargetMode="External"/><Relationship Id="rId28" Type="http://schemas.openxmlformats.org/officeDocument/2006/relationships/hyperlink" Target="https://www.etsy.com/listing/4418212637/born-to-snap-like-my-daddy-baby-bodysuit?transaction_id=5060606141" TargetMode="External"/><Relationship Id="rId1803" Type="http://schemas.openxmlformats.org/officeDocument/2006/relationships/hyperlink" Target="https://www.etsy.com/ca/listing/4330488178/new-to-the-club-embroidered-baby-romper?transaction_id=4691987357" TargetMode="External"/><Relationship Id="rId689" Type="http://schemas.openxmlformats.org/officeDocument/2006/relationships/hyperlink" Target="https://www.etsy.com/ca/listing/4330502784/lacrosse-baby-bodysuit-born-to-play-like?transaction_id=5082715301" TargetMode="External"/><Relationship Id="rId896" Type="http://schemas.openxmlformats.org/officeDocument/2006/relationships/hyperlink" Target="https://www.etsy.com/ca/listing/4371125103/personalized-dog-baby-bodysuit-custom?transaction_id=5040836145" TargetMode="External"/><Relationship Id="rId2577" Type="http://schemas.openxmlformats.org/officeDocument/2006/relationships/hyperlink" Target="https://www.etsy.com/ca/listing/4392932100/born-to-ride-with-my-daddy-embroidered?transaction_id=4862055226" TargetMode="External"/><Relationship Id="rId2784" Type="http://schemas.openxmlformats.org/officeDocument/2006/relationships/hyperlink" Target="https://www.etsy.com/ca/listing/4371125103/personalized-dog-baby-bodysuit-custom?transaction_id=4913108645" TargetMode="External"/><Relationship Id="rId549" Type="http://schemas.openxmlformats.org/officeDocument/2006/relationships/hyperlink" Target="https://www.etsy.com/ca/listing/4507655767/dads-best-bud-baby-romper-first-fathers?transaction_id=5104467145" TargetMode="External"/><Relationship Id="rId756" Type="http://schemas.openxmlformats.org/officeDocument/2006/relationships/hyperlink" Target="https://www.etsy.com/ca/listing/4392932100/born-to-ride-with-my-daddy-embroidered?transaction_id=5055026186" TargetMode="External"/><Relationship Id="rId1179" Type="http://schemas.openxmlformats.org/officeDocument/2006/relationships/hyperlink" Target="https://www.etsy.com/ca/listing/4371125103/personalized-dog-baby-bodysuit-custom?transaction_id=4991562697" TargetMode="External"/><Relationship Id="rId1386" Type="http://schemas.openxmlformats.org/officeDocument/2006/relationships/hyperlink" Target="https://www.etsy.com/listing/4474297353/daddys-coffee-date-bodysuit-embroidered?transaction_id=5083293586" TargetMode="External"/><Relationship Id="rId1593" Type="http://schemas.openxmlformats.org/officeDocument/2006/relationships/hyperlink" Target="https://www.etsy.com/listing/4451158689/grandmas-little-ray-of-sunshine-bodysuit?transaction_id=4955434339" TargetMode="External"/><Relationship Id="rId2437" Type="http://schemas.openxmlformats.org/officeDocument/2006/relationships/hyperlink" Target="https://www.etsy.com/ca/listing/4392936921/apparently-i-like-golf-embroidered?transaction_id=4832687578" TargetMode="External"/><Relationship Id="rId2991" Type="http://schemas.openxmlformats.org/officeDocument/2006/relationships/hyperlink" Target="https://www.etsy.com/ca/listing/4330488178/embroidered-golf-baby-romper-new-to-the?transaction_id=4930632145" TargetMode="External"/><Relationship Id="rId409" Type="http://schemas.openxmlformats.org/officeDocument/2006/relationships/hyperlink" Target="https://www.etsy.com/listing/4474303017/new-to-the-soccer-crew-baby-bodysuit?transaction_id=5045519423" TargetMode="External"/><Relationship Id="rId963" Type="http://schemas.openxmlformats.org/officeDocument/2006/relationships/hyperlink" Target="https://www.etsy.com/ca/listing/4376399899/the-littlest-book-club-member-baby?transaction_id=5027566015" TargetMode="External"/><Relationship Id="rId1039" Type="http://schemas.openxmlformats.org/officeDocument/2006/relationships/hyperlink" Target="https://www.etsy.com/ca/listing/4376399899/the-littlest-book-club-member-baby?transaction_id=5002454696" TargetMode="External"/><Relationship Id="rId1246" Type="http://schemas.openxmlformats.org/officeDocument/2006/relationships/hyperlink" Target="https://www.etsy.com/ca/listing/4376389783/player-2-baby-romper-gamer-baby-outfit?transaction_id=4980076803" TargetMode="External"/><Relationship Id="rId2644" Type="http://schemas.openxmlformats.org/officeDocument/2006/relationships/hyperlink" Target="https://www.etsy.com/ca/listing/4392936921/apparently-i-like-golf-embroidered?transaction_id=4888365865" TargetMode="External"/><Relationship Id="rId2851" Type="http://schemas.openxmlformats.org/officeDocument/2006/relationships/hyperlink" Target="https://www.etsy.com/ca/listing/4330488178/embroidered-golf-baby-romper-new-to-the?transaction_id=4905545492" TargetMode="External"/><Relationship Id="rId92" Type="http://schemas.openxmlformats.org/officeDocument/2006/relationships/hyperlink" Target="https://www.etsy.com/listing/4514971670/daddys-copilot-baby-romper-pilot-baby?transaction_id=5104645899" TargetMode="External"/><Relationship Id="rId616" Type="http://schemas.openxmlformats.org/officeDocument/2006/relationships/hyperlink" Target="https://www.etsy.com/ca/listing/4347260564/football-baby-romper-game-day-baby?transaction_id=5084674052" TargetMode="External"/><Relationship Id="rId823" Type="http://schemas.openxmlformats.org/officeDocument/2006/relationships/hyperlink" Target="https://www.etsy.com/ca/listing/4376399899/the-littlest-book-club-member-baby?transaction_id=5041052724" TargetMode="External"/><Relationship Id="rId1453" Type="http://schemas.openxmlformats.org/officeDocument/2006/relationships/hyperlink" Target="https://www.etsy.com/listing/4376404086/embroidered-lil-nugget-baby-bodysuit?transaction_id=5098747169" TargetMode="External"/><Relationship Id="rId1660" Type="http://schemas.openxmlformats.org/officeDocument/2006/relationships/hyperlink" Target="https://www.etsy.com/listing/4491489849/handpicked-for-earth-by-my-mimi-in?transaction_id=5059802481" TargetMode="External"/><Relationship Id="rId2504" Type="http://schemas.openxmlformats.org/officeDocument/2006/relationships/hyperlink" Target="https://www.etsy.com/ca/listing/4372352286/silly-goose-baby-romper-funny-infant?transaction_id=4850701530" TargetMode="External"/><Relationship Id="rId2711" Type="http://schemas.openxmlformats.org/officeDocument/2006/relationships/hyperlink" Target="https://www.etsy.com/ca/listing/4330488178/embroidered-golf-baby-romper-new-to-the?transaction_id=4900780677" TargetMode="External"/><Relationship Id="rId1106" Type="http://schemas.openxmlformats.org/officeDocument/2006/relationships/hyperlink" Target="https://www.etsy.com/ca/listing/4333135410/little-pumpkin-baby-romper-fall?transaction_id=5002743009" TargetMode="External"/><Relationship Id="rId1313" Type="http://schemas.openxmlformats.org/officeDocument/2006/relationships/hyperlink" Target="https://www.etsy.com/listing/4426850215/apparently-i-like-soccer-baby-romper?transaction_id=5053488376" TargetMode="External"/><Relationship Id="rId1520" Type="http://schemas.openxmlformats.org/officeDocument/2006/relationships/hyperlink" Target="https://www.etsy.com/listing/4507001437/outwit-outplay-outnap-embroidered-baby?transaction_id=5098843668" TargetMode="External"/><Relationship Id="rId3278" Type="http://schemas.openxmlformats.org/officeDocument/2006/relationships/hyperlink" Target="https://www.etsy.com/ca/listing/4344231895/embroidered-baby-romper-shhh-im-reading?transaction_id=4961379893" TargetMode="External"/><Relationship Id="rId199" Type="http://schemas.openxmlformats.org/officeDocument/2006/relationships/hyperlink" Target="https://www.etsy.com/listing/4442026118/future-triathlete-baby-romper-swim-bike?transaction_id=5105384063" TargetMode="External"/><Relationship Id="rId2087" Type="http://schemas.openxmlformats.org/officeDocument/2006/relationships/hyperlink" Target="https://www.etsy.com/ca/listing/4330488178/new-to-the-club-embroidered-baby-romper?transaction_id=4767332430" TargetMode="External"/><Relationship Id="rId2294" Type="http://schemas.openxmlformats.org/officeDocument/2006/relationships/hyperlink" Target="https://www.etsy.com/ca/listing/4376399899/the-littlest-book-club-member-baby?transaction_id=4815893325" TargetMode="External"/><Relationship Id="rId3138" Type="http://schemas.openxmlformats.org/officeDocument/2006/relationships/hyperlink" Target="https://www.etsy.com/ca/listing/4330481826/bee-kind-baby-romper-embroidered-infant?transaction_id=4944486241" TargetMode="External"/><Relationship Id="rId3345" Type="http://schemas.openxmlformats.org/officeDocument/2006/relationships/hyperlink" Target="https://www.etsy.com/ca/listing/4376392339/funny-baby-romper-my-brand-of-formula?transaction_id=4969471851" TargetMode="External"/><Relationship Id="rId266" Type="http://schemas.openxmlformats.org/officeDocument/2006/relationships/hyperlink" Target="https://www.etsy.com/listing/4438215259/flying-is-fun-embroidered-baby-romper?transaction_id=4942964849" TargetMode="External"/><Relationship Id="rId473" Type="http://schemas.openxmlformats.org/officeDocument/2006/relationships/hyperlink" Target="https://www.etsy.com/listing/4444656323/no-thoughts-only-potato-embroidered-baby?transaction_id=4944282348" TargetMode="External"/><Relationship Id="rId680" Type="http://schemas.openxmlformats.org/officeDocument/2006/relationships/hyperlink" Target="https://www.etsy.com/ca/listing/4467440237/the-littlest-coffee-club-member-baby?transaction_id=5084479499" TargetMode="External"/><Relationship Id="rId2154" Type="http://schemas.openxmlformats.org/officeDocument/2006/relationships/hyperlink" Target="https://www.etsy.com/ca/listing/4330488178/new-to-the-club-embroidered-baby-romper?transaction_id=4793787359" TargetMode="External"/><Relationship Id="rId2361" Type="http://schemas.openxmlformats.org/officeDocument/2006/relationships/hyperlink" Target="https://www.etsy.com/ca/listing/4392929794/little-latke-embroidered-romper-hanukkah?transaction_id=4823703278" TargetMode="External"/><Relationship Id="rId3205" Type="http://schemas.openxmlformats.org/officeDocument/2006/relationships/hyperlink" Target="https://www.etsy.com/ca/listing/4376399899/the-littlest-book-club-member-baby?transaction_id=4952040509" TargetMode="External"/><Relationship Id="rId126" Type="http://schemas.openxmlformats.org/officeDocument/2006/relationships/hyperlink" Target="https://www.etsy.com/listing/4472711941/mommys-future-lifting-partner-baby?transaction_id=5076795932" TargetMode="External"/><Relationship Id="rId333" Type="http://schemas.openxmlformats.org/officeDocument/2006/relationships/hyperlink" Target="https://www.etsy.com/ca/listing/4474915842/is-it-too-soon-to-ask-for-the-car-baby?transaction_id=5020775917" TargetMode="External"/><Relationship Id="rId540" Type="http://schemas.openxmlformats.org/officeDocument/2006/relationships/hyperlink" Target="https://www.etsy.com/listing/4473754338/racing-baby-romper-with-daddy-racing" TargetMode="External"/><Relationship Id="rId1170" Type="http://schemas.openxmlformats.org/officeDocument/2006/relationships/hyperlink" Target="https://www.etsy.com/ca/listing/4376399899/the-littlest-book-club-member-baby?transaction_id=4983777806" TargetMode="External"/><Relationship Id="rId2014" Type="http://schemas.openxmlformats.org/officeDocument/2006/relationships/hyperlink" Target="https://www.etsy.com/ca/listing/4369781522/crawl-walk-putt-baby-romper-funny-golf?transaction_id=4764365197" TargetMode="External"/><Relationship Id="rId2221" Type="http://schemas.openxmlformats.org/officeDocument/2006/relationships/hyperlink" Target="https://www.etsy.com/ca/listing/4330480699/little-prince-baby-romper-embroidered?transaction_id=4806252301" TargetMode="External"/><Relationship Id="rId1030" Type="http://schemas.openxmlformats.org/officeDocument/2006/relationships/hyperlink" Target="https://www.etsy.com/ca/listing/4376399899/the-littlest-book-club-member-baby?transaction_id=5003689368" TargetMode="External"/><Relationship Id="rId400" Type="http://schemas.openxmlformats.org/officeDocument/2006/relationships/hyperlink" Target="https://www.etsy.com/listing/4474939594/mommys-little-pierogi-baby-bodysuit-cute?transaction_id=5063070439" TargetMode="External"/><Relationship Id="rId1987" Type="http://schemas.openxmlformats.org/officeDocument/2006/relationships/hyperlink" Target="https://www.etsy.com/ca/listing/4346126210/daddys-future-lifting-buddy-romper-baby?transaction_id=4747070832" TargetMode="External"/><Relationship Id="rId1847" Type="http://schemas.openxmlformats.org/officeDocument/2006/relationships/hyperlink" Target="https://www.etsy.com/ca/listing/4330485404/cat-face-embroidered-baby-romper-my?transaction_id=4698322626" TargetMode="External"/><Relationship Id="rId1707" Type="http://schemas.openxmlformats.org/officeDocument/2006/relationships/hyperlink" Target="https://www.etsy.com/listing/4346677169/volleyball-baby-romper-born-to-play-like?transaction_id=4819842568" TargetMode="External"/><Relationship Id="rId3062" Type="http://schemas.openxmlformats.org/officeDocument/2006/relationships/hyperlink" Target="https://www.etsy.com/ca/listing/4379194627/new-to-the-farm-embroidered-romper-baby?transaction_id=4923976912" TargetMode="External"/><Relationship Id="rId190" Type="http://schemas.openxmlformats.org/officeDocument/2006/relationships/hyperlink" Target="https://www.etsy.com/listing/4499062845/custom-name-embroidered-romper-baby-gift?transaction_id=5103173990" TargetMode="External"/><Relationship Id="rId1914" Type="http://schemas.openxmlformats.org/officeDocument/2006/relationships/hyperlink" Target="https://www.etsy.com/ca/listing/4344237213/mamas-coffee-date-baby-bodysuit-funny?transaction_id=4739795931" TargetMode="External"/><Relationship Id="rId2688" Type="http://schemas.openxmlformats.org/officeDocument/2006/relationships/hyperlink" Target="https://www.etsy.com/ca/listing/4376399899/the-littlest-book-club-member-baby?transaction_id=4896456419" TargetMode="External"/><Relationship Id="rId2895" Type="http://schemas.openxmlformats.org/officeDocument/2006/relationships/hyperlink" Target="https://www.etsy.com/ca/listing/4392935796/box-box-for-fresh-diapers-embroidered?transaction_id=4908422220" TargetMode="External"/><Relationship Id="rId867" Type="http://schemas.openxmlformats.org/officeDocument/2006/relationships/hyperlink" Target="https://www.etsy.com/ca/listing/4376399899/the-littlest-book-club-member-baby?transaction_id=5034078566" TargetMode="External"/><Relationship Id="rId1497" Type="http://schemas.openxmlformats.org/officeDocument/2006/relationships/hyperlink" Target="https://www.etsy.com/listing/4321796572/i-love-my-custom-name-embroidered-romper?transaction_id=5093547918" TargetMode="External"/><Relationship Id="rId2548" Type="http://schemas.openxmlformats.org/officeDocument/2006/relationships/hyperlink" Target="https://www.etsy.com/ca/listing/4392929794/little-latke-embroidered-romper-hanukkah?transaction_id=4872288705" TargetMode="External"/><Relationship Id="rId2755" Type="http://schemas.openxmlformats.org/officeDocument/2006/relationships/hyperlink" Target="https://www.etsy.com/ca/listing/4376392339/funny-baby-romper-my-brand-of-formula?transaction_id=4893858456" TargetMode="External"/><Relationship Id="rId2962" Type="http://schemas.openxmlformats.org/officeDocument/2006/relationships/hyperlink" Target="https://www.etsy.com/ca/listing/4330488178/embroidered-golf-baby-romper-new-to-the?transaction_id=4928252855" TargetMode="External"/><Relationship Id="rId727" Type="http://schemas.openxmlformats.org/officeDocument/2006/relationships/hyperlink" Target="https://www.etsy.com/ca/listing/4392932100/born-to-ride-with-my-daddy-embroidered?transaction_id=5060416452" TargetMode="External"/><Relationship Id="rId934" Type="http://schemas.openxmlformats.org/officeDocument/2006/relationships/hyperlink" Target="https://www.etsy.com/ca/listing/4379194627/new-to-the-farm-embroidered-romper-baby?transaction_id=5022830308" TargetMode="External"/><Relationship Id="rId1357" Type="http://schemas.openxmlformats.org/officeDocument/2006/relationships/hyperlink" Target="https://www.etsy.com/listing/4500080239/daddys-future-lifting-partner-retro?transaction_id=5073951144" TargetMode="External"/><Relationship Id="rId1564" Type="http://schemas.openxmlformats.org/officeDocument/2006/relationships/hyperlink" Target="https://www.etsy.com/listing/4463219999/little-sprout-baby-romper-custom-name?transaction_id=5025980940" TargetMode="External"/><Relationship Id="rId1771" Type="http://schemas.openxmlformats.org/officeDocument/2006/relationships/hyperlink" Target="https://www.etsy.com/ca/listing/4330488178/new-to-the-club-embroidered-baby-romper?transaction_id=4667469914" TargetMode="External"/><Relationship Id="rId2408" Type="http://schemas.openxmlformats.org/officeDocument/2006/relationships/hyperlink" Target="https://www.etsy.com/ca/listing/4336905599/personalized-swimming-baby-romper-daddys?transaction_id=4839690741" TargetMode="External"/><Relationship Id="rId2615" Type="http://schemas.openxmlformats.org/officeDocument/2006/relationships/hyperlink" Target="https://www.etsy.com/ca/listing/4330488178/embroidered-golf-baby-romper-new-to-the?transaction_id=4868522066" TargetMode="External"/><Relationship Id="rId2822" Type="http://schemas.openxmlformats.org/officeDocument/2006/relationships/hyperlink" Target="https://www.etsy.com/ca/listing/4330495722/embroidered-golf-baby-romper-custom?transaction_id=4902770108" TargetMode="External"/><Relationship Id="rId63" Type="http://schemas.openxmlformats.org/officeDocument/2006/relationships/hyperlink" Target="https://www.etsy.com/listing/4513578484/small-fry-embroidered-baby-bodysuit?transaction_id=5110225427" TargetMode="External"/><Relationship Id="rId1217" Type="http://schemas.openxmlformats.org/officeDocument/2006/relationships/hyperlink" Target="https://www.etsy.com/ca/listing/4371125103/personalized-dog-baby-bodysuit-custom?transaction_id=4974513246" TargetMode="External"/><Relationship Id="rId1424" Type="http://schemas.openxmlformats.org/officeDocument/2006/relationships/hyperlink" Target="https://www.etsy.com/listing/4490490949/daddys-little-caddy-embroidered-baby?transaction_id=5107904565" TargetMode="External"/><Relationship Id="rId1631" Type="http://schemas.openxmlformats.org/officeDocument/2006/relationships/hyperlink" Target="https://www.etsy.com/listing/4430053091/personalized-daddys-little-game-day?transaction_id=5016946977" TargetMode="External"/><Relationship Id="rId3389" Type="http://schemas.openxmlformats.org/officeDocument/2006/relationships/hyperlink" Target="https://www.etsy.com/ca/listing/4376399899/the-littlest-book-club-member-baby?transaction_id=4967243470" TargetMode="External"/><Relationship Id="rId2198" Type="http://schemas.openxmlformats.org/officeDocument/2006/relationships/hyperlink" Target="https://www.etsy.com/ca/listing/4392929794/little-latke-embroidered-romper-hanukkah?transaction_id=4795137958" TargetMode="External"/><Relationship Id="rId3249" Type="http://schemas.openxmlformats.org/officeDocument/2006/relationships/hyperlink" Target="https://www.etsy.com/ca/listing/4376399899/the-littlest-book-club-member-baby?transaction_id=4946207220" TargetMode="External"/><Relationship Id="rId377" Type="http://schemas.openxmlformats.org/officeDocument/2006/relationships/hyperlink" Target="https://www.etsy.com/listing/4500801384/little-peanut-baby-bodysuit-embroidered?transaction_id=5090539511" TargetMode="External"/><Relationship Id="rId584" Type="http://schemas.openxmlformats.org/officeDocument/2006/relationships/hyperlink" Target="https://www.etsy.com/ca/listing/4504890435/surfs-up-baby-romper-beach-baby-outfit?transaction_id=5090267832" TargetMode="External"/><Relationship Id="rId2058" Type="http://schemas.openxmlformats.org/officeDocument/2006/relationships/hyperlink" Target="https://www.etsy.com/ca/listing/4344232490/freshly-brewed-baby-bodysuit-cute-coffee?transaction_id=4760899458" TargetMode="External"/><Relationship Id="rId2265" Type="http://schemas.openxmlformats.org/officeDocument/2006/relationships/hyperlink" Target="https://www.etsy.com/ca/listing/4330492512/funny-goose-embroidered-baby-romper?transaction_id=4813513019" TargetMode="External"/><Relationship Id="rId3109" Type="http://schemas.openxmlformats.org/officeDocument/2006/relationships/hyperlink" Target="https://www.etsy.com/ca/listing/4346126210/daddys-future-lifting-buddy-romper-baby?transaction_id=4929289232" TargetMode="External"/><Relationship Id="rId237" Type="http://schemas.openxmlformats.org/officeDocument/2006/relationships/hyperlink" Target="https://www.etsy.com/listing/4436477682/custom-name-hot-air-balloon-embroidered?transaction_id=5007162768" TargetMode="External"/><Relationship Id="rId791" Type="http://schemas.openxmlformats.org/officeDocument/2006/relationships/hyperlink" Target="https://www.etsy.com/ca/listing/4392935796/box-box-for-fresh-diapers-embroidered?transaction_id=5047768298" TargetMode="External"/><Relationship Id="rId1074" Type="http://schemas.openxmlformats.org/officeDocument/2006/relationships/hyperlink" Target="https://www.etsy.com/ca/listing/4376399899/the-littlest-book-club-member-baby?transaction_id=4995984850" TargetMode="External"/><Relationship Id="rId2472" Type="http://schemas.openxmlformats.org/officeDocument/2006/relationships/hyperlink" Target="https://www.etsy.com/ca/listing/4330485404/cat-face-embroidered-baby-romper-funny?transaction_id=4843590166" TargetMode="External"/><Relationship Id="rId3316" Type="http://schemas.openxmlformats.org/officeDocument/2006/relationships/hyperlink" Target="https://www.etsy.com/ca/listing/4392962015/cant-wait-to-jam-with-daddy-embroidered?transaction_id=4965571943" TargetMode="External"/><Relationship Id="rId444" Type="http://schemas.openxmlformats.org/officeDocument/2006/relationships/hyperlink" Target="https://www.etsy.com/listing/4444631598/first-edition-published-2026-embroidered?transaction_id=4990771302" TargetMode="External"/><Relationship Id="rId651" Type="http://schemas.openxmlformats.org/officeDocument/2006/relationships/hyperlink" Target="https://www.etsy.com/ca/listing/4346126210/daddys-future-lifting-buddy-romper-baby?transaction_id=5076879874" TargetMode="External"/><Relationship Id="rId1281" Type="http://schemas.openxmlformats.org/officeDocument/2006/relationships/hyperlink" Target="https://www.etsy.com/listing/4444685673/daddys-soccer-buddy-baby-romper-custom?transaction_id=5042138271" TargetMode="External"/><Relationship Id="rId2125" Type="http://schemas.openxmlformats.org/officeDocument/2006/relationships/hyperlink" Target="https://www.etsy.com/ca/listing/4330488178/new-to-the-club-embroidered-baby-romper?transaction_id=4786313817" TargetMode="External"/><Relationship Id="rId2332" Type="http://schemas.openxmlformats.org/officeDocument/2006/relationships/hyperlink" Target="https://www.etsy.com/ca/listing/4392932100/born-to-ride-with-my-daddy-embroidered?transaction_id=4824225987" TargetMode="External"/><Relationship Id="rId304" Type="http://schemas.openxmlformats.org/officeDocument/2006/relationships/hyperlink" Target="https://www.etsy.com/ca/listing/4471171185/crawl-walk-golf-baby-romper-100-cotton?transaction_id=5053132478" TargetMode="External"/><Relationship Id="rId511" Type="http://schemas.openxmlformats.org/officeDocument/2006/relationships/hyperlink" Target="https://www.etsy.com/ca/listing/4471139539/daddys-future-hunting-buddy-baby-romper?transaction_id=5110979399" TargetMode="External"/><Relationship Id="rId1141" Type="http://schemas.openxmlformats.org/officeDocument/2006/relationships/hyperlink" Target="https://www.etsy.com/ca/listing/4371125103/personalized-dog-baby-bodysuit-custom?transaction_id=4998222727" TargetMode="External"/><Relationship Id="rId1001" Type="http://schemas.openxmlformats.org/officeDocument/2006/relationships/hyperlink" Target="https://www.etsy.com/ca/listing/4376392339/funny-baby-romper-my-brand-of-formula?transaction_id=5008723820" TargetMode="External"/><Relationship Id="rId1958" Type="http://schemas.openxmlformats.org/officeDocument/2006/relationships/hyperlink" Target="https://www.etsy.com/ca/listing/4344239173/little-pumpkin-baby-romper-fall?transaction_id=4738529150" TargetMode="External"/><Relationship Id="rId3173" Type="http://schemas.openxmlformats.org/officeDocument/2006/relationships/hyperlink" Target="https://www.etsy.com/ca/listing/4344231895/embroidered-baby-romper-shhh-im-reading?transaction_id=4937339238" TargetMode="External"/><Relationship Id="rId3380" Type="http://schemas.openxmlformats.org/officeDocument/2006/relationships/hyperlink" Target="https://www.etsy.com/ca/listing/4336899579/personalized-basketball-baby-romper?transaction_id=4976344031" TargetMode="External"/><Relationship Id="rId1818" Type="http://schemas.openxmlformats.org/officeDocument/2006/relationships/hyperlink" Target="https://www.etsy.com/ca/listing/4330488178/new-to-the-club-embroidered-baby-romper?transaction_id=4685403854" TargetMode="External"/><Relationship Id="rId3033" Type="http://schemas.openxmlformats.org/officeDocument/2006/relationships/hyperlink" Target="https://www.etsy.com/ca/listing/4344237213/mamas-coffee-date-baby-bodysuit-funny?transaction_id=4916049657" TargetMode="External"/><Relationship Id="rId3240" Type="http://schemas.openxmlformats.org/officeDocument/2006/relationships/hyperlink" Target="https://www.etsy.com/ca/listing/4376399899/the-littlest-book-club-member-baby?transaction_id=4945116826" TargetMode="External"/><Relationship Id="rId161" Type="http://schemas.openxmlformats.org/officeDocument/2006/relationships/hyperlink" Target="https://www.etsy.com/listing/4454899012/apparently-i-like-baseball-baby-romper?transaction_id=5015447162" TargetMode="External"/><Relationship Id="rId2799" Type="http://schemas.openxmlformats.org/officeDocument/2006/relationships/hyperlink" Target="https://www.etsy.com/ca/listing/4369764524/embroidered-snowman-baby-romper?transaction_id=4914703323" TargetMode="External"/><Relationship Id="rId3100" Type="http://schemas.openxmlformats.org/officeDocument/2006/relationships/hyperlink" Target="https://www.etsy.com/ca/listing/4330485404/cat-face-embroidered-baby-romper-funny?transaction_id=4939867685" TargetMode="External"/><Relationship Id="rId978" Type="http://schemas.openxmlformats.org/officeDocument/2006/relationships/hyperlink" Target="https://www.etsy.com/ca/listing/4376399899/the-littlest-book-club-member-baby?transaction_id=5014612882" TargetMode="External"/><Relationship Id="rId2659" Type="http://schemas.openxmlformats.org/officeDocument/2006/relationships/hyperlink" Target="https://www.etsy.com/ca/listing/4371125103/personalized-dog-baby-bodysuit-custom?transaction_id=4889583625" TargetMode="External"/><Relationship Id="rId2866" Type="http://schemas.openxmlformats.org/officeDocument/2006/relationships/hyperlink" Target="https://www.etsy.com/ca/listing/4376399899/the-littlest-book-club-member-baby?transaction_id=4901145602" TargetMode="External"/><Relationship Id="rId838" Type="http://schemas.openxmlformats.org/officeDocument/2006/relationships/hyperlink" Target="https://www.etsy.com/ca/listing/4477322429/little-schmear-bagel-baby-romper-cute?transaction_id=5052043539" TargetMode="External"/><Relationship Id="rId1468" Type="http://schemas.openxmlformats.org/officeDocument/2006/relationships/hyperlink" Target="https://www.etsy.com/listing/4376404086/embroidered-lil-nugget-baby-bodysuit?transaction_id=5089329718" TargetMode="External"/><Relationship Id="rId1675" Type="http://schemas.openxmlformats.org/officeDocument/2006/relationships/hyperlink" Target="https://www.etsy.com/listing/4446334673/cute-platypus-name-embroidered-baby?transaction_id=5088945239&amp;dd_referrer=" TargetMode="External"/><Relationship Id="rId1882" Type="http://schemas.openxmlformats.org/officeDocument/2006/relationships/hyperlink" Target="https://www.etsy.com/ca/listing/4346126210/daddys-future-lifting-buddy-romper-baby?transaction_id=4717010522" TargetMode="External"/><Relationship Id="rId2519" Type="http://schemas.openxmlformats.org/officeDocument/2006/relationships/hyperlink" Target="https://www.etsy.com/ca/listing/4392929794/little-latke-embroidered-romper-hanukkah?transaction_id=4866851951" TargetMode="External"/><Relationship Id="rId2726" Type="http://schemas.openxmlformats.org/officeDocument/2006/relationships/hyperlink" Target="https://www.etsy.com/ca/listing/4330488178/embroidered-golf-baby-romper-new-to-the?transaction_id=4904939281" TargetMode="External"/><Relationship Id="rId1328" Type="http://schemas.openxmlformats.org/officeDocument/2006/relationships/hyperlink" Target="https://www.etsy.com/listing/4493249816/newest-hunting-buddy-embroidered-baby?transaction_id=5074601545" TargetMode="External"/><Relationship Id="rId1535" Type="http://schemas.openxmlformats.org/officeDocument/2006/relationships/hyperlink" Target="https://www.etsy.com/listing/4507007670/daddys-co-pilot-embroidered-baby-romper?transaction_id=5111011433" TargetMode="External"/><Relationship Id="rId2933" Type="http://schemas.openxmlformats.org/officeDocument/2006/relationships/hyperlink" Target="https://www.etsy.com/ca/listing/4330495722/embroidered-golf-baby-romper-custom?transaction_id=4911855082" TargetMode="External"/><Relationship Id="rId905" Type="http://schemas.openxmlformats.org/officeDocument/2006/relationships/hyperlink" Target="https://www.etsy.com/ca/listing/4474903749/daddys-future-running-buddy-baby-romper?transaction_id=5028577582" TargetMode="External"/><Relationship Id="rId1742" Type="http://schemas.openxmlformats.org/officeDocument/2006/relationships/hyperlink" Target="https://www.etsy.com/ca/listing/4330488178/new-to-the-club-embroidered-baby-romper?transaction_id=4675506931" TargetMode="External"/><Relationship Id="rId34" Type="http://schemas.openxmlformats.org/officeDocument/2006/relationships/hyperlink" Target="https://www.etsy.com/listing/4396672241/hand-picked-for-earth-by-my-great?transaction_id=5048510551" TargetMode="External"/><Relationship Id="rId1602" Type="http://schemas.openxmlformats.org/officeDocument/2006/relationships/hyperlink" Target="https://www.etsy.com/listing/4437045794/new-to-the-crew-rowing-embroidered-baby?transaction_id=4965205721" TargetMode="External"/><Relationship Id="rId488" Type="http://schemas.openxmlformats.org/officeDocument/2006/relationships/hyperlink" Target="https://www.etsy.com/ca/listing/4346126210/daddys-future-lifting-buddy-romper-baby?transaction_id=5114693661" TargetMode="External"/><Relationship Id="rId695" Type="http://schemas.openxmlformats.org/officeDocument/2006/relationships/hyperlink" Target="https://www.etsy.com/ca/listing/4376399899/the-littlest-book-club-member-baby?transaction_id=5080333415" TargetMode="External"/><Relationship Id="rId2169" Type="http://schemas.openxmlformats.org/officeDocument/2006/relationships/hyperlink" Target="https://www.etsy.com/ca/listing/4330485404/cat-face-embroidered-baby-romper-my?transaction_id=4797906719" TargetMode="External"/><Relationship Id="rId2376" Type="http://schemas.openxmlformats.org/officeDocument/2006/relationships/hyperlink" Target="https://www.etsy.com/ca/listing/4376392339/funny-baby-romper-my-brand-of-formula?transaction_id=4835132377" TargetMode="External"/><Relationship Id="rId2583" Type="http://schemas.openxmlformats.org/officeDocument/2006/relationships/hyperlink" Target="https://www.etsy.com/ca/listing/4392962015/cant-wait-to-jam-with-daddy-embroidered?transaction_id=4863851092" TargetMode="External"/><Relationship Id="rId2790" Type="http://schemas.openxmlformats.org/officeDocument/2006/relationships/hyperlink" Target="https://www.etsy.com/ca/listing/4330488178/embroidered-golf-baby-romper-new-to-the?transaction_id=4899080770" TargetMode="External"/><Relationship Id="rId348" Type="http://schemas.openxmlformats.org/officeDocument/2006/relationships/hyperlink" Target="https://www.etsy.com/listing/4482267440/is-it-too-soon-to-ask-for-a-bike-baby?transaction_id=5112569401" TargetMode="External"/><Relationship Id="rId555" Type="http://schemas.openxmlformats.org/officeDocument/2006/relationships/hyperlink" Target="https://www.etsy.com/ca/listing/4471139539/daddys-future-hunting-buddy-baby-romper?transaction_id=5094825028" TargetMode="External"/><Relationship Id="rId762" Type="http://schemas.openxmlformats.org/officeDocument/2006/relationships/hyperlink" Target="https://www.etsy.com/ca/listing/4371125103/personalized-dog-baby-bodysuit-custom?transaction_id=5040836145" TargetMode="External"/><Relationship Id="rId1185" Type="http://schemas.openxmlformats.org/officeDocument/2006/relationships/hyperlink" Target="https://www.etsy.com/ca/listing/4376399899/the-littlest-book-club-member-baby?transaction_id=4979468872" TargetMode="External"/><Relationship Id="rId1392" Type="http://schemas.openxmlformats.org/officeDocument/2006/relationships/hyperlink" Target="https://www.etsy.com/listing/4500215026/newest-workout-buddy-kettlebell?transaction_id=5085904998" TargetMode="External"/><Relationship Id="rId2029" Type="http://schemas.openxmlformats.org/officeDocument/2006/relationships/hyperlink" Target="https://www.etsy.com/ca/listing/4376389783/player-2-baby-romper-gamer-baby-outfit?transaction_id=4766891077" TargetMode="External"/><Relationship Id="rId2236" Type="http://schemas.openxmlformats.org/officeDocument/2006/relationships/hyperlink" Target="https://www.etsy.com/ca/listing/4396731652/personalized-babys-first-christmas?transaction_id=4809204115" TargetMode="External"/><Relationship Id="rId2443" Type="http://schemas.openxmlformats.org/officeDocument/2006/relationships/hyperlink" Target="https://www.etsy.com/ca/listing/4376399899/the-littlest-book-club-member-baby?transaction_id=4834378530" TargetMode="External"/><Relationship Id="rId2650" Type="http://schemas.openxmlformats.org/officeDocument/2006/relationships/hyperlink" Target="https://www.etsy.com/ca/listing/4346126210/daddys-future-lifting-buddy-romper-baby?transaction_id=4888651819" TargetMode="External"/><Relationship Id="rId208" Type="http://schemas.openxmlformats.org/officeDocument/2006/relationships/hyperlink" Target="https://www.etsy.com/listing/4477345368/future-mvp-baby-romper-sports-baby?transaction_id=5082284846" TargetMode="External"/><Relationship Id="rId415" Type="http://schemas.openxmlformats.org/officeDocument/2006/relationships/hyperlink" Target="https://www.etsy.com/listing/4444665236/born-to-stand-out-embroidered-baby?transaction_id=5042541631" TargetMode="External"/><Relationship Id="rId622" Type="http://schemas.openxmlformats.org/officeDocument/2006/relationships/hyperlink" Target="https://www.etsy.com/ca/listing/4507655767/dads-best-bud-baby-romper-first-fathers?transaction_id=5095361189" TargetMode="External"/><Relationship Id="rId1045" Type="http://schemas.openxmlformats.org/officeDocument/2006/relationships/hyperlink" Target="https://www.etsy.com/ca/listing/4392962015/cant-wait-to-jam-with-daddy-embroidered?transaction_id=5001534892" TargetMode="External"/><Relationship Id="rId1252" Type="http://schemas.openxmlformats.org/officeDocument/2006/relationships/hyperlink" Target="https://www.etsy.com/ca/listing/4371125103/personalized-dog-baby-bodysuit-custom?transaction_id=4978228855" TargetMode="External"/><Relationship Id="rId2303" Type="http://schemas.openxmlformats.org/officeDocument/2006/relationships/hyperlink" Target="https://www.etsy.com/ca/listing/4376389783/player-2-baby-romper-gamer-baby-outfit?transaction_id=4817480905" TargetMode="External"/><Relationship Id="rId2510" Type="http://schemas.openxmlformats.org/officeDocument/2006/relationships/hyperlink" Target="https://www.etsy.com/ca/listing/4330477824/embroidered-crocodile-baby-bodysuit?transaction_id=4851781006" TargetMode="External"/><Relationship Id="rId1112" Type="http://schemas.openxmlformats.org/officeDocument/2006/relationships/hyperlink" Target="https://www.etsy.com/ca/listing/4392935796/box-box-for-fresh-diapers-embroidered?transaction_id=4992432278" TargetMode="External"/><Relationship Id="rId3077" Type="http://schemas.openxmlformats.org/officeDocument/2006/relationships/hyperlink" Target="https://www.etsy.com/ca/listing/4392935796/box-box-for-fresh-diapers-embroidered?transaction_id=4936823369" TargetMode="External"/><Relationship Id="rId3284" Type="http://schemas.openxmlformats.org/officeDocument/2006/relationships/hyperlink" Target="https://www.etsy.com/ca/listing/4376392339/funny-baby-romper-my-brand-of-formula?transaction_id=4951529346" TargetMode="External"/><Relationship Id="rId1929" Type="http://schemas.openxmlformats.org/officeDocument/2006/relationships/hyperlink" Target="https://www.etsy.com/ca/listing/4330504943/born-to-play-like-my-daddy-baby-romper?transaction_id=4742679045" TargetMode="External"/><Relationship Id="rId2093" Type="http://schemas.openxmlformats.org/officeDocument/2006/relationships/hyperlink" Target="https://www.etsy.com/ca/listing/4376389783/player-2-baby-romper-gamer-baby-outfit?transaction_id=4778366825" TargetMode="External"/><Relationship Id="rId3144" Type="http://schemas.openxmlformats.org/officeDocument/2006/relationships/hyperlink" Target="https://www.etsy.com/ca/listing/4371125103/personalized-dog-baby-bodysuit-custom?transaction_id=4945037437" TargetMode="External"/><Relationship Id="rId3351" Type="http://schemas.openxmlformats.org/officeDocument/2006/relationships/hyperlink" Target="https://www.etsy.com/ca/listing/4392935796/box-box-for-fresh-diapers-embroidered?transaction_id=4970248331" TargetMode="External"/><Relationship Id="rId272" Type="http://schemas.openxmlformats.org/officeDocument/2006/relationships/hyperlink" Target="https://www.etsy.com/listing/4437040487/music-baby-romper-cant-wait-to-jam-with?transaction_id=4919854232" TargetMode="External"/><Relationship Id="rId2160" Type="http://schemas.openxmlformats.org/officeDocument/2006/relationships/hyperlink" Target="https://www.etsy.com/ca/listing/4376399899/the-littlest-book-club-member-baby?transaction_id=4795445411" TargetMode="External"/><Relationship Id="rId3004" Type="http://schemas.openxmlformats.org/officeDocument/2006/relationships/hyperlink" Target="https://www.etsy.com/ca/listing/4344235128/new-to-the-hive-baby-romper-embroidered?transaction_id=4931644031" TargetMode="External"/><Relationship Id="rId3211" Type="http://schemas.openxmlformats.org/officeDocument/2006/relationships/hyperlink" Target="https://www.etsy.com/ca/listing/4330488178/embroidered-golf-baby-romper-new-to-the?transaction_id=4953865813" TargetMode="External"/><Relationship Id="rId132" Type="http://schemas.openxmlformats.org/officeDocument/2006/relationships/hyperlink" Target="https://www.etsy.com/listing/4482244700/apparently-i-like-tennis-baby-romper" TargetMode="External"/><Relationship Id="rId2020" Type="http://schemas.openxmlformats.org/officeDocument/2006/relationships/hyperlink" Target="https://www.etsy.com/ca/listing/4344235128/new-to-the-hive-baby-romper-embroidered?transaction_id=4755491874" TargetMode="External"/><Relationship Id="rId1579" Type="http://schemas.openxmlformats.org/officeDocument/2006/relationships/hyperlink" Target="https://www.etsy.com/listing/4481649101/fitness-baby-romper-dumbbell?transaction_id=5083461276" TargetMode="External"/><Relationship Id="rId2977" Type="http://schemas.openxmlformats.org/officeDocument/2006/relationships/hyperlink" Target="https://www.etsy.com/ca/listing/4330488178/embroidered-golf-baby-romper-new-to-the?transaction_id=4929269839" TargetMode="External"/><Relationship Id="rId949" Type="http://schemas.openxmlformats.org/officeDocument/2006/relationships/hyperlink" Target="https://www.etsy.com/ca/listing/4467446644/the-littlest-baking-club-member-baby?transaction_id=5030576887" TargetMode="External"/><Relationship Id="rId1786" Type="http://schemas.openxmlformats.org/officeDocument/2006/relationships/hyperlink" Target="https://www.etsy.com/ca/listing/4333135410/little-pumpkin-baby-romper-fall?transaction_id=4671348058" TargetMode="External"/><Relationship Id="rId1993" Type="http://schemas.openxmlformats.org/officeDocument/2006/relationships/hyperlink" Target="https://www.etsy.com/ca/listing/4330488178/new-to-the-club-embroidered-baby-romper?transaction_id=4748293914" TargetMode="External"/><Relationship Id="rId2837" Type="http://schemas.openxmlformats.org/officeDocument/2006/relationships/hyperlink" Target="https://www.etsy.com/ca/listing/4330488178/embroidered-golf-baby-romper-new-to-the?transaction_id=4904201578" TargetMode="External"/><Relationship Id="rId78" Type="http://schemas.openxmlformats.org/officeDocument/2006/relationships/hyperlink" Target="https://www.etsy.com/listing/4513585456/mommys-reading-buddy-embroidered-baby?transaction_id=5097769070" TargetMode="External"/><Relationship Id="rId809" Type="http://schemas.openxmlformats.org/officeDocument/2006/relationships/hyperlink" Target="https://www.etsy.com/ca/listing/4376401181/challah-at-your-girl-baby-bodysuit-funny?transaction_id=5056959433" TargetMode="External"/><Relationship Id="rId1439" Type="http://schemas.openxmlformats.org/officeDocument/2006/relationships/hyperlink" Target="https://www.etsy.com/listing/4467378841/embroidered-is-it-too-soon-to-ask-for-a?transaction_id=5097568703" TargetMode="External"/><Relationship Id="rId1646" Type="http://schemas.openxmlformats.org/officeDocument/2006/relationships/hyperlink" Target="https://www.etsy.com/listing/4481677271/personalized-basketball-baby-bodysuit?transaction_id=5018132062" TargetMode="External"/><Relationship Id="rId1853" Type="http://schemas.openxmlformats.org/officeDocument/2006/relationships/hyperlink" Target="https://www.etsy.com/ca/listing/4336899579/personalized-basketball-baby-romper?transaction_id=4701540940" TargetMode="External"/><Relationship Id="rId2904" Type="http://schemas.openxmlformats.org/officeDocument/2006/relationships/hyperlink" Target="https://www.etsy.com/ca/listing/4344235495/new-kid-on-the-block-baby-bodysuit-funny?transaction_id=4909611504" TargetMode="External"/><Relationship Id="rId1506" Type="http://schemas.openxmlformats.org/officeDocument/2006/relationships/hyperlink" Target="https://www.etsy.com/listing/4376404086/embroidered-lil-nugget-baby-bodysuit?transaction_id=5105567463" TargetMode="External"/><Relationship Id="rId1713" Type="http://schemas.openxmlformats.org/officeDocument/2006/relationships/hyperlink" Target="https://www.etsy.com/listing/4346677169/volleyball-baby-romper-born-to-play-like?transaction_id=4896774479" TargetMode="External"/><Relationship Id="rId1920" Type="http://schemas.openxmlformats.org/officeDocument/2006/relationships/hyperlink" Target="https://www.etsy.com/ca/listing/4330488178/new-to-the-club-embroidered-baby-romper?transaction_id=4740498811" TargetMode="External"/><Relationship Id="rId599" Type="http://schemas.openxmlformats.org/officeDocument/2006/relationships/hyperlink" Target="https://www.etsy.com/ca/listing/4504890435/surfs-up-baby-romper-beach-baby-outfit?transaction_id=5099588939" TargetMode="External"/><Relationship Id="rId2487" Type="http://schemas.openxmlformats.org/officeDocument/2006/relationships/hyperlink" Target="https://www.etsy.com/ca/listing/4392936921/apparently-i-like-golf-embroidered?transaction_id=4847175176" TargetMode="External"/><Relationship Id="rId2694" Type="http://schemas.openxmlformats.org/officeDocument/2006/relationships/hyperlink" Target="https://www.etsy.com/ca/listing/4392962015/cant-wait-to-jam-with-daddy-embroidered?transaction_id=4881522728" TargetMode="External"/><Relationship Id="rId459" Type="http://schemas.openxmlformats.org/officeDocument/2006/relationships/hyperlink" Target="https://www.etsy.com/listing/4445850114/the-littlest-book-club-member-baby?transaction_id=4970812147" TargetMode="External"/><Relationship Id="rId666" Type="http://schemas.openxmlformats.org/officeDocument/2006/relationships/hyperlink" Target="https://www.etsy.com/ca/listing/4503550714/crawl-walk-climb-baby-romper-embroidered?transaction_id=5087525947" TargetMode="External"/><Relationship Id="rId873" Type="http://schemas.openxmlformats.org/officeDocument/2006/relationships/hyperlink" Target="https://www.etsy.com/ca/listing/4485619704/little-swiftie-baby-romper-taylor-fan?transaction_id=5044057435" TargetMode="External"/><Relationship Id="rId1089" Type="http://schemas.openxmlformats.org/officeDocument/2006/relationships/hyperlink" Target="https://www.etsy.com/ca/listing/4392935796/box-box-for-fresh-diapers-embroidered?transaction_id=5004227605" TargetMode="External"/><Relationship Id="rId1296" Type="http://schemas.openxmlformats.org/officeDocument/2006/relationships/hyperlink" Target="https://www.etsy.com/listing/4493262715/new-to-the-club-golf-embroidered-baby?transaction_id=5042373906" TargetMode="External"/><Relationship Id="rId2347" Type="http://schemas.openxmlformats.org/officeDocument/2006/relationships/hyperlink" Target="https://www.etsy.com/ca/listing/4392935796/box-box-for-fresh-diapers-embroidered?transaction_id=4821333260" TargetMode="External"/><Relationship Id="rId2554" Type="http://schemas.openxmlformats.org/officeDocument/2006/relationships/hyperlink" Target="https://www.etsy.com/ca/listing/4392929794/little-latke-embroidered-romper-hanukkah?transaction_id=4858566246" TargetMode="External"/><Relationship Id="rId319" Type="http://schemas.openxmlformats.org/officeDocument/2006/relationships/hyperlink" Target="https://www.etsy.com/ca/listing/4470615480/apparently-i-like-f1-baby-romper-formula?transaction_id=5033474894" TargetMode="External"/><Relationship Id="rId526" Type="http://schemas.openxmlformats.org/officeDocument/2006/relationships/hyperlink" Target="https://www.etsy.com/ca/listing/4347260564/football-baby-romper-game-day-baby?transaction_id=5109271243" TargetMode="External"/><Relationship Id="rId1156" Type="http://schemas.openxmlformats.org/officeDocument/2006/relationships/hyperlink" Target="https://www.etsy.com/ca/listing/4336900156/personalized-soccer-baby-romper?transaction_id=4996456931" TargetMode="External"/><Relationship Id="rId1363" Type="http://schemas.openxmlformats.org/officeDocument/2006/relationships/hyperlink" Target="https://www.etsy.com/listing/4500215026/newest-workout-buddy-kettlebell?transaction_id=5090244201" TargetMode="External"/><Relationship Id="rId2207" Type="http://schemas.openxmlformats.org/officeDocument/2006/relationships/hyperlink" Target="https://www.etsy.com/ca/listing/4330483435/embroidered-coffee-bean-baby-romper?transaction_id=4803339611" TargetMode="External"/><Relationship Id="rId2761" Type="http://schemas.openxmlformats.org/officeDocument/2006/relationships/hyperlink" Target="https://www.etsy.com/ca/listing/4376399899/the-littlest-book-club-member-baby?transaction_id=4894582318" TargetMode="External"/><Relationship Id="rId733" Type="http://schemas.openxmlformats.org/officeDocument/2006/relationships/hyperlink" Target="https://www.etsy.com/ca/listing/4376392339/funny-baby-romper-my-brand-of-formula?transaction_id=5071629467" TargetMode="External"/><Relationship Id="rId940" Type="http://schemas.openxmlformats.org/officeDocument/2006/relationships/hyperlink" Target="https://www.etsy.com/ca/listing/4376399899/the-littlest-book-club-member-baby?transaction_id=5031482827" TargetMode="External"/><Relationship Id="rId1016" Type="http://schemas.openxmlformats.org/officeDocument/2006/relationships/hyperlink" Target="https://www.etsy.com/ca/listing/4376401181/challah-at-your-girl-baby-bodysuit-funny?transaction_id=5003596925" TargetMode="External"/><Relationship Id="rId1570" Type="http://schemas.openxmlformats.org/officeDocument/2006/relationships/hyperlink" Target="https://www.etsy.com/listing/4473237491/embroidered-ocean-wave-baby-romper?transaction_id=5071531853" TargetMode="External"/><Relationship Id="rId2414" Type="http://schemas.openxmlformats.org/officeDocument/2006/relationships/hyperlink" Target="https://www.etsy.com/ca/listing/4376401181/challah-at-your-girl-baby-bodysuit-funny?transaction_id=4830030820" TargetMode="External"/><Relationship Id="rId2621" Type="http://schemas.openxmlformats.org/officeDocument/2006/relationships/hyperlink" Target="https://www.etsy.com/ca/listing/4392929794/little-latke-embroidered-romper-hanukkah?transaction_id=4884810191" TargetMode="External"/><Relationship Id="rId800" Type="http://schemas.openxmlformats.org/officeDocument/2006/relationships/hyperlink" Target="https://www.etsy.com/ca/listing/4330488178/embroidered-golf-baby-romper-new-to-the?transaction_id=5058528611" TargetMode="External"/><Relationship Id="rId1223" Type="http://schemas.openxmlformats.org/officeDocument/2006/relationships/hyperlink" Target="https://www.etsy.com/ca/listing/4392935796/box-box-for-fresh-diapers-embroidered?transaction_id=4973618152" TargetMode="External"/><Relationship Id="rId1430" Type="http://schemas.openxmlformats.org/officeDocument/2006/relationships/hyperlink" Target="https://www.etsy.com/listing/4509961572/new-to-the-farm-embroidered-baby-romper?transaction_id=5109644383" TargetMode="External"/><Relationship Id="rId3188" Type="http://schemas.openxmlformats.org/officeDocument/2006/relationships/hyperlink" Target="https://www.etsy.com/ca/listing/4392962015/cant-wait-to-jam-with-daddy-embroidered?transaction_id=4938896016" TargetMode="External"/><Relationship Id="rId3395" Type="http://schemas.openxmlformats.org/officeDocument/2006/relationships/vmlDrawing" Target="../drawings/vmlDrawing1.vml"/><Relationship Id="rId3048" Type="http://schemas.openxmlformats.org/officeDocument/2006/relationships/hyperlink" Target="https://www.etsy.com/ca/listing/4376399899/the-littlest-book-club-member-baby?transaction_id=4923068010" TargetMode="External"/><Relationship Id="rId3255" Type="http://schemas.openxmlformats.org/officeDocument/2006/relationships/hyperlink" Target="https://www.etsy.com/ca/listing/4392932100/born-to-ride-with-my-daddy-embroidered?transaction_id=4946792538" TargetMode="External"/><Relationship Id="rId176" Type="http://schemas.openxmlformats.org/officeDocument/2006/relationships/hyperlink" Target="https://www.etsy.com/listing/4461651558/custom-name-shamrock-embroidered-romper?transaction_id=4990588095" TargetMode="External"/><Relationship Id="rId383" Type="http://schemas.openxmlformats.org/officeDocument/2006/relationships/hyperlink" Target="https://www.etsy.com/listing/4468994168/listening-to-taylor-with-my-mom-baby?transaction_id=5086355273" TargetMode="External"/><Relationship Id="rId590" Type="http://schemas.openxmlformats.org/officeDocument/2006/relationships/hyperlink" Target="https://www.etsy.com/ca/listing/4330485404/cat-face-embroidered-baby-romper-funny?transaction_id=5100429021" TargetMode="External"/><Relationship Id="rId2064" Type="http://schemas.openxmlformats.org/officeDocument/2006/relationships/hyperlink" Target="https://www.etsy.com/ca/listing/4376392339/funny-baby-romper-my-brand-of-formula?transaction_id=4762084502" TargetMode="External"/><Relationship Id="rId2271" Type="http://schemas.openxmlformats.org/officeDocument/2006/relationships/hyperlink" Target="https://www.etsy.com/ca/listing/4330485404/cat-face-embroidered-baby-romper-funny?transaction_id=4814062527" TargetMode="External"/><Relationship Id="rId3115" Type="http://schemas.openxmlformats.org/officeDocument/2006/relationships/hyperlink" Target="https://www.etsy.com/ca/listing/4330488178/embroidered-golf-baby-romper-new-to-the?transaction_id=4930180770" TargetMode="External"/><Relationship Id="rId3322" Type="http://schemas.openxmlformats.org/officeDocument/2006/relationships/hyperlink" Target="https://www.etsy.com/ca/listing/4376399899/the-littlest-book-club-member-baby?transaction_id=4955893866" TargetMode="External"/><Relationship Id="rId243" Type="http://schemas.openxmlformats.org/officeDocument/2006/relationships/hyperlink" Target="https://www.etsy.com/listing/4436466725/custom-name-sailboat-embroidered-romper?transaction_id=5005817105" TargetMode="External"/><Relationship Id="rId450" Type="http://schemas.openxmlformats.org/officeDocument/2006/relationships/hyperlink" Target="https://www.etsy.com/listing/4445820850/newest-member-of-the-band-embroidered?transaction_id=4983701810" TargetMode="External"/><Relationship Id="rId1080" Type="http://schemas.openxmlformats.org/officeDocument/2006/relationships/hyperlink" Target="https://www.etsy.com/ca/listing/4330483836/embroidered-bear-baby-romper-custom-name?transaction_id=5005008549" TargetMode="External"/><Relationship Id="rId2131" Type="http://schemas.openxmlformats.org/officeDocument/2006/relationships/hyperlink" Target="https://www.etsy.com/ca/listing/4369781522/crawl-walk-putt-baby-romper-funny-golf?transaction_id=4778775602" TargetMode="External"/><Relationship Id="rId103" Type="http://schemas.openxmlformats.org/officeDocument/2006/relationships/hyperlink" Target="https://www.etsy.com/listing/4513589331/daddys-little-gaming-buddy-embroidered?transaction_id=5090065934" TargetMode="External"/><Relationship Id="rId310" Type="http://schemas.openxmlformats.org/officeDocument/2006/relationships/hyperlink" Target="https://www.etsy.com/ca/listing/4490099186/daddys-future-skating-buddy-baby-romper?transaction_id=5043904240" TargetMode="External"/><Relationship Id="rId1897" Type="http://schemas.openxmlformats.org/officeDocument/2006/relationships/hyperlink" Target="https://www.etsy.com/ca/listing/4346126210/daddys-future-lifting-buddy-romper-baby?transaction_id=4734850159" TargetMode="External"/><Relationship Id="rId2948" Type="http://schemas.openxmlformats.org/officeDocument/2006/relationships/hyperlink" Target="https://www.etsy.com/ca/listing/4371125103/personalized-dog-baby-bodysuit-custom?transaction_id=4926593223" TargetMode="External"/><Relationship Id="rId1757" Type="http://schemas.openxmlformats.org/officeDocument/2006/relationships/hyperlink" Target="https://www.etsy.com/ca/listing/4330504400/born-to-play-like-my-daddy-baby-romper?transaction_id=4679768087" TargetMode="External"/><Relationship Id="rId1964" Type="http://schemas.openxmlformats.org/officeDocument/2006/relationships/hyperlink" Target="https://www.etsy.com/ca/listing/4372357398/personalized-hunting-baby-romper-custom?transaction_id=4740914372" TargetMode="External"/><Relationship Id="rId2808" Type="http://schemas.openxmlformats.org/officeDocument/2006/relationships/hyperlink" Target="https://www.etsy.com/ca/listing/4330477824/embroidered-crocodile-baby-bodysuit?transaction_id=4901215620" TargetMode="External"/><Relationship Id="rId49" Type="http://schemas.openxmlformats.org/officeDocument/2006/relationships/hyperlink" Target="https://www.etsy.com/listing/4441958494/future-triathlete-embroidered-baby?transaction_id=5012776498" TargetMode="External"/><Relationship Id="rId1617" Type="http://schemas.openxmlformats.org/officeDocument/2006/relationships/hyperlink" Target="https://www.etsy.com/listing/4430837644/personalized-new-to-the-crew-baby?transaction_id=4994963233" TargetMode="External"/><Relationship Id="rId1824" Type="http://schemas.openxmlformats.org/officeDocument/2006/relationships/hyperlink" Target="https://www.etsy.com/ca/listing/4330483435/little-bean-embroidered-baby-romper-cute?transaction_id=4687652182" TargetMode="External"/><Relationship Id="rId2598" Type="http://schemas.openxmlformats.org/officeDocument/2006/relationships/hyperlink" Target="https://www.etsy.com/ca/listing/4392929794/little-latke-embroidered-romper-hanukkah?transaction_id=4881090023" TargetMode="External"/><Relationship Id="rId777" Type="http://schemas.openxmlformats.org/officeDocument/2006/relationships/hyperlink" Target="https://www.etsy.com/ca/listing/4376399899/the-littlest-book-club-member-baby?transaction_id=5062984455" TargetMode="External"/><Relationship Id="rId984" Type="http://schemas.openxmlformats.org/officeDocument/2006/relationships/hyperlink" Target="https://www.etsy.com/ca/listing/4372352286/silly-goose-baby-romper-funny-infant?transaction_id=5013837266" TargetMode="External"/><Relationship Id="rId2458" Type="http://schemas.openxmlformats.org/officeDocument/2006/relationships/hyperlink" Target="https://www.etsy.com/ca/listing/4392929794/little-latke-embroidered-romper-hanukkah?transaction_id=4838021766" TargetMode="External"/><Relationship Id="rId2665" Type="http://schemas.openxmlformats.org/officeDocument/2006/relationships/hyperlink" Target="https://www.etsy.com/ca/listing/4376399899/the-littlest-book-club-member-baby?transaction_id=4875008978" TargetMode="External"/><Relationship Id="rId2872" Type="http://schemas.openxmlformats.org/officeDocument/2006/relationships/hyperlink" Target="https://www.etsy.com/ca/listing/4376389783/player-2-baby-romper-gamer-baby-outfit?transaction_id=4906432830" TargetMode="External"/><Relationship Id="rId637" Type="http://schemas.openxmlformats.org/officeDocument/2006/relationships/hyperlink" Target="https://www.etsy.com/ca/listing/4475334330/daddys-future-football-buddy-baby?transaction_id=5092677177" TargetMode="External"/><Relationship Id="rId844" Type="http://schemas.openxmlformats.org/officeDocument/2006/relationships/hyperlink" Target="https://www.etsy.com/ca/listing/4473754692/custom-name-embroidered-romper-fishing?transaction_id=5050971709" TargetMode="External"/><Relationship Id="rId1267" Type="http://schemas.openxmlformats.org/officeDocument/2006/relationships/hyperlink" Target="https://www.etsy.com/listing/4485710996/masters-2026-augusta-national-golf-club?transaction_id=5033304769" TargetMode="External"/><Relationship Id="rId1474" Type="http://schemas.openxmlformats.org/officeDocument/2006/relationships/hyperlink" Target="https://www.etsy.com/listing/4474408150/nacho-baby-funny-quote-embroidered-baby?transaction_id=5100604935" TargetMode="External"/><Relationship Id="rId1681" Type="http://schemas.openxmlformats.org/officeDocument/2006/relationships/hyperlink" Target="https://www.etsy.com/listing/4430837644/personalized-new-to-the-crew-baby?transaction_id=5088377204" TargetMode="External"/><Relationship Id="rId2318" Type="http://schemas.openxmlformats.org/officeDocument/2006/relationships/hyperlink" Target="https://www.etsy.com/ca/listing/4372357398/personalized-hunting-baby-romper-custom?transaction_id=4820224359" TargetMode="External"/><Relationship Id="rId2525" Type="http://schemas.openxmlformats.org/officeDocument/2006/relationships/hyperlink" Target="https://www.etsy.com/ca/listing/4392935796/box-box-for-fresh-diapers-embroidered?transaction_id=4868567813" TargetMode="External"/><Relationship Id="rId2732" Type="http://schemas.openxmlformats.org/officeDocument/2006/relationships/hyperlink" Target="https://www.etsy.com/ca/listing/4330485404/cat-face-embroidered-baby-romper-funny?transaction_id=4890004286" TargetMode="External"/><Relationship Id="rId704" Type="http://schemas.openxmlformats.org/officeDocument/2006/relationships/hyperlink" Target="https://www.etsy.com/ca/listing/4366190473/cat-face-embroidered-baby-romper-my?transaction_id=5064841842" TargetMode="External"/><Relationship Id="rId911" Type="http://schemas.openxmlformats.org/officeDocument/2006/relationships/hyperlink" Target="https://www.etsy.com/ca/listing/4467440237/the-littlest-coffee-club-member-baby?transaction_id=5038394859" TargetMode="External"/><Relationship Id="rId1127" Type="http://schemas.openxmlformats.org/officeDocument/2006/relationships/hyperlink" Target="https://www.etsy.com/ca/listing/4336907597/custom-running-baby-romper-daddys-future?transaction_id=5000504531" TargetMode="External"/><Relationship Id="rId1334" Type="http://schemas.openxmlformats.org/officeDocument/2006/relationships/hyperlink" Target="https://www.etsy.com/listing/4495400367/new-to-the-hunting-crew-duck-arrow?transaction_id=5076025859" TargetMode="External"/><Relationship Id="rId1541" Type="http://schemas.openxmlformats.org/officeDocument/2006/relationships/hyperlink" Target="https://www.etsy.com/listing/4376404086/embroidered-lil-nugget-baby-bodysuit?transaction_id=5112078145" TargetMode="External"/><Relationship Id="rId40" Type="http://schemas.openxmlformats.org/officeDocument/2006/relationships/hyperlink" Target="https://www.etsy.com/listing/4395094410/do-not-kiss-me-if-im-nacho-baby?transaction_id=5041607177" TargetMode="External"/><Relationship Id="rId1401" Type="http://schemas.openxmlformats.org/officeDocument/2006/relationships/hyperlink" Target="https://www.etsy.com/listing/4485710996/masters-2026-augusta-national-golf-club?transaction_id=5090072748" TargetMode="External"/><Relationship Id="rId3299" Type="http://schemas.openxmlformats.org/officeDocument/2006/relationships/hyperlink" Target="https://www.etsy.com/ca/listing/4376399899/the-littlest-book-club-member-baby?transaction_id=4963513643" TargetMode="External"/><Relationship Id="rId3159" Type="http://schemas.openxmlformats.org/officeDocument/2006/relationships/hyperlink" Target="https://www.etsy.com/ca/listing/4371125103/personalized-dog-baby-bodysuit-custom?transaction_id=4947136669" TargetMode="External"/><Relationship Id="rId3366" Type="http://schemas.openxmlformats.org/officeDocument/2006/relationships/hyperlink" Target="https://www.etsy.com/ca/listing/4376399899/the-littlest-book-club-member-baby?transaction_id=4973786027" TargetMode="External"/><Relationship Id="rId287" Type="http://schemas.openxmlformats.org/officeDocument/2006/relationships/hyperlink" Target="https://www.etsy.com/ca/listing/4516749130/custom-name-baby-embroidered-romper?transaction_id=5095300612" TargetMode="External"/><Relationship Id="rId494" Type="http://schemas.openxmlformats.org/officeDocument/2006/relationships/hyperlink" Target="https://www.etsy.com/ca/listing/4336907597/custom-running-baby-romper-daddys-future?transaction_id=5113806997" TargetMode="External"/><Relationship Id="rId2175" Type="http://schemas.openxmlformats.org/officeDocument/2006/relationships/hyperlink" Target="https://www.etsy.com/ca/listing/4379182759/golf-baby-outfit-custom-name-golf-cart?transaction_id=4779301133" TargetMode="External"/><Relationship Id="rId2382" Type="http://schemas.openxmlformats.org/officeDocument/2006/relationships/hyperlink" Target="https://www.etsy.com/ca/listing/4376389783/player-2-baby-romper-gamer-baby-outfit?transaction_id=4825780760" TargetMode="External"/><Relationship Id="rId3019" Type="http://schemas.openxmlformats.org/officeDocument/2006/relationships/hyperlink" Target="https://www.etsy.com/ca/listing/4376399899/the-littlest-book-club-member-baby?transaction_id=4920504094" TargetMode="External"/><Relationship Id="rId3226" Type="http://schemas.openxmlformats.org/officeDocument/2006/relationships/hyperlink" Target="https://www.etsy.com/ca/listing/4330488178/embroidered-golf-baby-romper-new-to-the?transaction_id=4943939322" TargetMode="External"/><Relationship Id="rId147" Type="http://schemas.openxmlformats.org/officeDocument/2006/relationships/hyperlink" Target="https://www.etsy.com/listing/4481185031/apparently-i-like-soccer-baby-romper?transaction_id=5046748949" TargetMode="External"/><Relationship Id="rId354" Type="http://schemas.openxmlformats.org/officeDocument/2006/relationships/hyperlink" Target="https://www.etsy.com/listing/4472680499/shhh-i-am-playing-drums-with-daddy-baby?transaction_id=5096302910" TargetMode="External"/><Relationship Id="rId1191" Type="http://schemas.openxmlformats.org/officeDocument/2006/relationships/hyperlink" Target="https://www.etsy.com/ca/listing/4376399899/the-littlest-book-club-member-baby?transaction_id=4989379261" TargetMode="External"/><Relationship Id="rId2035" Type="http://schemas.openxmlformats.org/officeDocument/2006/relationships/hyperlink" Target="https://www.etsy.com/ca/listing/4333134764/wizard-font-baby-romper-personalized?transaction_id=4767995003" TargetMode="External"/><Relationship Id="rId561" Type="http://schemas.openxmlformats.org/officeDocument/2006/relationships/hyperlink" Target="https://www.etsy.com/ca/listing/4507655767/dads-best-bud-baby-romper-first-fathers?transaction_id=5104467145" TargetMode="External"/><Relationship Id="rId2242" Type="http://schemas.openxmlformats.org/officeDocument/2006/relationships/hyperlink" Target="https://www.etsy.com/ca/listing/4344237949/great-grandma-baby-romper-embroidered?transaction_id=4802394272" TargetMode="External"/><Relationship Id="rId214" Type="http://schemas.openxmlformats.org/officeDocument/2006/relationships/hyperlink" Target="https://www.etsy.com/listing/4430529702/cool-as-a-penguin-embroidered-baby?transaction_id=5065975440" TargetMode="External"/><Relationship Id="rId421" Type="http://schemas.openxmlformats.org/officeDocument/2006/relationships/hyperlink" Target="https://www.etsy.com/listing/4445813613/future-pianist-embroidered-baby-bodysuit?transaction_id=5021525596" TargetMode="External"/><Relationship Id="rId1051" Type="http://schemas.openxmlformats.org/officeDocument/2006/relationships/hyperlink" Target="https://www.etsy.com/ca/listing/4376389783/player-2-baby-romper-gamer-baby-outfit?transaction_id=5000526240" TargetMode="External"/><Relationship Id="rId2102" Type="http://schemas.openxmlformats.org/officeDocument/2006/relationships/hyperlink" Target="https://www.etsy.com/ca/listing/4344239173/little-pumpkin-baby-romper-fall?transaction_id=4781362427" TargetMode="External"/><Relationship Id="rId1868" Type="http://schemas.openxmlformats.org/officeDocument/2006/relationships/hyperlink" Target="https://www.etsy.com/ca/listing/4330488178/new-to-the-club-embroidered-baby-romper?transaction_id=4709194364" TargetMode="External"/><Relationship Id="rId2919" Type="http://schemas.openxmlformats.org/officeDocument/2006/relationships/hyperlink" Target="https://www.etsy.com/ca/listing/4376399899/the-littlest-book-club-member-baby?transaction_id=4924296761" TargetMode="External"/><Relationship Id="rId3083" Type="http://schemas.openxmlformats.org/officeDocument/2006/relationships/hyperlink" Target="https://www.etsy.com/ca/listing/4392935796/box-box-for-fresh-diapers-embroidered?transaction_id=4925815098" TargetMode="External"/><Relationship Id="rId3290" Type="http://schemas.openxmlformats.org/officeDocument/2006/relationships/hyperlink" Target="https://www.etsy.com/ca/listing/4371125103/personalized-dog-baby-bodysuit-custom?transaction_id=4951772494" TargetMode="External"/><Relationship Id="rId1728" Type="http://schemas.openxmlformats.org/officeDocument/2006/relationships/hyperlink" Target="https://www.etsy.com/ca/listing/4330504943/born-to-play-like-my-daddy-baby-romper?transaction_id=4654361252" TargetMode="External"/><Relationship Id="rId1935" Type="http://schemas.openxmlformats.org/officeDocument/2006/relationships/hyperlink" Target="https://www.etsy.com/ca/listing/4330488178/new-to-the-club-embroidered-baby-romper?transaction_id=4734032216" TargetMode="External"/><Relationship Id="rId3150" Type="http://schemas.openxmlformats.org/officeDocument/2006/relationships/hyperlink" Target="https://www.etsy.com/ca/listing/4376399899/the-littlest-book-club-member-baby?transaction_id=4934258022" TargetMode="External"/><Relationship Id="rId3010" Type="http://schemas.openxmlformats.org/officeDocument/2006/relationships/hyperlink" Target="https://www.etsy.com/ca/listing/4330488178/embroidered-golf-baby-romper-new-to-the?transaction_id=4919681510" TargetMode="External"/><Relationship Id="rId4" Type="http://schemas.openxmlformats.org/officeDocument/2006/relationships/hyperlink" Target="https://www.etsy.com/listing/4395646009/cute-tomato-embroidered-baby-bodysuit?transaction_id=5084528844" TargetMode="External"/><Relationship Id="rId888" Type="http://schemas.openxmlformats.org/officeDocument/2006/relationships/hyperlink" Target="https://www.etsy.com/ca/listing/4477332212/custom-name-music-baby-romper?transaction_id=5041991683" TargetMode="External"/><Relationship Id="rId2569" Type="http://schemas.openxmlformats.org/officeDocument/2006/relationships/hyperlink" Target="https://www.etsy.com/ca/listing/4376392339/funny-baby-romper-my-brand-of-formula?transaction_id=4861564616" TargetMode="External"/><Relationship Id="rId2776" Type="http://schemas.openxmlformats.org/officeDocument/2006/relationships/hyperlink" Target="https://www.etsy.com/ca/listing/4330492512/funny-goose-embroidered-baby-romper?transaction_id=4897117934" TargetMode="External"/><Relationship Id="rId2983" Type="http://schemas.openxmlformats.org/officeDocument/2006/relationships/hyperlink" Target="https://www.etsy.com/ca/listing/4330488178/embroidered-golf-baby-romper-new-to-the?transaction_id=4917313042" TargetMode="External"/><Relationship Id="rId748" Type="http://schemas.openxmlformats.org/officeDocument/2006/relationships/hyperlink" Target="https://www.etsy.com/ca/listing/4392932100/born-to-ride-with-my-daddy-embroidered?transaction_id=5056636414" TargetMode="External"/><Relationship Id="rId955" Type="http://schemas.openxmlformats.org/officeDocument/2006/relationships/hyperlink" Target="https://www.etsy.com/ca/listing/4392932100/born-to-ride-with-my-daddy-embroidered?transaction_id=5019485618" TargetMode="External"/><Relationship Id="rId1378" Type="http://schemas.openxmlformats.org/officeDocument/2006/relationships/hyperlink" Target="https://www.etsy.com/listing/4480612102/golf-player-baby-girl-name-embroidered?transaction_id=5082110360&amp;dd_referrer=" TargetMode="External"/><Relationship Id="rId1585" Type="http://schemas.openxmlformats.org/officeDocument/2006/relationships/hyperlink" Target="https://www.etsy.com/listing/4496447374/new-to-the-tennis-club-baby-romper?transaction_id=5105392635" TargetMode="External"/><Relationship Id="rId1792" Type="http://schemas.openxmlformats.org/officeDocument/2006/relationships/hyperlink" Target="https://www.etsy.com/ca/listing/4330483435/little-bean-embroidered-baby-romper-cute?transaction_id=4686935383" TargetMode="External"/><Relationship Id="rId2429" Type="http://schemas.openxmlformats.org/officeDocument/2006/relationships/hyperlink" Target="https://www.etsy.com/ca/listing/4376389783/player-2-baby-romper-gamer-baby-outfit?transaction_id=4842085133" TargetMode="External"/><Relationship Id="rId2636" Type="http://schemas.openxmlformats.org/officeDocument/2006/relationships/hyperlink" Target="https://www.etsy.com/ca/listing/4371125103/personalized-dog-baby-bodysuit-custom?transaction_id=4870677830" TargetMode="External"/><Relationship Id="rId2843" Type="http://schemas.openxmlformats.org/officeDocument/2006/relationships/hyperlink" Target="https://www.etsy.com/ca/listing/4372352286/silly-goose-baby-romper-funny-infant?transaction_id=4918798903" TargetMode="External"/><Relationship Id="rId84" Type="http://schemas.openxmlformats.org/officeDocument/2006/relationships/hyperlink" Target="https://www.etsy.com/listing/4512152650/custom-pet-photo-embroidered-romper?transaction_id=5096564610" TargetMode="External"/><Relationship Id="rId608" Type="http://schemas.openxmlformats.org/officeDocument/2006/relationships/hyperlink" Target="https://www.etsy.com/ca/listing/4336907597/custom-running-baby-romper-daddys-future?transaction_id=5098726827" TargetMode="External"/><Relationship Id="rId815" Type="http://schemas.openxmlformats.org/officeDocument/2006/relationships/hyperlink" Target="https://www.etsy.com/ca/listing/4467451258/the-littlest-tennis-club-member-baby?transaction_id=5042742106" TargetMode="External"/><Relationship Id="rId1238" Type="http://schemas.openxmlformats.org/officeDocument/2006/relationships/hyperlink" Target="https://www.etsy.com/ca/listing/4376399899/the-littlest-book-club-member-baby?transaction_id=4981518797" TargetMode="External"/><Relationship Id="rId1445" Type="http://schemas.openxmlformats.org/officeDocument/2006/relationships/hyperlink" Target="https://www.etsy.com/listing/4476306471/pack-my-diapers-im-going-crime-fighting?transaction_id=5086606464" TargetMode="External"/><Relationship Id="rId1652" Type="http://schemas.openxmlformats.org/officeDocument/2006/relationships/hyperlink" Target="https://www.etsy.com/listing/4462707332/daddys-future-golf-buddy-baby-bodysuit?transaction_id=5003526331" TargetMode="External"/><Relationship Id="rId1305" Type="http://schemas.openxmlformats.org/officeDocument/2006/relationships/hyperlink" Target="https://www.etsy.com/listing/4485710996/masters-2026-augusta-national-golf-club?transaction_id=5062649795" TargetMode="External"/><Relationship Id="rId2703" Type="http://schemas.openxmlformats.org/officeDocument/2006/relationships/hyperlink" Target="https://www.etsy.com/ca/listing/4347263856/besties-baby-romper-matching-baby-outfit?transaction_id=4883381966" TargetMode="External"/><Relationship Id="rId2910" Type="http://schemas.openxmlformats.org/officeDocument/2006/relationships/hyperlink" Target="https://www.etsy.com/ca/listing/4376389783/player-2-baby-romper-gamer-baby-outfit?transaction_id=4923481771" TargetMode="External"/><Relationship Id="rId1512" Type="http://schemas.openxmlformats.org/officeDocument/2006/relationships/hyperlink" Target="https://www.etsy.com/listing/4473844239/funny-f1-racing-quote-embroidered-baby?transaction_id=5106698055" TargetMode="External"/><Relationship Id="rId11" Type="http://schemas.openxmlformats.org/officeDocument/2006/relationships/hyperlink" Target="https://www.etsy.com/listing/4491428109/halfling-baby-bodysuit-fantasy-baby?transaction_id=5090094865" TargetMode="External"/><Relationship Id="rId398" Type="http://schemas.openxmlformats.org/officeDocument/2006/relationships/hyperlink" Target="https://www.etsy.com/listing/4485629164/the-littlest-dog-lovers-club-member-baby?transaction_id=5065549629" TargetMode="External"/><Relationship Id="rId2079" Type="http://schemas.openxmlformats.org/officeDocument/2006/relationships/hyperlink" Target="https://www.etsy.com/ca/listing/4351827017/i-woke-up-this-cute-baby-bodysuit-funny?transaction_id=4764676182" TargetMode="External"/><Relationship Id="rId2286" Type="http://schemas.openxmlformats.org/officeDocument/2006/relationships/hyperlink" Target="https://www.etsy.com/ca/listing/4371125103/personalized-dog-baby-bodysuit-custom?transaction_id=4815294701" TargetMode="External"/><Relationship Id="rId2493" Type="http://schemas.openxmlformats.org/officeDocument/2006/relationships/hyperlink" Target="https://www.etsy.com/ca/listing/4376392339/funny-baby-romper-my-brand-of-formula?transaction_id=4848125872" TargetMode="External"/><Relationship Id="rId3337" Type="http://schemas.openxmlformats.org/officeDocument/2006/relationships/hyperlink" Target="https://www.etsy.com/ca/listing/4371125103/personalized-dog-baby-bodysuit-custom?transaction_id=4968601961" TargetMode="External"/><Relationship Id="rId258" Type="http://schemas.openxmlformats.org/officeDocument/2006/relationships/hyperlink" Target="https://www.etsy.com/listing/4437037794/basketball-baby-romper-little-slam-dunk?transaction_id=4945635468" TargetMode="External"/><Relationship Id="rId465" Type="http://schemas.openxmlformats.org/officeDocument/2006/relationships/hyperlink" Target="https://www.etsy.com/listing/4444631598/first-edition-published-2026-embroidered?transaction_id=4954716208" TargetMode="External"/><Relationship Id="rId672" Type="http://schemas.openxmlformats.org/officeDocument/2006/relationships/hyperlink" Target="https://www.etsy.com/ca/listing/4376399899/the-littlest-book-club-member-baby?transaction_id=5086344411" TargetMode="External"/><Relationship Id="rId1095" Type="http://schemas.openxmlformats.org/officeDocument/2006/relationships/hyperlink" Target="https://www.etsy.com/ca/listing/4371125103/personalized-dog-baby-bodysuit-custom?transaction_id=4993709380" TargetMode="External"/><Relationship Id="rId2146" Type="http://schemas.openxmlformats.org/officeDocument/2006/relationships/hyperlink" Target="https://www.etsy.com/ca/listing/4376389783/player-2-baby-romper-gamer-baby-outfit?transaction_id=4780826558" TargetMode="External"/><Relationship Id="rId2353" Type="http://schemas.openxmlformats.org/officeDocument/2006/relationships/hyperlink" Target="https://www.etsy.com/ca/listing/4369781522/crawl-walk-putt-baby-romper-funny-golf?transaction_id=4831152257" TargetMode="External"/><Relationship Id="rId2560" Type="http://schemas.openxmlformats.org/officeDocument/2006/relationships/hyperlink" Target="https://www.etsy.com/ca/listing/4372357398/personalized-hunting-baby-romper-custom?transaction_id=4859479316" TargetMode="External"/><Relationship Id="rId118" Type="http://schemas.openxmlformats.org/officeDocument/2006/relationships/hyperlink" Target="https://www.etsy.com/listing/4512152650/custom-pet-photo-embroidered-romper?transaction_id=5085601432" TargetMode="External"/><Relationship Id="rId325" Type="http://schemas.openxmlformats.org/officeDocument/2006/relationships/hyperlink" Target="https://www.etsy.com/ca/listing/4470615480/apparently-i-like-f1-baby-romper-formula?transaction_id=5023021280" TargetMode="External"/><Relationship Id="rId532" Type="http://schemas.openxmlformats.org/officeDocument/2006/relationships/hyperlink" Target="https://www.etsy.com/listing/4392936688/shhh-im-watching-motogp-with-daddy" TargetMode="External"/><Relationship Id="rId1162" Type="http://schemas.openxmlformats.org/officeDocument/2006/relationships/hyperlink" Target="https://www.etsy.com/ca/listing/4376399899/the-littlest-book-club-member-baby?transaction_id=4995523779" TargetMode="External"/><Relationship Id="rId2006" Type="http://schemas.openxmlformats.org/officeDocument/2006/relationships/hyperlink" Target="https://www.etsy.com/ca/listing/4344237213/mamas-coffee-date-baby-bodysuit-funny?transaction_id=47" TargetMode="External"/><Relationship Id="rId2213" Type="http://schemas.openxmlformats.org/officeDocument/2006/relationships/hyperlink" Target="https://www.etsy.com/ca/listing/4330488178/embroidered-golf-baby-romper-new-to-the?transaction_id=4805170131" TargetMode="External"/><Relationship Id="rId2420" Type="http://schemas.openxmlformats.org/officeDocument/2006/relationships/hyperlink" Target="https://www.etsy.com/ca/listing/4396750091/mamas-little-latke-embroidered-baby?transaction_id=4830730266" TargetMode="External"/><Relationship Id="rId1022" Type="http://schemas.openxmlformats.org/officeDocument/2006/relationships/hyperlink" Target="https://www.etsy.com/ca/listing/4369779608/baby-vampire-halloween-romper-funny?transaction_id=5014265207" TargetMode="External"/><Relationship Id="rId1979" Type="http://schemas.openxmlformats.org/officeDocument/2006/relationships/hyperlink" Target="https://www.etsy.com/ca/listing/4333134764/wizard-font-baby-romper-personalized?transaction_id=4756629787" TargetMode="External"/><Relationship Id="rId3194" Type="http://schemas.openxmlformats.org/officeDocument/2006/relationships/hyperlink" Target="https://www.etsy.com/ca/listing/4330504400/embroidered-bicycle-baby-romper-born-to?transaction_id=4950853851" TargetMode="External"/><Relationship Id="rId1839" Type="http://schemas.openxmlformats.org/officeDocument/2006/relationships/hyperlink" Target="https://www.etsy.com/ca/listing/4330480699/little-prince-baby-romper-embroidered?transaction_id=4694659208" TargetMode="External"/><Relationship Id="rId3054" Type="http://schemas.openxmlformats.org/officeDocument/2006/relationships/hyperlink" Target="https://www.etsy.com/ca/listing/4346126210/daddys-future-lifting-buddy-romper-baby?transaction_id=4923481588" TargetMode="External"/><Relationship Id="rId182" Type="http://schemas.openxmlformats.org/officeDocument/2006/relationships/hyperlink" Target="https://www.etsy.com/listing/4444111218/born-to-play-basketball-baby-romper?transaction_id=4973720488" TargetMode="External"/><Relationship Id="rId1906" Type="http://schemas.openxmlformats.org/officeDocument/2006/relationships/hyperlink" Target="https://www.etsy.com/ca/listing/4330478867/personalized-hippo-baby-bodysuit?transaction_id=4726439578" TargetMode="External"/><Relationship Id="rId3261" Type="http://schemas.openxmlformats.org/officeDocument/2006/relationships/hyperlink" Target="https://www.etsy.com/ca/listing/4330488178/embroidered-golf-baby-romper-new-to-the?transaction_id=4958333001" TargetMode="External"/><Relationship Id="rId2070" Type="http://schemas.openxmlformats.org/officeDocument/2006/relationships/hyperlink" Target="https://www.etsy.com/ca/listing/4346126210/daddys-future-lifting-buddy-romper-baby?transaction_id=4762846470" TargetMode="External"/><Relationship Id="rId3121" Type="http://schemas.openxmlformats.org/officeDocument/2006/relationships/hyperlink" Target="https://www.etsy.com/ca/listing/4371125103/personalized-dog-baby-bodysuit-custom?transaction_id=4942424475" TargetMode="External"/><Relationship Id="rId999" Type="http://schemas.openxmlformats.org/officeDocument/2006/relationships/hyperlink" Target="https://www.etsy.com/ca/listing/4392932100/born-to-ride-with-my-daddy-embroidered?transaction_id=5019665249" TargetMode="External"/><Relationship Id="rId2887" Type="http://schemas.openxmlformats.org/officeDocument/2006/relationships/hyperlink" Target="https://www.etsy.com/ca/listing/4376399899/the-littlest-book-club-member-baby?transaction_id=4907718928" TargetMode="External"/><Relationship Id="rId859" Type="http://schemas.openxmlformats.org/officeDocument/2006/relationships/hyperlink" Target="https://www.etsy.com/ca/listing/4392932100/born-to-ride-with-my-daddy-embroidered?transaction_id=5035542520" TargetMode="External"/><Relationship Id="rId1489" Type="http://schemas.openxmlformats.org/officeDocument/2006/relationships/hyperlink" Target="https://www.etsy.com/listing/4376404086/embroidered-lil-nugget-baby-bodysuit?transaction_id=5091666542" TargetMode="External"/><Relationship Id="rId1696" Type="http://schemas.openxmlformats.org/officeDocument/2006/relationships/hyperlink" Target="https://www.etsy.com/listing/4350619954/personalized-tennis-baby-romper?transaction_id=4769403094" TargetMode="External"/><Relationship Id="rId1349" Type="http://schemas.openxmlformats.org/officeDocument/2006/relationships/hyperlink" Target="https://www.etsy.com/listing/4493262715/new-to-the-club-golf-embroidered-baby?transaction_id=5084388325" TargetMode="External"/><Relationship Id="rId2747" Type="http://schemas.openxmlformats.org/officeDocument/2006/relationships/hyperlink" Target="https://www.etsy.com/ca/listing/4330488178/embroidered-golf-baby-romper-new-to-the?transaction_id=4892172430" TargetMode="External"/><Relationship Id="rId2954" Type="http://schemas.openxmlformats.org/officeDocument/2006/relationships/hyperlink" Target="https://www.etsy.com/ca/listing/4330504943/embroidered-tennis-baby-romper-daddys?transaction_id=4914506494" TargetMode="External"/><Relationship Id="rId719" Type="http://schemas.openxmlformats.org/officeDocument/2006/relationships/hyperlink" Target="https://www.etsy.com/ca/listing/4336907597/custom-running-baby-romper-daddys-future?transaction_id=5074824287" TargetMode="External"/><Relationship Id="rId926" Type="http://schemas.openxmlformats.org/officeDocument/2006/relationships/hyperlink" Target="https://www.etsy.com/ca/listing/4379194627/new-to-the-farm-embroidered-romper-baby?transaction_id=5035350493" TargetMode="External"/><Relationship Id="rId1556" Type="http://schemas.openxmlformats.org/officeDocument/2006/relationships/hyperlink" Target="https://www.etsy.com/listing/4463237615/new-to-the-club-baby-romper-custom-name?transaction_id=4995186385" TargetMode="External"/><Relationship Id="rId1763" Type="http://schemas.openxmlformats.org/officeDocument/2006/relationships/hyperlink" Target="https://www.etsy.com/ca/listing/4330504943/born-to-play-like-my-daddy-baby-romper?transaction_id=4680819881" TargetMode="External"/><Relationship Id="rId1970" Type="http://schemas.openxmlformats.org/officeDocument/2006/relationships/hyperlink" Target="https://www.etsy.com/ca/listing/4369781522/crawl-walk-putt-baby-romper-funny-golf?transaction_id=4754230157" TargetMode="External"/><Relationship Id="rId2607" Type="http://schemas.openxmlformats.org/officeDocument/2006/relationships/hyperlink" Target="https://www.etsy.com/ca/listing/4330488178/embroidered-golf-baby-romper-new-to-the?transaction_id=4883214617" TargetMode="External"/><Relationship Id="rId2814" Type="http://schemas.openxmlformats.org/officeDocument/2006/relationships/hyperlink" Target="https://www.etsy.com/ca/listing/4343133641/golf-skills-loading-embroidered-baby?transaction_id=4901865972" TargetMode="External"/><Relationship Id="rId55" Type="http://schemas.openxmlformats.org/officeDocument/2006/relationships/hyperlink" Target="https://www.etsy.com/listing/4513578484/small-fry-embroidered-baby-bodysuit?transaction_id=5111062631" TargetMode="External"/><Relationship Id="rId1209" Type="http://schemas.openxmlformats.org/officeDocument/2006/relationships/hyperlink" Target="https://www.etsy.com/ca/listing/4372352286/silly-goose-baby-romper-funny-infant?transaction_id=4987082919" TargetMode="External"/><Relationship Id="rId1416" Type="http://schemas.openxmlformats.org/officeDocument/2006/relationships/hyperlink" Target="https://www.etsy.com/listing/4473734263/custom-kangaroo-embroidered-baby-romper?transaction_id=5093912284" TargetMode="External"/><Relationship Id="rId1623" Type="http://schemas.openxmlformats.org/officeDocument/2006/relationships/hyperlink" Target="https://www.etsy.com/listing/4429018238/personalized-eggplant-baby-bodysuit?transaction_id=4995557724" TargetMode="External"/><Relationship Id="rId1830" Type="http://schemas.openxmlformats.org/officeDocument/2006/relationships/hyperlink" Target="https://www.etsy.com/ca/listing/4333134764/wizard-font-baby-romper-personalized?transaction_id=4702155211" TargetMode="External"/><Relationship Id="rId2397" Type="http://schemas.openxmlformats.org/officeDocument/2006/relationships/hyperlink" Target="https://www.etsy.com/ca/listing/4392929794/little-latke-embroidered-romper-hanukkah?transaction_id=4828064350" TargetMode="External"/><Relationship Id="rId369" Type="http://schemas.openxmlformats.org/officeDocument/2006/relationships/hyperlink" Target="https://www.etsy.com/listing/4500799949/beach-baby-baby-bodysuit-embroidered?transaction_id=5082659828" TargetMode="External"/><Relationship Id="rId576" Type="http://schemas.openxmlformats.org/officeDocument/2006/relationships/hyperlink" Target="https://www.etsy.com/ca/listing/4344235128/new-to-the-hive-baby-romper-embroidered?transaction_id=5091983378" TargetMode="External"/><Relationship Id="rId783" Type="http://schemas.openxmlformats.org/officeDocument/2006/relationships/hyperlink" Target="https://www.etsy.com/ca/listing/4475325519/daddys-future-fishing-buddy-baby?transaction_id=5049095320" TargetMode="External"/><Relationship Id="rId990" Type="http://schemas.openxmlformats.org/officeDocument/2006/relationships/hyperlink" Target="https://www.etsy.com/ca/listing/4376399899/the-littlest-book-club-member-baby?transaction_id=5022032877" TargetMode="External"/><Relationship Id="rId2257" Type="http://schemas.openxmlformats.org/officeDocument/2006/relationships/hyperlink" Target="https://www.etsy.com/ca/listing/4336900156/personalized-soccer-baby-romper?transaction_id=4812453645" TargetMode="External"/><Relationship Id="rId2464" Type="http://schemas.openxmlformats.org/officeDocument/2006/relationships/hyperlink" Target="https://www.etsy.com/ca/listing/4346126210/daddys-future-lifting-buddy-romper-baby?transaction_id=4841386696" TargetMode="External"/><Relationship Id="rId2671" Type="http://schemas.openxmlformats.org/officeDocument/2006/relationships/hyperlink" Target="https://www.etsy.com/ca/listing/4347894651/giraffe-baby-bodysuit-you-bet-giraffe-im?transaction_id=4876830654" TargetMode="External"/><Relationship Id="rId3308" Type="http://schemas.openxmlformats.org/officeDocument/2006/relationships/hyperlink" Target="https://www.etsy.com/ca/listing/4376389783/player-2-baby-romper-gamer-baby-outfit?transaction_id=4964553225" TargetMode="External"/><Relationship Id="rId229" Type="http://schemas.openxmlformats.org/officeDocument/2006/relationships/hyperlink" Target="https://www.etsy.com/listing/4442028834/embroidered-baby-romper-happy-birdie?transaction_id=5039923681" TargetMode="External"/><Relationship Id="rId436" Type="http://schemas.openxmlformats.org/officeDocument/2006/relationships/hyperlink" Target="https://www.etsy.com/listing/4444631598/first-edition-published-2026-embroidered?transaction_id=5009913385" TargetMode="External"/><Relationship Id="rId643" Type="http://schemas.openxmlformats.org/officeDocument/2006/relationships/hyperlink" Target="https://www.etsy.com/ca/listing/4346126210/daddys-future-lifting-buddy-romper-baby?transaction_id=5079035376" TargetMode="External"/><Relationship Id="rId1066" Type="http://schemas.openxmlformats.org/officeDocument/2006/relationships/hyperlink" Target="https://www.etsy.com/ca/listing/4376399899/the-littlest-book-club-member-baby?transaction_id=5007031909" TargetMode="External"/><Relationship Id="rId1273" Type="http://schemas.openxmlformats.org/officeDocument/2006/relationships/hyperlink" Target="https://www.etsy.com/listing/4481741792/little-bean-coffee-lover-embroidered?transaction_id=5026002806" TargetMode="External"/><Relationship Id="rId1480" Type="http://schemas.openxmlformats.org/officeDocument/2006/relationships/hyperlink" Target="https://www.etsy.com/listing/4465296416/embroidered-apparently-i-like-golf-baby?transaction_id=5101340891" TargetMode="External"/><Relationship Id="rId2117" Type="http://schemas.openxmlformats.org/officeDocument/2006/relationships/hyperlink" Target="https://www.etsy.com/ca/listing/4330485404/cat-face-embroidered-baby-romper-my?transaction_id=4776234036" TargetMode="External"/><Relationship Id="rId2324" Type="http://schemas.openxmlformats.org/officeDocument/2006/relationships/hyperlink" Target="https://www.etsy.com/ca/listing/4392929794/little-latke-embroidered-romper-hanukkah?transaction_id=4821495945" TargetMode="External"/><Relationship Id="rId850" Type="http://schemas.openxmlformats.org/officeDocument/2006/relationships/hyperlink" Target="https://www.etsy.com/ca/listing/4330489800/personalized-badminton-baby-romper?transaction_id=5037790240" TargetMode="External"/><Relationship Id="rId1133" Type="http://schemas.openxmlformats.org/officeDocument/2006/relationships/hyperlink" Target="https://www.etsy.com/ca/listing/4336907597/custom-running-baby-romper-daddys-future?transaction_id=4990001810" TargetMode="External"/><Relationship Id="rId2531" Type="http://schemas.openxmlformats.org/officeDocument/2006/relationships/hyperlink" Target="https://www.etsy.com/ca/listing/4392929794/little-latke-embroidered-romper-hanukkah?transaction_id=4855670554" TargetMode="External"/><Relationship Id="rId503" Type="http://schemas.openxmlformats.org/officeDocument/2006/relationships/hyperlink" Target="https://www.etsy.com/ca/listing/4503548678/crawl-walk-262-baby-romper-embroidered?transaction_id=5112449305" TargetMode="External"/><Relationship Id="rId710" Type="http://schemas.openxmlformats.org/officeDocument/2006/relationships/hyperlink" Target="https://www.etsy.com/ca/listing/4392925828/hello-grandma-embroidered-romper-i-cant?transaction_id=5076492451" TargetMode="External"/><Relationship Id="rId1340" Type="http://schemas.openxmlformats.org/officeDocument/2006/relationships/hyperlink" Target="https://www.etsy.com/listing/4480040494/little-beach-bum-embroidered-baby-romper?transaction_id=5049925631" TargetMode="External"/><Relationship Id="rId3098" Type="http://schemas.openxmlformats.org/officeDocument/2006/relationships/hyperlink" Target="https://www.etsy.com/ca/listing/4330483435/embroidered-coffee-bean-baby-romper?transaction_id=4939811131" TargetMode="External"/><Relationship Id="rId1200" Type="http://schemas.openxmlformats.org/officeDocument/2006/relationships/hyperlink" Target="https://www.etsy.com/ca/listing/4371125103/personalized-dog-baby-bodysuit-custom?transaction_id=4988743323" TargetMode="External"/><Relationship Id="rId3165" Type="http://schemas.openxmlformats.org/officeDocument/2006/relationships/hyperlink" Target="https://www.etsy.com/ca/listing/4376399899/the-littlest-book-club-member-baby?transaction_id=4936190030" TargetMode="External"/><Relationship Id="rId3372" Type="http://schemas.openxmlformats.org/officeDocument/2006/relationships/hyperlink" Target="https://www.etsy.com/ca/listing/4336903235/personalized-tennis-baby-romper?transaction_id=4964705886" TargetMode="External"/><Relationship Id="rId293" Type="http://schemas.openxmlformats.org/officeDocument/2006/relationships/hyperlink" Target="https://www.etsy.com/ca/listing/4507540167/daddys-little-tennis-buddy-embroidered?transaction_id=5086436256" TargetMode="External"/><Relationship Id="rId2181" Type="http://schemas.openxmlformats.org/officeDocument/2006/relationships/hyperlink" Target="https://www.etsy.com/ca/listing/4346126210/daddys-future-lifting-buddy-romper-baby?transaction_id=4792445404" TargetMode="External"/><Relationship Id="rId3025" Type="http://schemas.openxmlformats.org/officeDocument/2006/relationships/hyperlink" Target="https://www.etsy.com/ca/listing/4376392339/funny-baby-romper-my-brand-of-formula?transaction_id=4920891376" TargetMode="External"/><Relationship Id="rId3232" Type="http://schemas.openxmlformats.org/officeDocument/2006/relationships/hyperlink" Target="https://www.etsy.com/ca/listing/4371125103/personalized-dog-baby-bodysuit-custom?transaction_id=4954997697" TargetMode="External"/><Relationship Id="rId153" Type="http://schemas.openxmlformats.org/officeDocument/2006/relationships/hyperlink" Target="https://www.etsy.com/listing/4482244700/apparently-i-like-tennis-baby-romper?transaction_id=5028621088" TargetMode="External"/><Relationship Id="rId360" Type="http://schemas.openxmlformats.org/officeDocument/2006/relationships/hyperlink" Target="https://www.etsy.com/listing/4496558503/cant-wait-to-jam-with-daddy-baby?transaction_id=5091566986" TargetMode="External"/><Relationship Id="rId2041" Type="http://schemas.openxmlformats.org/officeDocument/2006/relationships/hyperlink" Target="https://www.etsy.com/ca/listing/4376383422/boo-baby-halloween-romper-cute-fall?transaction_id=4758585350" TargetMode="External"/><Relationship Id="rId220" Type="http://schemas.openxmlformats.org/officeDocument/2006/relationships/hyperlink" Target="https://www.etsy.com/listing/4466858204/my-brand-of-formula-embroidered-baby?transaction_id=5040038614" TargetMode="External"/><Relationship Id="rId2998" Type="http://schemas.openxmlformats.org/officeDocument/2006/relationships/hyperlink" Target="https://www.etsy.com/ca/listing/4330488178/embroidered-golf-baby-romper-new-to-the?transaction_id=4918704666" TargetMode="External"/><Relationship Id="rId2858" Type="http://schemas.openxmlformats.org/officeDocument/2006/relationships/hyperlink" Target="https://www.etsy.com/ca/listing/4347263856/besties-baby-romper-matching-baby-outfit?transaction_id=4905727380" TargetMode="External"/><Relationship Id="rId99" Type="http://schemas.openxmlformats.org/officeDocument/2006/relationships/hyperlink" Target="https://www.etsy.com/listing/4512060972/custom-photo-embroidered-romper?transaction_id=5102728827" TargetMode="External"/><Relationship Id="rId1667" Type="http://schemas.openxmlformats.org/officeDocument/2006/relationships/hyperlink" Target="https://www.etsy.com/listing/4430076790/personalized-newest-hockey-fan-baby?transaction_id=5085944263" TargetMode="External"/><Relationship Id="rId1874" Type="http://schemas.openxmlformats.org/officeDocument/2006/relationships/hyperlink" Target="https://www.etsy.com/ca/listing/4347260564/football-baby-romper-game-day-baby?transaction_id=4712091064" TargetMode="External"/><Relationship Id="rId2718" Type="http://schemas.openxmlformats.org/officeDocument/2006/relationships/hyperlink" Target="https://www.etsy.com/ca/listing/4330488178/embroidered-golf-baby-romper-new-to-the?transaction_id=4887304584" TargetMode="External"/><Relationship Id="rId2925" Type="http://schemas.openxmlformats.org/officeDocument/2006/relationships/hyperlink" Target="https://www.etsy.com/ca/listing/4330474476/so-ducking-cute-embroidered-baby-romper?transaction_id=4902805283" TargetMode="External"/><Relationship Id="rId1527" Type="http://schemas.openxmlformats.org/officeDocument/2006/relationships/hyperlink" Target="https://www.etsy.com/listing/4507001437/outwit-outplay-outnap-embroidered-baby?transaction_id=5099378634" TargetMode="External"/><Relationship Id="rId1734" Type="http://schemas.openxmlformats.org/officeDocument/2006/relationships/hyperlink" Target="https://www.etsy.com/ca/listing/4330488178/new-to-the-club-embroidered-baby-romper?transaction_id=4657962984" TargetMode="External"/><Relationship Id="rId1941" Type="http://schemas.openxmlformats.org/officeDocument/2006/relationships/hyperlink" Target="https://www.etsy.com/ca/listing/4330485404/cat-face-embroidered-baby-romper-my?transaction_id=4735176312" TargetMode="External"/><Relationship Id="rId26" Type="http://schemas.openxmlformats.org/officeDocument/2006/relationships/hyperlink" Target="https://www.etsy.com/listing/4491435314/just-plane-cute-baby-bodysuit-airplane?transaction_id=5064335675" TargetMode="External"/><Relationship Id="rId1801" Type="http://schemas.openxmlformats.org/officeDocument/2006/relationships/hyperlink" Target="https://www.etsy.com/ca/listing/4336907597/custom-running-baby-romper-daddys-future?transaction_id=4676434710" TargetMode="External"/><Relationship Id="rId687" Type="http://schemas.openxmlformats.org/officeDocument/2006/relationships/hyperlink" Target="https://www.etsy.com/ca/listing/4392962015/cant-wait-to-jam-with-daddy-embroidered?transaction_id=5082737099" TargetMode="External"/><Relationship Id="rId2368" Type="http://schemas.openxmlformats.org/officeDocument/2006/relationships/hyperlink" Target="https://www.etsy.com/ca/listing/4392932100/born-to-ride-with-my-daddy-embroidered?transaction_id=4834142349" TargetMode="External"/><Relationship Id="rId894" Type="http://schemas.openxmlformats.org/officeDocument/2006/relationships/hyperlink" Target="https://www.etsy.com/ca/listing/4467440237/the-littlest-coffee-club-member-baby?transaction_id=5029952814" TargetMode="External"/><Relationship Id="rId1177" Type="http://schemas.openxmlformats.org/officeDocument/2006/relationships/hyperlink" Target="https://www.etsy.com/ca/listing/4371125103/personalized-dog-baby-bodysuit-custom?transaction_id=4991562697" TargetMode="External"/><Relationship Id="rId2575" Type="http://schemas.openxmlformats.org/officeDocument/2006/relationships/hyperlink" Target="https://www.etsy.com/ca/listing/4372352286/silly-goose-baby-romper-funny-infant?transaction_id=4861902508" TargetMode="External"/><Relationship Id="rId2782" Type="http://schemas.openxmlformats.org/officeDocument/2006/relationships/hyperlink" Target="https://www.etsy.com/ca/listing/4347270071/baby-coming-soon-romper-personalized?transaction_id=4912990617" TargetMode="External"/><Relationship Id="rId547" Type="http://schemas.openxmlformats.org/officeDocument/2006/relationships/hyperlink" Target="https://www.etsy.com/ca/listing/4516287742/little-potato-embroidered-baby-romper?transaction_id=5095688026" TargetMode="External"/><Relationship Id="rId754" Type="http://schemas.openxmlformats.org/officeDocument/2006/relationships/hyperlink" Target="https://www.etsy.com/ca/listing/4471139539/daddys-future-hunting-buddy-baby-romper?transaction_id=5055287632" TargetMode="External"/><Relationship Id="rId961" Type="http://schemas.openxmlformats.org/officeDocument/2006/relationships/hyperlink" Target="https://www.etsy.com/ca/listing/4467440237/the-littlest-coffee-club-member-baby?transaction_id=5018055952" TargetMode="External"/><Relationship Id="rId1384" Type="http://schemas.openxmlformats.org/officeDocument/2006/relationships/hyperlink" Target="https://www.etsy.com/listing/4509960222/on-sundays-we-watch-football-with-daddy?transaction_id=5083273384" TargetMode="External"/><Relationship Id="rId1591" Type="http://schemas.openxmlformats.org/officeDocument/2006/relationships/hyperlink" Target="https://www.etsy.com/listing/4437042961/little-miss-bright-star-embroidered-baby?transaction_id=4952205011" TargetMode="External"/><Relationship Id="rId2228" Type="http://schemas.openxmlformats.org/officeDocument/2006/relationships/hyperlink" Target="https://www.etsy.com/ca/listing/4392929794/little-latke-embroidered-romper-hanukkah?transaction_id=4799982846" TargetMode="External"/><Relationship Id="rId2435" Type="http://schemas.openxmlformats.org/officeDocument/2006/relationships/hyperlink" Target="https://www.etsy.com/ca/listing/4352935112/custom-baby-romper-personalized-newborn?transaction_id=4843165983" TargetMode="External"/><Relationship Id="rId2642" Type="http://schemas.openxmlformats.org/officeDocument/2006/relationships/hyperlink" Target="https://www.etsy.com/ca/listing/4392935796/box-box-for-fresh-diapers-embroidered?transaction_id=4872041714" TargetMode="External"/><Relationship Id="rId90" Type="http://schemas.openxmlformats.org/officeDocument/2006/relationships/hyperlink" Target="https://www.etsy.com/listing/4514972016/daddys-copilot-baby-romper-airplane?transaction_id=5094042168" TargetMode="External"/><Relationship Id="rId407" Type="http://schemas.openxmlformats.org/officeDocument/2006/relationships/hyperlink" Target="https://www.etsy.com/listing/4486249378/mommys-voice-is-my-favorite-music-baby?transaction_id=5033935876" TargetMode="External"/><Relationship Id="rId614" Type="http://schemas.openxmlformats.org/officeDocument/2006/relationships/hyperlink" Target="https://www.etsy.com/ca/listing/4376389783/player-2-baby-romper-gamer-baby-outfit?transaction_id=5096587231" TargetMode="External"/><Relationship Id="rId821" Type="http://schemas.openxmlformats.org/officeDocument/2006/relationships/hyperlink" Target="https://www.etsy.com/ca/listing/4376399899/the-littlest-book-club-member-baby?transaction_id=5041052724" TargetMode="External"/><Relationship Id="rId1037" Type="http://schemas.openxmlformats.org/officeDocument/2006/relationships/hyperlink" Target="https://www.etsy.com/ca/listing/4467448112/box-box-for-milk-baby-romper-funny?transaction_id=5002804744" TargetMode="External"/><Relationship Id="rId1244" Type="http://schemas.openxmlformats.org/officeDocument/2006/relationships/hyperlink" Target="https://www.etsy.com/ca/listing/4392936921/apparently-i-like-golf-embroidered?transaction_id=4980959267" TargetMode="External"/><Relationship Id="rId1451" Type="http://schemas.openxmlformats.org/officeDocument/2006/relationships/hyperlink" Target="https://www.etsy.com/listing/4473845389/golf-player-outfit-embroidered-baby?transaction_id=5087327934" TargetMode="External"/><Relationship Id="rId2502" Type="http://schemas.openxmlformats.org/officeDocument/2006/relationships/hyperlink" Target="https://www.etsy.com/ca/listing/4392929794/little-latke-embroidered-romper-hanukkah?transaction_id=4850441536" TargetMode="External"/><Relationship Id="rId1104" Type="http://schemas.openxmlformats.org/officeDocument/2006/relationships/hyperlink" Target="https://www.etsy.com/ca/listing/4379194627/new-to-the-farm-embroidered-romper-baby?transaction_id=5003076325" TargetMode="External"/><Relationship Id="rId1311" Type="http://schemas.openxmlformats.org/officeDocument/2006/relationships/hyperlink" Target="https://www.etsy.com/listing/4426850215/apparently-i-like-soccer-baby-romper?transaction_id=5052494746" TargetMode="External"/><Relationship Id="rId3069" Type="http://schemas.openxmlformats.org/officeDocument/2006/relationships/hyperlink" Target="https://www.etsy.com/ca/listing/4376399899/the-littlest-book-club-member-baby?transaction_id=4899385354" TargetMode="External"/><Relationship Id="rId3276" Type="http://schemas.openxmlformats.org/officeDocument/2006/relationships/hyperlink" Target="https://www.etsy.com/ca/listing/4392935796/box-box-for-fresh-diapers-embroidered?transaction_id=4950625242" TargetMode="External"/><Relationship Id="rId197" Type="http://schemas.openxmlformats.org/officeDocument/2006/relationships/hyperlink" Target="https://www.etsy.com/listing/4499062845/custom-name-embroidered-romper-baby-gift?transaction_id=5098057914" TargetMode="External"/><Relationship Id="rId2085" Type="http://schemas.openxmlformats.org/officeDocument/2006/relationships/hyperlink" Target="https://www.etsy.com/ca/listing/4344237213/mamas-coffee-date-baby-bodysuit-funny?transaction_id=4766582504" TargetMode="External"/><Relationship Id="rId2292" Type="http://schemas.openxmlformats.org/officeDocument/2006/relationships/hyperlink" Target="https://www.etsy.com/ca/listing/4336899579/personalized-basketball-baby-romper?transaction_id=4815743739" TargetMode="External"/><Relationship Id="rId3136" Type="http://schemas.openxmlformats.org/officeDocument/2006/relationships/hyperlink" Target="https://www.etsy.com/ca/listing/4376399899/the-littlest-book-club-member-baby?transaction_id=4944380147" TargetMode="External"/><Relationship Id="rId3343" Type="http://schemas.openxmlformats.org/officeDocument/2006/relationships/hyperlink" Target="https://www.etsy.com/ca/listing/4330463387/embroidered-baby-romper-relax-mommy-is-a?transaction_id=4969361475" TargetMode="External"/><Relationship Id="rId264" Type="http://schemas.openxmlformats.org/officeDocument/2006/relationships/hyperlink" Target="https://www.etsy.com/listing/4432961851/my-daddy-plays-in-the-dirt-baby-romper?transaction_id=4946163151" TargetMode="External"/><Relationship Id="rId471" Type="http://schemas.openxmlformats.org/officeDocument/2006/relationships/hyperlink" Target="https://www.etsy.com/listing/4445823392/future-firefighter-embroidered-baby?transaction_id=4958087003" TargetMode="External"/><Relationship Id="rId2152" Type="http://schemas.openxmlformats.org/officeDocument/2006/relationships/hyperlink" Target="https://www.etsy.com/ca/listing/4372375963/whaley-cute-baby-romper-funny-whale-baby?transaction_id=4793144897" TargetMode="External"/><Relationship Id="rId124" Type="http://schemas.openxmlformats.org/officeDocument/2006/relationships/hyperlink" Target="https://www.etsy.com/listing/4482244700/apparently-i-like-tennis-baby-romper?transaction_id=5093792951" TargetMode="External"/><Relationship Id="rId3203" Type="http://schemas.openxmlformats.org/officeDocument/2006/relationships/hyperlink" Target="https://www.etsy.com/ca/listing/4371125103/personalized-dog-baby-bodysuit-custom?transaction_id=4940707550" TargetMode="External"/><Relationship Id="rId331" Type="http://schemas.openxmlformats.org/officeDocument/2006/relationships/hyperlink" Target="https://www.etsy.com/ca/listing/4470615480/apparently-i-like-f1-baby-romper-formula?transaction_id=5024036863" TargetMode="External"/><Relationship Id="rId2012" Type="http://schemas.openxmlformats.org/officeDocument/2006/relationships/hyperlink" Target="https://www.etsy.com/ca/listing/4347885967/gigis-bestie-baby-bodysuit-baby-shower?transaction_id=4753306060" TargetMode="External"/><Relationship Id="rId2969" Type="http://schemas.openxmlformats.org/officeDocument/2006/relationships/hyperlink" Target="https://www.etsy.com/ca/listing/4330485404/cat-face-embroidered-baby-romper-funny?transaction_id=4928870997" TargetMode="External"/><Relationship Id="rId1778" Type="http://schemas.openxmlformats.org/officeDocument/2006/relationships/hyperlink" Target="https://www.etsy.com/ca/listing/4330488178/new-to-the-club-embroidered-baby-romper?transaction_id=4669430984" TargetMode="External"/><Relationship Id="rId1985" Type="http://schemas.openxmlformats.org/officeDocument/2006/relationships/hyperlink" Target="https://www.etsy.com/ca/listing/4330485404/cat-face-embroidered-baby-romper-my?transaction_id=4757052549" TargetMode="External"/><Relationship Id="rId2829" Type="http://schemas.openxmlformats.org/officeDocument/2006/relationships/hyperlink" Target="https://www.etsy.com/ca/listing/4392935796/box-box-for-fresh-diapers-embroidered?transaction_id=4917701081" TargetMode="External"/><Relationship Id="rId1638" Type="http://schemas.openxmlformats.org/officeDocument/2006/relationships/hyperlink" Target="https://www.etsy.com/listing/4442483360/on-sundays-we-watch-with-daddy?transaction_id=5013790314" TargetMode="External"/><Relationship Id="rId1845" Type="http://schemas.openxmlformats.org/officeDocument/2006/relationships/hyperlink" Target="https://www.etsy.com/ca/listing/4330485404/cat-face-embroidered-baby-romper-my?transaction_id=4708782987" TargetMode="External"/><Relationship Id="rId3060" Type="http://schemas.openxmlformats.org/officeDocument/2006/relationships/hyperlink" Target="https://www.etsy.com/ca/listing/4372352286/silly-goose-baby-romper-funny-infant?transaction_id=4923871728" TargetMode="External"/><Relationship Id="rId1705" Type="http://schemas.openxmlformats.org/officeDocument/2006/relationships/hyperlink" Target="https://www.etsy.com/listing/4350637965/little-sister-baby-romper-embroidered?transaction_id=4814968152" TargetMode="External"/><Relationship Id="rId1912" Type="http://schemas.openxmlformats.org/officeDocument/2006/relationships/hyperlink" Target="https://www.etsy.com/ca/listing/4336903235/personalized-tennis-baby-romper-daddys?transaction_id=4739653163" TargetMode="External"/><Relationship Id="rId798" Type="http://schemas.openxmlformats.org/officeDocument/2006/relationships/hyperlink" Target="https://www.etsy.com/ca/listing/4392932100/born-to-ride-with-my-daddy-embroidered?transaction_id=5047031674" TargetMode="External"/><Relationship Id="rId2479" Type="http://schemas.openxmlformats.org/officeDocument/2006/relationships/hyperlink" Target="https://www.etsy.com/ca/listing/4330474831/embroidered-hedgehog-baby-bodysuit?transaction_id=4857830821" TargetMode="External"/><Relationship Id="rId2686" Type="http://schemas.openxmlformats.org/officeDocument/2006/relationships/hyperlink" Target="https://www.etsy.com/ca/listing/4371125103/personalized-dog-baby-bodysuit-custom?transaction_id=4896167929" TargetMode="External"/><Relationship Id="rId2893" Type="http://schemas.openxmlformats.org/officeDocument/2006/relationships/hyperlink" Target="https://www.etsy.com/ca/listing/4330485404/cat-face-embroidered-baby-romper-funny?transaction_id=4921866851" TargetMode="External"/><Relationship Id="rId658" Type="http://schemas.openxmlformats.org/officeDocument/2006/relationships/hyperlink" Target="https://www.etsy.com/ca/listing/4376399899/the-littlest-book-club-member-baby?transaction_id=5075572586" TargetMode="External"/><Relationship Id="rId865" Type="http://schemas.openxmlformats.org/officeDocument/2006/relationships/hyperlink" Target="https://www.etsy.com/ca/listing/4330488178/embroidered-golf-baby-romper-new-to-the?transaction_id=5045751699" TargetMode="External"/><Relationship Id="rId1288" Type="http://schemas.openxmlformats.org/officeDocument/2006/relationships/hyperlink" Target="https://www.etsy.com/listing/4447371932/daddys-tennis-buddy-embroidered-baby?transaction_id=5037054998" TargetMode="External"/><Relationship Id="rId1495" Type="http://schemas.openxmlformats.org/officeDocument/2006/relationships/hyperlink" Target="https://www.etsy.com/listing/4376404086/embroidered-lil-nugget-baby-bodysuit?transaction_id=5103964801" TargetMode="External"/><Relationship Id="rId2339" Type="http://schemas.openxmlformats.org/officeDocument/2006/relationships/hyperlink" Target="https://www.etsy.com/ca/listing/4392929794/little-latke-embroidered-romper-hanukkah?transaction_id=4819485998" TargetMode="External"/><Relationship Id="rId2546" Type="http://schemas.openxmlformats.org/officeDocument/2006/relationships/hyperlink" Target="https://www.etsy.com/ca/listing/4344231895/embroidered-baby-romper-shhh-im-reading?transaction_id=4857862464" TargetMode="External"/><Relationship Id="rId2753" Type="http://schemas.openxmlformats.org/officeDocument/2006/relationships/hyperlink" Target="https://www.etsy.com/ca/listing/4330485404/cat-face-embroidered-baby-romper-funny?transaction_id=4908988809" TargetMode="External"/><Relationship Id="rId2960" Type="http://schemas.openxmlformats.org/officeDocument/2006/relationships/hyperlink" Target="https://www.etsy.com/ca/listing/4371125103/personalized-dog-baby-bodysuit-custom?transaction_id=4927950787" TargetMode="External"/><Relationship Id="rId518" Type="http://schemas.openxmlformats.org/officeDocument/2006/relationships/hyperlink" Target="https://www.etsy.com/ca/listing/4467449868/the-littlest-garden-club-member-baby?transaction_id=5110132099" TargetMode="External"/><Relationship Id="rId725" Type="http://schemas.openxmlformats.org/officeDocument/2006/relationships/hyperlink" Target="https://www.etsy.com/ca/listing/4330504943/embroidered-tennis-baby-romper-daddys?transaction_id=5060963290" TargetMode="External"/><Relationship Id="rId932" Type="http://schemas.openxmlformats.org/officeDocument/2006/relationships/hyperlink" Target="https://www.etsy.com/ca/listing/4477329625/custom-name-baseball-baby-romper?transaction_id=5033703487" TargetMode="External"/><Relationship Id="rId1148" Type="http://schemas.openxmlformats.org/officeDocument/2006/relationships/hyperlink" Target="https://www.etsy.com/ca/listing/4346126210/daddys-future-lifting-buddy-romper-baby?transaction_id=4997103531" TargetMode="External"/><Relationship Id="rId1355" Type="http://schemas.openxmlformats.org/officeDocument/2006/relationships/hyperlink" Target="https://www.etsy.com/listing/4495400367/new-to-the-hunting-crew-duck-arrow?transaction_id=5073049238" TargetMode="External"/><Relationship Id="rId1562" Type="http://schemas.openxmlformats.org/officeDocument/2006/relationships/hyperlink" Target="https://www.etsy.com/listing/4472704816/little-chili-baby-romper-custom-name?transaction_id=5020022998" TargetMode="External"/><Relationship Id="rId2406" Type="http://schemas.openxmlformats.org/officeDocument/2006/relationships/hyperlink" Target="https://www.etsy.com/ca/listing/4330499355/born-to-fix-like-my-daddy-baby-romper?transaction_id=4839543895" TargetMode="External"/><Relationship Id="rId2613" Type="http://schemas.openxmlformats.org/officeDocument/2006/relationships/hyperlink" Target="https://www.etsy.com/ca/listing/4392932100/born-to-ride-with-my-daddy-embroidered?transaction_id=4868299602" TargetMode="External"/><Relationship Id="rId1008" Type="http://schemas.openxmlformats.org/officeDocument/2006/relationships/hyperlink" Target="https://www.etsy.com/ca/listing/4376399899/the-littlest-book-club-member-baby?transaction_id=5017760479" TargetMode="External"/><Relationship Id="rId1215" Type="http://schemas.openxmlformats.org/officeDocument/2006/relationships/hyperlink" Target="https://www.etsy.com/ca/listing/4372352286/silly-goose-baby-romper-funny-infant?transaction_id=4974806714" TargetMode="External"/><Relationship Id="rId1422" Type="http://schemas.openxmlformats.org/officeDocument/2006/relationships/hyperlink" Target="https://www.etsy.com/listing/4500089032/daddys-future-lifting-partner-barbell?transaction_id=5107862119" TargetMode="External"/><Relationship Id="rId2820" Type="http://schemas.openxmlformats.org/officeDocument/2006/relationships/hyperlink" Target="https://www.etsy.com/ca/listing/4344231895/embroidered-baby-romper-shhh-im-reading?transaction_id=4902143884" TargetMode="External"/><Relationship Id="rId61" Type="http://schemas.openxmlformats.org/officeDocument/2006/relationships/hyperlink" Target="https://www.etsy.com/listing/4516843071/cutest-by-par-baby-bodysuit-golf-baby?transaction_id=5100855854" TargetMode="External"/><Relationship Id="rId3387" Type="http://schemas.openxmlformats.org/officeDocument/2006/relationships/hyperlink" Target="https://www.etsy.com/ca/listing/4376399899/the-littlest-book-club-member-baby?transaction_id=4977345309" TargetMode="External"/><Relationship Id="rId2196" Type="http://schemas.openxmlformats.org/officeDocument/2006/relationships/hyperlink" Target="https://www.etsy.com/ca/listing/4346126210/daddys-future-lifting-buddy-romper-baby?transaction_id=4795092456" TargetMode="External"/><Relationship Id="rId168" Type="http://schemas.openxmlformats.org/officeDocument/2006/relationships/hyperlink" Target="https://www.etsy.com/listing/4446342577/assistant-coach-embroidered-baby-romper?transaction_id=4996956544" TargetMode="External"/><Relationship Id="rId3247" Type="http://schemas.openxmlformats.org/officeDocument/2006/relationships/hyperlink" Target="https://www.etsy.com/ca/listing/4344231895/embroidered-baby-romper-shhh-im-reading?transaction_id=4956860027" TargetMode="External"/><Relationship Id="rId375" Type="http://schemas.openxmlformats.org/officeDocument/2006/relationships/hyperlink" Target="https://www.etsy.com/listing/4474939594/mommys-little-pierogi-baby-bodysuit-cute?transaction_id=5091718405" TargetMode="External"/><Relationship Id="rId582" Type="http://schemas.openxmlformats.org/officeDocument/2006/relationships/hyperlink" Target="https://www.etsy.com/ca/listing/4330480699/little-prince-baby-romper-embroidered?transaction_id=5090603442" TargetMode="External"/><Relationship Id="rId2056" Type="http://schemas.openxmlformats.org/officeDocument/2006/relationships/hyperlink" Target="https://www.etsy.com/ca/listing/4376401181/challah-at-your-girl-baby-bodysuit-funny?transaction_id=4770789207" TargetMode="External"/><Relationship Id="rId2263" Type="http://schemas.openxmlformats.org/officeDocument/2006/relationships/hyperlink" Target="https://www.etsy.com/ca/listing/4372352286/silly-goose-baby-romper-funny-infant?transaction_id=4813192775" TargetMode="External"/><Relationship Id="rId2470" Type="http://schemas.openxmlformats.org/officeDocument/2006/relationships/hyperlink" Target="https://www.etsy.com/ca/listing/4376389783/player-2-baby-romper-gamer-baby-outfit?transaction_id=4856147203" TargetMode="External"/><Relationship Id="rId3107" Type="http://schemas.openxmlformats.org/officeDocument/2006/relationships/hyperlink" Target="https://www.etsy.com/ca/listing/4371125103/personalized-dog-baby-bodysuit-custom?transaction_id=4940894543" TargetMode="External"/><Relationship Id="rId3314" Type="http://schemas.openxmlformats.org/officeDocument/2006/relationships/hyperlink" Target="https://www.etsy.com/ca/listing/4371125103/personalized-dog-baby-bodysuit-custom?transaction_id=4953661118" TargetMode="External"/><Relationship Id="rId235" Type="http://schemas.openxmlformats.org/officeDocument/2006/relationships/hyperlink" Target="https://www.etsy.com/listing/4437034638/funny-bowling-baby-romper-its-in-my-dna?transaction_id=5018278062" TargetMode="External"/><Relationship Id="rId442" Type="http://schemas.openxmlformats.org/officeDocument/2006/relationships/hyperlink" Target="https://www.etsy.com/listing/4468994168/listening-to-taylor-with-my-mom-baby?transaction_id=4993235766" TargetMode="External"/><Relationship Id="rId1072" Type="http://schemas.openxmlformats.org/officeDocument/2006/relationships/hyperlink" Target="https://www.etsy.com/ca/listing/4371125103/personalized-dog-baby-bodysuit-custom?transaction_id=5006547717" TargetMode="External"/><Relationship Id="rId2123" Type="http://schemas.openxmlformats.org/officeDocument/2006/relationships/hyperlink" Target="https://www.etsy.com/ca/listing/4347885967/gigis-bestie-baby-bodysuit-baby-shower?transaction_id=4785817033" TargetMode="External"/><Relationship Id="rId2330" Type="http://schemas.openxmlformats.org/officeDocument/2006/relationships/hyperlink" Target="https://www.etsy.com/ca/listing/4333134764/wizard-font-baby-romper-personalized?transaction_id=4823318145" TargetMode="External"/><Relationship Id="rId302" Type="http://schemas.openxmlformats.org/officeDocument/2006/relationships/hyperlink" Target="https://www.etsy.com/ca/listing/4470615480/apparently-i-like-f1-baby-romper-formula?transaction_id=5068179367" TargetMode="External"/><Relationship Id="rId1889" Type="http://schemas.openxmlformats.org/officeDocument/2006/relationships/hyperlink" Target="https://www.etsy.com/ca/listing/4330492054/cutie-pie-embroidered-baby-outfit-with?transaction_id=4729539663" TargetMode="External"/><Relationship Id="rId1749" Type="http://schemas.openxmlformats.org/officeDocument/2006/relationships/hyperlink" Target="https://www.etsy.com/ca/listing/4330504943/born-to-play-like-my-daddy-baby-romper?transaction_id=4677401553" TargetMode="External"/><Relationship Id="rId1956" Type="http://schemas.openxmlformats.org/officeDocument/2006/relationships/hyperlink" Target="https://www.etsy.com/ca/listing/4330485404/cat-face-embroidered-baby-romper-my?transaction_id=4738243648" TargetMode="External"/><Relationship Id="rId3171" Type="http://schemas.openxmlformats.org/officeDocument/2006/relationships/hyperlink" Target="https://www.etsy.com/ca/listing/4330463387/embroidered-baby-romper-relax-mommy-is-a?transaction_id=4948557231" TargetMode="External"/><Relationship Id="rId1609" Type="http://schemas.openxmlformats.org/officeDocument/2006/relationships/hyperlink" Target="https://www.etsy.com/listing/4430822725/personalized-little-cutie-baby-bodysuit?transaction_id=4973648794" TargetMode="External"/><Relationship Id="rId1816" Type="http://schemas.openxmlformats.org/officeDocument/2006/relationships/hyperlink" Target="https://www.etsy.com/ca/listing/4330488178/new-to-the-club-embroidered-baby-romper?transaction_id=4697553633" TargetMode="External"/><Relationship Id="rId3031" Type="http://schemas.openxmlformats.org/officeDocument/2006/relationships/hyperlink" Target="https://www.etsy.com/ca/listing/4371125103/personalized-dog-baby-bodysuit-custom?transaction_id=4921253960" TargetMode="External"/><Relationship Id="rId2797" Type="http://schemas.openxmlformats.org/officeDocument/2006/relationships/hyperlink" Target="https://www.etsy.com/ca/listing/4344231895/embroidered-baby-romper-shhh-im-reading?transaction_id=4914516239" TargetMode="External"/><Relationship Id="rId769" Type="http://schemas.openxmlformats.org/officeDocument/2006/relationships/hyperlink" Target="https://www.etsy.com/ca/listing/4489487118/mommys-future-sushi-date-baby-romper?transaction_id=5064180955" TargetMode="External"/><Relationship Id="rId976" Type="http://schemas.openxmlformats.org/officeDocument/2006/relationships/hyperlink" Target="https://www.etsy.com/ca/listing/4376399899/the-littlest-book-club-member-baby?transaction_id=5024995263" TargetMode="External"/><Relationship Id="rId1399" Type="http://schemas.openxmlformats.org/officeDocument/2006/relationships/hyperlink" Target="https://www.etsy.com/listing/4399219527/new-to-the-club-swimming-embroidered?transaction_id=5100609789" TargetMode="External"/><Relationship Id="rId2657" Type="http://schemas.openxmlformats.org/officeDocument/2006/relationships/hyperlink" Target="https://www.etsy.com/ca/listing/4346126210/daddys-future-lifting-buddy-romper-baby?transaction_id=4889239375" TargetMode="External"/><Relationship Id="rId629" Type="http://schemas.openxmlformats.org/officeDocument/2006/relationships/hyperlink" Target="https://www.etsy.com/ca/listing/4346126210/daddys-future-lifting-buddy-romper-baby?transaction_id=5094480463" TargetMode="External"/><Relationship Id="rId1259" Type="http://schemas.openxmlformats.org/officeDocument/2006/relationships/hyperlink" Target="https://www.etsy.com/in-en/listing/4473259477/personalized-space-baby-romper-name?transaction_id=5018310718" TargetMode="External"/><Relationship Id="rId1466" Type="http://schemas.openxmlformats.org/officeDocument/2006/relationships/hyperlink" Target="https://www.etsy.com/listing/4507007670/daddys-co-pilot-embroidered-baby-romper?transaction_id=5100181201" TargetMode="External"/><Relationship Id="rId2864" Type="http://schemas.openxmlformats.org/officeDocument/2006/relationships/hyperlink" Target="https://www.etsy.com/ca/listing/4330485404/cat-face-embroidered-baby-romper-funny?transaction_id=4890004286" TargetMode="External"/><Relationship Id="rId836" Type="http://schemas.openxmlformats.org/officeDocument/2006/relationships/hyperlink" Target="https://www.etsy.com/ca/listing/4467452578/the-littlest-pickleball-club-member-baby?transaction_id=5039769144" TargetMode="External"/><Relationship Id="rId1119" Type="http://schemas.openxmlformats.org/officeDocument/2006/relationships/hyperlink" Target="https://www.etsy.com/ca/listing/4392935796/box-box-for-fresh-diapers-embroidered?transaction_id=4991813922" TargetMode="External"/><Relationship Id="rId1673" Type="http://schemas.openxmlformats.org/officeDocument/2006/relationships/hyperlink" Target="https://www.etsy.com/listing/4462702419/im-a-little-chili-baby-bodysuit-custom?transaction_id=5072500114" TargetMode="External"/><Relationship Id="rId1880" Type="http://schemas.openxmlformats.org/officeDocument/2006/relationships/hyperlink" Target="https://www.etsy.com/ca/listing/4330488178/new-to-the-club-embroidered-baby-romper?transaction_id=4716057278" TargetMode="External"/><Relationship Id="rId2517" Type="http://schemas.openxmlformats.org/officeDocument/2006/relationships/hyperlink" Target="https://www.etsy.com/ca/listing/4379194627/new-to-the-farm-embroidered-romper-baby?transaction_id=4852791974" TargetMode="External"/><Relationship Id="rId2724" Type="http://schemas.openxmlformats.org/officeDocument/2006/relationships/hyperlink" Target="https://www.etsy.com/ca/listing/4330485404/cat-face-embroidered-baby-romper-funny?transaction_id=4888419906" TargetMode="External"/><Relationship Id="rId2931" Type="http://schemas.openxmlformats.org/officeDocument/2006/relationships/hyperlink" Target="https://www.etsy.com/ca/listing/4371125103/personalized-dog-baby-bodysuit-custom?transaction_id=4911714908" TargetMode="External"/><Relationship Id="rId903" Type="http://schemas.openxmlformats.org/officeDocument/2006/relationships/hyperlink" Target="https://www.etsy.com/ca/listing/4467440237/the-littlest-coffee-club-member-baby?transaction_id=5040021663" TargetMode="External"/><Relationship Id="rId1326" Type="http://schemas.openxmlformats.org/officeDocument/2006/relationships/hyperlink" Target="https://www.etsy.com/listing/4399220288/apparently-i-like-golf-embroidered-baby?transaction_id=5074081653" TargetMode="External"/><Relationship Id="rId1533" Type="http://schemas.openxmlformats.org/officeDocument/2006/relationships/hyperlink" Target="https://www.etsy.com/listing/4364059829/embroidered-baby-romper-funny-challah-at?transaction_id=5110737781" TargetMode="External"/><Relationship Id="rId1740" Type="http://schemas.openxmlformats.org/officeDocument/2006/relationships/hyperlink" Target="https://www.etsy.com/ca/listing/4330504400/born-to-play-like-my-daddy-baby-romper?transaction_id=4673636389" TargetMode="External"/><Relationship Id="rId32" Type="http://schemas.openxmlformats.org/officeDocument/2006/relationships/hyperlink" Target="https://www.etsy.com/listing/4488345640/future-triathlete-baby-bodysuit-swim?transaction_id=5051324909" TargetMode="External"/><Relationship Id="rId1600" Type="http://schemas.openxmlformats.org/officeDocument/2006/relationships/hyperlink" Target="https://www.etsy.com/listing/4430821439/personalized-future-engineer-baby?transaction_id=4958277029" TargetMode="External"/><Relationship Id="rId3358" Type="http://schemas.openxmlformats.org/officeDocument/2006/relationships/hyperlink" Target="https://www.etsy.com/ca/listing/4344231895/embroidered-baby-romper-shhh-im-reading?transaction_id=4961853232" TargetMode="External"/><Relationship Id="rId279" Type="http://schemas.openxmlformats.org/officeDocument/2006/relationships/hyperlink" Target="https://www.etsy.com/ca/listing/4516747148/little-firecracker-baby-romper-patriotic?transaction_id=5102757632" TargetMode="External"/><Relationship Id="rId486" Type="http://schemas.openxmlformats.org/officeDocument/2006/relationships/hyperlink" Target="https://www.etsy.com/ca/listing/4376389783/player-2-baby-romper-gamer-baby-outfit?transaction_id=5114715311" TargetMode="External"/><Relationship Id="rId693" Type="http://schemas.openxmlformats.org/officeDocument/2006/relationships/hyperlink" Target="https://www.etsy.com/ca/listing/4392935796/box-box-for-fresh-diapers-embroidered?transaction_id=5081922605" TargetMode="External"/><Relationship Id="rId2167" Type="http://schemas.openxmlformats.org/officeDocument/2006/relationships/hyperlink" Target="https://www.etsy.com/ca/listing/4330488178/new-to-the-club-embroidered-baby-romper?transaction_id=4790021242" TargetMode="External"/><Relationship Id="rId2374" Type="http://schemas.openxmlformats.org/officeDocument/2006/relationships/hyperlink" Target="https://www.etsy.com/ca/listing/4369764524/embroidered-snowman-baby-romper?transaction_id=4834902171" TargetMode="External"/><Relationship Id="rId2581" Type="http://schemas.openxmlformats.org/officeDocument/2006/relationships/hyperlink" Target="https://www.etsy.com/ca/listing/4330488178/embroidered-golf-baby-romper-new-to-the?transaction_id=4877726859" TargetMode="External"/><Relationship Id="rId3218" Type="http://schemas.openxmlformats.org/officeDocument/2006/relationships/hyperlink" Target="https://www.etsy.com/ca/listing/4330488178/embroidered-golf-baby-romper-new-to-the?transaction_id=4954187879" TargetMode="External"/><Relationship Id="rId139" Type="http://schemas.openxmlformats.org/officeDocument/2006/relationships/hyperlink" Target="https://www.etsy.com/listing/4444093935/its-in-my-dna-baseball-baby-romper?transaction_id=5074856931" TargetMode="External"/><Relationship Id="rId346" Type="http://schemas.openxmlformats.org/officeDocument/2006/relationships/hyperlink" Target="https://www.etsy.com/listing/4445837519/cant-wait-to-jam-with-daddy-embroidered?transaction_id=5105433824" TargetMode="External"/><Relationship Id="rId553" Type="http://schemas.openxmlformats.org/officeDocument/2006/relationships/hyperlink" Target="https://www.etsy.com/ca/listing/4376401181/challah-at-your-girl-baby-bodysuit-funny?transaction_id=5105697945" TargetMode="External"/><Relationship Id="rId760" Type="http://schemas.openxmlformats.org/officeDocument/2006/relationships/hyperlink" Target="http://www.etsy.com/ca/listing/4467446644/the-littlest-baking-club-member-baby?transaction_id=5066881429" TargetMode="External"/><Relationship Id="rId1183" Type="http://schemas.openxmlformats.org/officeDocument/2006/relationships/hyperlink" Target="https://www.etsy.com/ca/listing/4376399899/the-littlest-book-club-member-baby?transaction_id=4990277269" TargetMode="External"/><Relationship Id="rId1390" Type="http://schemas.openxmlformats.org/officeDocument/2006/relationships/hyperlink" Target="https://www.etsy.com/listing/4481741792/little-bean-coffee-lover-embroidered?transaction_id=5096873843" TargetMode="External"/><Relationship Id="rId2027" Type="http://schemas.openxmlformats.org/officeDocument/2006/relationships/hyperlink" Target="https://www.etsy.com/ca/listing/4333135410/little-pumpkin-baby-romper-fall?transaction_id=4756250846" TargetMode="External"/><Relationship Id="rId2234" Type="http://schemas.openxmlformats.org/officeDocument/2006/relationships/hyperlink" Target="https://www.etsy.com/ca/listing/4330492936/a-roar-able-dinosaur-baby-bodysuit-cute?transaction_id=4808438081" TargetMode="External"/><Relationship Id="rId2441" Type="http://schemas.openxmlformats.org/officeDocument/2006/relationships/hyperlink" Target="https://www.etsy.com/ca/listing/4336899579/personalized-basketball-baby-romper?transaction_id=4844999243" TargetMode="External"/><Relationship Id="rId206" Type="http://schemas.openxmlformats.org/officeDocument/2006/relationships/hyperlink" Target="https://www.etsy.com/listing/4432968408/olive-you-embroidered-baby-romper-cute?transaction_id=5083005390" TargetMode="External"/><Relationship Id="rId413" Type="http://schemas.openxmlformats.org/officeDocument/2006/relationships/hyperlink" Target="https://www.etsy.com/listing/4482268262/is-it-too-soon-to-ask-for-a-pony-baby?transaction_id=5043620155" TargetMode="External"/><Relationship Id="rId1043" Type="http://schemas.openxmlformats.org/officeDocument/2006/relationships/hyperlink" Target="https://www.etsy.com/ca/listing/4376399899/the-littlest-book-club-member-baby?transaction_id=5001736286" TargetMode="External"/><Relationship Id="rId620" Type="http://schemas.openxmlformats.org/officeDocument/2006/relationships/hyperlink" Target="https://www.etsy.com/ca/listing/4376389783/player-2-baby-romper-gamer-baby-outfit?transaction_id=5083688660" TargetMode="External"/><Relationship Id="rId1250" Type="http://schemas.openxmlformats.org/officeDocument/2006/relationships/hyperlink" Target="https://www.etsy.com/ca/listing/4376399899/the-littlest-book-club-member-baby?transaction_id=4978293719" TargetMode="External"/><Relationship Id="rId2301" Type="http://schemas.openxmlformats.org/officeDocument/2006/relationships/hyperlink" Target="https://www.etsy.com/ca/listing/4344232490/freshly-brewed-baby-bodysuit-cute-coffee?transaction_id=4808528310" TargetMode="External"/><Relationship Id="rId1110" Type="http://schemas.openxmlformats.org/officeDocument/2006/relationships/hyperlink" Target="https://www.etsy.com/ca/listing/4467440237/the-littlest-coffee-club-member-baby?transaction_id=4992638568" TargetMode="External"/><Relationship Id="rId1927" Type="http://schemas.openxmlformats.org/officeDocument/2006/relationships/hyperlink" Target="https://www.etsy.com/ca/listing/4346126210/daddys-future-lifting-buddy-romper-baby?transaction_id=4741659311" TargetMode="External"/><Relationship Id="rId3075" Type="http://schemas.openxmlformats.org/officeDocument/2006/relationships/hyperlink" Target="https://www.etsy.com/ca/listing/4376399899/the-littlest-book-club-member-baby?transaction_id=4924604958" TargetMode="External"/><Relationship Id="rId3282" Type="http://schemas.openxmlformats.org/officeDocument/2006/relationships/hyperlink" Target="https://www.etsy.com/ca/listing/4371125103/personalized-dog-baby-bodysuit-custom?transaction_id=4951122238" TargetMode="External"/><Relationship Id="rId2091" Type="http://schemas.openxmlformats.org/officeDocument/2006/relationships/hyperlink" Target="https://www.etsy.com/ca/listing/4336903235/personalized-tennis-baby-romper-daddys?transaction_id=4777913793" TargetMode="External"/><Relationship Id="rId3142" Type="http://schemas.openxmlformats.org/officeDocument/2006/relationships/hyperlink" Target="https://www.etsy.com/ca/listing/4336907597/custom-running-baby-romper-daddys-future?transaction_id=4933341456" TargetMode="External"/><Relationship Id="rId270" Type="http://schemas.openxmlformats.org/officeDocument/2006/relationships/hyperlink" Target="https://www.etsy.com/listing/4442029176/embroidered-baby-romper-tennis-flower?transaction_id=4926660340" TargetMode="External"/><Relationship Id="rId3002" Type="http://schemas.openxmlformats.org/officeDocument/2006/relationships/hyperlink" Target="https://www.etsy.com/ca/listing/4369781409/burpee-machine-baby-bodysuit-funny-baby?transaction_id=4918960126" TargetMode="External"/><Relationship Id="rId130" Type="http://schemas.openxmlformats.org/officeDocument/2006/relationships/hyperlink" Target="https://www.etsy.com/listing/4504143517/daddys-lil-caddy-baby-romper-golf-baby?transaction_id=5081707209" TargetMode="External"/><Relationship Id="rId2768" Type="http://schemas.openxmlformats.org/officeDocument/2006/relationships/hyperlink" Target="https://www.etsy.com/ca/listing/4330485404/cat-face-embroidered-baby-romper-funny?transaction_id=4896327986" TargetMode="External"/><Relationship Id="rId2975" Type="http://schemas.openxmlformats.org/officeDocument/2006/relationships/hyperlink" Target="https://www.etsy.com/ca/listing/4376399899/the-littlest-book-club-member-baby?transaction_id=4916194860" TargetMode="External"/><Relationship Id="rId947" Type="http://schemas.openxmlformats.org/officeDocument/2006/relationships/hyperlink" Target="https://www.etsy.com/ca/listing/4376399899/the-littlest-book-club-member-baby?transaction_id=5020714388" TargetMode="External"/><Relationship Id="rId1577" Type="http://schemas.openxmlformats.org/officeDocument/2006/relationships/hyperlink" Target="https://www.etsy.com/listing/4481667912/relax-my-daddy-is-an-engineer?transaction_id=5080062458" TargetMode="External"/><Relationship Id="rId1784" Type="http://schemas.openxmlformats.org/officeDocument/2006/relationships/hyperlink" Target="https://www.etsy.com/ca/listing/4330504400/born-to-play-like-my-daddy-baby-romper?transaction_id=4684883969" TargetMode="External"/><Relationship Id="rId1991" Type="http://schemas.openxmlformats.org/officeDocument/2006/relationships/hyperlink" Target="https://www.etsy.com/ca/listing/4330485404/cat-face-embroidered-baby-romper-my?transaction_id=4747569764" TargetMode="External"/><Relationship Id="rId2628" Type="http://schemas.openxmlformats.org/officeDocument/2006/relationships/hyperlink" Target="https://www.etsy.com/ca/listing/4371125103/personalized-dog-baby-bodysuit-custom?transaction_id=4885841149" TargetMode="External"/><Relationship Id="rId2835" Type="http://schemas.openxmlformats.org/officeDocument/2006/relationships/hyperlink" Target="https://www.etsy.com/ca/listing/4330488178/embroidered-golf-baby-romper-new-to-the?transaction_id=4918020125" TargetMode="External"/><Relationship Id="rId76" Type="http://schemas.openxmlformats.org/officeDocument/2006/relationships/hyperlink" Target="https://www.etsy.com/listing/4513104471/new-to-the-fishing-crew-embroidered?transaction_id=5107901427" TargetMode="External"/><Relationship Id="rId807" Type="http://schemas.openxmlformats.org/officeDocument/2006/relationships/hyperlink" Target="https://www.etsy.com/ca/listing/4344238379/funny-aunt-baby-romper-my-aunt-says-im?transaction_id=5044658114" TargetMode="External"/><Relationship Id="rId1437" Type="http://schemas.openxmlformats.org/officeDocument/2006/relationships/hyperlink" Target="https://www.etsy.com/listing/4508958063/my-daddys-muscles-embroidered-baby?transaction_id=5113478511" TargetMode="External"/><Relationship Id="rId1644" Type="http://schemas.openxmlformats.org/officeDocument/2006/relationships/hyperlink" Target="https://www.etsy.com/listing/4437045794/new-to-the-crew-rowing-embroidered-baby?transaction_id=5021368222" TargetMode="External"/><Relationship Id="rId1851" Type="http://schemas.openxmlformats.org/officeDocument/2006/relationships/hyperlink" Target="https://www.etsy.com/ca/listing/4330488178/new-to-the-club-embroidered-baby-romper?transaction_id=4710824013" TargetMode="External"/><Relationship Id="rId2902" Type="http://schemas.openxmlformats.org/officeDocument/2006/relationships/hyperlink" Target="https://www.etsy.com/ca/listing/4330488178/embroidered-golf-baby-romper-new-to-the?transaction_id=4909038078" TargetMode="External"/><Relationship Id="rId1504" Type="http://schemas.openxmlformats.org/officeDocument/2006/relationships/hyperlink" Target="https://www.etsy.com/listing/4376404086/embroidered-lil-nugget-baby-bodysuit?transaction_id=5105043929" TargetMode="External"/><Relationship Id="rId1711" Type="http://schemas.openxmlformats.org/officeDocument/2006/relationships/hyperlink" Target="https://www.etsy.com/listing/4350619954/personalized-tennis-baby-romper?transaction_id=4857407512" TargetMode="External"/><Relationship Id="rId597" Type="http://schemas.openxmlformats.org/officeDocument/2006/relationships/hyperlink" Target="https://www.etsy.com/ca/listing/4471139005/going-home-to-meet-my-pups-baby-romper?transaction_id=5099658135" TargetMode="External"/><Relationship Id="rId2278" Type="http://schemas.openxmlformats.org/officeDocument/2006/relationships/hyperlink" Target="https://www.etsy.com/ca/listing/4392929794/little-latke-embroidered-romper-hanukkah?transaction_id=4814550365" TargetMode="External"/><Relationship Id="rId2485" Type="http://schemas.openxmlformats.org/officeDocument/2006/relationships/hyperlink" Target="https://www.etsy.com/ca/listing/4392936921/apparently-i-like-golf-embroidered?transaction_id=4859261249" TargetMode="External"/><Relationship Id="rId3329" Type="http://schemas.openxmlformats.org/officeDocument/2006/relationships/hyperlink" Target="https://www.etsy.com/ca/listing/4376399899/the-littlest-book-club-member-baby?transaction_id=4957199070" TargetMode="External"/><Relationship Id="rId457" Type="http://schemas.openxmlformats.org/officeDocument/2006/relationships/hyperlink" Target="https://www.etsy.com/listing/4444631598/first-edition-published-2026-embroidered?transaction_id=4972033923" TargetMode="External"/><Relationship Id="rId1087" Type="http://schemas.openxmlformats.org/officeDocument/2006/relationships/hyperlink" Target="https://www.etsy.com/ca/listing/4376399899/the-littlest-book-club-member-baby?transaction_id=4994549676" TargetMode="External"/><Relationship Id="rId1294" Type="http://schemas.openxmlformats.org/officeDocument/2006/relationships/hyperlink" Target="https://www.etsy.com/listing/4473734263/custom-kangaroo-embroidered-baby-romper?transaction_id=5038433160" TargetMode="External"/><Relationship Id="rId2138" Type="http://schemas.openxmlformats.org/officeDocument/2006/relationships/hyperlink" Target="https://www.etsy.com/ca/listing/4379194627/new-to-the-farm-embroidered-romper-baby?transaction_id=4787763443" TargetMode="External"/><Relationship Id="rId2692" Type="http://schemas.openxmlformats.org/officeDocument/2006/relationships/hyperlink" Target="https://www.etsy.com/ca/listing/4376399899/the-littlest-book-club-member-baby?transaction_id=4881355434" TargetMode="External"/><Relationship Id="rId664" Type="http://schemas.openxmlformats.org/officeDocument/2006/relationships/hyperlink" Target="https://www.etsy.com/ca/listing/4474903749/daddys-future-running-buddy-baby-romper?transaction_id=5087668961" TargetMode="External"/><Relationship Id="rId871" Type="http://schemas.openxmlformats.org/officeDocument/2006/relationships/hyperlink" Target="https://www.etsy.com/ca/listing/4346126210/daddys-future-lifting-buddy-romper-baby?transaction_id=5033237526" TargetMode="External"/><Relationship Id="rId2345" Type="http://schemas.openxmlformats.org/officeDocument/2006/relationships/hyperlink" Target="https://www.etsy.com/ca/listing/4330485404/cat-face-embroidered-baby-romper-funny?transaction_id=4829914387" TargetMode="External"/><Relationship Id="rId2552" Type="http://schemas.openxmlformats.org/officeDocument/2006/relationships/hyperlink" Target="https://www.etsy.com/ca/listing/4371125103/personalized-dog-baby-bodysuit-custom?transaction_id=4858329686" TargetMode="External"/><Relationship Id="rId317" Type="http://schemas.openxmlformats.org/officeDocument/2006/relationships/hyperlink" Target="https://www.etsy.com/ca/listing/4470607045/new-to-the-pit-crew-baby-romper-racing?transaction_id=5051683413" TargetMode="External"/><Relationship Id="rId524" Type="http://schemas.openxmlformats.org/officeDocument/2006/relationships/hyperlink" Target="https://www.etsy.com/ca/listing/4392935796/box-box-for-fresh-diapers-embroidered?transaction_id=5099529070" TargetMode="External"/><Relationship Id="rId731" Type="http://schemas.openxmlformats.org/officeDocument/2006/relationships/hyperlink" Target="https://www.etsy.com/ca/listing/4467446644/the-littlest-baking-club-member-baby?transaction_id=5059507596" TargetMode="External"/><Relationship Id="rId1154" Type="http://schemas.openxmlformats.org/officeDocument/2006/relationships/hyperlink" Target="https://www.etsy.com/ca/listing/4344235128/new-to-the-hive-baby-romper-embroidered?transaction_id=4996592981" TargetMode="External"/><Relationship Id="rId1361" Type="http://schemas.openxmlformats.org/officeDocument/2006/relationships/hyperlink" Target="https://www.etsy.com/listing/4507649485/apparently-i-like-soccer-embroidered?transaction_id=5089290437" TargetMode="External"/><Relationship Id="rId2205" Type="http://schemas.openxmlformats.org/officeDocument/2006/relationships/hyperlink" Target="https://www.etsy.com/ca/listing/4376389783/player-2-baby-romper-gamer-baby-outfit?transaction_id=4803198411" TargetMode="External"/><Relationship Id="rId2412" Type="http://schemas.openxmlformats.org/officeDocument/2006/relationships/hyperlink" Target="https://www.etsy.com/ca/listing/4371125103/personalized-dog-baby-bodysuit-custom?transaction_id=4840380593" TargetMode="External"/><Relationship Id="rId1014" Type="http://schemas.openxmlformats.org/officeDocument/2006/relationships/hyperlink" Target="https://www.etsy.com/ca/listing/4330504943/embroidered-tennis-baby-romper-daddys?transaction_id=5016228583" TargetMode="External"/><Relationship Id="rId1221" Type="http://schemas.openxmlformats.org/officeDocument/2006/relationships/hyperlink" Target="https://www.etsy.com/ca/listing/4392929794/little-latke-embroidered-romper-hanukkah?transaction_id=4984156231" TargetMode="External"/><Relationship Id="rId3186" Type="http://schemas.openxmlformats.org/officeDocument/2006/relationships/hyperlink" Target="https://www.etsy.com/ca/listing/4371125103/personalized-dog-baby-bodysuit-custom?transaction_id=4938416818" TargetMode="External"/><Relationship Id="rId3393" Type="http://schemas.openxmlformats.org/officeDocument/2006/relationships/hyperlink" Target="https://www.etsy.com/ca/listing/4392929794/little-latke-embroidered-romper-hanukkah?transaction_id=4839093187" TargetMode="External"/><Relationship Id="rId3046" Type="http://schemas.openxmlformats.org/officeDocument/2006/relationships/hyperlink" Target="https://www.etsy.com/ca/listing/4371125103/personalized-dog-baby-bodysuit-custom?transaction_id=4934958577" TargetMode="External"/><Relationship Id="rId3253" Type="http://schemas.openxmlformats.org/officeDocument/2006/relationships/hyperlink" Target="https://www.etsy.com/ca/listing/4371125103/personalized-dog-baby-bodysuit-custom?transaction_id=4946567950" TargetMode="External"/><Relationship Id="rId174" Type="http://schemas.openxmlformats.org/officeDocument/2006/relationships/hyperlink" Target="https://www.etsy.com/listing/4444096557/daddys-little-caddy-baby-romper-golf?transaction_id=4982207232" TargetMode="External"/><Relationship Id="rId381" Type="http://schemas.openxmlformats.org/officeDocument/2006/relationships/hyperlink" Target="https://www.etsy.com/listing/4468994168/listening-to-taylor-with-my-mom-baby?transaction_id=5077056620" TargetMode="External"/><Relationship Id="rId2062" Type="http://schemas.openxmlformats.org/officeDocument/2006/relationships/hyperlink" Target="https://www.etsy.com/ca/listing/4336907597/custom-running-baby-romper-daddys-future?transaction_id=4771797879" TargetMode="External"/><Relationship Id="rId3113" Type="http://schemas.openxmlformats.org/officeDocument/2006/relationships/hyperlink" Target="https://www.etsy.com/ca/listing/4392935796/box-box-for-fresh-diapers-embroidered?transaction_id=4929837982" TargetMode="External"/><Relationship Id="rId241" Type="http://schemas.openxmlformats.org/officeDocument/2006/relationships/hyperlink" Target="https://www.etsy.com/listing/4435899921/clean-up-crew-baby-romper-cute-puppy?transaction_id=5007479309" TargetMode="External"/><Relationship Id="rId3320" Type="http://schemas.openxmlformats.org/officeDocument/2006/relationships/hyperlink" Target="https://www.etsy.com/ca/listing/4346126210/daddys-future-lifting-buddy-romper-baby?transaction_id=4965849527" TargetMode="External"/><Relationship Id="rId2879" Type="http://schemas.openxmlformats.org/officeDocument/2006/relationships/hyperlink" Target="https://www.etsy.com/ca/listing/4392962015/cant-wait-to-jam-with-daddy-embroidered?transaction_id=4906864300" TargetMode="External"/><Relationship Id="rId101" Type="http://schemas.openxmlformats.org/officeDocument/2006/relationships/hyperlink" Target="https://www.etsy.com/listing/4512154554/custom-dog-photo-embroidered-romper?transaction_id=5090625938" TargetMode="External"/><Relationship Id="rId1688" Type="http://schemas.openxmlformats.org/officeDocument/2006/relationships/hyperlink" Target="https://www.etsy.com/listing/4346672208/soccer-baby-romper-born-to-play-like?transaction_id=4706862690" TargetMode="External"/><Relationship Id="rId1895" Type="http://schemas.openxmlformats.org/officeDocument/2006/relationships/hyperlink" Target="https://www.etsy.com/ca/listing/4330485404/cat-face-embroidered-baby-romper-my?transaction_id=4731674167" TargetMode="External"/><Relationship Id="rId2739" Type="http://schemas.openxmlformats.org/officeDocument/2006/relationships/hyperlink" Target="https://www.etsy.com/ca/listing/4344235128/new-to-the-hive-baby-romper-embroidered?transaction_id=4890987802" TargetMode="External"/><Relationship Id="rId2946" Type="http://schemas.openxmlformats.org/officeDocument/2006/relationships/hyperlink" Target="https://www.etsy.com/ca/listing/4376399899/the-littlest-book-club-member-baby?transaction_id=4926491751" TargetMode="External"/><Relationship Id="rId918" Type="http://schemas.openxmlformats.org/officeDocument/2006/relationships/hyperlink" Target="https://www.etsy.com/ca/listing/4330485404/cat-face-embroidered-baby-romper-funny?transaction_id=5037088365" TargetMode="External"/><Relationship Id="rId1548" Type="http://schemas.openxmlformats.org/officeDocument/2006/relationships/hyperlink" Target="https://www.etsy.com/listing/4376404086/embroidered-lil-nugget-baby-bodysuit?transaction_id=5105461122" TargetMode="External"/><Relationship Id="rId1755" Type="http://schemas.openxmlformats.org/officeDocument/2006/relationships/hyperlink" Target="https://www.etsy.com/ca/listing/4330488178/new-to-the-club-embroidered-baby-romper?transaction_id=4663215106" TargetMode="External"/><Relationship Id="rId1408" Type="http://schemas.openxmlformats.org/officeDocument/2006/relationships/hyperlink" Target="https://www.etsy.com/listing/4509423661/born-to-play-like-my-daddy-embroidered?transaction_id=5102757449" TargetMode="External"/><Relationship Id="rId1962" Type="http://schemas.openxmlformats.org/officeDocument/2006/relationships/hyperlink" Target="https://www.etsy.com/ca/listing/4333134764/wizard-font-baby-romper-personalized?transaction_id=4740746026" TargetMode="External"/><Relationship Id="rId2806" Type="http://schemas.openxmlformats.org/officeDocument/2006/relationships/hyperlink" Target="https://www.etsy.com/ca/listing/4372350408/my-first-football-season-baby-romper?transaction_id=4915439999" TargetMode="External"/><Relationship Id="rId47" Type="http://schemas.openxmlformats.org/officeDocument/2006/relationships/hyperlink" Target="https://www.etsy.com/listing/4395649391/clever-little-fox-embroidered-baby?transaction_id=5016483278" TargetMode="External"/><Relationship Id="rId1615" Type="http://schemas.openxmlformats.org/officeDocument/2006/relationships/hyperlink" Target="https://www.etsy.com/listing/4430837644/personalized-new-to-the-crew-baby?transaction_id=4989281515" TargetMode="External"/><Relationship Id="rId1822" Type="http://schemas.openxmlformats.org/officeDocument/2006/relationships/hyperlink" Target="https://www.etsy.com/ca/listing/4347885967/gigis-bestie-baby-bodysuit-baby-shower?transaction_id=4687106886" TargetMode="External"/><Relationship Id="rId2389" Type="http://schemas.openxmlformats.org/officeDocument/2006/relationships/hyperlink" Target="https://www.etsy.com/ca/listing/4371125103/personalized-dog-baby-bodysuit-custom?transaction_id=4836235457" TargetMode="External"/><Relationship Id="rId2596" Type="http://schemas.openxmlformats.org/officeDocument/2006/relationships/hyperlink" Target="https://www.etsy.com/ca/listing/4371125103/personalized-dog-baby-bodysuit-custom?transaction_id=4880796203" TargetMode="External"/><Relationship Id="rId568" Type="http://schemas.openxmlformats.org/officeDocument/2006/relationships/hyperlink" Target="https://www.etsy.com/ca/listing/4369781522/crawl-walk-putt-baby-romper-funny-golf?transaction_id=5103699005" TargetMode="External"/><Relationship Id="rId775" Type="http://schemas.openxmlformats.org/officeDocument/2006/relationships/hyperlink" Target="https://www.etsy.com/ca/listing/4376389783/player-2-baby-romper-gamer-baby-outfit?transaction_id=5063126559" TargetMode="External"/><Relationship Id="rId982" Type="http://schemas.openxmlformats.org/officeDocument/2006/relationships/hyperlink" Target="https://www.etsy.com/ca/listing/4330488178/embroidered-golf-baby-romper-new-to-the?transaction_id=5013969128" TargetMode="External"/><Relationship Id="rId1198" Type="http://schemas.openxmlformats.org/officeDocument/2006/relationships/hyperlink" Target="https://www.etsy.com/ca/listing/4344231895/embroidered-baby-romper-shhh-im-reading?transaction_id=4978125320" TargetMode="External"/><Relationship Id="rId2249" Type="http://schemas.openxmlformats.org/officeDocument/2006/relationships/hyperlink" Target="https://www.etsy.com/ca/listing/4330499732/embroidered-baby-romper-little-sunshine?transaction_id=4811721809" TargetMode="External"/><Relationship Id="rId2456" Type="http://schemas.openxmlformats.org/officeDocument/2006/relationships/hyperlink" Target="https://www.etsy.com/ca/listing/4330488178/embroidered-golf-baby-romper-new-to-the?transaction_id=4849357741" TargetMode="External"/><Relationship Id="rId2663" Type="http://schemas.openxmlformats.org/officeDocument/2006/relationships/hyperlink" Target="https://www.etsy.com/ca/listing/4392929794/little-latke-embroidered-romper-hanukkah?transaction_id=4890347561" TargetMode="External"/><Relationship Id="rId2870" Type="http://schemas.openxmlformats.org/officeDocument/2006/relationships/hyperlink" Target="https://www.etsy.com/ca/listing/4392935796/box-box-for-fresh-diapers-embroidered?transaction_id=4920075451" TargetMode="External"/><Relationship Id="rId428" Type="http://schemas.openxmlformats.org/officeDocument/2006/relationships/hyperlink" Target="https://www.etsy.com/listing/4474303017/new-to-the-soccer-crew-baby-bodysuit?transaction_id=5010293274" TargetMode="External"/><Relationship Id="rId635" Type="http://schemas.openxmlformats.org/officeDocument/2006/relationships/hyperlink" Target="https://www.etsy.com/ca/listing/4376389783/player-2-baby-romper-gamer-baby-outfit?transaction_id=5080943038" TargetMode="External"/><Relationship Id="rId842" Type="http://schemas.openxmlformats.org/officeDocument/2006/relationships/hyperlink" Target="https://www.etsy.com/ca/listing/4336899579/personalized-basketball-baby-romper?transaction_id=5051363287" TargetMode="External"/><Relationship Id="rId1058" Type="http://schemas.openxmlformats.org/officeDocument/2006/relationships/hyperlink" Target="https://www.etsy.com/ca/listing/4376399899/the-littlest-book-club-member-baby?transaction_id=5008034425" TargetMode="External"/><Relationship Id="rId1265" Type="http://schemas.openxmlformats.org/officeDocument/2006/relationships/hyperlink" Target="https://www.etsy.com/listing/4426844514/future-drummer-like-daddy-baby-romper?transaction_id=5008282160" TargetMode="External"/><Relationship Id="rId1472" Type="http://schemas.openxmlformats.org/officeDocument/2006/relationships/hyperlink" Target="https://www.etsy.com/listing/4376404086/embroidered-lil-nugget-baby-bodysuit?transaction_id=5089467386" TargetMode="External"/><Relationship Id="rId2109" Type="http://schemas.openxmlformats.org/officeDocument/2006/relationships/hyperlink" Target="https://www.etsy.com/ca/listing/4330485404/cat-face-embroidered-baby-romper-my?transaction_id=4782324265" TargetMode="External"/><Relationship Id="rId2316" Type="http://schemas.openxmlformats.org/officeDocument/2006/relationships/hyperlink" Target="https://www.etsy.com/ca/listing/4392929794/little-latke-embroidered-romper-hanukkah?transaction_id=4811343232" TargetMode="External"/><Relationship Id="rId2523" Type="http://schemas.openxmlformats.org/officeDocument/2006/relationships/hyperlink" Target="https://www.etsy.com/ca/listing/4392929794/little-latke-embroidered-romper-hanukkah?transaction_id=4868495507" TargetMode="External"/><Relationship Id="rId2730" Type="http://schemas.openxmlformats.org/officeDocument/2006/relationships/hyperlink" Target="https://www.etsy.com/ca/listing/4336902854/personalized-football-baby-romper-daddys?transaction_id=4905764655" TargetMode="External"/><Relationship Id="rId702" Type="http://schemas.openxmlformats.org/officeDocument/2006/relationships/hyperlink" Target="https://www.etsy.com/ca/listing/4330492054/embroidered-baby-romper-cutie-pie-design?transaction_id=5065251360" TargetMode="External"/><Relationship Id="rId1125" Type="http://schemas.openxmlformats.org/officeDocument/2006/relationships/hyperlink" Target="https://www.etsy.com/ca/listing/4467444587/pit-crew-for-diapers-baby-romper-funny?transaction_id=5000723373" TargetMode="External"/><Relationship Id="rId1332" Type="http://schemas.openxmlformats.org/officeDocument/2006/relationships/hyperlink" Target="https://www.etsy.com/listing/4399213134/new-to-the-club-bike-embroidered-baby?transaction_id=5075383551" TargetMode="External"/><Relationship Id="rId3297" Type="http://schemas.openxmlformats.org/officeDocument/2006/relationships/hyperlink" Target="https://www.etsy.com/ca/listing/4392936688/shhh-im-watching-motogp-with-daddy?transaction_id=4952470784" TargetMode="External"/><Relationship Id="rId3157" Type="http://schemas.openxmlformats.org/officeDocument/2006/relationships/hyperlink" Target="https://www.etsy.com/ca/listing/4347263856/besties-baby-romper-matching-baby-outfit?transaction_id=4927766087" TargetMode="External"/><Relationship Id="rId285" Type="http://schemas.openxmlformats.org/officeDocument/2006/relationships/hyperlink" Target="https://www.etsy.com/ca/listing/4510955407/born-to-ride-with-my-daddy-baby-romper?transaction_id=5097181642" TargetMode="External"/><Relationship Id="rId3364" Type="http://schemas.openxmlformats.org/officeDocument/2006/relationships/hyperlink" Target="https://www.etsy.com/ca/listing/4330480699/little-prince-baby-romper-embroidered?transaction_id=4962629780" TargetMode="External"/><Relationship Id="rId492" Type="http://schemas.openxmlformats.org/officeDocument/2006/relationships/hyperlink" Target="https://www.etsy.com/ca/listing/4392936688/shhh-im-watching-motogp-with-daddy?transaction_id=5104559536" TargetMode="External"/><Relationship Id="rId2173" Type="http://schemas.openxmlformats.org/officeDocument/2006/relationships/hyperlink" Target="https://www.etsy.com/ca/listing/4346126210/daddys-future-lifting-buddy-romper-baby?transaction_id=4798481163" TargetMode="External"/><Relationship Id="rId2380" Type="http://schemas.openxmlformats.org/officeDocument/2006/relationships/hyperlink" Target="https://www.etsy.com/ca/listing/4392929794/little-latke-embroidered-romper-hanukkah?transaction_id=4825701904" TargetMode="External"/><Relationship Id="rId3017" Type="http://schemas.openxmlformats.org/officeDocument/2006/relationships/hyperlink" Target="https://www.etsy.com/ca/listing/4330504943/embroidered-tennis-baby-romper-daddys?transaction_id=4933029773" TargetMode="External"/><Relationship Id="rId3224" Type="http://schemas.openxmlformats.org/officeDocument/2006/relationships/hyperlink" Target="https://www.etsy.com/ca/listing/4330495722/embroidered-golf-baby-romper-custom?transaction_id=4954744177" TargetMode="External"/><Relationship Id="rId145" Type="http://schemas.openxmlformats.org/officeDocument/2006/relationships/hyperlink" Target="https://www.etsy.com/listing/4469988427/daddys-tennis-buddy-baby-romper-tennis?transaction_id=5058944843" TargetMode="External"/><Relationship Id="rId352" Type="http://schemas.openxmlformats.org/officeDocument/2006/relationships/hyperlink" Target="https://www.etsy.com/listing/4504126615/is-it-too-soon-to-ask-for-a-trumpet?transaction_id=5097729064" TargetMode="External"/><Relationship Id="rId2033" Type="http://schemas.openxmlformats.org/officeDocument/2006/relationships/hyperlink" Target="https://www.etsy.com/ca/listing/4330485404/cat-face-embroidered-baby-romper-my?transaction_id=4767868503" TargetMode="External"/><Relationship Id="rId2240" Type="http://schemas.openxmlformats.org/officeDocument/2006/relationships/hyperlink" Target="https://www.etsy.com/ca/listing/4372352286/silly-goose-baby-romper-funny-infant?transaction_id=4802159374" TargetMode="External"/><Relationship Id="rId212" Type="http://schemas.openxmlformats.org/officeDocument/2006/relationships/hyperlink" Target="https://www.etsy.com/listing/4499062845/custom-name-embroidered-romper-baby-gift?transaction_id=5082502647" TargetMode="External"/><Relationship Id="rId1799" Type="http://schemas.openxmlformats.org/officeDocument/2006/relationships/hyperlink" Target="https://www.etsy.com/ca/listing/4330485404/cat-face-embroidered-baby-romper-my?transaction_id=4675793040" TargetMode="External"/><Relationship Id="rId2100" Type="http://schemas.openxmlformats.org/officeDocument/2006/relationships/hyperlink" Target="https://www.etsy.com/ca/listing/4347885967/gigis-bestie-baby-bodysuit-baby-shower?transaction_id=4771434042" TargetMode="External"/><Relationship Id="rId1659" Type="http://schemas.openxmlformats.org/officeDocument/2006/relationships/hyperlink" Target="https://www.etsy.com/listing/4430837644/personalized-new-to-the-crew-baby?transaction_id=5045980734" TargetMode="External"/><Relationship Id="rId1866" Type="http://schemas.openxmlformats.org/officeDocument/2006/relationships/hyperlink" Target="https://www.etsy.com/ca/listing/4330488178/new-to-the-club-embroidered-baby-romper?transaction_id=4708066012" TargetMode="External"/><Relationship Id="rId2917" Type="http://schemas.openxmlformats.org/officeDocument/2006/relationships/hyperlink" Target="https://www.etsy.com/ca/listing/4371125103/personalized-dog-baby-bodysuit-custom?transaction_id=4910742938" TargetMode="External"/><Relationship Id="rId3081" Type="http://schemas.openxmlformats.org/officeDocument/2006/relationships/hyperlink" Target="https://www.etsy.com/ca/listing/4330488178/embroidered-golf-baby-romper-new-to-the?transaction_id=4937303065" TargetMode="External"/><Relationship Id="rId1519" Type="http://schemas.openxmlformats.org/officeDocument/2006/relationships/hyperlink" Target="https://www.etsy.com/listing/4507007670/daddys-co-pilot-embroidered-baby-romper?transaction_id=5108625861" TargetMode="External"/><Relationship Id="rId1726" Type="http://schemas.openxmlformats.org/officeDocument/2006/relationships/hyperlink" Target="https://www.etsy.com/ca/listing/4330488178/new-to-the-club-embroidered-baby-romper?transaction_id=4652944818" TargetMode="External"/><Relationship Id="rId1933" Type="http://schemas.openxmlformats.org/officeDocument/2006/relationships/hyperlink" Target="https://www.etsy.com/ca/listing/4330485404/cat-face-embroidered-baby-romper-my?transaction_id=4744178867" TargetMode="External"/><Relationship Id="rId18" Type="http://schemas.openxmlformats.org/officeDocument/2006/relationships/hyperlink" Target="https://www.etsy.com/listing/4395653841/dont-make-me-call-grandma-embroidered?transaction_id=5062834816" TargetMode="External"/><Relationship Id="rId679" Type="http://schemas.openxmlformats.org/officeDocument/2006/relationships/hyperlink" Target="https://www.etsy.com/ca/listing/4474910478/custom-name-fast-one-baby-romper?transaction_id=5071401550" TargetMode="External"/><Relationship Id="rId886" Type="http://schemas.openxmlformats.org/officeDocument/2006/relationships/hyperlink" Target="https://www.etsy.com/ca/listing/4392936921/apparently-i-like-golf-embroidered?transaction_id=5042170019" TargetMode="External"/><Relationship Id="rId2567" Type="http://schemas.openxmlformats.org/officeDocument/2006/relationships/hyperlink" Target="https://www.etsy.com/ca/listing/4392936688/shhh-im-watching-motogp-with-daddy?transaction_id=4860971376" TargetMode="External"/><Relationship Id="rId2774" Type="http://schemas.openxmlformats.org/officeDocument/2006/relationships/hyperlink" Target="https://www.etsy.com/ca/listing/4369781522/crawl-walk-putt-baby-romper-funny-golf?transaction_id=4911845381" TargetMode="External"/><Relationship Id="rId2" Type="http://schemas.openxmlformats.org/officeDocument/2006/relationships/hyperlink" Target="https://www.etsy.com/listing/4491428109/halfling-baby-bodysuit-fantasy-baby?transaction_id=5096758625" TargetMode="External"/><Relationship Id="rId539" Type="http://schemas.openxmlformats.org/officeDocument/2006/relationships/hyperlink" Target="https://www.etsy.com/ca/listing/4471139539/daddys-future-hunting-buddy-baby-romper?transaction_id=5097387428" TargetMode="External"/><Relationship Id="rId746" Type="http://schemas.openxmlformats.org/officeDocument/2006/relationships/hyperlink" Target="https://www.etsy.com/ca/listing/4376399899/the-littlest-book-club-member-baby?transaction_id=5069813351" TargetMode="External"/><Relationship Id="rId1169" Type="http://schemas.openxmlformats.org/officeDocument/2006/relationships/hyperlink" Target="https://www.etsy.com/ca/listing/4330485404/cat-face-embroidered-baby-romper-funny?transaction_id=4983788888" TargetMode="External"/><Relationship Id="rId1376" Type="http://schemas.openxmlformats.org/officeDocument/2006/relationships/hyperlink" Target="https://www.etsy.com/listing/4399205076/new-to-the-hive-embroidered-baby-romper?transaction_id=5080881210" TargetMode="External"/><Relationship Id="rId1583" Type="http://schemas.openxmlformats.org/officeDocument/2006/relationships/hyperlink" Target="https://www.etsy.com/listing/4508824325/little-bean-embroidered-baby-romper?transaction_id=5101983327" TargetMode="External"/><Relationship Id="rId2427" Type="http://schemas.openxmlformats.org/officeDocument/2006/relationships/hyperlink" Target="https://www.etsy.com/ca/listing/4392929794/little-latke-embroidered-romper-hanukkah?transaction_id=4831294324" TargetMode="External"/><Relationship Id="rId2981" Type="http://schemas.openxmlformats.org/officeDocument/2006/relationships/hyperlink" Target="https://www.etsy.com/ca/listing/4336903235/personalized-tennis-baby-romper?transaction_id=4916679504" TargetMode="External"/><Relationship Id="rId953" Type="http://schemas.openxmlformats.org/officeDocument/2006/relationships/hyperlink" Target="https://www.etsy.com/ca/listing/4330485404/cat-face-embroidered-baby-romper-funny?transaction_id=5029841831" TargetMode="External"/><Relationship Id="rId1029" Type="http://schemas.openxmlformats.org/officeDocument/2006/relationships/hyperlink" Target="https://www.etsy.com/ca/listing/4376399899/the-littlest-book-club-member-baby?transaction_id=5003744328" TargetMode="External"/><Relationship Id="rId1236" Type="http://schemas.openxmlformats.org/officeDocument/2006/relationships/hyperlink" Target="https://www.etsy.com/ca/listing/4376399899/the-littlest-book-club-member-baby?transaction_id=4971800104" TargetMode="External"/><Relationship Id="rId1790" Type="http://schemas.openxmlformats.org/officeDocument/2006/relationships/hyperlink" Target="https://www.etsy.com/ca/listing/4330504943/born-to-play-like-my-daddy-baby-romper?transaction_id=4686081083" TargetMode="External"/><Relationship Id="rId2634" Type="http://schemas.openxmlformats.org/officeDocument/2006/relationships/hyperlink" Target="https://www.etsy.com/ca/listing/4376389783/player-2-baby-romper-gamer-baby-outfit?transaction_id=4870526656" TargetMode="External"/><Relationship Id="rId2841" Type="http://schemas.openxmlformats.org/officeDocument/2006/relationships/hyperlink" Target="https://www.etsy.com/ca/listing/4333134764/wizard-font-baby-romper-personalized?transaction_id=4918532157" TargetMode="External"/><Relationship Id="rId82" Type="http://schemas.openxmlformats.org/officeDocument/2006/relationships/hyperlink" Target="https://www.etsy.com/listing/4513575160/i-love-you-from-my-head-to-ma-toes?transaction_id=5097034812" TargetMode="External"/><Relationship Id="rId606" Type="http://schemas.openxmlformats.org/officeDocument/2006/relationships/hyperlink" Target="https://www.etsy.com/ca/listing/4347260564/football-baby-romper-game-day-baby?transaction_id=5098755627" TargetMode="External"/><Relationship Id="rId813" Type="http://schemas.openxmlformats.org/officeDocument/2006/relationships/hyperlink" Target="https://www.etsy.com/ca/listing/4330488178/embroidered-golf-baby-romper-new-to-the?transaction_id=5056296369&amp;dd_referrer=" TargetMode="External"/><Relationship Id="rId1443" Type="http://schemas.openxmlformats.org/officeDocument/2006/relationships/hyperlink" Target="https://www.etsy.com/listing/4376404086/embroidered-lil-nugget-baby-bodysuit?transaction_id=5086125110" TargetMode="External"/><Relationship Id="rId1650" Type="http://schemas.openxmlformats.org/officeDocument/2006/relationships/hyperlink" Target="https://www.etsy.com/listing/4469507580/relax-my-daddys-an-engineer-embroidered?transaction_id=5036237881" TargetMode="External"/><Relationship Id="rId2701" Type="http://schemas.openxmlformats.org/officeDocument/2006/relationships/hyperlink" Target="https://www.etsy.com/ca/listing/4376392339/funny-baby-romper-my-brand-of-formula?transaction_id=4883210716" TargetMode="External"/><Relationship Id="rId1303" Type="http://schemas.openxmlformats.org/officeDocument/2006/relationships/hyperlink" Target="https://www.etsy.com/listing/4480598946/tennis-racket-ball-name-embroidered-baby?transaction_id=5050510506" TargetMode="External"/><Relationship Id="rId1510" Type="http://schemas.openxmlformats.org/officeDocument/2006/relationships/hyperlink" Target="https://www.etsy.com/listing/4471265235/personalized-masters-golf-embroidered?transaction_id=5096131110" TargetMode="External"/><Relationship Id="rId3268" Type="http://schemas.openxmlformats.org/officeDocument/2006/relationships/hyperlink" Target="https://www.etsy.com/ca/listing/4379194627/new-to-the-farm-embroidered-romper-baby?transaction_id=4948949194" TargetMode="External"/><Relationship Id="rId189" Type="http://schemas.openxmlformats.org/officeDocument/2006/relationships/hyperlink" Target="https://www.etsy.com/listing/4499062845/custom-name-embroidered-romper-baby-gift?transaction_id=5103173990" TargetMode="External"/><Relationship Id="rId396" Type="http://schemas.openxmlformats.org/officeDocument/2006/relationships/hyperlink" Target="https://www.etsy.com/listing/4470004184/little-lamb-baby-bodysuit-cute-lamb-baby?transaction_id=5056121936" TargetMode="External"/><Relationship Id="rId2077" Type="http://schemas.openxmlformats.org/officeDocument/2006/relationships/hyperlink" Target="https://www.etsy.com/ca/listing/4346126210/daddys-future-lifting-buddy-romper-baby?transaction_id=4764238612" TargetMode="External"/><Relationship Id="rId2284" Type="http://schemas.openxmlformats.org/officeDocument/2006/relationships/hyperlink" Target="https://www.etsy.com/ca/listing/4369764524/embroidered-snowman-baby-romper?transaction_id=4806853404" TargetMode="External"/><Relationship Id="rId2491" Type="http://schemas.openxmlformats.org/officeDocument/2006/relationships/hyperlink" Target="https://www.etsy.com/ca/listing/4376399899/the-littlest-book-club-member-baby?transaction_id=4848074858" TargetMode="External"/><Relationship Id="rId3128" Type="http://schemas.openxmlformats.org/officeDocument/2006/relationships/hyperlink" Target="https://www.etsy.com/ca/listing/4371125103/personalized-dog-baby-bodysuit-custom?transaction_id=4931330072" TargetMode="External"/><Relationship Id="rId3335" Type="http://schemas.openxmlformats.org/officeDocument/2006/relationships/hyperlink" Target="https://www.etsy.com/ca/listing/4330488178/embroidered-golf-baby-romper-new-to-the?transaction_id=4968070469" TargetMode="External"/><Relationship Id="rId256" Type="http://schemas.openxmlformats.org/officeDocument/2006/relationships/hyperlink" Target="https://www.etsy.com/listing/4440191236/pasta-baby-romper-embroidered-italian?transaction_id=4947377688" TargetMode="External"/><Relationship Id="rId463" Type="http://schemas.openxmlformats.org/officeDocument/2006/relationships/hyperlink" Target="https://www.etsy.com/listing/4444631598/first-edition-published-2026-embroidered?transaction_id=4957341868" TargetMode="External"/><Relationship Id="rId670" Type="http://schemas.openxmlformats.org/officeDocument/2006/relationships/hyperlink" Target="https://www.etsy.com/ca/listing/4376399899/the-littlest-book-club-member-baby?transaction_id=5073455932" TargetMode="External"/><Relationship Id="rId1093" Type="http://schemas.openxmlformats.org/officeDocument/2006/relationships/hyperlink" Target="https://www.etsy.com/ca/listing/4392935796/box-box-for-fresh-diapers-embroidered?transaction_id=4994138944" TargetMode="External"/><Relationship Id="rId2144" Type="http://schemas.openxmlformats.org/officeDocument/2006/relationships/hyperlink" Target="https://www.etsy.com/ca/listing/4330504155/born-to-play-like-my-daddy-baby-romper?transaction_id=4780712596" TargetMode="External"/><Relationship Id="rId2351" Type="http://schemas.openxmlformats.org/officeDocument/2006/relationships/hyperlink" Target="https://www.etsy.com/ca/listing/4371125103/personalized-dog-baby-bodysuit-custom?transaction_id=4821556832" TargetMode="External"/><Relationship Id="rId116" Type="http://schemas.openxmlformats.org/officeDocument/2006/relationships/hyperlink" Target="https://www.etsy.com/listing/4512152650/custom-pet-photo-embroidered-romper?transaction_id=5086862588" TargetMode="External"/><Relationship Id="rId323" Type="http://schemas.openxmlformats.org/officeDocument/2006/relationships/hyperlink" Target="https://www.etsy.com/ca/listing/4477990621/dirt-is-my-daddys-office-baby-romper?transaction_id=5038417325" TargetMode="External"/><Relationship Id="rId530" Type="http://schemas.openxmlformats.org/officeDocument/2006/relationships/hyperlink" Target="https://www.etsy.com/ca/listing/4471139539/daddys-future-hunting-buddy-baby-romper?transaction_id=5108705949" TargetMode="External"/><Relationship Id="rId1160" Type="http://schemas.openxmlformats.org/officeDocument/2006/relationships/hyperlink" Target="https://www.etsy.com/ca/listing/4343131516/embroidered-pickleball-baby-bodysuit?transaction_id=4995830335" TargetMode="External"/><Relationship Id="rId2004" Type="http://schemas.openxmlformats.org/officeDocument/2006/relationships/hyperlink" Target="https://www.etsy.com/ca/listing/4346126111/promoted-to-big-brother-romper?transaction_id=4761703283" TargetMode="External"/><Relationship Id="rId2211" Type="http://schemas.openxmlformats.org/officeDocument/2006/relationships/hyperlink" Target="https://www.etsy.com/ca/listing/4392929794/little-latke-embroidered-romper-hanukkah?transaction_id=4797580766" TargetMode="External"/><Relationship Id="rId1020" Type="http://schemas.openxmlformats.org/officeDocument/2006/relationships/hyperlink" Target="https://www.etsy.com/ca/listing/4371125103/personalized-dog-baby-bodysuit-custom?transaction_id=5014462679" TargetMode="External"/><Relationship Id="rId1977" Type="http://schemas.openxmlformats.org/officeDocument/2006/relationships/hyperlink" Target="https://www.etsy.com/ca/listing/4333129905/personalized-pumpkin-baby-romper-fall?transaction_id=4756381981" TargetMode="External"/><Relationship Id="rId1837" Type="http://schemas.openxmlformats.org/officeDocument/2006/relationships/hyperlink" Target="https://www.etsy.com/ca/listing/4333129905/personalized-pumpkin-baby-romper-fall?transaction_id=4692842358" TargetMode="External"/><Relationship Id="rId3192" Type="http://schemas.openxmlformats.org/officeDocument/2006/relationships/hyperlink" Target="https://www.etsy.com/ca/listing/4376399899/the-littlest-book-club-member-baby?transaction_id=4950449971" TargetMode="External"/><Relationship Id="rId3052" Type="http://schemas.openxmlformats.org/officeDocument/2006/relationships/hyperlink" Target="https://www.etsy.com/ca/listing/4330488178/embroidered-golf-baby-romper-new-to-the?transaction_id=4935627263" TargetMode="External"/><Relationship Id="rId180" Type="http://schemas.openxmlformats.org/officeDocument/2006/relationships/hyperlink" Target="https://www.etsy.com/listing/4446342577/assistant-coach-embroidered-baby-romper?transaction_id=4986576239" TargetMode="External"/><Relationship Id="rId1904" Type="http://schemas.openxmlformats.org/officeDocument/2006/relationships/hyperlink" Target="https://www.etsy.com/ca/listing/4330488178/new-to-the-club-embroidered-baby-romper?transaction_id=4725633012" TargetMode="External"/><Relationship Id="rId997" Type="http://schemas.openxmlformats.org/officeDocument/2006/relationships/hyperlink" Target="https://www.etsy.com/ca/listing/4336902854/personalized-football-baby-romper-daddys?transaction_id=5010043078" TargetMode="External"/><Relationship Id="rId2678" Type="http://schemas.openxmlformats.org/officeDocument/2006/relationships/hyperlink" Target="https://www.etsy.com/ca/listing/4371125103/personalized-dog-baby-bodysuit-custom?transaction_id=4877741250" TargetMode="External"/><Relationship Id="rId2885" Type="http://schemas.openxmlformats.org/officeDocument/2006/relationships/hyperlink" Target="https://www.etsy.com/ca/listing/4376399899/the-littlest-book-club-member-baby?transaction_id=4907236086" TargetMode="External"/><Relationship Id="rId857" Type="http://schemas.openxmlformats.org/officeDocument/2006/relationships/hyperlink" Target="https://www.etsy.com/ca/listing/4467451258/the-littlest-tennis-club-member-baby?transaction_id=5047879613" TargetMode="External"/><Relationship Id="rId1487" Type="http://schemas.openxmlformats.org/officeDocument/2006/relationships/hyperlink" Target="https://www.etsy.com/listing/4376404086/embroidered-lil-nugget-baby-bodysuit?transaction_id=5091216036" TargetMode="External"/><Relationship Id="rId1694" Type="http://schemas.openxmlformats.org/officeDocument/2006/relationships/hyperlink" Target="https://www.etsy.com/listing/4346669832/basketball-baby-romper-born-to-play-like?transaction_id=4761770000" TargetMode="External"/><Relationship Id="rId2538" Type="http://schemas.openxmlformats.org/officeDocument/2006/relationships/hyperlink" Target="https://www.etsy.com/ca/listing/4376399899/the-littlest-book-club-member-baby?transaction_id=4856411976" TargetMode="External"/><Relationship Id="rId2745" Type="http://schemas.openxmlformats.org/officeDocument/2006/relationships/hyperlink" Target="https://www.etsy.com/ca/listing/4371125103/personalized-dog-baby-bodysuit-custom?transaction_id=4891841484" TargetMode="External"/><Relationship Id="rId2952" Type="http://schemas.openxmlformats.org/officeDocument/2006/relationships/hyperlink" Target="https://www.etsy.com/ca/listing/4376399899/the-littlest-book-club-member-baby?transaction_id=4913817910" TargetMode="External"/><Relationship Id="rId717" Type="http://schemas.openxmlformats.org/officeDocument/2006/relationships/hyperlink" Target="https://www.etsy.com/ca/listing/4379194627/new-to-the-farm-embroidered-romper-baby?transaction_id=5075158641" TargetMode="External"/><Relationship Id="rId924" Type="http://schemas.openxmlformats.org/officeDocument/2006/relationships/hyperlink" Target="https://www.etsy.com/ca/listing/4376399899/the-littlest-book-club-member-baby?transaction_id=5035938667" TargetMode="External"/><Relationship Id="rId1347" Type="http://schemas.openxmlformats.org/officeDocument/2006/relationships/hyperlink" Target="https://www.etsy.com/listing/4404016464/player-3-has-entered-the-game?transaction_id=5071442942" TargetMode="External"/><Relationship Id="rId1554" Type="http://schemas.openxmlformats.org/officeDocument/2006/relationships/hyperlink" Target="https://www.etsy.com/listing/4463233979/little-sister-baby-romper-custom-name?transaction_id=4992179403" TargetMode="External"/><Relationship Id="rId1761" Type="http://schemas.openxmlformats.org/officeDocument/2006/relationships/hyperlink" Target="https://www.etsy.com/ca/listing/4330488178/new-to-the-club-embroidered-baby-romper?transaction_id=4680131695" TargetMode="External"/><Relationship Id="rId2605" Type="http://schemas.openxmlformats.org/officeDocument/2006/relationships/hyperlink" Target="https://www.etsy.com/ca/listing/4392962015/cant-wait-to-jam-with-daddy-embroidered?transaction_id=4867693284" TargetMode="External"/><Relationship Id="rId2812" Type="http://schemas.openxmlformats.org/officeDocument/2006/relationships/hyperlink" Target="https://www.etsy.com/ca/listing/4344232490/freshly-brewed-baby-bodysuit-cute-coffee?transaction_id=4901647892" TargetMode="External"/><Relationship Id="rId53" Type="http://schemas.openxmlformats.org/officeDocument/2006/relationships/hyperlink" Target="https://www.etsy.com/listing/4518304165/the-best-miracles-take-a-little-time?transaction_id=5111161923" TargetMode="External"/><Relationship Id="rId1207" Type="http://schemas.openxmlformats.org/officeDocument/2006/relationships/hyperlink" Target="https://www.etsy.com/ca/listing/4376392339/funny-baby-romper-my-brand-of-formula?transaction_id=4977261344" TargetMode="External"/><Relationship Id="rId1414" Type="http://schemas.openxmlformats.org/officeDocument/2006/relationships/hyperlink" Target="https://www.etsy.com/listing/4513503284/daddys-future-pickleball-partner?transaction_id=5103902419" TargetMode="External"/><Relationship Id="rId1621" Type="http://schemas.openxmlformats.org/officeDocument/2006/relationships/hyperlink" Target="https://www.etsy.com/listing/4469502957/little-fruit-kiwi-embroidered-baby-cute?transaction_id=5003329451" TargetMode="External"/><Relationship Id="rId3379" Type="http://schemas.openxmlformats.org/officeDocument/2006/relationships/hyperlink" Target="https://www.etsy.com/ca/listing/4330488178/embroidered-golf-baby-romper-new-to-the?transaction_id=4976108065" TargetMode="External"/><Relationship Id="rId2188" Type="http://schemas.openxmlformats.org/officeDocument/2006/relationships/hyperlink" Target="https://www.etsy.com/ca/listing/4371125103/personalized-dog-baby-bodysuit-custom?transaction_id=4801423345" TargetMode="External"/><Relationship Id="rId2395" Type="http://schemas.openxmlformats.org/officeDocument/2006/relationships/hyperlink" Target="https://www.etsy.com/ca/listing/4336907597/custom-running-baby-romper-daddys-future?transaction_id=4837831831" TargetMode="External"/><Relationship Id="rId3239" Type="http://schemas.openxmlformats.org/officeDocument/2006/relationships/hyperlink" Target="https://www.etsy.com/ca/listing/4376399899/the-littlest-book-club-member-baby?transaction_id=4944755382" TargetMode="External"/><Relationship Id="rId367" Type="http://schemas.openxmlformats.org/officeDocument/2006/relationships/hyperlink" Target="https://www.etsy.com/listing/4482267440/is-it-too-soon-to-ask-for-a-bike-baby?transaction_id=5084641598" TargetMode="External"/><Relationship Id="rId574" Type="http://schemas.openxmlformats.org/officeDocument/2006/relationships/hyperlink" Target="https://www.etsy.com/ca/listing/4392936688/shhh-im-watching-motogp-with-daddy?transaction_id=5103166059" TargetMode="External"/><Relationship Id="rId2048" Type="http://schemas.openxmlformats.org/officeDocument/2006/relationships/hyperlink" Target="https://www.etsy.com/ca/listing/4376392339/funny-baby-romper-my-brand-of-formula?transaction_id=4769564911" TargetMode="External"/><Relationship Id="rId2255" Type="http://schemas.openxmlformats.org/officeDocument/2006/relationships/hyperlink" Target="https://www.etsy.com/ca/listing/4343133641/golf-skills-loading-embroidered-baby?transaction_id=4812286769" TargetMode="External"/><Relationship Id="rId227" Type="http://schemas.openxmlformats.org/officeDocument/2006/relationships/hyperlink" Target="https://www.etsy.com/listing/4477977946/apparently-i-like-f1-baby-romper-funny?transaction_id=5041667381" TargetMode="External"/><Relationship Id="rId781" Type="http://schemas.openxmlformats.org/officeDocument/2006/relationships/hyperlink" Target="https://www.etsy.com/ca/listing/4471139005/going-home-to-meet-my-pups-baby-romper?transaction_id=5049276462" TargetMode="External"/><Relationship Id="rId2462" Type="http://schemas.openxmlformats.org/officeDocument/2006/relationships/hyperlink" Target="https://www.etsy.com/ca/listing/4392936921/apparently-i-like-golf-embroidered?transaction_id=4840857912" TargetMode="External"/><Relationship Id="rId3306" Type="http://schemas.openxmlformats.org/officeDocument/2006/relationships/hyperlink" Target="https://www.etsy.com/ca/listing/4376399899/the-littlest-book-club-member-baby?transaction_id=4953938526" TargetMode="External"/><Relationship Id="rId434" Type="http://schemas.openxmlformats.org/officeDocument/2006/relationships/hyperlink" Target="https://www.etsy.com/listing/4474936599/is-it-too-soon-to-ask-for-a-guitar-baby?transaction_id=5012031999" TargetMode="External"/><Relationship Id="rId641" Type="http://schemas.openxmlformats.org/officeDocument/2006/relationships/hyperlink" Target="https://www.etsy.com/ca/listing/4376399899/the-littlest-book-club-member-baby?transaction_id=5090388903" TargetMode="External"/><Relationship Id="rId1064" Type="http://schemas.openxmlformats.org/officeDocument/2006/relationships/hyperlink" Target="https://www.etsy.com/ca/listing/4392935796/box-box-for-fresh-diapers-embroidered?transaction_id=4997139408" TargetMode="External"/><Relationship Id="rId1271" Type="http://schemas.openxmlformats.org/officeDocument/2006/relationships/hyperlink" Target="https://www.etsy.com/listing/4485710996/masters-2026-augusta-national-golf-club?transaction_id=5033304769" TargetMode="External"/><Relationship Id="rId2115" Type="http://schemas.openxmlformats.org/officeDocument/2006/relationships/hyperlink" Target="https://www.etsy.com/ca/listing/4330488178/new-to-the-club-embroidered-baby-romper?transaction_id=4783980757" TargetMode="External"/><Relationship Id="rId2322" Type="http://schemas.openxmlformats.org/officeDocument/2006/relationships/hyperlink" Target="https://www.etsy.com/ca/listing/4330483435/embroidered-coffee-bean-baby-romper?transaction_id=4812488042" TargetMode="External"/><Relationship Id="rId501" Type="http://schemas.openxmlformats.org/officeDocument/2006/relationships/hyperlink" Target="https://www.etsy.com/ca/listing/4392935796/box-box-for-fresh-diapers-embroidered?transaction_id=5112883463" TargetMode="External"/><Relationship Id="rId1131" Type="http://schemas.openxmlformats.org/officeDocument/2006/relationships/hyperlink" Target="https://www.etsy.com/ca/listing/4467451258/the-littlest-tennis-club-member-baby?transaction_id=4990291916" TargetMode="External"/><Relationship Id="rId3096" Type="http://schemas.openxmlformats.org/officeDocument/2006/relationships/hyperlink" Target="https://www.etsy.com/ca/listing/4371125103/personalized-dog-baby-bodysuit-custom?transaction_id=4927672868" TargetMode="External"/><Relationship Id="rId1948" Type="http://schemas.openxmlformats.org/officeDocument/2006/relationships/hyperlink" Target="https://www.etsy.com/ca/listing/4347890281/little-pumpkin-baby-romper-fall-baby?transaction_id=4747103843" TargetMode="External"/><Relationship Id="rId3163" Type="http://schemas.openxmlformats.org/officeDocument/2006/relationships/hyperlink" Target="https://www.etsy.com/ca/listing/4376399899/the-littlest-book-club-member-baby?transaction_id=4947412855" TargetMode="External"/><Relationship Id="rId3370" Type="http://schemas.openxmlformats.org/officeDocument/2006/relationships/hyperlink" Target="https://www.etsy.com/ca/listing/4376392339/funny-baby-romper-my-brand-of-formula?transaction_id=4964596600" TargetMode="External"/><Relationship Id="rId291" Type="http://schemas.openxmlformats.org/officeDocument/2006/relationships/hyperlink" Target="https://www.etsy.com/ca/listing/4486218469/my-daddy-bowls-better-than-your-daddy?transaction_id=5088264566" TargetMode="External"/><Relationship Id="rId1808" Type="http://schemas.openxmlformats.org/officeDocument/2006/relationships/hyperlink" Target="https://www.etsy.com/ca/listing/4343130134/funny-golf-baby-bodysuit-im-told-i-like?transaction_id=4693795161" TargetMode="External"/><Relationship Id="rId3023" Type="http://schemas.openxmlformats.org/officeDocument/2006/relationships/hyperlink" Target="https://www.etsy.com/ca/listing/4330488178/embroidered-golf-baby-romper-new-to-the?transaction_id=4933408151" TargetMode="External"/><Relationship Id="rId151" Type="http://schemas.openxmlformats.org/officeDocument/2006/relationships/hyperlink" Target="https://www.etsy.com/listing/4468935508/tennis-queen-embroidered-baby-romper?transaction_id=5046577543" TargetMode="External"/><Relationship Id="rId3230" Type="http://schemas.openxmlformats.org/officeDocument/2006/relationships/hyperlink" Target="https://www.etsy.com/ca/listing/4344237213/mamas-coffee-date-baby-bodysuit-funny?transaction_id=4944021676" TargetMode="External"/><Relationship Id="rId2789" Type="http://schemas.openxmlformats.org/officeDocument/2006/relationships/hyperlink" Target="https://www.etsy.com/ca/listing/4376399899/the-littlest-book-club-member-baby?transaction_id=4898938420" TargetMode="External"/><Relationship Id="rId2996" Type="http://schemas.openxmlformats.org/officeDocument/2006/relationships/hyperlink" Target="https://www.etsy.com/ca/listing/4344232490/freshly-brewed-baby-bodysuit-cute-coffee?transaction_id=4931162473" TargetMode="External"/><Relationship Id="rId968" Type="http://schemas.openxmlformats.org/officeDocument/2006/relationships/hyperlink" Target="https://www.etsy.com/ca/listing/4392936921/apparently-i-like-golf-embroidered?transaction_id=5026639391" TargetMode="External"/><Relationship Id="rId1598" Type="http://schemas.openxmlformats.org/officeDocument/2006/relationships/hyperlink" Target="https://www.etsy.com/listing/4435908861/personalized-little-putter-golf?transaction_id=4946380992" TargetMode="External"/><Relationship Id="rId2649" Type="http://schemas.openxmlformats.org/officeDocument/2006/relationships/hyperlink" Target="https://www.etsy.com/ca/listing/4371125103/personalized-dog-baby-bodysuit-custom?transaction_id=4872470220" TargetMode="External"/><Relationship Id="rId2856" Type="http://schemas.openxmlformats.org/officeDocument/2006/relationships/hyperlink" Target="https://www.etsy.com/ca/listing/4347263856/besties-baby-romper-matching-baby-outfit?transaction_id=49196753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375E3-080B-4C7E-805D-E41E6DA74F3A}">
  <dimension ref="A3:C20"/>
  <sheetViews>
    <sheetView workbookViewId="0">
      <selection activeCell="C13" sqref="C13"/>
    </sheetView>
  </sheetViews>
  <sheetFormatPr defaultRowHeight="12.5" x14ac:dyDescent="0.25"/>
  <sheetData>
    <row r="3" spans="1:3" x14ac:dyDescent="0.25">
      <c r="A3" s="60"/>
      <c r="B3" s="61"/>
      <c r="C3" s="62"/>
    </row>
    <row r="4" spans="1:3" x14ac:dyDescent="0.25">
      <c r="A4" s="63"/>
      <c r="B4" s="64"/>
      <c r="C4" s="65"/>
    </row>
    <row r="5" spans="1:3" x14ac:dyDescent="0.25">
      <c r="A5" s="63"/>
      <c r="B5" s="64"/>
      <c r="C5" s="65"/>
    </row>
    <row r="6" spans="1:3" x14ac:dyDescent="0.25">
      <c r="A6" s="63"/>
      <c r="B6" s="64"/>
      <c r="C6" s="65"/>
    </row>
    <row r="7" spans="1:3" x14ac:dyDescent="0.25">
      <c r="A7" s="63"/>
      <c r="B7" s="64"/>
      <c r="C7" s="65"/>
    </row>
    <row r="8" spans="1:3" x14ac:dyDescent="0.25">
      <c r="A8" s="63"/>
      <c r="B8" s="64"/>
      <c r="C8" s="65"/>
    </row>
    <row r="9" spans="1:3" x14ac:dyDescent="0.25">
      <c r="A9" s="63"/>
      <c r="B9" s="64"/>
      <c r="C9" s="65"/>
    </row>
    <row r="10" spans="1:3" x14ac:dyDescent="0.25">
      <c r="A10" s="63"/>
      <c r="B10" s="64"/>
      <c r="C10" s="65"/>
    </row>
    <row r="11" spans="1:3" x14ac:dyDescent="0.25">
      <c r="A11" s="63"/>
      <c r="B11" s="64"/>
      <c r="C11" s="65"/>
    </row>
    <row r="12" spans="1:3" x14ac:dyDescent="0.25">
      <c r="A12" s="63"/>
      <c r="B12" s="64"/>
      <c r="C12" s="65"/>
    </row>
    <row r="13" spans="1:3" x14ac:dyDescent="0.25">
      <c r="A13" s="63"/>
      <c r="B13" s="64"/>
      <c r="C13" s="65"/>
    </row>
    <row r="14" spans="1:3" x14ac:dyDescent="0.25">
      <c r="A14" s="63"/>
      <c r="B14" s="64"/>
      <c r="C14" s="65"/>
    </row>
    <row r="15" spans="1:3" x14ac:dyDescent="0.25">
      <c r="A15" s="63"/>
      <c r="B15" s="64"/>
      <c r="C15" s="65"/>
    </row>
    <row r="16" spans="1:3" x14ac:dyDescent="0.25">
      <c r="A16" s="63"/>
      <c r="B16" s="64"/>
      <c r="C16" s="65"/>
    </row>
    <row r="17" spans="1:3" x14ac:dyDescent="0.25">
      <c r="A17" s="63"/>
      <c r="B17" s="64"/>
      <c r="C17" s="65"/>
    </row>
    <row r="18" spans="1:3" x14ac:dyDescent="0.25">
      <c r="A18" s="63"/>
      <c r="B18" s="64"/>
      <c r="C18" s="65"/>
    </row>
    <row r="19" spans="1:3" x14ac:dyDescent="0.25">
      <c r="A19" s="63"/>
      <c r="B19" s="64"/>
      <c r="C19" s="65"/>
    </row>
    <row r="20" spans="1:3" x14ac:dyDescent="0.25">
      <c r="A20" s="66"/>
      <c r="B20" s="67"/>
      <c r="C20" s="6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585E-21AC-44EF-93E8-2F0E5878D36A}">
  <dimension ref="A3:C121"/>
  <sheetViews>
    <sheetView topLeftCell="A99" workbookViewId="0">
      <selection activeCell="A64" sqref="A64:XFD64"/>
    </sheetView>
  </sheetViews>
  <sheetFormatPr defaultRowHeight="12.5" x14ac:dyDescent="0.25"/>
  <cols>
    <col min="1" max="1" width="33" bestFit="1" customWidth="1"/>
    <col min="2" max="2" width="20.08984375" bestFit="1" customWidth="1"/>
  </cols>
  <sheetData>
    <row r="3" spans="1:3" ht="13" customHeight="1" x14ac:dyDescent="0.25">
      <c r="A3" s="69" t="s">
        <v>3495</v>
      </c>
      <c r="B3" s="70" t="s">
        <v>3606</v>
      </c>
      <c r="C3" t="s">
        <v>3493</v>
      </c>
    </row>
    <row r="4" spans="1:3" x14ac:dyDescent="0.25">
      <c r="A4" s="71" t="s">
        <v>3496</v>
      </c>
      <c r="B4" s="72">
        <v>76</v>
      </c>
      <c r="C4" t="str">
        <f>IF(B4&gt;=150,"High",IF(B4&gt;=80,"Medium","Low"))</f>
        <v>Low</v>
      </c>
    </row>
    <row r="5" spans="1:3" x14ac:dyDescent="0.25">
      <c r="A5" s="73" t="s">
        <v>3497</v>
      </c>
      <c r="B5" s="74">
        <v>52</v>
      </c>
      <c r="C5" t="str">
        <f>IF(B5&gt;=150,"High",IF(B5&gt;=80,"Medium","Low"))</f>
        <v>Low</v>
      </c>
    </row>
    <row r="6" spans="1:3" x14ac:dyDescent="0.25">
      <c r="A6" s="73" t="s">
        <v>3498</v>
      </c>
      <c r="B6" s="74">
        <v>37</v>
      </c>
      <c r="C6" t="str">
        <f t="shared" ref="C5:C68" si="0">IF(B6&gt;=150,"High",IF(B6&gt;=80,"Medium","Low"))</f>
        <v>Low</v>
      </c>
    </row>
    <row r="7" spans="1:3" x14ac:dyDescent="0.25">
      <c r="A7" s="73" t="s">
        <v>3499</v>
      </c>
      <c r="B7" s="74">
        <v>88</v>
      </c>
      <c r="C7" t="str">
        <f t="shared" si="0"/>
        <v>Medium</v>
      </c>
    </row>
    <row r="8" spans="1:3" x14ac:dyDescent="0.25">
      <c r="A8" s="73" t="s">
        <v>3500</v>
      </c>
      <c r="B8" s="74">
        <v>64</v>
      </c>
      <c r="C8" t="str">
        <f t="shared" si="0"/>
        <v>Low</v>
      </c>
    </row>
    <row r="9" spans="1:3" x14ac:dyDescent="0.25">
      <c r="A9" s="73" t="s">
        <v>3501</v>
      </c>
      <c r="B9" s="74">
        <v>53</v>
      </c>
      <c r="C9" t="str">
        <f t="shared" si="0"/>
        <v>Low</v>
      </c>
    </row>
    <row r="10" spans="1:3" x14ac:dyDescent="0.25">
      <c r="A10" s="73" t="s">
        <v>3502</v>
      </c>
      <c r="B10" s="74">
        <v>44</v>
      </c>
      <c r="C10" t="str">
        <f t="shared" si="0"/>
        <v>Low</v>
      </c>
    </row>
    <row r="11" spans="1:3" x14ac:dyDescent="0.25">
      <c r="A11" s="73" t="s">
        <v>3503</v>
      </c>
      <c r="B11" s="74">
        <v>27</v>
      </c>
      <c r="C11" t="str">
        <f t="shared" si="0"/>
        <v>Low</v>
      </c>
    </row>
    <row r="12" spans="1:3" x14ac:dyDescent="0.25">
      <c r="A12" s="73" t="s">
        <v>3504</v>
      </c>
      <c r="B12" s="74">
        <v>318</v>
      </c>
      <c r="C12" t="str">
        <f t="shared" si="0"/>
        <v>High</v>
      </c>
    </row>
    <row r="13" spans="1:3" x14ac:dyDescent="0.25">
      <c r="A13" s="73" t="s">
        <v>3505</v>
      </c>
      <c r="B13" s="74">
        <v>50</v>
      </c>
      <c r="C13" t="str">
        <f t="shared" si="0"/>
        <v>Low</v>
      </c>
    </row>
    <row r="14" spans="1:3" x14ac:dyDescent="0.25">
      <c r="A14" s="73" t="s">
        <v>3506</v>
      </c>
      <c r="B14" s="74">
        <v>31</v>
      </c>
      <c r="C14" t="str">
        <f t="shared" si="0"/>
        <v>Low</v>
      </c>
    </row>
    <row r="15" spans="1:3" x14ac:dyDescent="0.25">
      <c r="A15" s="73" t="s">
        <v>3507</v>
      </c>
      <c r="B15" s="74">
        <v>11</v>
      </c>
      <c r="C15" t="str">
        <f t="shared" si="0"/>
        <v>Low</v>
      </c>
    </row>
    <row r="16" spans="1:3" x14ac:dyDescent="0.25">
      <c r="A16" s="73" t="s">
        <v>3508</v>
      </c>
      <c r="B16" s="74">
        <v>89</v>
      </c>
      <c r="C16" t="str">
        <f t="shared" si="0"/>
        <v>Medium</v>
      </c>
    </row>
    <row r="17" spans="1:3" x14ac:dyDescent="0.25">
      <c r="A17" s="73" t="s">
        <v>3509</v>
      </c>
      <c r="B17" s="74">
        <v>11</v>
      </c>
      <c r="C17" t="str">
        <f t="shared" si="0"/>
        <v>Low</v>
      </c>
    </row>
    <row r="18" spans="1:3" x14ac:dyDescent="0.25">
      <c r="A18" s="73" t="s">
        <v>3510</v>
      </c>
      <c r="B18" s="74">
        <v>6</v>
      </c>
      <c r="C18" t="str">
        <f t="shared" si="0"/>
        <v>Low</v>
      </c>
    </row>
    <row r="19" spans="1:3" x14ac:dyDescent="0.25">
      <c r="A19" s="73" t="s">
        <v>3511</v>
      </c>
      <c r="B19" s="74">
        <v>17</v>
      </c>
      <c r="C19" t="str">
        <f t="shared" si="0"/>
        <v>Low</v>
      </c>
    </row>
    <row r="20" spans="1:3" x14ac:dyDescent="0.25">
      <c r="A20" s="73" t="s">
        <v>3512</v>
      </c>
      <c r="B20" s="74">
        <v>32</v>
      </c>
      <c r="C20" t="str">
        <f t="shared" si="0"/>
        <v>Low</v>
      </c>
    </row>
    <row r="21" spans="1:3" x14ac:dyDescent="0.25">
      <c r="A21" s="73" t="s">
        <v>3513</v>
      </c>
      <c r="B21" s="74">
        <v>1</v>
      </c>
      <c r="C21" t="str">
        <f t="shared" si="0"/>
        <v>Low</v>
      </c>
    </row>
    <row r="22" spans="1:3" x14ac:dyDescent="0.25">
      <c r="A22" s="73" t="s">
        <v>3514</v>
      </c>
      <c r="B22" s="74">
        <v>13</v>
      </c>
      <c r="C22" t="str">
        <f t="shared" si="0"/>
        <v>Low</v>
      </c>
    </row>
    <row r="23" spans="1:3" x14ac:dyDescent="0.25">
      <c r="A23" s="73" t="s">
        <v>3515</v>
      </c>
      <c r="B23" s="74">
        <v>4</v>
      </c>
      <c r="C23" t="str">
        <f t="shared" si="0"/>
        <v>Low</v>
      </c>
    </row>
    <row r="24" spans="1:3" x14ac:dyDescent="0.25">
      <c r="A24" s="73" t="s">
        <v>3516</v>
      </c>
      <c r="B24" s="74">
        <v>32</v>
      </c>
      <c r="C24" t="str">
        <f t="shared" si="0"/>
        <v>Low</v>
      </c>
    </row>
    <row r="25" spans="1:3" x14ac:dyDescent="0.25">
      <c r="A25" s="73" t="s">
        <v>3517</v>
      </c>
      <c r="B25" s="74">
        <v>8</v>
      </c>
      <c r="C25" t="str">
        <f t="shared" si="0"/>
        <v>Low</v>
      </c>
    </row>
    <row r="26" spans="1:3" x14ac:dyDescent="0.25">
      <c r="A26" s="73" t="s">
        <v>3518</v>
      </c>
      <c r="B26" s="74">
        <v>9</v>
      </c>
      <c r="C26" t="str">
        <f t="shared" si="0"/>
        <v>Low</v>
      </c>
    </row>
    <row r="27" spans="1:3" x14ac:dyDescent="0.25">
      <c r="A27" s="73" t="s">
        <v>3519</v>
      </c>
      <c r="B27" s="74">
        <v>3</v>
      </c>
      <c r="C27" t="str">
        <f t="shared" si="0"/>
        <v>Low</v>
      </c>
    </row>
    <row r="28" spans="1:3" x14ac:dyDescent="0.25">
      <c r="A28" s="73" t="s">
        <v>3520</v>
      </c>
      <c r="B28" s="74">
        <v>15</v>
      </c>
      <c r="C28" t="str">
        <f t="shared" si="0"/>
        <v>Low</v>
      </c>
    </row>
    <row r="29" spans="1:3" x14ac:dyDescent="0.25">
      <c r="A29" s="73" t="s">
        <v>3521</v>
      </c>
      <c r="B29" s="74">
        <v>6</v>
      </c>
      <c r="C29" t="str">
        <f t="shared" si="0"/>
        <v>Low</v>
      </c>
    </row>
    <row r="30" spans="1:3" x14ac:dyDescent="0.25">
      <c r="A30" s="73" t="s">
        <v>3522</v>
      </c>
      <c r="B30" s="74">
        <v>2</v>
      </c>
      <c r="C30" t="str">
        <f t="shared" si="0"/>
        <v>Low</v>
      </c>
    </row>
    <row r="31" spans="1:3" x14ac:dyDescent="0.25">
      <c r="A31" s="73" t="s">
        <v>3523</v>
      </c>
      <c r="B31" s="74">
        <v>11</v>
      </c>
      <c r="C31" t="str">
        <f t="shared" si="0"/>
        <v>Low</v>
      </c>
    </row>
    <row r="32" spans="1:3" x14ac:dyDescent="0.25">
      <c r="A32" s="73" t="s">
        <v>3524</v>
      </c>
      <c r="B32" s="74">
        <v>7</v>
      </c>
      <c r="C32" t="str">
        <f t="shared" si="0"/>
        <v>Low</v>
      </c>
    </row>
    <row r="33" spans="1:3" x14ac:dyDescent="0.25">
      <c r="A33" s="73" t="s">
        <v>3525</v>
      </c>
      <c r="B33" s="74">
        <v>3</v>
      </c>
      <c r="C33" t="str">
        <f t="shared" si="0"/>
        <v>Low</v>
      </c>
    </row>
    <row r="34" spans="1:3" x14ac:dyDescent="0.25">
      <c r="A34" s="73" t="s">
        <v>3526</v>
      </c>
      <c r="B34" s="74">
        <v>3</v>
      </c>
      <c r="C34" t="str">
        <f t="shared" si="0"/>
        <v>Low</v>
      </c>
    </row>
    <row r="35" spans="1:3" x14ac:dyDescent="0.25">
      <c r="A35" s="73" t="s">
        <v>3527</v>
      </c>
      <c r="B35" s="74">
        <v>12</v>
      </c>
      <c r="C35" t="str">
        <f t="shared" si="0"/>
        <v>Low</v>
      </c>
    </row>
    <row r="36" spans="1:3" x14ac:dyDescent="0.25">
      <c r="A36" s="73" t="s">
        <v>3528</v>
      </c>
      <c r="B36" s="74">
        <v>5</v>
      </c>
      <c r="C36" t="str">
        <f t="shared" si="0"/>
        <v>Low</v>
      </c>
    </row>
    <row r="37" spans="1:3" x14ac:dyDescent="0.25">
      <c r="A37" s="73" t="s">
        <v>3529</v>
      </c>
      <c r="B37" s="74">
        <v>2</v>
      </c>
      <c r="C37" t="str">
        <f t="shared" si="0"/>
        <v>Low</v>
      </c>
    </row>
    <row r="38" spans="1:3" x14ac:dyDescent="0.25">
      <c r="A38" s="73" t="s">
        <v>3530</v>
      </c>
      <c r="B38" s="74">
        <v>1</v>
      </c>
      <c r="C38" t="str">
        <f t="shared" si="0"/>
        <v>Low</v>
      </c>
    </row>
    <row r="39" spans="1:3" x14ac:dyDescent="0.25">
      <c r="A39" s="73" t="s">
        <v>3531</v>
      </c>
      <c r="B39" s="74">
        <v>1</v>
      </c>
      <c r="C39" t="str">
        <f t="shared" si="0"/>
        <v>Low</v>
      </c>
    </row>
    <row r="40" spans="1:3" x14ac:dyDescent="0.25">
      <c r="A40" s="73" t="s">
        <v>3532</v>
      </c>
      <c r="B40" s="74">
        <v>44</v>
      </c>
      <c r="C40" t="str">
        <f t="shared" si="0"/>
        <v>Low</v>
      </c>
    </row>
    <row r="41" spans="1:3" x14ac:dyDescent="0.25">
      <c r="A41" s="73" t="s">
        <v>3533</v>
      </c>
      <c r="B41" s="74">
        <v>23</v>
      </c>
      <c r="C41" t="str">
        <f t="shared" si="0"/>
        <v>Low</v>
      </c>
    </row>
    <row r="42" spans="1:3" x14ac:dyDescent="0.25">
      <c r="A42" s="73" t="s">
        <v>3534</v>
      </c>
      <c r="B42" s="74">
        <v>272</v>
      </c>
      <c r="C42" t="str">
        <f t="shared" si="0"/>
        <v>High</v>
      </c>
    </row>
    <row r="43" spans="1:3" x14ac:dyDescent="0.25">
      <c r="A43" s="73" t="s">
        <v>3535</v>
      </c>
      <c r="B43" s="74">
        <v>55</v>
      </c>
      <c r="C43" t="str">
        <f t="shared" si="0"/>
        <v>Low</v>
      </c>
    </row>
    <row r="44" spans="1:3" x14ac:dyDescent="0.25">
      <c r="A44" s="73" t="s">
        <v>3536</v>
      </c>
      <c r="B44" s="74">
        <v>31</v>
      </c>
      <c r="C44" t="str">
        <f t="shared" si="0"/>
        <v>Low</v>
      </c>
    </row>
    <row r="45" spans="1:3" x14ac:dyDescent="0.25">
      <c r="A45" s="73" t="s">
        <v>3537</v>
      </c>
      <c r="B45" s="74">
        <v>14</v>
      </c>
      <c r="C45" t="str">
        <f t="shared" si="0"/>
        <v>Low</v>
      </c>
    </row>
    <row r="46" spans="1:3" x14ac:dyDescent="0.25">
      <c r="A46" s="73" t="s">
        <v>3538</v>
      </c>
      <c r="B46" s="74">
        <v>97</v>
      </c>
      <c r="C46" t="str">
        <f t="shared" si="0"/>
        <v>Medium</v>
      </c>
    </row>
    <row r="47" spans="1:3" x14ac:dyDescent="0.25">
      <c r="A47" s="73" t="s">
        <v>3539</v>
      </c>
      <c r="B47" s="74">
        <v>17</v>
      </c>
      <c r="C47" t="str">
        <f t="shared" si="0"/>
        <v>Low</v>
      </c>
    </row>
    <row r="48" spans="1:3" x14ac:dyDescent="0.25">
      <c r="A48" s="73" t="s">
        <v>3540</v>
      </c>
      <c r="B48" s="74">
        <v>12</v>
      </c>
      <c r="C48" t="str">
        <f t="shared" si="0"/>
        <v>Low</v>
      </c>
    </row>
    <row r="49" spans="1:3" x14ac:dyDescent="0.25">
      <c r="A49" s="73" t="s">
        <v>3541</v>
      </c>
      <c r="B49" s="74">
        <v>30</v>
      </c>
      <c r="C49" t="str">
        <f t="shared" si="0"/>
        <v>Low</v>
      </c>
    </row>
    <row r="50" spans="1:3" x14ac:dyDescent="0.25">
      <c r="A50" s="73" t="s">
        <v>3542</v>
      </c>
      <c r="B50" s="74">
        <v>48</v>
      </c>
      <c r="C50" t="str">
        <f t="shared" si="0"/>
        <v>Low</v>
      </c>
    </row>
    <row r="51" spans="1:3" x14ac:dyDescent="0.25">
      <c r="A51" s="73" t="s">
        <v>3543</v>
      </c>
      <c r="B51" s="74">
        <v>35</v>
      </c>
      <c r="C51" t="str">
        <f t="shared" si="0"/>
        <v>Low</v>
      </c>
    </row>
    <row r="52" spans="1:3" x14ac:dyDescent="0.25">
      <c r="A52" s="73" t="s">
        <v>3544</v>
      </c>
      <c r="B52" s="74">
        <v>11</v>
      </c>
      <c r="C52" t="str">
        <f t="shared" si="0"/>
        <v>Low</v>
      </c>
    </row>
    <row r="53" spans="1:3" x14ac:dyDescent="0.25">
      <c r="A53" s="73" t="s">
        <v>3545</v>
      </c>
      <c r="B53" s="74">
        <v>146</v>
      </c>
      <c r="C53" t="str">
        <f t="shared" si="0"/>
        <v>Medium</v>
      </c>
    </row>
    <row r="54" spans="1:3" x14ac:dyDescent="0.25">
      <c r="A54" s="73" t="s">
        <v>3546</v>
      </c>
      <c r="B54" s="74">
        <v>46</v>
      </c>
      <c r="C54" t="str">
        <f t="shared" si="0"/>
        <v>Low</v>
      </c>
    </row>
    <row r="55" spans="1:3" x14ac:dyDescent="0.25">
      <c r="A55" s="73" t="s">
        <v>3547</v>
      </c>
      <c r="B55" s="74">
        <v>27</v>
      </c>
      <c r="C55" t="str">
        <f t="shared" si="0"/>
        <v>Low</v>
      </c>
    </row>
    <row r="56" spans="1:3" x14ac:dyDescent="0.25">
      <c r="A56" s="73" t="s">
        <v>3548</v>
      </c>
      <c r="B56" s="74">
        <v>10</v>
      </c>
      <c r="C56" t="str">
        <f t="shared" si="0"/>
        <v>Low</v>
      </c>
    </row>
    <row r="57" spans="1:3" x14ac:dyDescent="0.25">
      <c r="A57" s="73" t="s">
        <v>3549</v>
      </c>
      <c r="B57" s="74">
        <v>61</v>
      </c>
      <c r="C57" t="str">
        <f t="shared" si="0"/>
        <v>Low</v>
      </c>
    </row>
    <row r="58" spans="1:3" x14ac:dyDescent="0.25">
      <c r="A58" s="73" t="s">
        <v>3550</v>
      </c>
      <c r="B58" s="74">
        <v>7</v>
      </c>
      <c r="C58" t="str">
        <f t="shared" si="0"/>
        <v>Low</v>
      </c>
    </row>
    <row r="59" spans="1:3" x14ac:dyDescent="0.25">
      <c r="A59" s="73" t="s">
        <v>3551</v>
      </c>
      <c r="B59" s="74">
        <v>7</v>
      </c>
      <c r="C59" t="str">
        <f t="shared" si="0"/>
        <v>Low</v>
      </c>
    </row>
    <row r="60" spans="1:3" x14ac:dyDescent="0.25">
      <c r="A60" s="73" t="s">
        <v>3552</v>
      </c>
      <c r="B60" s="74">
        <v>18</v>
      </c>
      <c r="C60" t="str">
        <f t="shared" si="0"/>
        <v>Low</v>
      </c>
    </row>
    <row r="61" spans="1:3" x14ac:dyDescent="0.25">
      <c r="A61" s="73" t="s">
        <v>3553</v>
      </c>
      <c r="B61" s="74">
        <v>16</v>
      </c>
      <c r="C61" t="str">
        <f t="shared" si="0"/>
        <v>Low</v>
      </c>
    </row>
    <row r="62" spans="1:3" x14ac:dyDescent="0.25">
      <c r="A62" s="73" t="s">
        <v>3554</v>
      </c>
      <c r="B62" s="74">
        <v>37</v>
      </c>
      <c r="C62" t="str">
        <f t="shared" si="0"/>
        <v>Low</v>
      </c>
    </row>
    <row r="63" spans="1:3" x14ac:dyDescent="0.25">
      <c r="A63" s="73" t="s">
        <v>3555</v>
      </c>
      <c r="B63" s="74">
        <v>10</v>
      </c>
      <c r="C63" t="str">
        <f t="shared" si="0"/>
        <v>Low</v>
      </c>
    </row>
    <row r="64" spans="1:3" x14ac:dyDescent="0.25">
      <c r="A64" s="73" t="s">
        <v>3556</v>
      </c>
      <c r="B64" s="74">
        <v>199</v>
      </c>
      <c r="C64" t="str">
        <f t="shared" si="0"/>
        <v>High</v>
      </c>
    </row>
    <row r="65" spans="1:3" x14ac:dyDescent="0.25">
      <c r="A65" s="73" t="s">
        <v>3557</v>
      </c>
      <c r="B65" s="74">
        <v>39</v>
      </c>
      <c r="C65" t="str">
        <f t="shared" si="0"/>
        <v>Low</v>
      </c>
    </row>
    <row r="66" spans="1:3" x14ac:dyDescent="0.25">
      <c r="A66" s="73" t="s">
        <v>3558</v>
      </c>
      <c r="B66" s="74">
        <v>14</v>
      </c>
      <c r="C66" t="str">
        <f t="shared" si="0"/>
        <v>Low</v>
      </c>
    </row>
    <row r="67" spans="1:3" x14ac:dyDescent="0.25">
      <c r="A67" s="73" t="s">
        <v>3559</v>
      </c>
      <c r="B67" s="74">
        <v>8</v>
      </c>
      <c r="C67" t="str">
        <f t="shared" si="0"/>
        <v>Low</v>
      </c>
    </row>
    <row r="68" spans="1:3" x14ac:dyDescent="0.25">
      <c r="A68" s="73" t="s">
        <v>3560</v>
      </c>
      <c r="B68" s="74">
        <v>53</v>
      </c>
      <c r="C68" t="str">
        <f t="shared" si="0"/>
        <v>Low</v>
      </c>
    </row>
    <row r="69" spans="1:3" x14ac:dyDescent="0.25">
      <c r="A69" s="73" t="s">
        <v>3561</v>
      </c>
      <c r="B69" s="74">
        <v>8</v>
      </c>
      <c r="C69" t="str">
        <f t="shared" ref="C69:C112" si="1">IF(B69&gt;=150,"High",IF(B69&gt;=80,"Medium","Low"))</f>
        <v>Low</v>
      </c>
    </row>
    <row r="70" spans="1:3" x14ac:dyDescent="0.25">
      <c r="A70" s="73" t="s">
        <v>3562</v>
      </c>
      <c r="B70" s="74">
        <v>4</v>
      </c>
      <c r="C70" t="str">
        <f t="shared" si="1"/>
        <v>Low</v>
      </c>
    </row>
    <row r="71" spans="1:3" x14ac:dyDescent="0.25">
      <c r="A71" s="73" t="s">
        <v>3563</v>
      </c>
      <c r="B71" s="74">
        <v>12</v>
      </c>
      <c r="C71" t="str">
        <f t="shared" si="1"/>
        <v>Low</v>
      </c>
    </row>
    <row r="72" spans="1:3" x14ac:dyDescent="0.25">
      <c r="A72" s="73" t="s">
        <v>3564</v>
      </c>
      <c r="B72" s="74">
        <v>45</v>
      </c>
      <c r="C72" t="str">
        <f t="shared" si="1"/>
        <v>Low</v>
      </c>
    </row>
    <row r="73" spans="1:3" x14ac:dyDescent="0.25">
      <c r="A73" s="73" t="s">
        <v>3565</v>
      </c>
      <c r="B73" s="74">
        <v>13</v>
      </c>
      <c r="C73" t="str">
        <f t="shared" si="1"/>
        <v>Low</v>
      </c>
    </row>
    <row r="74" spans="1:3" x14ac:dyDescent="0.25">
      <c r="A74" s="73" t="s">
        <v>3566</v>
      </c>
      <c r="B74" s="74">
        <v>3</v>
      </c>
      <c r="C74" t="str">
        <f t="shared" si="1"/>
        <v>Low</v>
      </c>
    </row>
    <row r="75" spans="1:3" x14ac:dyDescent="0.25">
      <c r="A75" s="73" t="s">
        <v>3567</v>
      </c>
      <c r="B75" s="74">
        <v>25</v>
      </c>
      <c r="C75" t="str">
        <f t="shared" si="1"/>
        <v>Low</v>
      </c>
    </row>
    <row r="76" spans="1:3" x14ac:dyDescent="0.25">
      <c r="A76" s="73" t="s">
        <v>3568</v>
      </c>
      <c r="B76" s="74">
        <v>10</v>
      </c>
      <c r="C76" t="str">
        <f t="shared" si="1"/>
        <v>Low</v>
      </c>
    </row>
    <row r="77" spans="1:3" x14ac:dyDescent="0.25">
      <c r="A77" s="73" t="s">
        <v>3569</v>
      </c>
      <c r="B77" s="74">
        <v>7</v>
      </c>
      <c r="C77" t="str">
        <f t="shared" si="1"/>
        <v>Low</v>
      </c>
    </row>
    <row r="78" spans="1:3" x14ac:dyDescent="0.25">
      <c r="A78" s="73" t="s">
        <v>3570</v>
      </c>
      <c r="B78" s="74">
        <v>2</v>
      </c>
      <c r="C78" t="str">
        <f t="shared" si="1"/>
        <v>Low</v>
      </c>
    </row>
    <row r="79" spans="1:3" x14ac:dyDescent="0.25">
      <c r="A79" s="73" t="s">
        <v>3571</v>
      </c>
      <c r="B79" s="74">
        <v>9</v>
      </c>
      <c r="C79" t="str">
        <f t="shared" si="1"/>
        <v>Low</v>
      </c>
    </row>
    <row r="80" spans="1:3" x14ac:dyDescent="0.25">
      <c r="A80" s="73" t="s">
        <v>3572</v>
      </c>
      <c r="B80" s="74">
        <v>1</v>
      </c>
      <c r="C80" t="str">
        <f t="shared" si="1"/>
        <v>Low</v>
      </c>
    </row>
    <row r="81" spans="1:3" x14ac:dyDescent="0.25">
      <c r="A81" s="73" t="s">
        <v>3573</v>
      </c>
      <c r="B81" s="74">
        <v>1</v>
      </c>
      <c r="C81" t="str">
        <f t="shared" si="1"/>
        <v>Low</v>
      </c>
    </row>
    <row r="82" spans="1:3" x14ac:dyDescent="0.25">
      <c r="A82" s="73" t="s">
        <v>3574</v>
      </c>
      <c r="B82" s="74">
        <v>2</v>
      </c>
      <c r="C82" t="str">
        <f t="shared" si="1"/>
        <v>Low</v>
      </c>
    </row>
    <row r="83" spans="1:3" x14ac:dyDescent="0.25">
      <c r="A83" s="73" t="s">
        <v>3575</v>
      </c>
      <c r="B83" s="74">
        <v>5</v>
      </c>
      <c r="C83" t="str">
        <f t="shared" si="1"/>
        <v>Low</v>
      </c>
    </row>
    <row r="84" spans="1:3" x14ac:dyDescent="0.25">
      <c r="A84" s="73" t="s">
        <v>3576</v>
      </c>
      <c r="B84" s="74">
        <v>3</v>
      </c>
      <c r="C84" t="str">
        <f t="shared" si="1"/>
        <v>Low</v>
      </c>
    </row>
    <row r="85" spans="1:3" x14ac:dyDescent="0.25">
      <c r="A85" s="73" t="s">
        <v>3577</v>
      </c>
      <c r="B85" s="74">
        <v>9</v>
      </c>
      <c r="C85" t="str">
        <f t="shared" si="1"/>
        <v>Low</v>
      </c>
    </row>
    <row r="86" spans="1:3" x14ac:dyDescent="0.25">
      <c r="A86" s="73" t="s">
        <v>3578</v>
      </c>
      <c r="B86" s="74">
        <v>4</v>
      </c>
      <c r="C86" t="str">
        <f t="shared" si="1"/>
        <v>Low</v>
      </c>
    </row>
    <row r="87" spans="1:3" x14ac:dyDescent="0.25">
      <c r="A87" s="73" t="s">
        <v>3579</v>
      </c>
      <c r="B87" s="74">
        <v>2</v>
      </c>
      <c r="C87" t="str">
        <f t="shared" si="1"/>
        <v>Low</v>
      </c>
    </row>
    <row r="88" spans="1:3" x14ac:dyDescent="0.25">
      <c r="A88" s="73" t="s">
        <v>3580</v>
      </c>
      <c r="B88" s="74">
        <v>1</v>
      </c>
      <c r="C88" t="str">
        <f t="shared" si="1"/>
        <v>Low</v>
      </c>
    </row>
    <row r="89" spans="1:3" x14ac:dyDescent="0.25">
      <c r="A89" s="73" t="s">
        <v>3581</v>
      </c>
      <c r="B89" s="74">
        <v>1</v>
      </c>
      <c r="C89" t="str">
        <f t="shared" si="1"/>
        <v>Low</v>
      </c>
    </row>
    <row r="90" spans="1:3" x14ac:dyDescent="0.25">
      <c r="A90" s="73" t="s">
        <v>3582</v>
      </c>
      <c r="B90" s="74">
        <v>2</v>
      </c>
      <c r="C90" t="str">
        <f t="shared" si="1"/>
        <v>Low</v>
      </c>
    </row>
    <row r="91" spans="1:3" x14ac:dyDescent="0.25">
      <c r="A91" s="73" t="s">
        <v>3583</v>
      </c>
      <c r="B91" s="74">
        <v>7</v>
      </c>
      <c r="C91" t="str">
        <f t="shared" si="1"/>
        <v>Low</v>
      </c>
    </row>
    <row r="92" spans="1:3" x14ac:dyDescent="0.25">
      <c r="A92" s="73" t="s">
        <v>3584</v>
      </c>
      <c r="B92" s="74">
        <v>37</v>
      </c>
      <c r="C92" t="str">
        <f t="shared" si="1"/>
        <v>Low</v>
      </c>
    </row>
    <row r="93" spans="1:3" x14ac:dyDescent="0.25">
      <c r="A93" s="73" t="s">
        <v>3585</v>
      </c>
      <c r="B93" s="74">
        <v>20</v>
      </c>
      <c r="C93" t="str">
        <f t="shared" si="1"/>
        <v>Low</v>
      </c>
    </row>
    <row r="94" spans="1:3" x14ac:dyDescent="0.25">
      <c r="A94" s="73" t="s">
        <v>3586</v>
      </c>
      <c r="B94" s="74">
        <v>189</v>
      </c>
      <c r="C94" t="str">
        <f t="shared" si="1"/>
        <v>High</v>
      </c>
    </row>
    <row r="95" spans="1:3" x14ac:dyDescent="0.25">
      <c r="A95" s="73" t="s">
        <v>3587</v>
      </c>
      <c r="B95" s="74">
        <v>49</v>
      </c>
      <c r="C95" t="str">
        <f t="shared" si="1"/>
        <v>Low</v>
      </c>
    </row>
    <row r="96" spans="1:3" x14ac:dyDescent="0.25">
      <c r="A96" s="73" t="s">
        <v>3588</v>
      </c>
      <c r="B96" s="74">
        <v>26</v>
      </c>
      <c r="C96" t="str">
        <f t="shared" si="1"/>
        <v>Low</v>
      </c>
    </row>
    <row r="97" spans="1:3" x14ac:dyDescent="0.25">
      <c r="A97" s="73" t="s">
        <v>3589</v>
      </c>
      <c r="B97" s="74">
        <v>8</v>
      </c>
      <c r="C97" t="str">
        <f t="shared" si="1"/>
        <v>Low</v>
      </c>
    </row>
    <row r="98" spans="1:3" x14ac:dyDescent="0.25">
      <c r="A98" s="73" t="s">
        <v>3590</v>
      </c>
      <c r="B98" s="74">
        <v>81</v>
      </c>
      <c r="C98" t="str">
        <f t="shared" si="1"/>
        <v>Medium</v>
      </c>
    </row>
    <row r="99" spans="1:3" x14ac:dyDescent="0.25">
      <c r="A99" s="73" t="s">
        <v>3591</v>
      </c>
      <c r="B99" s="74">
        <v>19</v>
      </c>
      <c r="C99" t="str">
        <f t="shared" si="1"/>
        <v>Low</v>
      </c>
    </row>
    <row r="100" spans="1:3" x14ac:dyDescent="0.25">
      <c r="A100" s="73" t="s">
        <v>3592</v>
      </c>
      <c r="B100" s="74">
        <v>4</v>
      </c>
      <c r="C100" t="str">
        <f t="shared" si="1"/>
        <v>Low</v>
      </c>
    </row>
    <row r="101" spans="1:3" x14ac:dyDescent="0.25">
      <c r="A101" s="73" t="s">
        <v>3593</v>
      </c>
      <c r="B101" s="74">
        <v>16</v>
      </c>
      <c r="C101" t="str">
        <f t="shared" si="1"/>
        <v>Low</v>
      </c>
    </row>
    <row r="102" spans="1:3" x14ac:dyDescent="0.25">
      <c r="A102" s="73" t="s">
        <v>3594</v>
      </c>
      <c r="B102" s="74">
        <v>35</v>
      </c>
      <c r="C102" t="str">
        <f t="shared" si="1"/>
        <v>Low</v>
      </c>
    </row>
    <row r="103" spans="1:3" x14ac:dyDescent="0.25">
      <c r="A103" s="73" t="s">
        <v>3595</v>
      </c>
      <c r="B103" s="74">
        <v>27</v>
      </c>
      <c r="C103" t="str">
        <f t="shared" si="1"/>
        <v>Low</v>
      </c>
    </row>
    <row r="104" spans="1:3" x14ac:dyDescent="0.25">
      <c r="A104" s="73" t="s">
        <v>3596</v>
      </c>
      <c r="B104" s="74">
        <v>6</v>
      </c>
      <c r="C104" t="str">
        <f t="shared" si="1"/>
        <v>Low</v>
      </c>
    </row>
    <row r="105" spans="1:3" x14ac:dyDescent="0.25">
      <c r="A105" s="73" t="s">
        <v>3597</v>
      </c>
      <c r="B105" s="74">
        <v>81</v>
      </c>
      <c r="C105" t="str">
        <f t="shared" si="1"/>
        <v>Medium</v>
      </c>
    </row>
    <row r="106" spans="1:3" x14ac:dyDescent="0.25">
      <c r="A106" s="73" t="s">
        <v>3598</v>
      </c>
      <c r="B106" s="74">
        <v>21</v>
      </c>
      <c r="C106" t="str">
        <f t="shared" si="1"/>
        <v>Low</v>
      </c>
    </row>
    <row r="107" spans="1:3" x14ac:dyDescent="0.25">
      <c r="A107" s="73" t="s">
        <v>3599</v>
      </c>
      <c r="B107" s="74">
        <v>7</v>
      </c>
      <c r="C107" t="str">
        <f t="shared" si="1"/>
        <v>Low</v>
      </c>
    </row>
    <row r="108" spans="1:3" x14ac:dyDescent="0.25">
      <c r="A108" s="73" t="s">
        <v>3600</v>
      </c>
      <c r="B108" s="74">
        <v>3</v>
      </c>
      <c r="C108" t="str">
        <f t="shared" si="1"/>
        <v>Low</v>
      </c>
    </row>
    <row r="109" spans="1:3" x14ac:dyDescent="0.25">
      <c r="A109" s="73" t="s">
        <v>3601</v>
      </c>
      <c r="B109" s="74">
        <v>38</v>
      </c>
      <c r="C109" t="str">
        <f t="shared" si="1"/>
        <v>Low</v>
      </c>
    </row>
    <row r="110" spans="1:3" x14ac:dyDescent="0.25">
      <c r="A110" s="73" t="s">
        <v>3602</v>
      </c>
      <c r="B110" s="74">
        <v>7</v>
      </c>
      <c r="C110" t="str">
        <f t="shared" si="1"/>
        <v>Low</v>
      </c>
    </row>
    <row r="111" spans="1:3" x14ac:dyDescent="0.25">
      <c r="A111" s="73" t="s">
        <v>3603</v>
      </c>
      <c r="B111" s="74">
        <v>6</v>
      </c>
      <c r="C111" t="str">
        <f t="shared" si="1"/>
        <v>Low</v>
      </c>
    </row>
    <row r="112" spans="1:3" x14ac:dyDescent="0.25">
      <c r="A112" s="73" t="s">
        <v>3604</v>
      </c>
      <c r="B112" s="74">
        <v>18</v>
      </c>
      <c r="C112" t="str">
        <f t="shared" si="1"/>
        <v>Low</v>
      </c>
    </row>
    <row r="113" spans="1:2" x14ac:dyDescent="0.25">
      <c r="A113" s="75" t="s">
        <v>3605</v>
      </c>
      <c r="B113" s="76">
        <v>3405</v>
      </c>
    </row>
    <row r="121" spans="1:2" ht="12"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M3406"/>
  <sheetViews>
    <sheetView tabSelected="1" topLeftCell="D1" zoomScale="55" zoomScaleNormal="55" workbookViewId="0">
      <pane ySplit="1" topLeftCell="A3389" activePane="bottomLeft" state="frozen"/>
      <selection pane="bottomLeft" activeCell="O3397" sqref="O3397"/>
    </sheetView>
  </sheetViews>
  <sheetFormatPr defaultColWidth="12.6328125" defaultRowHeight="25" customHeight="1" x14ac:dyDescent="0.45"/>
  <cols>
    <col min="1" max="1" width="19.6328125" style="16" customWidth="1"/>
    <col min="2" max="4" width="31.6328125" style="16" customWidth="1"/>
    <col min="5" max="5" width="42" style="16" customWidth="1"/>
    <col min="6" max="6" width="24.90625" style="16" customWidth="1"/>
    <col min="7" max="7" width="20.6328125" style="16" customWidth="1"/>
    <col min="8" max="8" width="11.90625" style="14" customWidth="1"/>
    <col min="9" max="9" width="20.08984375" style="16" customWidth="1"/>
    <col min="10" max="10" width="21.08984375" style="14" customWidth="1"/>
    <col min="11" max="11" width="23.1796875" style="16" customWidth="1"/>
    <col min="12" max="12" width="52.36328125" style="14" customWidth="1"/>
    <col min="13" max="13" width="28.08984375" style="16" customWidth="1"/>
    <col min="14" max="16384" width="12.6328125" style="14"/>
  </cols>
  <sheetData>
    <row r="1" spans="1:13" s="2" customFormat="1" ht="25" customHeight="1" x14ac:dyDescent="0.45">
      <c r="A1" s="1" t="s">
        <v>0</v>
      </c>
      <c r="B1" s="2" t="s">
        <v>1</v>
      </c>
      <c r="C1" s="2" t="s">
        <v>2</v>
      </c>
      <c r="D1" s="2" t="s">
        <v>3492</v>
      </c>
      <c r="E1" s="2" t="s">
        <v>3</v>
      </c>
      <c r="F1" s="2" t="s">
        <v>4</v>
      </c>
      <c r="G1" s="2" t="s">
        <v>1317</v>
      </c>
      <c r="H1" s="2" t="s">
        <v>1322</v>
      </c>
      <c r="I1" s="2" t="s">
        <v>3491</v>
      </c>
      <c r="J1" s="37" t="s">
        <v>1323</v>
      </c>
      <c r="K1" s="2" t="s">
        <v>1325</v>
      </c>
      <c r="L1" s="2" t="s">
        <v>1324</v>
      </c>
      <c r="M1" s="55" t="s">
        <v>3493</v>
      </c>
    </row>
    <row r="2" spans="1:13" ht="25" customHeight="1" x14ac:dyDescent="0.45">
      <c r="A2" s="6">
        <v>46076</v>
      </c>
      <c r="B2" s="15" t="s">
        <v>553</v>
      </c>
      <c r="C2" s="4" t="s">
        <v>87</v>
      </c>
      <c r="D2" s="53" t="str">
        <f>PROPER(C2)</f>
        <v>Cream</v>
      </c>
      <c r="E2" s="4" t="s">
        <v>485</v>
      </c>
      <c r="F2" s="5" t="s">
        <v>15</v>
      </c>
      <c r="G2" s="4" t="str">
        <f>IF(ISNUMBER(SEARCH("LONG",E2)),"Romper Longer",IF(ISNUMBER(SEARCH("SHORT",E2)),"Romper Short","Bodysuit"))</f>
        <v>Romper Short</v>
      </c>
      <c r="H2" s="38">
        <f t="shared" ref="H2:H65" si="0">MONTH(A2)</f>
        <v>2</v>
      </c>
      <c r="I2" s="54">
        <f t="shared" ref="I2:I15" si="1">WEEKNUM(A2)</f>
        <v>9</v>
      </c>
      <c r="J2" s="14" t="str">
        <f>IF(H2=1,"NewYear",
IF(H2=2,"Valentine",
IF(OR(H2=3,H2=4),"Easter",
IF(H2=5,"MothersDay",
IF(H2=6,"FathersDay",
IF(OR(H2=7,H2=8),"Summer",
IF(H2=10,"Halloween",
IF(OR(H2=11,H2=12),"Christmas","Normal"))))))))</f>
        <v>Valentine</v>
      </c>
      <c r="K2" s="16" t="str">
        <f t="shared" ref="K2:K65" si="2">TRIM(LEFT(E2,FIND("(",E2&amp;"(")-2))</f>
        <v>3-6</v>
      </c>
      <c r="L2" s="14" t="str">
        <f>TRIM(G2)&amp;" | "&amp;TRIM(K2)&amp;" | "&amp;PROPER(TRIM(D2))</f>
        <v>Romper Short | 3-6 | Cream</v>
      </c>
      <c r="M2" s="16" t="s">
        <v>3609</v>
      </c>
    </row>
    <row r="3" spans="1:13" ht="25" customHeight="1" x14ac:dyDescent="0.45">
      <c r="A3" s="6">
        <v>46077</v>
      </c>
      <c r="B3" s="15" t="s">
        <v>554</v>
      </c>
      <c r="C3" s="4" t="s">
        <v>87</v>
      </c>
      <c r="D3" s="53" t="str">
        <f t="shared" ref="D3:D66" si="3">PROPER(C3)</f>
        <v>Cream</v>
      </c>
      <c r="E3" s="4" t="s">
        <v>555</v>
      </c>
      <c r="F3" s="5" t="s">
        <v>7</v>
      </c>
      <c r="G3" s="4" t="str">
        <f t="shared" ref="G3:G66" si="4">IF(ISNUMBER(SEARCH("LONG",E3)),"Romper Longer",IF(ISNUMBER(SEARCH("SHORT",E3)),"Romper Short","Bodysuit"))</f>
        <v>Romper Longer</v>
      </c>
      <c r="H3" s="38">
        <f t="shared" si="0"/>
        <v>2</v>
      </c>
      <c r="I3" s="54">
        <f t="shared" si="1"/>
        <v>9</v>
      </c>
      <c r="J3" s="14" t="str">
        <f t="shared" ref="J3:J66" si="5">IF(H3=1,"NewYear",
IF(H3=2,"Valentine",
IF(OR(H3=3,H3=4),"Easter",
IF(H3=5,"MothersDay",
IF(H3=6,"FathersDay",
IF(OR(H3=7,H3=8),"Summer",
IF(H3=10,"Halloween",
IF(OR(H3=11,H3=12),"Christmas","Normal"))))))))</f>
        <v>Valentine</v>
      </c>
      <c r="K3" s="16" t="str">
        <f t="shared" si="2"/>
        <v>3-6</v>
      </c>
      <c r="L3" s="14" t="str">
        <f t="shared" ref="L3:L66" si="6">TRIM(G3)&amp;" | "&amp;TRIM(K3)&amp;" | "&amp;PROPER(TRIM(D3))</f>
        <v>Romper Longer | 3-6 | Cream</v>
      </c>
      <c r="M3" s="16" t="s">
        <v>3609</v>
      </c>
    </row>
    <row r="4" spans="1:13" ht="25" customHeight="1" x14ac:dyDescent="0.45">
      <c r="A4" s="6">
        <v>46078</v>
      </c>
      <c r="B4" s="15" t="s">
        <v>556</v>
      </c>
      <c r="C4" s="4" t="s">
        <v>87</v>
      </c>
      <c r="D4" s="53" t="str">
        <f t="shared" si="3"/>
        <v>Cream</v>
      </c>
      <c r="E4" s="4" t="s">
        <v>485</v>
      </c>
      <c r="F4" s="5" t="s">
        <v>7</v>
      </c>
      <c r="G4" s="4" t="str">
        <f t="shared" si="4"/>
        <v>Romper Short</v>
      </c>
      <c r="H4" s="38">
        <f t="shared" si="0"/>
        <v>2</v>
      </c>
      <c r="I4" s="54">
        <f t="shared" si="1"/>
        <v>9</v>
      </c>
      <c r="J4" s="14" t="str">
        <f t="shared" si="5"/>
        <v>Valentine</v>
      </c>
      <c r="K4" s="16" t="str">
        <f t="shared" si="2"/>
        <v>3-6</v>
      </c>
      <c r="L4" s="14" t="str">
        <f t="shared" si="6"/>
        <v>Romper Short | 3-6 | Cream</v>
      </c>
      <c r="M4" s="16" t="s">
        <v>3609</v>
      </c>
    </row>
    <row r="5" spans="1:13" ht="25" customHeight="1" x14ac:dyDescent="0.45">
      <c r="A5" s="6">
        <v>46079</v>
      </c>
      <c r="B5" s="3" t="s">
        <v>557</v>
      </c>
      <c r="C5" s="4" t="s">
        <v>87</v>
      </c>
      <c r="D5" s="53" t="str">
        <f t="shared" si="3"/>
        <v>Cream</v>
      </c>
      <c r="E5" s="4" t="s">
        <v>490</v>
      </c>
      <c r="F5" s="5" t="s">
        <v>7</v>
      </c>
      <c r="G5" s="4" t="str">
        <f t="shared" si="4"/>
        <v>Romper Longer</v>
      </c>
      <c r="H5" s="38">
        <f t="shared" si="0"/>
        <v>2</v>
      </c>
      <c r="I5" s="54">
        <f t="shared" si="1"/>
        <v>9</v>
      </c>
      <c r="J5" s="14" t="str">
        <f t="shared" si="5"/>
        <v>Valentine</v>
      </c>
      <c r="K5" s="16" t="str">
        <f t="shared" si="2"/>
        <v>0-3</v>
      </c>
      <c r="L5" s="14" t="str">
        <f t="shared" si="6"/>
        <v>Romper Longer | 0-3 | Cream</v>
      </c>
      <c r="M5" s="16" t="s">
        <v>3609</v>
      </c>
    </row>
    <row r="6" spans="1:13" ht="25" customHeight="1" x14ac:dyDescent="0.45">
      <c r="A6" s="6">
        <v>46080</v>
      </c>
      <c r="B6" s="3" t="s">
        <v>558</v>
      </c>
      <c r="C6" s="4" t="s">
        <v>559</v>
      </c>
      <c r="D6" s="53" t="str">
        <f t="shared" si="3"/>
        <v xml:space="preserve"> Sage Green</v>
      </c>
      <c r="E6" s="4" t="s">
        <v>479</v>
      </c>
      <c r="F6" s="5" t="s">
        <v>7</v>
      </c>
      <c r="G6" s="4" t="str">
        <f t="shared" si="4"/>
        <v>Romper Longer</v>
      </c>
      <c r="H6" s="38">
        <f t="shared" si="0"/>
        <v>2</v>
      </c>
      <c r="I6" s="54">
        <f t="shared" si="1"/>
        <v>9</v>
      </c>
      <c r="J6" s="14" t="str">
        <f t="shared" si="5"/>
        <v>Valentine</v>
      </c>
      <c r="K6" s="16" t="str">
        <f t="shared" si="2"/>
        <v>6-12</v>
      </c>
      <c r="L6" s="14" t="str">
        <f t="shared" si="6"/>
        <v>Romper Longer | 6-12 | Sage Green</v>
      </c>
      <c r="M6" s="16" t="s">
        <v>3610</v>
      </c>
    </row>
    <row r="7" spans="1:13" ht="25" customHeight="1" x14ac:dyDescent="0.45">
      <c r="A7" s="6">
        <v>46081</v>
      </c>
      <c r="B7" s="3" t="s">
        <v>560</v>
      </c>
      <c r="C7" s="4" t="s">
        <v>87</v>
      </c>
      <c r="D7" s="53" t="str">
        <f t="shared" si="3"/>
        <v>Cream</v>
      </c>
      <c r="E7" s="4" t="s">
        <v>490</v>
      </c>
      <c r="F7" s="5" t="s">
        <v>7</v>
      </c>
      <c r="G7" s="4" t="str">
        <f t="shared" si="4"/>
        <v>Romper Longer</v>
      </c>
      <c r="H7" s="38">
        <f t="shared" si="0"/>
        <v>2</v>
      </c>
      <c r="I7" s="54">
        <f t="shared" si="1"/>
        <v>9</v>
      </c>
      <c r="J7" s="14" t="str">
        <f t="shared" si="5"/>
        <v>Valentine</v>
      </c>
      <c r="K7" s="16" t="str">
        <f t="shared" si="2"/>
        <v>0-3</v>
      </c>
      <c r="L7" s="14" t="str">
        <f t="shared" si="6"/>
        <v>Romper Longer | 0-3 | Cream</v>
      </c>
      <c r="M7" s="16" t="s">
        <v>3609</v>
      </c>
    </row>
    <row r="8" spans="1:13" ht="25" customHeight="1" x14ac:dyDescent="0.45">
      <c r="A8" s="6">
        <v>46082</v>
      </c>
      <c r="B8" s="3" t="s">
        <v>561</v>
      </c>
      <c r="C8" s="4" t="s">
        <v>87</v>
      </c>
      <c r="D8" s="53" t="str">
        <f t="shared" si="3"/>
        <v>Cream</v>
      </c>
      <c r="E8" s="4" t="s">
        <v>490</v>
      </c>
      <c r="F8" s="5" t="s">
        <v>7</v>
      </c>
      <c r="G8" s="4" t="str">
        <f t="shared" si="4"/>
        <v>Romper Longer</v>
      </c>
      <c r="H8" s="38">
        <f t="shared" si="0"/>
        <v>3</v>
      </c>
      <c r="I8" s="54">
        <f t="shared" si="1"/>
        <v>10</v>
      </c>
      <c r="J8" s="14" t="str">
        <f t="shared" si="5"/>
        <v>Easter</v>
      </c>
      <c r="K8" s="16" t="str">
        <f t="shared" si="2"/>
        <v>0-3</v>
      </c>
      <c r="L8" s="14" t="str">
        <f t="shared" si="6"/>
        <v>Romper Longer | 0-3 | Cream</v>
      </c>
      <c r="M8" s="16" t="s">
        <v>3609</v>
      </c>
    </row>
    <row r="9" spans="1:13" ht="25" customHeight="1" x14ac:dyDescent="0.45">
      <c r="A9" s="6">
        <v>46077</v>
      </c>
      <c r="B9" s="3" t="s">
        <v>562</v>
      </c>
      <c r="C9" s="4" t="s">
        <v>483</v>
      </c>
      <c r="D9" s="53" t="str">
        <f t="shared" si="3"/>
        <v>Forest Green</v>
      </c>
      <c r="E9" s="4" t="s">
        <v>555</v>
      </c>
      <c r="F9" s="5" t="s">
        <v>11</v>
      </c>
      <c r="G9" s="4" t="str">
        <f t="shared" si="4"/>
        <v>Romper Longer</v>
      </c>
      <c r="H9" s="38">
        <f t="shared" si="0"/>
        <v>2</v>
      </c>
      <c r="I9" s="54">
        <f t="shared" si="1"/>
        <v>9</v>
      </c>
      <c r="J9" s="14" t="str">
        <f t="shared" si="5"/>
        <v>Valentine</v>
      </c>
      <c r="K9" s="16" t="str">
        <f t="shared" si="2"/>
        <v>3-6</v>
      </c>
      <c r="L9" s="14" t="str">
        <f t="shared" si="6"/>
        <v>Romper Longer | 3-6 | Forest Green</v>
      </c>
      <c r="M9" s="16" t="s">
        <v>3610</v>
      </c>
    </row>
    <row r="10" spans="1:13" ht="25" customHeight="1" x14ac:dyDescent="0.45">
      <c r="A10" s="6">
        <v>46078</v>
      </c>
      <c r="B10" s="3" t="s">
        <v>563</v>
      </c>
      <c r="C10" s="4" t="s">
        <v>101</v>
      </c>
      <c r="D10" s="53" t="str">
        <f t="shared" si="3"/>
        <v>Sage Green</v>
      </c>
      <c r="E10" s="4" t="s">
        <v>490</v>
      </c>
      <c r="F10" s="5" t="s">
        <v>7</v>
      </c>
      <c r="G10" s="4" t="str">
        <f t="shared" si="4"/>
        <v>Romper Longer</v>
      </c>
      <c r="H10" s="38">
        <f t="shared" si="0"/>
        <v>2</v>
      </c>
      <c r="I10" s="54">
        <f t="shared" si="1"/>
        <v>9</v>
      </c>
      <c r="J10" s="14" t="str">
        <f t="shared" si="5"/>
        <v>Valentine</v>
      </c>
      <c r="K10" s="16" t="str">
        <f t="shared" si="2"/>
        <v>0-3</v>
      </c>
      <c r="L10" s="14" t="str">
        <f t="shared" si="6"/>
        <v>Romper Longer | 0-3 | Sage Green</v>
      </c>
      <c r="M10" s="16" t="s">
        <v>3611</v>
      </c>
    </row>
    <row r="11" spans="1:13" ht="25" customHeight="1" x14ac:dyDescent="0.45">
      <c r="A11" s="6">
        <v>46078</v>
      </c>
      <c r="B11" s="3" t="s">
        <v>564</v>
      </c>
      <c r="C11" s="4" t="s">
        <v>87</v>
      </c>
      <c r="D11" s="53" t="str">
        <f t="shared" si="3"/>
        <v>Cream</v>
      </c>
      <c r="E11" s="4" t="s">
        <v>555</v>
      </c>
      <c r="F11" s="5" t="s">
        <v>13</v>
      </c>
      <c r="G11" s="4" t="str">
        <f t="shared" si="4"/>
        <v>Romper Longer</v>
      </c>
      <c r="H11" s="38">
        <f t="shared" si="0"/>
        <v>2</v>
      </c>
      <c r="I11" s="54">
        <f t="shared" si="1"/>
        <v>9</v>
      </c>
      <c r="J11" s="14" t="str">
        <f t="shared" si="5"/>
        <v>Valentine</v>
      </c>
      <c r="K11" s="16" t="str">
        <f t="shared" si="2"/>
        <v>3-6</v>
      </c>
      <c r="L11" s="14" t="str">
        <f t="shared" si="6"/>
        <v>Romper Longer | 3-6 | Cream</v>
      </c>
      <c r="M11" s="16" t="s">
        <v>3609</v>
      </c>
    </row>
    <row r="12" spans="1:13" ht="25" customHeight="1" x14ac:dyDescent="0.45">
      <c r="A12" s="6">
        <v>46079</v>
      </c>
      <c r="B12" s="3" t="s">
        <v>565</v>
      </c>
      <c r="C12" s="4" t="s">
        <v>87</v>
      </c>
      <c r="D12" s="53" t="str">
        <f t="shared" si="3"/>
        <v>Cream</v>
      </c>
      <c r="E12" s="4" t="s">
        <v>555</v>
      </c>
      <c r="F12" s="5" t="s">
        <v>13</v>
      </c>
      <c r="G12" s="4" t="str">
        <f t="shared" si="4"/>
        <v>Romper Longer</v>
      </c>
      <c r="H12" s="38">
        <f t="shared" si="0"/>
        <v>2</v>
      </c>
      <c r="I12" s="54">
        <f t="shared" si="1"/>
        <v>9</v>
      </c>
      <c r="J12" s="14" t="str">
        <f t="shared" si="5"/>
        <v>Valentine</v>
      </c>
      <c r="K12" s="16" t="str">
        <f t="shared" si="2"/>
        <v>3-6</v>
      </c>
      <c r="L12" s="14" t="str">
        <f t="shared" si="6"/>
        <v>Romper Longer | 3-6 | Cream</v>
      </c>
      <c r="M12" s="16" t="s">
        <v>3609</v>
      </c>
    </row>
    <row r="13" spans="1:13" ht="25" customHeight="1" x14ac:dyDescent="0.45">
      <c r="A13" s="6">
        <v>46080</v>
      </c>
      <c r="B13" s="3" t="s">
        <v>566</v>
      </c>
      <c r="C13" s="4" t="s">
        <v>87</v>
      </c>
      <c r="D13" s="53" t="str">
        <f t="shared" si="3"/>
        <v>Cream</v>
      </c>
      <c r="E13" s="4" t="s">
        <v>555</v>
      </c>
      <c r="F13" s="5" t="s">
        <v>7</v>
      </c>
      <c r="G13" s="4" t="str">
        <f t="shared" si="4"/>
        <v>Romper Longer</v>
      </c>
      <c r="H13" s="38">
        <f t="shared" si="0"/>
        <v>2</v>
      </c>
      <c r="I13" s="54">
        <f t="shared" si="1"/>
        <v>9</v>
      </c>
      <c r="J13" s="14" t="str">
        <f t="shared" si="5"/>
        <v>Valentine</v>
      </c>
      <c r="K13" s="16" t="str">
        <f t="shared" si="2"/>
        <v>3-6</v>
      </c>
      <c r="L13" s="14" t="str">
        <f t="shared" si="6"/>
        <v>Romper Longer | 3-6 | Cream</v>
      </c>
      <c r="M13" s="16" t="s">
        <v>3609</v>
      </c>
    </row>
    <row r="14" spans="1:13" ht="25" customHeight="1" x14ac:dyDescent="0.45">
      <c r="A14" s="6">
        <v>46081</v>
      </c>
      <c r="B14" s="3" t="s">
        <v>567</v>
      </c>
      <c r="C14" s="4" t="s">
        <v>483</v>
      </c>
      <c r="D14" s="53" t="str">
        <f t="shared" si="3"/>
        <v>Forest Green</v>
      </c>
      <c r="E14" s="4" t="s">
        <v>485</v>
      </c>
      <c r="F14" s="5" t="s">
        <v>7</v>
      </c>
      <c r="G14" s="4" t="str">
        <f t="shared" si="4"/>
        <v>Romper Short</v>
      </c>
      <c r="H14" s="38">
        <f t="shared" si="0"/>
        <v>2</v>
      </c>
      <c r="I14" s="54">
        <f t="shared" si="1"/>
        <v>9</v>
      </c>
      <c r="J14" s="14" t="str">
        <f t="shared" si="5"/>
        <v>Valentine</v>
      </c>
      <c r="K14" s="16" t="str">
        <f t="shared" si="2"/>
        <v>3-6</v>
      </c>
      <c r="L14" s="14" t="str">
        <f t="shared" si="6"/>
        <v>Romper Short | 3-6 | Forest Green</v>
      </c>
      <c r="M14" s="16" t="s">
        <v>3610</v>
      </c>
    </row>
    <row r="15" spans="1:13" ht="25" customHeight="1" x14ac:dyDescent="0.45">
      <c r="A15" s="6">
        <v>46082</v>
      </c>
      <c r="B15" s="3" t="s">
        <v>568</v>
      </c>
      <c r="C15" s="4" t="s">
        <v>101</v>
      </c>
      <c r="D15" s="53" t="str">
        <f t="shared" si="3"/>
        <v>Sage Green</v>
      </c>
      <c r="E15" s="4" t="s">
        <v>555</v>
      </c>
      <c r="F15" s="5" t="s">
        <v>7</v>
      </c>
      <c r="G15" s="4" t="str">
        <f t="shared" si="4"/>
        <v>Romper Longer</v>
      </c>
      <c r="H15" s="38">
        <f t="shared" si="0"/>
        <v>3</v>
      </c>
      <c r="I15" s="54">
        <f t="shared" si="1"/>
        <v>10</v>
      </c>
      <c r="J15" s="14" t="str">
        <f t="shared" si="5"/>
        <v>Easter</v>
      </c>
      <c r="K15" s="16" t="str">
        <f t="shared" si="2"/>
        <v>3-6</v>
      </c>
      <c r="L15" s="14" t="str">
        <f t="shared" si="6"/>
        <v>Romper Longer | 3-6 | Sage Green</v>
      </c>
      <c r="M15" s="16" t="s">
        <v>3611</v>
      </c>
    </row>
    <row r="16" spans="1:13" ht="25" customHeight="1" x14ac:dyDescent="0.45">
      <c r="A16" s="6">
        <v>46083</v>
      </c>
      <c r="B16" s="3" t="s">
        <v>569</v>
      </c>
      <c r="C16" s="4" t="s">
        <v>508</v>
      </c>
      <c r="D16" s="53" t="str">
        <f t="shared" si="3"/>
        <v>Dusty Pink</v>
      </c>
      <c r="E16" s="4" t="s">
        <v>555</v>
      </c>
      <c r="F16" s="5" t="s">
        <v>7</v>
      </c>
      <c r="G16" s="4" t="str">
        <f t="shared" si="4"/>
        <v>Romper Longer</v>
      </c>
      <c r="H16" s="38">
        <f t="shared" si="0"/>
        <v>3</v>
      </c>
      <c r="I16" s="54">
        <f t="shared" ref="I16:I79" si="7">WEEKNUM(A16)</f>
        <v>10</v>
      </c>
      <c r="J16" s="14" t="str">
        <f t="shared" si="5"/>
        <v>Easter</v>
      </c>
      <c r="K16" s="16" t="str">
        <f t="shared" si="2"/>
        <v>3-6</v>
      </c>
      <c r="L16" s="14" t="str">
        <f t="shared" si="6"/>
        <v>Romper Longer | 3-6 | Dusty Pink</v>
      </c>
      <c r="M16" s="16" t="s">
        <v>3610</v>
      </c>
    </row>
    <row r="17" spans="1:13" ht="25" customHeight="1" x14ac:dyDescent="0.45">
      <c r="A17" s="6">
        <v>46084</v>
      </c>
      <c r="B17" s="3" t="s">
        <v>570</v>
      </c>
      <c r="C17" s="4" t="s">
        <v>483</v>
      </c>
      <c r="D17" s="53" t="str">
        <f t="shared" si="3"/>
        <v>Forest Green</v>
      </c>
      <c r="E17" s="4" t="s">
        <v>485</v>
      </c>
      <c r="F17" s="5" t="s">
        <v>7</v>
      </c>
      <c r="G17" s="4" t="str">
        <f t="shared" si="4"/>
        <v>Romper Short</v>
      </c>
      <c r="H17" s="38">
        <f t="shared" si="0"/>
        <v>3</v>
      </c>
      <c r="I17" s="54">
        <f t="shared" si="7"/>
        <v>10</v>
      </c>
      <c r="J17" s="14" t="str">
        <f t="shared" si="5"/>
        <v>Easter</v>
      </c>
      <c r="K17" s="16" t="str">
        <f t="shared" si="2"/>
        <v>3-6</v>
      </c>
      <c r="L17" s="14" t="str">
        <f t="shared" si="6"/>
        <v>Romper Short | 3-6 | Forest Green</v>
      </c>
      <c r="M17" s="16" t="s">
        <v>3610</v>
      </c>
    </row>
    <row r="18" spans="1:13" ht="25" customHeight="1" x14ac:dyDescent="0.45">
      <c r="A18" s="6">
        <v>46085</v>
      </c>
      <c r="B18" s="3" t="s">
        <v>571</v>
      </c>
      <c r="C18" s="4" t="s">
        <v>520</v>
      </c>
      <c r="D18" s="53" t="str">
        <f t="shared" si="3"/>
        <v xml:space="preserve"> Caldet Blue</v>
      </c>
      <c r="E18" s="4" t="s">
        <v>490</v>
      </c>
      <c r="F18" s="5" t="s">
        <v>11</v>
      </c>
      <c r="G18" s="4" t="str">
        <f t="shared" si="4"/>
        <v>Romper Longer</v>
      </c>
      <c r="H18" s="38">
        <f t="shared" si="0"/>
        <v>3</v>
      </c>
      <c r="I18" s="54">
        <f t="shared" si="7"/>
        <v>10</v>
      </c>
      <c r="J18" s="14" t="str">
        <f t="shared" si="5"/>
        <v>Easter</v>
      </c>
      <c r="K18" s="16" t="str">
        <f t="shared" si="2"/>
        <v>0-3</v>
      </c>
      <c r="L18" s="14" t="str">
        <f t="shared" si="6"/>
        <v>Romper Longer | 0-3 | Caldet Blue</v>
      </c>
      <c r="M18" s="16" t="s">
        <v>3610</v>
      </c>
    </row>
    <row r="19" spans="1:13" ht="25" customHeight="1" x14ac:dyDescent="0.45">
      <c r="A19" s="6">
        <v>46086</v>
      </c>
      <c r="B19" s="3" t="s">
        <v>572</v>
      </c>
      <c r="C19" s="4" t="s">
        <v>573</v>
      </c>
      <c r="D19" s="53" t="str">
        <f t="shared" si="3"/>
        <v>Mauve Taupe</v>
      </c>
      <c r="E19" s="4" t="s">
        <v>555</v>
      </c>
      <c r="F19" s="5" t="s">
        <v>7</v>
      </c>
      <c r="G19" s="4" t="str">
        <f t="shared" si="4"/>
        <v>Romper Longer</v>
      </c>
      <c r="H19" s="38">
        <f t="shared" si="0"/>
        <v>3</v>
      </c>
      <c r="I19" s="54">
        <f t="shared" si="7"/>
        <v>10</v>
      </c>
      <c r="J19" s="14" t="str">
        <f t="shared" si="5"/>
        <v>Easter</v>
      </c>
      <c r="K19" s="16" t="str">
        <f t="shared" si="2"/>
        <v>3-6</v>
      </c>
      <c r="L19" s="14" t="str">
        <f t="shared" si="6"/>
        <v>Romper Longer | 3-6 | Mauve Taupe</v>
      </c>
      <c r="M19" s="16" t="s">
        <v>3610</v>
      </c>
    </row>
    <row r="20" spans="1:13" ht="25" customHeight="1" x14ac:dyDescent="0.45">
      <c r="A20" s="6">
        <v>46087</v>
      </c>
      <c r="B20" s="3" t="s">
        <v>574</v>
      </c>
      <c r="C20" s="4" t="s">
        <v>101</v>
      </c>
      <c r="D20" s="53" t="str">
        <f t="shared" si="3"/>
        <v>Sage Green</v>
      </c>
      <c r="E20" s="4" t="s">
        <v>575</v>
      </c>
      <c r="F20" s="5" t="s">
        <v>7</v>
      </c>
      <c r="G20" s="4" t="str">
        <f t="shared" si="4"/>
        <v>Romper Longer</v>
      </c>
      <c r="H20" s="38">
        <f t="shared" si="0"/>
        <v>3</v>
      </c>
      <c r="I20" s="54">
        <f t="shared" si="7"/>
        <v>10</v>
      </c>
      <c r="J20" s="14" t="str">
        <f t="shared" si="5"/>
        <v>Easter</v>
      </c>
      <c r="K20" s="16" t="str">
        <f t="shared" si="2"/>
        <v>18-24</v>
      </c>
      <c r="L20" s="14" t="str">
        <f t="shared" si="6"/>
        <v>Romper Longer | 18-24 | Sage Green</v>
      </c>
      <c r="M20" s="16" t="s">
        <v>3610</v>
      </c>
    </row>
    <row r="21" spans="1:13" ht="25" customHeight="1" x14ac:dyDescent="0.45">
      <c r="A21" s="6">
        <v>46088</v>
      </c>
      <c r="B21" s="3" t="s">
        <v>576</v>
      </c>
      <c r="C21" s="4" t="s">
        <v>184</v>
      </c>
      <c r="D21" s="53" t="str">
        <f t="shared" si="3"/>
        <v>Coffee</v>
      </c>
      <c r="E21" s="4" t="s">
        <v>555</v>
      </c>
      <c r="F21" s="5" t="s">
        <v>7</v>
      </c>
      <c r="G21" s="4" t="str">
        <f t="shared" si="4"/>
        <v>Romper Longer</v>
      </c>
      <c r="H21" s="38">
        <f t="shared" si="0"/>
        <v>3</v>
      </c>
      <c r="I21" s="54">
        <f t="shared" si="7"/>
        <v>10</v>
      </c>
      <c r="J21" s="14" t="str">
        <f t="shared" si="5"/>
        <v>Easter</v>
      </c>
      <c r="K21" s="16" t="str">
        <f t="shared" si="2"/>
        <v>3-6</v>
      </c>
      <c r="L21" s="14" t="str">
        <f t="shared" si="6"/>
        <v>Romper Longer | 3-6 | Coffee</v>
      </c>
      <c r="M21" s="16" t="s">
        <v>3610</v>
      </c>
    </row>
    <row r="22" spans="1:13" ht="25" customHeight="1" x14ac:dyDescent="0.45">
      <c r="A22" s="6">
        <v>46089</v>
      </c>
      <c r="B22" s="3" t="s">
        <v>577</v>
      </c>
      <c r="C22" s="4" t="s">
        <v>101</v>
      </c>
      <c r="D22" s="53" t="str">
        <f t="shared" si="3"/>
        <v>Sage Green</v>
      </c>
      <c r="E22" s="4" t="s">
        <v>578</v>
      </c>
      <c r="F22" s="5" t="s">
        <v>7</v>
      </c>
      <c r="G22" s="4" t="str">
        <f t="shared" si="4"/>
        <v>Romper Short</v>
      </c>
      <c r="H22" s="38">
        <f t="shared" si="0"/>
        <v>3</v>
      </c>
      <c r="I22" s="54">
        <f t="shared" si="7"/>
        <v>11</v>
      </c>
      <c r="J22" s="14" t="str">
        <f t="shared" si="5"/>
        <v>Easter</v>
      </c>
      <c r="K22" s="16" t="str">
        <f t="shared" si="2"/>
        <v>0-3</v>
      </c>
      <c r="L22" s="14" t="str">
        <f t="shared" si="6"/>
        <v>Romper Short | 0-3 | Sage Green</v>
      </c>
      <c r="M22" s="16" t="s">
        <v>3610</v>
      </c>
    </row>
    <row r="23" spans="1:13" ht="25" customHeight="1" x14ac:dyDescent="0.45">
      <c r="A23" s="6">
        <v>46080</v>
      </c>
      <c r="B23" s="3" t="s">
        <v>579</v>
      </c>
      <c r="C23" s="4" t="s">
        <v>184</v>
      </c>
      <c r="D23" s="53" t="str">
        <f t="shared" si="3"/>
        <v>Coffee</v>
      </c>
      <c r="E23" s="4" t="s">
        <v>580</v>
      </c>
      <c r="F23" s="4" t="s">
        <v>7</v>
      </c>
      <c r="G23" s="4" t="str">
        <f t="shared" si="4"/>
        <v>Romper Short</v>
      </c>
      <c r="H23" s="38">
        <f t="shared" si="0"/>
        <v>2</v>
      </c>
      <c r="I23" s="54">
        <f t="shared" si="7"/>
        <v>9</v>
      </c>
      <c r="J23" s="14" t="str">
        <f t="shared" si="5"/>
        <v>Valentine</v>
      </c>
      <c r="K23" s="16" t="str">
        <f t="shared" si="2"/>
        <v>0-3</v>
      </c>
      <c r="L23" s="14" t="str">
        <f t="shared" si="6"/>
        <v>Romper Short | 0-3 | Coffee</v>
      </c>
      <c r="M23" s="16" t="s">
        <v>3610</v>
      </c>
    </row>
    <row r="24" spans="1:13" ht="25" customHeight="1" x14ac:dyDescent="0.45">
      <c r="A24" s="6">
        <v>46081</v>
      </c>
      <c r="B24" s="3" t="s">
        <v>581</v>
      </c>
      <c r="C24" s="4" t="s">
        <v>87</v>
      </c>
      <c r="D24" s="53" t="str">
        <f t="shared" si="3"/>
        <v>Cream</v>
      </c>
      <c r="E24" s="4" t="s">
        <v>490</v>
      </c>
      <c r="F24" s="4" t="s">
        <v>7</v>
      </c>
      <c r="G24" s="4" t="str">
        <f t="shared" si="4"/>
        <v>Romper Longer</v>
      </c>
      <c r="H24" s="38">
        <f t="shared" si="0"/>
        <v>2</v>
      </c>
      <c r="I24" s="54">
        <f t="shared" si="7"/>
        <v>9</v>
      </c>
      <c r="J24" s="14" t="str">
        <f t="shared" si="5"/>
        <v>Valentine</v>
      </c>
      <c r="K24" s="16" t="str">
        <f t="shared" si="2"/>
        <v>0-3</v>
      </c>
      <c r="L24" s="14" t="str">
        <f t="shared" si="6"/>
        <v>Romper Longer | 0-3 | Cream</v>
      </c>
      <c r="M24" s="16" t="s">
        <v>3609</v>
      </c>
    </row>
    <row r="25" spans="1:13" ht="25" customHeight="1" x14ac:dyDescent="0.45">
      <c r="A25" s="6">
        <v>46082</v>
      </c>
      <c r="B25" s="3" t="s">
        <v>582</v>
      </c>
      <c r="C25" s="4" t="s">
        <v>87</v>
      </c>
      <c r="D25" s="53" t="str">
        <f t="shared" si="3"/>
        <v>Cream</v>
      </c>
      <c r="E25" s="4" t="s">
        <v>578</v>
      </c>
      <c r="F25" s="4" t="s">
        <v>19</v>
      </c>
      <c r="G25" s="4" t="str">
        <f t="shared" si="4"/>
        <v>Romper Short</v>
      </c>
      <c r="H25" s="38">
        <f t="shared" si="0"/>
        <v>3</v>
      </c>
      <c r="I25" s="54">
        <f t="shared" si="7"/>
        <v>10</v>
      </c>
      <c r="J25" s="14" t="str">
        <f t="shared" si="5"/>
        <v>Easter</v>
      </c>
      <c r="K25" s="16" t="str">
        <f t="shared" si="2"/>
        <v>0-3</v>
      </c>
      <c r="L25" s="14" t="str">
        <f t="shared" si="6"/>
        <v>Romper Short | 0-3 | Cream</v>
      </c>
      <c r="M25" s="16" t="s">
        <v>3609</v>
      </c>
    </row>
    <row r="26" spans="1:13" ht="25" customHeight="1" x14ac:dyDescent="0.45">
      <c r="A26" s="6">
        <v>46083</v>
      </c>
      <c r="B26" s="3" t="s">
        <v>583</v>
      </c>
      <c r="C26" s="4" t="s">
        <v>87</v>
      </c>
      <c r="D26" s="53" t="str">
        <f t="shared" si="3"/>
        <v>Cream</v>
      </c>
      <c r="E26" s="4" t="s">
        <v>584</v>
      </c>
      <c r="F26" s="4" t="s">
        <v>7</v>
      </c>
      <c r="G26" s="4" t="str">
        <f t="shared" si="4"/>
        <v>Romper Short</v>
      </c>
      <c r="H26" s="38">
        <f t="shared" si="0"/>
        <v>3</v>
      </c>
      <c r="I26" s="54">
        <f t="shared" si="7"/>
        <v>10</v>
      </c>
      <c r="J26" s="14" t="str">
        <f t="shared" si="5"/>
        <v>Easter</v>
      </c>
      <c r="K26" s="16" t="str">
        <f t="shared" si="2"/>
        <v>18-24</v>
      </c>
      <c r="L26" s="14" t="str">
        <f t="shared" si="6"/>
        <v>Romper Short | 18-24 | Cream</v>
      </c>
      <c r="M26" s="16" t="s">
        <v>3610</v>
      </c>
    </row>
    <row r="27" spans="1:13" ht="25" customHeight="1" x14ac:dyDescent="0.45">
      <c r="A27" s="6">
        <v>46084</v>
      </c>
      <c r="B27" s="3" t="s">
        <v>585</v>
      </c>
      <c r="C27" s="4" t="s">
        <v>87</v>
      </c>
      <c r="D27" s="53" t="str">
        <f t="shared" si="3"/>
        <v>Cream</v>
      </c>
      <c r="E27" s="4" t="s">
        <v>479</v>
      </c>
      <c r="F27" s="4" t="s">
        <v>7</v>
      </c>
      <c r="G27" s="4" t="str">
        <f t="shared" si="4"/>
        <v>Romper Longer</v>
      </c>
      <c r="H27" s="38">
        <f t="shared" si="0"/>
        <v>3</v>
      </c>
      <c r="I27" s="54">
        <f t="shared" si="7"/>
        <v>10</v>
      </c>
      <c r="J27" s="14" t="str">
        <f t="shared" si="5"/>
        <v>Easter</v>
      </c>
      <c r="K27" s="16" t="str">
        <f t="shared" si="2"/>
        <v>6-12</v>
      </c>
      <c r="L27" s="14" t="str">
        <f t="shared" si="6"/>
        <v>Romper Longer | 6-12 | Cream</v>
      </c>
      <c r="M27" s="16" t="s">
        <v>3611</v>
      </c>
    </row>
    <row r="28" spans="1:13" ht="25" customHeight="1" x14ac:dyDescent="0.45">
      <c r="A28" s="6">
        <v>46085</v>
      </c>
      <c r="B28" s="3" t="s">
        <v>586</v>
      </c>
      <c r="C28" s="4" t="s">
        <v>520</v>
      </c>
      <c r="D28" s="53" t="str">
        <f t="shared" si="3"/>
        <v xml:space="preserve"> Caldet Blue</v>
      </c>
      <c r="E28" s="4" t="s">
        <v>490</v>
      </c>
      <c r="F28" s="4" t="s">
        <v>7</v>
      </c>
      <c r="G28" s="4" t="str">
        <f t="shared" si="4"/>
        <v>Romper Longer</v>
      </c>
      <c r="H28" s="38">
        <f t="shared" si="0"/>
        <v>3</v>
      </c>
      <c r="I28" s="54">
        <f t="shared" si="7"/>
        <v>10</v>
      </c>
      <c r="J28" s="14" t="str">
        <f t="shared" si="5"/>
        <v>Easter</v>
      </c>
      <c r="K28" s="16" t="str">
        <f t="shared" si="2"/>
        <v>0-3</v>
      </c>
      <c r="L28" s="14" t="str">
        <f t="shared" si="6"/>
        <v>Romper Longer | 0-3 | Caldet Blue</v>
      </c>
      <c r="M28" s="16" t="s">
        <v>3610</v>
      </c>
    </row>
    <row r="29" spans="1:13" ht="25" customHeight="1" x14ac:dyDescent="0.45">
      <c r="A29" s="6">
        <v>46086</v>
      </c>
      <c r="B29" s="3" t="s">
        <v>587</v>
      </c>
      <c r="C29" s="4" t="s">
        <v>184</v>
      </c>
      <c r="D29" s="53" t="str">
        <f t="shared" si="3"/>
        <v>Coffee</v>
      </c>
      <c r="E29" s="4" t="s">
        <v>485</v>
      </c>
      <c r="F29" s="4" t="s">
        <v>7</v>
      </c>
      <c r="G29" s="4" t="str">
        <f t="shared" si="4"/>
        <v>Romper Short</v>
      </c>
      <c r="H29" s="38">
        <f t="shared" si="0"/>
        <v>3</v>
      </c>
      <c r="I29" s="54">
        <f t="shared" si="7"/>
        <v>10</v>
      </c>
      <c r="J29" s="14" t="str">
        <f t="shared" si="5"/>
        <v>Easter</v>
      </c>
      <c r="K29" s="16" t="str">
        <f t="shared" si="2"/>
        <v>3-6</v>
      </c>
      <c r="L29" s="14" t="str">
        <f t="shared" si="6"/>
        <v>Romper Short | 3-6 | Coffee</v>
      </c>
      <c r="M29" s="16" t="s">
        <v>3610</v>
      </c>
    </row>
    <row r="30" spans="1:13" ht="25" customHeight="1" x14ac:dyDescent="0.45">
      <c r="A30" s="6">
        <v>46087</v>
      </c>
      <c r="B30" s="3" t="s">
        <v>588</v>
      </c>
      <c r="C30" s="4" t="s">
        <v>101</v>
      </c>
      <c r="D30" s="53" t="str">
        <f t="shared" si="3"/>
        <v>Sage Green</v>
      </c>
      <c r="E30" s="4" t="s">
        <v>589</v>
      </c>
      <c r="F30" s="4" t="s">
        <v>7</v>
      </c>
      <c r="G30" s="4" t="str">
        <f t="shared" si="4"/>
        <v>Romper Short</v>
      </c>
      <c r="H30" s="38">
        <f t="shared" si="0"/>
        <v>3</v>
      </c>
      <c r="I30" s="54">
        <f t="shared" si="7"/>
        <v>10</v>
      </c>
      <c r="J30" s="14" t="str">
        <f t="shared" si="5"/>
        <v>Easter</v>
      </c>
      <c r="K30" s="16" t="str">
        <f t="shared" si="2"/>
        <v>6-12</v>
      </c>
      <c r="L30" s="14" t="str">
        <f t="shared" si="6"/>
        <v>Romper Short | 6-12 | Sage Green</v>
      </c>
      <c r="M30" s="16" t="s">
        <v>3610</v>
      </c>
    </row>
    <row r="31" spans="1:13" ht="25" customHeight="1" x14ac:dyDescent="0.45">
      <c r="A31" s="6">
        <v>46081</v>
      </c>
      <c r="B31" s="3" t="s">
        <v>590</v>
      </c>
      <c r="C31" s="4" t="s">
        <v>87</v>
      </c>
      <c r="D31" s="53" t="str">
        <f t="shared" si="3"/>
        <v>Cream</v>
      </c>
      <c r="E31" s="4" t="s">
        <v>555</v>
      </c>
      <c r="F31" s="4" t="s">
        <v>13</v>
      </c>
      <c r="G31" s="4" t="str">
        <f t="shared" si="4"/>
        <v>Romper Longer</v>
      </c>
      <c r="H31" s="38">
        <f t="shared" si="0"/>
        <v>2</v>
      </c>
      <c r="I31" s="54">
        <f t="shared" si="7"/>
        <v>9</v>
      </c>
      <c r="J31" s="14" t="str">
        <f t="shared" si="5"/>
        <v>Valentine</v>
      </c>
      <c r="K31" s="16" t="str">
        <f t="shared" si="2"/>
        <v>3-6</v>
      </c>
      <c r="L31" s="14" t="str">
        <f t="shared" si="6"/>
        <v>Romper Longer | 3-6 | Cream</v>
      </c>
      <c r="M31" s="16" t="s">
        <v>3609</v>
      </c>
    </row>
    <row r="32" spans="1:13" ht="25" customHeight="1" x14ac:dyDescent="0.45">
      <c r="A32" s="6">
        <v>46082</v>
      </c>
      <c r="B32" s="3" t="s">
        <v>591</v>
      </c>
      <c r="C32" s="4" t="s">
        <v>87</v>
      </c>
      <c r="D32" s="53" t="str">
        <f t="shared" si="3"/>
        <v>Cream</v>
      </c>
      <c r="E32" s="4" t="s">
        <v>578</v>
      </c>
      <c r="F32" s="4" t="s">
        <v>13</v>
      </c>
      <c r="G32" s="4" t="str">
        <f t="shared" si="4"/>
        <v>Romper Short</v>
      </c>
      <c r="H32" s="38">
        <f t="shared" si="0"/>
        <v>3</v>
      </c>
      <c r="I32" s="54">
        <f t="shared" si="7"/>
        <v>10</v>
      </c>
      <c r="J32" s="14" t="str">
        <f t="shared" si="5"/>
        <v>Easter</v>
      </c>
      <c r="K32" s="16" t="str">
        <f t="shared" si="2"/>
        <v>0-3</v>
      </c>
      <c r="L32" s="14" t="str">
        <f t="shared" si="6"/>
        <v>Romper Short | 0-3 | Cream</v>
      </c>
      <c r="M32" s="16" t="s">
        <v>3609</v>
      </c>
    </row>
    <row r="33" spans="1:13" ht="25" customHeight="1" x14ac:dyDescent="0.45">
      <c r="A33" s="6">
        <v>46083</v>
      </c>
      <c r="B33" s="3" t="s">
        <v>592</v>
      </c>
      <c r="C33" s="4" t="s">
        <v>528</v>
      </c>
      <c r="D33" s="53" t="str">
        <f t="shared" si="3"/>
        <v>Watermelon</v>
      </c>
      <c r="E33" s="4" t="s">
        <v>555</v>
      </c>
      <c r="F33" s="4" t="s">
        <v>7</v>
      </c>
      <c r="G33" s="4" t="str">
        <f t="shared" si="4"/>
        <v>Romper Longer</v>
      </c>
      <c r="H33" s="38">
        <f t="shared" si="0"/>
        <v>3</v>
      </c>
      <c r="I33" s="54">
        <f t="shared" si="7"/>
        <v>10</v>
      </c>
      <c r="J33" s="14" t="str">
        <f t="shared" si="5"/>
        <v>Easter</v>
      </c>
      <c r="K33" s="16" t="str">
        <f t="shared" si="2"/>
        <v>3-6</v>
      </c>
      <c r="L33" s="14" t="str">
        <f t="shared" si="6"/>
        <v>Romper Longer | 3-6 | Watermelon</v>
      </c>
      <c r="M33" s="16" t="s">
        <v>3610</v>
      </c>
    </row>
    <row r="34" spans="1:13" ht="25" customHeight="1" x14ac:dyDescent="0.45">
      <c r="A34" s="6">
        <v>46084</v>
      </c>
      <c r="B34" s="3" t="s">
        <v>593</v>
      </c>
      <c r="C34" s="4" t="s">
        <v>87</v>
      </c>
      <c r="D34" s="53" t="str">
        <f t="shared" si="3"/>
        <v>Cream</v>
      </c>
      <c r="E34" s="4" t="s">
        <v>485</v>
      </c>
      <c r="F34" s="4" t="s">
        <v>13</v>
      </c>
      <c r="G34" s="4" t="str">
        <f t="shared" si="4"/>
        <v>Romper Short</v>
      </c>
      <c r="H34" s="38">
        <f t="shared" si="0"/>
        <v>3</v>
      </c>
      <c r="I34" s="54">
        <f t="shared" si="7"/>
        <v>10</v>
      </c>
      <c r="J34" s="14" t="str">
        <f t="shared" si="5"/>
        <v>Easter</v>
      </c>
      <c r="K34" s="16" t="str">
        <f t="shared" si="2"/>
        <v>3-6</v>
      </c>
      <c r="L34" s="14" t="str">
        <f t="shared" si="6"/>
        <v>Romper Short | 3-6 | Cream</v>
      </c>
      <c r="M34" s="16" t="s">
        <v>3609</v>
      </c>
    </row>
    <row r="35" spans="1:13" ht="25" customHeight="1" x14ac:dyDescent="0.45">
      <c r="A35" s="6">
        <v>46085</v>
      </c>
      <c r="B35" s="3" t="s">
        <v>594</v>
      </c>
      <c r="C35" s="4" t="s">
        <v>114</v>
      </c>
      <c r="D35" s="53" t="str">
        <f t="shared" si="3"/>
        <v>White</v>
      </c>
      <c r="E35" s="4" t="s">
        <v>580</v>
      </c>
      <c r="F35" s="4" t="s">
        <v>7</v>
      </c>
      <c r="G35" s="4" t="str">
        <f t="shared" si="4"/>
        <v>Romper Short</v>
      </c>
      <c r="H35" s="38">
        <f t="shared" si="0"/>
        <v>3</v>
      </c>
      <c r="I35" s="54">
        <f t="shared" si="7"/>
        <v>10</v>
      </c>
      <c r="J35" s="14" t="str">
        <f t="shared" si="5"/>
        <v>Easter</v>
      </c>
      <c r="K35" s="16" t="str">
        <f t="shared" si="2"/>
        <v>0-3</v>
      </c>
      <c r="L35" s="14" t="str">
        <f t="shared" si="6"/>
        <v>Romper Short | 0-3 | White</v>
      </c>
      <c r="M35" s="16" t="s">
        <v>3610</v>
      </c>
    </row>
    <row r="36" spans="1:13" ht="25" customHeight="1" x14ac:dyDescent="0.45">
      <c r="A36" s="6">
        <v>46086</v>
      </c>
      <c r="B36" s="3" t="s">
        <v>595</v>
      </c>
      <c r="C36" s="4" t="s">
        <v>101</v>
      </c>
      <c r="D36" s="53" t="str">
        <f t="shared" si="3"/>
        <v>Sage Green</v>
      </c>
      <c r="E36" s="4" t="s">
        <v>596</v>
      </c>
      <c r="F36" s="4" t="s">
        <v>7</v>
      </c>
      <c r="G36" s="4" t="str">
        <f t="shared" si="4"/>
        <v>Romper Longer</v>
      </c>
      <c r="H36" s="38">
        <f t="shared" si="0"/>
        <v>3</v>
      </c>
      <c r="I36" s="54">
        <f t="shared" si="7"/>
        <v>10</v>
      </c>
      <c r="J36" s="14" t="str">
        <f>IF(H36=1,"NewYear",
IF(H36=2,"Valentine",
IF(OR(H36=3,H36=4),"Easter",
IF(H36=5,"MothersDay",
IF(H36=6,"FathersDay",
IF(OR(H36=7,H36=8),"Summer",
IF(H36=10,"Halloween",
IF(OR(H36=11,H36=12),"Christmas","Normal"))))))))</f>
        <v>Easter</v>
      </c>
      <c r="K36" s="16" t="str">
        <f t="shared" si="2"/>
        <v>12-18</v>
      </c>
      <c r="L36" s="14" t="str">
        <f t="shared" si="6"/>
        <v>Romper Longer | 12-18 | Sage Green</v>
      </c>
      <c r="M36" s="16" t="s">
        <v>3610</v>
      </c>
    </row>
    <row r="37" spans="1:13" ht="25" customHeight="1" x14ac:dyDescent="0.45">
      <c r="A37" s="6">
        <v>46087</v>
      </c>
      <c r="B37" s="3" t="s">
        <v>597</v>
      </c>
      <c r="C37" s="4" t="s">
        <v>470</v>
      </c>
      <c r="D37" s="53" t="str">
        <f t="shared" si="3"/>
        <v>Caldet Blue</v>
      </c>
      <c r="E37" s="4" t="s">
        <v>555</v>
      </c>
      <c r="F37" s="4" t="s">
        <v>7</v>
      </c>
      <c r="G37" s="4" t="str">
        <f t="shared" si="4"/>
        <v>Romper Longer</v>
      </c>
      <c r="H37" s="38">
        <f t="shared" si="0"/>
        <v>3</v>
      </c>
      <c r="I37" s="54">
        <f t="shared" si="7"/>
        <v>10</v>
      </c>
      <c r="J37" s="14" t="str">
        <f t="shared" si="5"/>
        <v>Easter</v>
      </c>
      <c r="K37" s="16" t="str">
        <f t="shared" si="2"/>
        <v>3-6</v>
      </c>
      <c r="L37" s="14" t="str">
        <f t="shared" si="6"/>
        <v>Romper Longer | 3-6 | Caldet Blue</v>
      </c>
      <c r="M37" s="16" t="s">
        <v>3610</v>
      </c>
    </row>
    <row r="38" spans="1:13" ht="25" customHeight="1" x14ac:dyDescent="0.45">
      <c r="A38" s="6">
        <v>46088</v>
      </c>
      <c r="B38" s="3" t="s">
        <v>598</v>
      </c>
      <c r="C38" s="4" t="s">
        <v>87</v>
      </c>
      <c r="D38" s="53" t="str">
        <f t="shared" si="3"/>
        <v>Cream</v>
      </c>
      <c r="E38" s="4" t="s">
        <v>490</v>
      </c>
      <c r="F38" s="4" t="s">
        <v>18</v>
      </c>
      <c r="G38" s="4" t="str">
        <f t="shared" si="4"/>
        <v>Romper Longer</v>
      </c>
      <c r="H38" s="38">
        <f t="shared" si="0"/>
        <v>3</v>
      </c>
      <c r="I38" s="54">
        <f t="shared" si="7"/>
        <v>10</v>
      </c>
      <c r="J38" s="14" t="str">
        <f t="shared" si="5"/>
        <v>Easter</v>
      </c>
      <c r="K38" s="16" t="str">
        <f t="shared" si="2"/>
        <v>0-3</v>
      </c>
      <c r="L38" s="14" t="str">
        <f t="shared" si="6"/>
        <v>Romper Longer | 0-3 | Cream</v>
      </c>
      <c r="M38" s="16" t="s">
        <v>3609</v>
      </c>
    </row>
    <row r="39" spans="1:13" ht="25" customHeight="1" x14ac:dyDescent="0.45">
      <c r="A39" s="6">
        <v>46089</v>
      </c>
      <c r="B39" s="3" t="s">
        <v>599</v>
      </c>
      <c r="C39" s="4" t="s">
        <v>101</v>
      </c>
      <c r="D39" s="53" t="str">
        <f t="shared" si="3"/>
        <v>Sage Green</v>
      </c>
      <c r="E39" s="4" t="s">
        <v>485</v>
      </c>
      <c r="F39" s="4" t="s">
        <v>7</v>
      </c>
      <c r="G39" s="4" t="str">
        <f t="shared" si="4"/>
        <v>Romper Short</v>
      </c>
      <c r="H39" s="38">
        <f t="shared" si="0"/>
        <v>3</v>
      </c>
      <c r="I39" s="54">
        <f t="shared" si="7"/>
        <v>11</v>
      </c>
      <c r="J39" s="14" t="str">
        <f t="shared" si="5"/>
        <v>Easter</v>
      </c>
      <c r="K39" s="16" t="str">
        <f t="shared" si="2"/>
        <v>3-6</v>
      </c>
      <c r="L39" s="14" t="str">
        <f t="shared" si="6"/>
        <v>Romper Short | 3-6 | Sage Green</v>
      </c>
      <c r="M39" s="16" t="s">
        <v>3611</v>
      </c>
    </row>
    <row r="40" spans="1:13" ht="25" customHeight="1" x14ac:dyDescent="0.45">
      <c r="A40" s="6">
        <v>46090</v>
      </c>
      <c r="B40" s="3" t="s">
        <v>600</v>
      </c>
      <c r="C40" s="4" t="s">
        <v>87</v>
      </c>
      <c r="D40" s="53" t="str">
        <f t="shared" si="3"/>
        <v>Cream</v>
      </c>
      <c r="E40" s="4" t="s">
        <v>490</v>
      </c>
      <c r="F40" s="4" t="s">
        <v>7</v>
      </c>
      <c r="G40" s="4" t="str">
        <f t="shared" si="4"/>
        <v>Romper Longer</v>
      </c>
      <c r="H40" s="38">
        <f t="shared" si="0"/>
        <v>3</v>
      </c>
      <c r="I40" s="54">
        <f t="shared" si="7"/>
        <v>11</v>
      </c>
      <c r="J40" s="14" t="str">
        <f t="shared" si="5"/>
        <v>Easter</v>
      </c>
      <c r="K40" s="16" t="str">
        <f t="shared" si="2"/>
        <v>0-3</v>
      </c>
      <c r="L40" s="14" t="str">
        <f>TRIM(G40)&amp;" | "&amp;TRIM(K40)&amp;" | "&amp;PROPER(TRIM(D40))</f>
        <v>Romper Longer | 0-3 | Cream</v>
      </c>
      <c r="M40" s="16" t="s">
        <v>3609</v>
      </c>
    </row>
    <row r="41" spans="1:13" ht="25" customHeight="1" x14ac:dyDescent="0.45">
      <c r="A41" s="6">
        <v>46082</v>
      </c>
      <c r="B41" s="3" t="s">
        <v>601</v>
      </c>
      <c r="C41" s="4" t="s">
        <v>114</v>
      </c>
      <c r="D41" s="53" t="str">
        <f t="shared" si="3"/>
        <v>White</v>
      </c>
      <c r="E41" s="4" t="s">
        <v>580</v>
      </c>
      <c r="F41" s="4" t="s">
        <v>13</v>
      </c>
      <c r="G41" s="4" t="str">
        <f t="shared" si="4"/>
        <v>Romper Short</v>
      </c>
      <c r="H41" s="38">
        <f t="shared" si="0"/>
        <v>3</v>
      </c>
      <c r="I41" s="54">
        <f t="shared" si="7"/>
        <v>10</v>
      </c>
      <c r="J41" s="14" t="str">
        <f t="shared" si="5"/>
        <v>Easter</v>
      </c>
      <c r="K41" s="16" t="str">
        <f t="shared" si="2"/>
        <v>0-3</v>
      </c>
      <c r="L41" s="14" t="str">
        <f t="shared" si="6"/>
        <v>Romper Short | 0-3 | White</v>
      </c>
      <c r="M41" s="16" t="s">
        <v>3610</v>
      </c>
    </row>
    <row r="42" spans="1:13" ht="25" customHeight="1" x14ac:dyDescent="0.45">
      <c r="A42" s="6">
        <v>46083</v>
      </c>
      <c r="B42" s="3" t="s">
        <v>602</v>
      </c>
      <c r="C42" s="4" t="s">
        <v>87</v>
      </c>
      <c r="D42" s="53" t="str">
        <f t="shared" si="3"/>
        <v>Cream</v>
      </c>
      <c r="E42" s="4" t="s">
        <v>555</v>
      </c>
      <c r="F42" s="4" t="s">
        <v>7</v>
      </c>
      <c r="G42" s="4" t="str">
        <f t="shared" si="4"/>
        <v>Romper Longer</v>
      </c>
      <c r="H42" s="38">
        <f t="shared" si="0"/>
        <v>3</v>
      </c>
      <c r="I42" s="54">
        <f t="shared" si="7"/>
        <v>10</v>
      </c>
      <c r="J42" s="14" t="str">
        <f t="shared" si="5"/>
        <v>Easter</v>
      </c>
      <c r="K42" s="16" t="str">
        <f t="shared" si="2"/>
        <v>3-6</v>
      </c>
      <c r="L42" s="14" t="str">
        <f t="shared" si="6"/>
        <v>Romper Longer | 3-6 | Cream</v>
      </c>
      <c r="M42" s="16" t="s">
        <v>3609</v>
      </c>
    </row>
    <row r="43" spans="1:13" ht="25" customHeight="1" x14ac:dyDescent="0.45">
      <c r="A43" s="6">
        <v>46084</v>
      </c>
      <c r="B43" s="3" t="s">
        <v>603</v>
      </c>
      <c r="C43" s="4" t="s">
        <v>87</v>
      </c>
      <c r="D43" s="53" t="str">
        <f t="shared" si="3"/>
        <v>Cream</v>
      </c>
      <c r="E43" s="4" t="s">
        <v>555</v>
      </c>
      <c r="F43" s="4" t="s">
        <v>7</v>
      </c>
      <c r="G43" s="4" t="str">
        <f t="shared" si="4"/>
        <v>Romper Longer</v>
      </c>
      <c r="H43" s="38">
        <f t="shared" si="0"/>
        <v>3</v>
      </c>
      <c r="I43" s="54">
        <f t="shared" si="7"/>
        <v>10</v>
      </c>
      <c r="J43" s="14" t="str">
        <f t="shared" si="5"/>
        <v>Easter</v>
      </c>
      <c r="K43" s="16" t="str">
        <f t="shared" si="2"/>
        <v>3-6</v>
      </c>
      <c r="L43" s="14" t="str">
        <f t="shared" si="6"/>
        <v>Romper Longer | 3-6 | Cream</v>
      </c>
      <c r="M43" s="16" t="s">
        <v>3609</v>
      </c>
    </row>
    <row r="44" spans="1:13" ht="25" customHeight="1" x14ac:dyDescent="0.45">
      <c r="A44" s="6">
        <v>46085</v>
      </c>
      <c r="B44" s="3" t="s">
        <v>604</v>
      </c>
      <c r="C44" s="4" t="s">
        <v>470</v>
      </c>
      <c r="D44" s="53" t="str">
        <f t="shared" si="3"/>
        <v>Caldet Blue</v>
      </c>
      <c r="E44" s="4" t="s">
        <v>479</v>
      </c>
      <c r="F44" s="4" t="s">
        <v>7</v>
      </c>
      <c r="G44" s="4" t="str">
        <f t="shared" si="4"/>
        <v>Romper Longer</v>
      </c>
      <c r="H44" s="38">
        <f t="shared" si="0"/>
        <v>3</v>
      </c>
      <c r="I44" s="54">
        <f t="shared" si="7"/>
        <v>10</v>
      </c>
      <c r="J44" s="14" t="str">
        <f t="shared" si="5"/>
        <v>Easter</v>
      </c>
      <c r="K44" s="16" t="str">
        <f t="shared" si="2"/>
        <v>6-12</v>
      </c>
      <c r="L44" s="14" t="str">
        <f t="shared" si="6"/>
        <v>Romper Longer | 6-12 | Caldet Blue</v>
      </c>
      <c r="M44" s="16" t="s">
        <v>3610</v>
      </c>
    </row>
    <row r="45" spans="1:13" ht="25" customHeight="1" x14ac:dyDescent="0.45">
      <c r="A45" s="6">
        <v>46086</v>
      </c>
      <c r="B45" s="3" t="s">
        <v>605</v>
      </c>
      <c r="C45" s="4" t="s">
        <v>470</v>
      </c>
      <c r="D45" s="53" t="str">
        <f t="shared" si="3"/>
        <v>Caldet Blue</v>
      </c>
      <c r="E45" s="4" t="s">
        <v>555</v>
      </c>
      <c r="F45" s="4" t="s">
        <v>13</v>
      </c>
      <c r="G45" s="4" t="str">
        <f t="shared" si="4"/>
        <v>Romper Longer</v>
      </c>
      <c r="H45" s="38">
        <f t="shared" si="0"/>
        <v>3</v>
      </c>
      <c r="I45" s="54">
        <f t="shared" si="7"/>
        <v>10</v>
      </c>
      <c r="J45" s="14" t="str">
        <f t="shared" si="5"/>
        <v>Easter</v>
      </c>
      <c r="K45" s="16" t="str">
        <f t="shared" si="2"/>
        <v>3-6</v>
      </c>
      <c r="L45" s="14" t="str">
        <f t="shared" si="6"/>
        <v>Romper Longer | 3-6 | Caldet Blue</v>
      </c>
      <c r="M45" s="16" t="s">
        <v>3610</v>
      </c>
    </row>
    <row r="46" spans="1:13" ht="25" customHeight="1" x14ac:dyDescent="0.45">
      <c r="A46" s="6">
        <v>46087</v>
      </c>
      <c r="B46" s="3" t="s">
        <v>606</v>
      </c>
      <c r="C46" s="4" t="s">
        <v>87</v>
      </c>
      <c r="D46" s="53" t="str">
        <f t="shared" si="3"/>
        <v>Cream</v>
      </c>
      <c r="E46" s="4" t="s">
        <v>578</v>
      </c>
      <c r="F46" s="4" t="s">
        <v>7</v>
      </c>
      <c r="G46" s="4" t="str">
        <f t="shared" si="4"/>
        <v>Romper Short</v>
      </c>
      <c r="H46" s="38">
        <f t="shared" si="0"/>
        <v>3</v>
      </c>
      <c r="I46" s="54">
        <f t="shared" si="7"/>
        <v>10</v>
      </c>
      <c r="J46" s="14" t="str">
        <f t="shared" si="5"/>
        <v>Easter</v>
      </c>
      <c r="K46" s="16" t="str">
        <f t="shared" si="2"/>
        <v>0-3</v>
      </c>
      <c r="L46" s="14" t="str">
        <f t="shared" si="6"/>
        <v>Romper Short | 0-3 | Cream</v>
      </c>
      <c r="M46" s="16" t="s">
        <v>3609</v>
      </c>
    </row>
    <row r="47" spans="1:13" ht="25" customHeight="1" x14ac:dyDescent="0.45">
      <c r="A47" s="6">
        <v>46088</v>
      </c>
      <c r="B47" s="3" t="s">
        <v>607</v>
      </c>
      <c r="C47" s="4" t="s">
        <v>87</v>
      </c>
      <c r="D47" s="53" t="str">
        <f t="shared" si="3"/>
        <v>Cream</v>
      </c>
      <c r="E47" s="4" t="s">
        <v>475</v>
      </c>
      <c r="F47" s="4" t="s">
        <v>7</v>
      </c>
      <c r="G47" s="4" t="str">
        <f t="shared" si="4"/>
        <v>Romper Short</v>
      </c>
      <c r="H47" s="38">
        <f t="shared" si="0"/>
        <v>3</v>
      </c>
      <c r="I47" s="54">
        <f t="shared" si="7"/>
        <v>10</v>
      </c>
      <c r="J47" s="14" t="str">
        <f t="shared" si="5"/>
        <v>Easter</v>
      </c>
      <c r="K47" s="16" t="str">
        <f t="shared" si="2"/>
        <v>12-18</v>
      </c>
      <c r="L47" s="14" t="str">
        <f t="shared" si="6"/>
        <v>Romper Short | 12-18 | Cream</v>
      </c>
      <c r="M47" s="16" t="s">
        <v>3610</v>
      </c>
    </row>
    <row r="48" spans="1:13" ht="25" customHeight="1" x14ac:dyDescent="0.45">
      <c r="A48" s="6">
        <v>46083</v>
      </c>
      <c r="B48" s="3" t="s">
        <v>608</v>
      </c>
      <c r="C48" s="4" t="s">
        <v>528</v>
      </c>
      <c r="D48" s="53" t="str">
        <f t="shared" si="3"/>
        <v>Watermelon</v>
      </c>
      <c r="E48" s="4" t="s">
        <v>584</v>
      </c>
      <c r="F48" s="4" t="s">
        <v>7</v>
      </c>
      <c r="G48" s="4" t="str">
        <f t="shared" si="4"/>
        <v>Romper Short</v>
      </c>
      <c r="H48" s="38">
        <f t="shared" si="0"/>
        <v>3</v>
      </c>
      <c r="I48" s="54">
        <f t="shared" si="7"/>
        <v>10</v>
      </c>
      <c r="J48" s="14" t="str">
        <f t="shared" si="5"/>
        <v>Easter</v>
      </c>
      <c r="K48" s="16" t="str">
        <f t="shared" si="2"/>
        <v>18-24</v>
      </c>
      <c r="L48" s="14" t="str">
        <f t="shared" si="6"/>
        <v>Romper Short | 18-24 | Watermelon</v>
      </c>
      <c r="M48" s="16" t="s">
        <v>3610</v>
      </c>
    </row>
    <row r="49" spans="1:13" ht="25" customHeight="1" x14ac:dyDescent="0.45">
      <c r="A49" s="6">
        <v>46083</v>
      </c>
      <c r="B49" s="3" t="s">
        <v>609</v>
      </c>
      <c r="C49" s="4" t="s">
        <v>101</v>
      </c>
      <c r="D49" s="53" t="str">
        <f t="shared" si="3"/>
        <v>Sage Green</v>
      </c>
      <c r="E49" s="4" t="s">
        <v>555</v>
      </c>
      <c r="F49" s="4" t="s">
        <v>7</v>
      </c>
      <c r="G49" s="4" t="str">
        <f t="shared" si="4"/>
        <v>Romper Longer</v>
      </c>
      <c r="H49" s="38">
        <f t="shared" si="0"/>
        <v>3</v>
      </c>
      <c r="I49" s="54">
        <f t="shared" si="7"/>
        <v>10</v>
      </c>
      <c r="J49" s="14" t="str">
        <f t="shared" si="5"/>
        <v>Easter</v>
      </c>
      <c r="K49" s="16" t="str">
        <f t="shared" si="2"/>
        <v>3-6</v>
      </c>
      <c r="L49" s="14" t="str">
        <f t="shared" si="6"/>
        <v>Romper Longer | 3-6 | Sage Green</v>
      </c>
      <c r="M49" s="16" t="s">
        <v>3611</v>
      </c>
    </row>
    <row r="50" spans="1:13" ht="25" customHeight="1" x14ac:dyDescent="0.45">
      <c r="A50" s="6">
        <v>46084</v>
      </c>
      <c r="B50" s="3" t="s">
        <v>610</v>
      </c>
      <c r="C50" s="4" t="s">
        <v>184</v>
      </c>
      <c r="D50" s="53" t="str">
        <f t="shared" si="3"/>
        <v>Coffee</v>
      </c>
      <c r="E50" s="4" t="s">
        <v>490</v>
      </c>
      <c r="F50" s="4" t="s">
        <v>19</v>
      </c>
      <c r="G50" s="4" t="str">
        <f t="shared" si="4"/>
        <v>Romper Longer</v>
      </c>
      <c r="H50" s="38">
        <f t="shared" si="0"/>
        <v>3</v>
      </c>
      <c r="I50" s="54">
        <f t="shared" si="7"/>
        <v>10</v>
      </c>
      <c r="J50" s="14" t="str">
        <f t="shared" si="5"/>
        <v>Easter</v>
      </c>
      <c r="K50" s="16" t="str">
        <f t="shared" si="2"/>
        <v>0-3</v>
      </c>
      <c r="L50" s="14" t="str">
        <f t="shared" si="6"/>
        <v>Romper Longer | 0-3 | Coffee</v>
      </c>
      <c r="M50" s="16" t="s">
        <v>3610</v>
      </c>
    </row>
    <row r="51" spans="1:13" ht="25" customHeight="1" x14ac:dyDescent="0.45">
      <c r="A51" s="6">
        <v>46084</v>
      </c>
      <c r="B51" s="3" t="s">
        <v>611</v>
      </c>
      <c r="C51" s="4" t="s">
        <v>184</v>
      </c>
      <c r="D51" s="53" t="str">
        <f t="shared" si="3"/>
        <v>Coffee</v>
      </c>
      <c r="E51" s="4" t="s">
        <v>490</v>
      </c>
      <c r="F51" s="4" t="s">
        <v>7</v>
      </c>
      <c r="G51" s="4" t="str">
        <f t="shared" si="4"/>
        <v>Romper Longer</v>
      </c>
      <c r="H51" s="38">
        <f t="shared" si="0"/>
        <v>3</v>
      </c>
      <c r="I51" s="54">
        <f t="shared" si="7"/>
        <v>10</v>
      </c>
      <c r="J51" s="14" t="str">
        <f t="shared" si="5"/>
        <v>Easter</v>
      </c>
      <c r="K51" s="16" t="str">
        <f t="shared" si="2"/>
        <v>0-3</v>
      </c>
      <c r="L51" s="14" t="str">
        <f t="shared" si="6"/>
        <v>Romper Longer | 0-3 | Coffee</v>
      </c>
      <c r="M51" s="16" t="s">
        <v>3610</v>
      </c>
    </row>
    <row r="52" spans="1:13" ht="25" customHeight="1" x14ac:dyDescent="0.45">
      <c r="A52" s="6">
        <v>46084</v>
      </c>
      <c r="B52" s="3" t="s">
        <v>612</v>
      </c>
      <c r="C52" s="4" t="s">
        <v>470</v>
      </c>
      <c r="D52" s="53" t="str">
        <f t="shared" si="3"/>
        <v>Caldet Blue</v>
      </c>
      <c r="E52" s="4" t="s">
        <v>555</v>
      </c>
      <c r="F52" s="4" t="s">
        <v>7</v>
      </c>
      <c r="G52" s="4" t="str">
        <f t="shared" si="4"/>
        <v>Romper Longer</v>
      </c>
      <c r="H52" s="38">
        <f t="shared" si="0"/>
        <v>3</v>
      </c>
      <c r="I52" s="54">
        <f t="shared" si="7"/>
        <v>10</v>
      </c>
      <c r="J52" s="14" t="str">
        <f t="shared" si="5"/>
        <v>Easter</v>
      </c>
      <c r="K52" s="16" t="str">
        <f t="shared" si="2"/>
        <v>3-6</v>
      </c>
      <c r="L52" s="14" t="str">
        <f t="shared" si="6"/>
        <v>Romper Longer | 3-6 | Caldet Blue</v>
      </c>
      <c r="M52" s="16" t="s">
        <v>3610</v>
      </c>
    </row>
    <row r="53" spans="1:13" ht="25" customHeight="1" x14ac:dyDescent="0.45">
      <c r="A53" s="6">
        <v>46084</v>
      </c>
      <c r="B53" s="3" t="s">
        <v>613</v>
      </c>
      <c r="C53" s="4" t="s">
        <v>87</v>
      </c>
      <c r="D53" s="53" t="str">
        <f t="shared" si="3"/>
        <v>Cream</v>
      </c>
      <c r="E53" s="4" t="s">
        <v>490</v>
      </c>
      <c r="F53" s="12" t="s">
        <v>7</v>
      </c>
      <c r="G53" s="4" t="str">
        <f t="shared" si="4"/>
        <v>Romper Longer</v>
      </c>
      <c r="H53" s="38">
        <f t="shared" si="0"/>
        <v>3</v>
      </c>
      <c r="I53" s="54">
        <f t="shared" si="7"/>
        <v>10</v>
      </c>
      <c r="J53" s="14" t="str">
        <f t="shared" si="5"/>
        <v>Easter</v>
      </c>
      <c r="K53" s="16" t="str">
        <f t="shared" si="2"/>
        <v>0-3</v>
      </c>
      <c r="L53" s="14" t="str">
        <f t="shared" si="6"/>
        <v>Romper Longer | 0-3 | Cream</v>
      </c>
      <c r="M53" s="16" t="s">
        <v>3609</v>
      </c>
    </row>
    <row r="54" spans="1:13" ht="25" customHeight="1" x14ac:dyDescent="0.45">
      <c r="A54" s="6">
        <v>46084</v>
      </c>
      <c r="B54" s="3" t="s">
        <v>614</v>
      </c>
      <c r="C54" s="4" t="s">
        <v>87</v>
      </c>
      <c r="D54" s="53" t="str">
        <f t="shared" si="3"/>
        <v>Cream</v>
      </c>
      <c r="E54" s="4" t="s">
        <v>485</v>
      </c>
      <c r="F54" s="12" t="s">
        <v>7</v>
      </c>
      <c r="G54" s="4" t="str">
        <f t="shared" si="4"/>
        <v>Romper Short</v>
      </c>
      <c r="H54" s="38">
        <f t="shared" si="0"/>
        <v>3</v>
      </c>
      <c r="I54" s="54">
        <f t="shared" si="7"/>
        <v>10</v>
      </c>
      <c r="J54" s="14" t="str">
        <f t="shared" si="5"/>
        <v>Easter</v>
      </c>
      <c r="K54" s="16" t="str">
        <f t="shared" si="2"/>
        <v>3-6</v>
      </c>
      <c r="L54" s="14" t="str">
        <f t="shared" si="6"/>
        <v>Romper Short | 3-6 | Cream</v>
      </c>
      <c r="M54" s="16" t="s">
        <v>3609</v>
      </c>
    </row>
    <row r="55" spans="1:13" ht="25" customHeight="1" x14ac:dyDescent="0.45">
      <c r="A55" s="6">
        <v>46084</v>
      </c>
      <c r="B55" s="3" t="s">
        <v>615</v>
      </c>
      <c r="C55" s="4" t="s">
        <v>87</v>
      </c>
      <c r="D55" s="53" t="str">
        <f t="shared" si="3"/>
        <v>Cream</v>
      </c>
      <c r="E55" s="4" t="s">
        <v>490</v>
      </c>
      <c r="F55" s="4" t="s">
        <v>19</v>
      </c>
      <c r="G55" s="4" t="str">
        <f t="shared" si="4"/>
        <v>Romper Longer</v>
      </c>
      <c r="H55" s="38">
        <f t="shared" si="0"/>
        <v>3</v>
      </c>
      <c r="I55" s="54">
        <f t="shared" si="7"/>
        <v>10</v>
      </c>
      <c r="J55" s="14" t="str">
        <f t="shared" si="5"/>
        <v>Easter</v>
      </c>
      <c r="K55" s="16" t="str">
        <f t="shared" si="2"/>
        <v>0-3</v>
      </c>
      <c r="L55" s="14" t="str">
        <f t="shared" si="6"/>
        <v>Romper Longer | 0-3 | Cream</v>
      </c>
      <c r="M55" s="16" t="s">
        <v>3609</v>
      </c>
    </row>
    <row r="56" spans="1:13" ht="25" customHeight="1" x14ac:dyDescent="0.45">
      <c r="A56" s="6">
        <v>46084</v>
      </c>
      <c r="B56" s="3" t="s">
        <v>616</v>
      </c>
      <c r="C56" s="4" t="s">
        <v>87</v>
      </c>
      <c r="D56" s="53" t="str">
        <f t="shared" si="3"/>
        <v>Cream</v>
      </c>
      <c r="E56" s="4" t="s">
        <v>580</v>
      </c>
      <c r="F56" s="4" t="s">
        <v>7</v>
      </c>
      <c r="G56" s="4" t="str">
        <f t="shared" si="4"/>
        <v>Romper Short</v>
      </c>
      <c r="H56" s="38">
        <f t="shared" si="0"/>
        <v>3</v>
      </c>
      <c r="I56" s="54">
        <f t="shared" si="7"/>
        <v>10</v>
      </c>
      <c r="J56" s="14" t="str">
        <f t="shared" si="5"/>
        <v>Easter</v>
      </c>
      <c r="K56" s="16" t="str">
        <f t="shared" si="2"/>
        <v>0-3</v>
      </c>
      <c r="L56" s="14" t="str">
        <f t="shared" si="6"/>
        <v>Romper Short | 0-3 | Cream</v>
      </c>
      <c r="M56" s="16" t="s">
        <v>3609</v>
      </c>
    </row>
    <row r="57" spans="1:13" ht="25" customHeight="1" x14ac:dyDescent="0.45">
      <c r="A57" s="6">
        <v>46084</v>
      </c>
      <c r="B57" s="3" t="s">
        <v>617</v>
      </c>
      <c r="C57" s="4" t="s">
        <v>101</v>
      </c>
      <c r="D57" s="53" t="str">
        <f t="shared" si="3"/>
        <v>Sage Green</v>
      </c>
      <c r="E57" s="4" t="s">
        <v>555</v>
      </c>
      <c r="F57" s="4" t="s">
        <v>7</v>
      </c>
      <c r="G57" s="4" t="str">
        <f t="shared" si="4"/>
        <v>Romper Longer</v>
      </c>
      <c r="H57" s="38">
        <f t="shared" si="0"/>
        <v>3</v>
      </c>
      <c r="I57" s="54">
        <f t="shared" si="7"/>
        <v>10</v>
      </c>
      <c r="J57" s="14" t="str">
        <f t="shared" si="5"/>
        <v>Easter</v>
      </c>
      <c r="K57" s="16" t="str">
        <f t="shared" si="2"/>
        <v>3-6</v>
      </c>
      <c r="L57" s="14" t="str">
        <f t="shared" si="6"/>
        <v>Romper Longer | 3-6 | Sage Green</v>
      </c>
      <c r="M57" s="16" t="s">
        <v>3611</v>
      </c>
    </row>
    <row r="58" spans="1:13" ht="25" customHeight="1" x14ac:dyDescent="0.45">
      <c r="A58" s="6">
        <v>46084</v>
      </c>
      <c r="B58" s="3" t="s">
        <v>618</v>
      </c>
      <c r="C58" s="4" t="s">
        <v>470</v>
      </c>
      <c r="D58" s="53" t="str">
        <f t="shared" si="3"/>
        <v>Caldet Blue</v>
      </c>
      <c r="E58" s="4" t="s">
        <v>490</v>
      </c>
      <c r="F58" s="4" t="s">
        <v>7</v>
      </c>
      <c r="G58" s="4" t="str">
        <f t="shared" si="4"/>
        <v>Romper Longer</v>
      </c>
      <c r="H58" s="38">
        <f t="shared" si="0"/>
        <v>3</v>
      </c>
      <c r="I58" s="54">
        <f t="shared" si="7"/>
        <v>10</v>
      </c>
      <c r="J58" s="14" t="str">
        <f t="shared" si="5"/>
        <v>Easter</v>
      </c>
      <c r="K58" s="16" t="str">
        <f t="shared" si="2"/>
        <v>0-3</v>
      </c>
      <c r="L58" s="14" t="str">
        <f t="shared" si="6"/>
        <v>Romper Longer | 0-3 | Caldet Blue</v>
      </c>
      <c r="M58" s="16" t="s">
        <v>3610</v>
      </c>
    </row>
    <row r="59" spans="1:13" ht="25" customHeight="1" x14ac:dyDescent="0.45">
      <c r="A59" s="6">
        <v>46084</v>
      </c>
      <c r="B59" s="3" t="s">
        <v>619</v>
      </c>
      <c r="C59" s="4" t="s">
        <v>470</v>
      </c>
      <c r="D59" s="53" t="str">
        <f t="shared" si="3"/>
        <v>Caldet Blue</v>
      </c>
      <c r="E59" s="4" t="s">
        <v>485</v>
      </c>
      <c r="F59" s="4" t="s">
        <v>7</v>
      </c>
      <c r="G59" s="4" t="str">
        <f t="shared" si="4"/>
        <v>Romper Short</v>
      </c>
      <c r="H59" s="38">
        <f t="shared" si="0"/>
        <v>3</v>
      </c>
      <c r="I59" s="54">
        <f t="shared" si="7"/>
        <v>10</v>
      </c>
      <c r="J59" s="14" t="str">
        <f t="shared" si="5"/>
        <v>Easter</v>
      </c>
      <c r="K59" s="16" t="str">
        <f t="shared" si="2"/>
        <v>3-6</v>
      </c>
      <c r="L59" s="14" t="str">
        <f t="shared" si="6"/>
        <v>Romper Short | 3-6 | Caldet Blue</v>
      </c>
      <c r="M59" s="16" t="s">
        <v>3610</v>
      </c>
    </row>
    <row r="60" spans="1:13" ht="25" customHeight="1" x14ac:dyDescent="0.45">
      <c r="A60" s="9">
        <v>46085</v>
      </c>
      <c r="B60" s="3" t="s">
        <v>620</v>
      </c>
      <c r="C60" s="4" t="s">
        <v>508</v>
      </c>
      <c r="D60" s="53" t="str">
        <f t="shared" si="3"/>
        <v>Dusty Pink</v>
      </c>
      <c r="E60" s="4" t="s">
        <v>555</v>
      </c>
      <c r="F60" s="4" t="s">
        <v>7</v>
      </c>
      <c r="G60" s="4" t="str">
        <f t="shared" si="4"/>
        <v>Romper Longer</v>
      </c>
      <c r="H60" s="38">
        <f t="shared" si="0"/>
        <v>3</v>
      </c>
      <c r="I60" s="54">
        <f t="shared" si="7"/>
        <v>10</v>
      </c>
      <c r="J60" s="14" t="str">
        <f t="shared" si="5"/>
        <v>Easter</v>
      </c>
      <c r="K60" s="16" t="str">
        <f t="shared" si="2"/>
        <v>3-6</v>
      </c>
      <c r="L60" s="14" t="str">
        <f t="shared" si="6"/>
        <v>Romper Longer | 3-6 | Dusty Pink</v>
      </c>
      <c r="M60" s="16" t="s">
        <v>3610</v>
      </c>
    </row>
    <row r="61" spans="1:13" ht="25" customHeight="1" x14ac:dyDescent="0.45">
      <c r="A61" s="9">
        <v>46085</v>
      </c>
      <c r="B61" s="3" t="s">
        <v>621</v>
      </c>
      <c r="C61" s="4" t="s">
        <v>101</v>
      </c>
      <c r="D61" s="53" t="str">
        <f t="shared" si="3"/>
        <v>Sage Green</v>
      </c>
      <c r="E61" s="4" t="s">
        <v>575</v>
      </c>
      <c r="F61" s="4" t="s">
        <v>7</v>
      </c>
      <c r="G61" s="4" t="str">
        <f t="shared" si="4"/>
        <v>Romper Longer</v>
      </c>
      <c r="H61" s="38">
        <f t="shared" si="0"/>
        <v>3</v>
      </c>
      <c r="I61" s="54">
        <f t="shared" si="7"/>
        <v>10</v>
      </c>
      <c r="J61" s="14" t="str">
        <f t="shared" si="5"/>
        <v>Easter</v>
      </c>
      <c r="K61" s="16" t="str">
        <f t="shared" si="2"/>
        <v>18-24</v>
      </c>
      <c r="L61" s="14" t="str">
        <f t="shared" si="6"/>
        <v>Romper Longer | 18-24 | Sage Green</v>
      </c>
      <c r="M61" s="16" t="s">
        <v>3610</v>
      </c>
    </row>
    <row r="62" spans="1:13" ht="25" customHeight="1" x14ac:dyDescent="0.45">
      <c r="A62" s="9">
        <v>46085</v>
      </c>
      <c r="B62" s="3" t="s">
        <v>622</v>
      </c>
      <c r="C62" s="4" t="s">
        <v>483</v>
      </c>
      <c r="D62" s="53" t="str">
        <f t="shared" si="3"/>
        <v>Forest Green</v>
      </c>
      <c r="E62" s="4" t="s">
        <v>479</v>
      </c>
      <c r="F62" s="4" t="s">
        <v>7</v>
      </c>
      <c r="G62" s="4" t="str">
        <f t="shared" si="4"/>
        <v>Romper Longer</v>
      </c>
      <c r="H62" s="38">
        <f t="shared" si="0"/>
        <v>3</v>
      </c>
      <c r="I62" s="54">
        <f t="shared" si="7"/>
        <v>10</v>
      </c>
      <c r="J62" s="14" t="str">
        <f t="shared" si="5"/>
        <v>Easter</v>
      </c>
      <c r="K62" s="16" t="str">
        <f t="shared" si="2"/>
        <v>6-12</v>
      </c>
      <c r="L62" s="14" t="str">
        <f t="shared" si="6"/>
        <v>Romper Longer | 6-12 | Forest Green</v>
      </c>
      <c r="M62" s="16" t="s">
        <v>3610</v>
      </c>
    </row>
    <row r="63" spans="1:13" ht="25" customHeight="1" x14ac:dyDescent="0.45">
      <c r="A63" s="9">
        <v>46085</v>
      </c>
      <c r="B63" s="3" t="s">
        <v>623</v>
      </c>
      <c r="C63" s="4" t="s">
        <v>508</v>
      </c>
      <c r="D63" s="53" t="str">
        <f t="shared" si="3"/>
        <v>Dusty Pink</v>
      </c>
      <c r="E63" s="4" t="s">
        <v>485</v>
      </c>
      <c r="F63" s="4" t="s">
        <v>7</v>
      </c>
      <c r="G63" s="4" t="str">
        <f t="shared" si="4"/>
        <v>Romper Short</v>
      </c>
      <c r="H63" s="38">
        <f t="shared" si="0"/>
        <v>3</v>
      </c>
      <c r="I63" s="54">
        <f t="shared" si="7"/>
        <v>10</v>
      </c>
      <c r="J63" s="14" t="str">
        <f t="shared" si="5"/>
        <v>Easter</v>
      </c>
      <c r="K63" s="16" t="str">
        <f t="shared" si="2"/>
        <v>3-6</v>
      </c>
      <c r="L63" s="14" t="str">
        <f t="shared" si="6"/>
        <v>Romper Short | 3-6 | Dusty Pink</v>
      </c>
      <c r="M63" s="16" t="s">
        <v>3610</v>
      </c>
    </row>
    <row r="64" spans="1:13" ht="25" customHeight="1" x14ac:dyDescent="0.45">
      <c r="A64" s="9">
        <v>46085</v>
      </c>
      <c r="B64" s="3" t="s">
        <v>624</v>
      </c>
      <c r="C64" s="4" t="s">
        <v>87</v>
      </c>
      <c r="D64" s="53" t="str">
        <f t="shared" si="3"/>
        <v>Cream</v>
      </c>
      <c r="E64" s="4" t="s">
        <v>555</v>
      </c>
      <c r="F64" s="4" t="s">
        <v>7</v>
      </c>
      <c r="G64" s="4" t="str">
        <f t="shared" si="4"/>
        <v>Romper Longer</v>
      </c>
      <c r="H64" s="38">
        <f t="shared" si="0"/>
        <v>3</v>
      </c>
      <c r="I64" s="54">
        <f t="shared" si="7"/>
        <v>10</v>
      </c>
      <c r="J64" s="14" t="str">
        <f t="shared" si="5"/>
        <v>Easter</v>
      </c>
      <c r="K64" s="16" t="str">
        <f t="shared" si="2"/>
        <v>3-6</v>
      </c>
      <c r="L64" s="14" t="str">
        <f t="shared" si="6"/>
        <v>Romper Longer | 3-6 | Cream</v>
      </c>
      <c r="M64" s="16" t="s">
        <v>3609</v>
      </c>
    </row>
    <row r="65" spans="1:13" ht="25" customHeight="1" x14ac:dyDescent="0.45">
      <c r="A65" s="9">
        <v>46085</v>
      </c>
      <c r="B65" s="3" t="s">
        <v>625</v>
      </c>
      <c r="C65" s="4" t="s">
        <v>184</v>
      </c>
      <c r="D65" s="53" t="str">
        <f t="shared" si="3"/>
        <v>Coffee</v>
      </c>
      <c r="E65" s="4" t="s">
        <v>485</v>
      </c>
      <c r="F65" s="4" t="s">
        <v>7</v>
      </c>
      <c r="G65" s="4" t="str">
        <f t="shared" si="4"/>
        <v>Romper Short</v>
      </c>
      <c r="H65" s="38">
        <f t="shared" si="0"/>
        <v>3</v>
      </c>
      <c r="I65" s="54">
        <f t="shared" si="7"/>
        <v>10</v>
      </c>
      <c r="J65" s="14" t="str">
        <f t="shared" si="5"/>
        <v>Easter</v>
      </c>
      <c r="K65" s="16" t="str">
        <f t="shared" si="2"/>
        <v>3-6</v>
      </c>
      <c r="L65" s="14" t="str">
        <f>TRIM(G65)&amp;" | "&amp;TRIM(K65)&amp;" | "&amp;PROPER(TRIM(D65))</f>
        <v>Romper Short | 3-6 | Coffee</v>
      </c>
      <c r="M65" s="16" t="s">
        <v>3610</v>
      </c>
    </row>
    <row r="66" spans="1:13" ht="25" customHeight="1" x14ac:dyDescent="0.45">
      <c r="A66" s="9">
        <v>46085</v>
      </c>
      <c r="B66" s="3" t="s">
        <v>626</v>
      </c>
      <c r="C66" s="4" t="s">
        <v>627</v>
      </c>
      <c r="D66" s="53" t="str">
        <f t="shared" si="3"/>
        <v xml:space="preserve"> Salmon</v>
      </c>
      <c r="E66" s="4" t="s">
        <v>580</v>
      </c>
      <c r="F66" s="4" t="s">
        <v>7</v>
      </c>
      <c r="G66" s="4" t="str">
        <f t="shared" si="4"/>
        <v>Romper Short</v>
      </c>
      <c r="H66" s="38">
        <f t="shared" ref="H66:H129" si="8">MONTH(A66)</f>
        <v>3</v>
      </c>
      <c r="I66" s="54">
        <f t="shared" si="7"/>
        <v>10</v>
      </c>
      <c r="J66" s="14" t="str">
        <f t="shared" si="5"/>
        <v>Easter</v>
      </c>
      <c r="K66" s="16" t="str">
        <f t="shared" ref="K66:K129" si="9">TRIM(LEFT(E66,FIND("(",E66&amp;"(")-2))</f>
        <v>0-3</v>
      </c>
      <c r="L66" s="14" t="str">
        <f t="shared" si="6"/>
        <v>Romper Short | 0-3 | Salmon</v>
      </c>
      <c r="M66" s="16" t="s">
        <v>3610</v>
      </c>
    </row>
    <row r="67" spans="1:13" ht="25" customHeight="1" x14ac:dyDescent="0.45">
      <c r="A67" s="9">
        <v>46085</v>
      </c>
      <c r="B67" s="3" t="s">
        <v>628</v>
      </c>
      <c r="C67" s="4" t="s">
        <v>87</v>
      </c>
      <c r="D67" s="53" t="str">
        <f t="shared" ref="D67:D130" si="10">PROPER(C67)</f>
        <v>Cream</v>
      </c>
      <c r="E67" s="4" t="s">
        <v>555</v>
      </c>
      <c r="F67" s="4" t="s">
        <v>7</v>
      </c>
      <c r="G67" s="4" t="str">
        <f t="shared" ref="G67:G78" si="11">IF(ISNUMBER(SEARCH("LONG",E67)),"Romper Longer",IF(ISNUMBER(SEARCH("SHORT",E67)),"Romper Short","Bodysuit"))</f>
        <v>Romper Longer</v>
      </c>
      <c r="H67" s="38">
        <f t="shared" si="8"/>
        <v>3</v>
      </c>
      <c r="I67" s="54">
        <f t="shared" si="7"/>
        <v>10</v>
      </c>
      <c r="J67" s="14" t="str">
        <f t="shared" ref="J67:J130" si="12">IF(H67=1,"NewYear",
IF(H67=2,"Valentine",
IF(OR(H67=3,H67=4),"Easter",
IF(H67=5,"MothersDay",
IF(H67=6,"FathersDay",
IF(OR(H67=7,H67=8),"Summer",
IF(H67=10,"Halloween",
IF(OR(H67=11,H67=12),"Christmas","Normal"))))))))</f>
        <v>Easter</v>
      </c>
      <c r="K67" s="16" t="str">
        <f t="shared" si="9"/>
        <v>3-6</v>
      </c>
      <c r="L67" s="14" t="str">
        <f t="shared" ref="L67:L130" si="13">TRIM(G67)&amp;" | "&amp;TRIM(K67)&amp;" | "&amp;PROPER(TRIM(D67))</f>
        <v>Romper Longer | 3-6 | Cream</v>
      </c>
      <c r="M67" s="16" t="s">
        <v>3609</v>
      </c>
    </row>
    <row r="68" spans="1:13" ht="25" customHeight="1" x14ac:dyDescent="0.45">
      <c r="A68" s="9">
        <v>46085</v>
      </c>
      <c r="B68" s="3" t="s">
        <v>629</v>
      </c>
      <c r="C68" s="4" t="s">
        <v>101</v>
      </c>
      <c r="D68" s="53" t="str">
        <f t="shared" si="10"/>
        <v>Sage Green</v>
      </c>
      <c r="E68" s="4" t="s">
        <v>555</v>
      </c>
      <c r="F68" s="4" t="s">
        <v>7</v>
      </c>
      <c r="G68" s="4" t="str">
        <f t="shared" si="11"/>
        <v>Romper Longer</v>
      </c>
      <c r="H68" s="38">
        <f t="shared" si="8"/>
        <v>3</v>
      </c>
      <c r="I68" s="54">
        <f t="shared" si="7"/>
        <v>10</v>
      </c>
      <c r="J68" s="14" t="str">
        <f t="shared" si="12"/>
        <v>Easter</v>
      </c>
      <c r="K68" s="16" t="str">
        <f t="shared" si="9"/>
        <v>3-6</v>
      </c>
      <c r="L68" s="14" t="str">
        <f t="shared" si="13"/>
        <v>Romper Longer | 3-6 | Sage Green</v>
      </c>
      <c r="M68" s="16" t="s">
        <v>3611</v>
      </c>
    </row>
    <row r="69" spans="1:13" ht="25" customHeight="1" x14ac:dyDescent="0.45">
      <c r="A69" s="9">
        <v>46085</v>
      </c>
      <c r="B69" s="3" t="s">
        <v>630</v>
      </c>
      <c r="C69" s="4" t="s">
        <v>528</v>
      </c>
      <c r="D69" s="53" t="str">
        <f t="shared" si="10"/>
        <v>Watermelon</v>
      </c>
      <c r="E69" s="4" t="s">
        <v>479</v>
      </c>
      <c r="F69" s="4" t="s">
        <v>7</v>
      </c>
      <c r="G69" s="4" t="str">
        <f t="shared" si="11"/>
        <v>Romper Longer</v>
      </c>
      <c r="H69" s="38">
        <f t="shared" si="8"/>
        <v>3</v>
      </c>
      <c r="I69" s="54">
        <f t="shared" si="7"/>
        <v>10</v>
      </c>
      <c r="J69" s="14" t="str">
        <f t="shared" si="12"/>
        <v>Easter</v>
      </c>
      <c r="K69" s="16" t="str">
        <f t="shared" si="9"/>
        <v>6-12</v>
      </c>
      <c r="L69" s="14" t="str">
        <f t="shared" si="13"/>
        <v>Romper Longer | 6-12 | Watermelon</v>
      </c>
      <c r="M69" s="16" t="s">
        <v>3610</v>
      </c>
    </row>
    <row r="70" spans="1:13" ht="25" customHeight="1" x14ac:dyDescent="0.45">
      <c r="A70" s="9">
        <v>46085</v>
      </c>
      <c r="B70" s="3" t="s">
        <v>631</v>
      </c>
      <c r="C70" s="4" t="s">
        <v>470</v>
      </c>
      <c r="D70" s="53" t="str">
        <f t="shared" si="10"/>
        <v>Caldet Blue</v>
      </c>
      <c r="E70" s="4" t="s">
        <v>490</v>
      </c>
      <c r="F70" s="4" t="s">
        <v>7</v>
      </c>
      <c r="G70" s="4" t="str">
        <f t="shared" si="11"/>
        <v>Romper Longer</v>
      </c>
      <c r="H70" s="38">
        <f t="shared" si="8"/>
        <v>3</v>
      </c>
      <c r="I70" s="54">
        <f t="shared" si="7"/>
        <v>10</v>
      </c>
      <c r="J70" s="14" t="str">
        <f t="shared" si="12"/>
        <v>Easter</v>
      </c>
      <c r="K70" s="16" t="str">
        <f t="shared" si="9"/>
        <v>0-3</v>
      </c>
      <c r="L70" s="14" t="str">
        <f t="shared" si="13"/>
        <v>Romper Longer | 0-3 | Caldet Blue</v>
      </c>
      <c r="M70" s="16" t="s">
        <v>3610</v>
      </c>
    </row>
    <row r="71" spans="1:13" ht="25" customHeight="1" x14ac:dyDescent="0.45">
      <c r="A71" s="9">
        <v>46085</v>
      </c>
      <c r="B71" s="3" t="s">
        <v>632</v>
      </c>
      <c r="C71" s="4" t="s">
        <v>508</v>
      </c>
      <c r="D71" s="53" t="str">
        <f t="shared" si="10"/>
        <v>Dusty Pink</v>
      </c>
      <c r="E71" s="4" t="s">
        <v>580</v>
      </c>
      <c r="F71" s="4" t="s">
        <v>7</v>
      </c>
      <c r="G71" s="4" t="str">
        <f t="shared" si="11"/>
        <v>Romper Short</v>
      </c>
      <c r="H71" s="38">
        <f t="shared" si="8"/>
        <v>3</v>
      </c>
      <c r="I71" s="54">
        <f t="shared" si="7"/>
        <v>10</v>
      </c>
      <c r="J71" s="14" t="str">
        <f t="shared" si="12"/>
        <v>Easter</v>
      </c>
      <c r="K71" s="16" t="str">
        <f t="shared" si="9"/>
        <v>0-3</v>
      </c>
      <c r="L71" s="14" t="str">
        <f t="shared" si="13"/>
        <v>Romper Short | 0-3 | Dusty Pink</v>
      </c>
      <c r="M71" s="16" t="s">
        <v>3610</v>
      </c>
    </row>
    <row r="72" spans="1:13" ht="25" customHeight="1" x14ac:dyDescent="0.45">
      <c r="A72" s="9">
        <v>46085</v>
      </c>
      <c r="B72" s="3" t="s">
        <v>633</v>
      </c>
      <c r="C72" s="4" t="s">
        <v>101</v>
      </c>
      <c r="D72" s="53" t="str">
        <f t="shared" si="10"/>
        <v>Sage Green</v>
      </c>
      <c r="E72" s="4" t="s">
        <v>555</v>
      </c>
      <c r="F72" s="4" t="s">
        <v>7</v>
      </c>
      <c r="G72" s="4" t="str">
        <f t="shared" si="11"/>
        <v>Romper Longer</v>
      </c>
      <c r="H72" s="38">
        <f t="shared" si="8"/>
        <v>3</v>
      </c>
      <c r="I72" s="54">
        <f t="shared" si="7"/>
        <v>10</v>
      </c>
      <c r="J72" s="14" t="str">
        <f t="shared" si="12"/>
        <v>Easter</v>
      </c>
      <c r="K72" s="16" t="str">
        <f t="shared" si="9"/>
        <v>3-6</v>
      </c>
      <c r="L72" s="14" t="str">
        <f t="shared" si="13"/>
        <v>Romper Longer | 3-6 | Sage Green</v>
      </c>
      <c r="M72" s="16" t="s">
        <v>3611</v>
      </c>
    </row>
    <row r="73" spans="1:13" ht="25" customHeight="1" x14ac:dyDescent="0.45">
      <c r="A73" s="7">
        <v>46086</v>
      </c>
      <c r="B73" s="3" t="s">
        <v>634</v>
      </c>
      <c r="C73" s="4" t="s">
        <v>87</v>
      </c>
      <c r="D73" s="53" t="str">
        <f t="shared" si="10"/>
        <v>Cream</v>
      </c>
      <c r="E73" s="4" t="s">
        <v>555</v>
      </c>
      <c r="F73" s="4" t="s">
        <v>11</v>
      </c>
      <c r="G73" s="4" t="str">
        <f t="shared" si="11"/>
        <v>Romper Longer</v>
      </c>
      <c r="H73" s="38">
        <f t="shared" si="8"/>
        <v>3</v>
      </c>
      <c r="I73" s="54">
        <f t="shared" si="7"/>
        <v>10</v>
      </c>
      <c r="J73" s="14" t="str">
        <f t="shared" si="12"/>
        <v>Easter</v>
      </c>
      <c r="K73" s="16" t="str">
        <f t="shared" si="9"/>
        <v>3-6</v>
      </c>
      <c r="L73" s="14" t="str">
        <f t="shared" si="13"/>
        <v>Romper Longer | 3-6 | Cream</v>
      </c>
      <c r="M73" s="16" t="s">
        <v>3609</v>
      </c>
    </row>
    <row r="74" spans="1:13" ht="25" customHeight="1" x14ac:dyDescent="0.45">
      <c r="A74" s="10">
        <v>46086</v>
      </c>
      <c r="B74" s="3" t="s">
        <v>635</v>
      </c>
      <c r="C74" s="4" t="s">
        <v>508</v>
      </c>
      <c r="D74" s="53" t="str">
        <f t="shared" si="10"/>
        <v>Dusty Pink</v>
      </c>
      <c r="E74" s="4" t="s">
        <v>589</v>
      </c>
      <c r="F74" s="4" t="s">
        <v>7</v>
      </c>
      <c r="G74" s="4" t="str">
        <f t="shared" si="11"/>
        <v>Romper Short</v>
      </c>
      <c r="H74" s="38">
        <f t="shared" si="8"/>
        <v>3</v>
      </c>
      <c r="I74" s="54">
        <f t="shared" si="7"/>
        <v>10</v>
      </c>
      <c r="J74" s="14" t="str">
        <f t="shared" si="12"/>
        <v>Easter</v>
      </c>
      <c r="K74" s="16" t="str">
        <f t="shared" si="9"/>
        <v>6-12</v>
      </c>
      <c r="L74" s="14" t="str">
        <f t="shared" si="13"/>
        <v>Romper Short | 6-12 | Dusty Pink</v>
      </c>
      <c r="M74" s="16" t="s">
        <v>3610</v>
      </c>
    </row>
    <row r="75" spans="1:13" ht="25" customHeight="1" x14ac:dyDescent="0.45">
      <c r="A75" s="10">
        <v>46086</v>
      </c>
      <c r="B75" s="3" t="s">
        <v>636</v>
      </c>
      <c r="C75" s="4" t="s">
        <v>528</v>
      </c>
      <c r="D75" s="53" t="str">
        <f t="shared" si="10"/>
        <v>Watermelon</v>
      </c>
      <c r="E75" s="4" t="s">
        <v>490</v>
      </c>
      <c r="F75" s="4" t="s">
        <v>7</v>
      </c>
      <c r="G75" s="4" t="str">
        <f t="shared" si="11"/>
        <v>Romper Longer</v>
      </c>
      <c r="H75" s="38">
        <f t="shared" si="8"/>
        <v>3</v>
      </c>
      <c r="I75" s="54">
        <f t="shared" si="7"/>
        <v>10</v>
      </c>
      <c r="J75" s="14" t="str">
        <f t="shared" si="12"/>
        <v>Easter</v>
      </c>
      <c r="K75" s="16" t="str">
        <f t="shared" si="9"/>
        <v>0-3</v>
      </c>
      <c r="L75" s="14" t="str">
        <f t="shared" si="13"/>
        <v>Romper Longer | 0-3 | Watermelon</v>
      </c>
      <c r="M75" s="16" t="s">
        <v>3610</v>
      </c>
    </row>
    <row r="76" spans="1:13" ht="25" customHeight="1" x14ac:dyDescent="0.45">
      <c r="A76" s="10">
        <v>46086</v>
      </c>
      <c r="B76" s="3" t="s">
        <v>637</v>
      </c>
      <c r="C76" s="4" t="s">
        <v>101</v>
      </c>
      <c r="D76" s="53" t="str">
        <f t="shared" si="10"/>
        <v>Sage Green</v>
      </c>
      <c r="E76" s="4" t="s">
        <v>638</v>
      </c>
      <c r="F76" s="4" t="s">
        <v>13</v>
      </c>
      <c r="G76" s="4" t="str">
        <f t="shared" si="11"/>
        <v>Romper Short</v>
      </c>
      <c r="H76" s="38">
        <f t="shared" si="8"/>
        <v>3</v>
      </c>
      <c r="I76" s="54">
        <f t="shared" si="7"/>
        <v>10</v>
      </c>
      <c r="J76" s="14" t="str">
        <f t="shared" si="12"/>
        <v>Easter</v>
      </c>
      <c r="K76" s="16" t="str">
        <f t="shared" si="9"/>
        <v>3-6</v>
      </c>
      <c r="L76" s="14" t="str">
        <f t="shared" si="13"/>
        <v>Romper Short | 3-6 | Sage Green</v>
      </c>
      <c r="M76" s="16" t="s">
        <v>3611</v>
      </c>
    </row>
    <row r="77" spans="1:13" ht="25" customHeight="1" x14ac:dyDescent="0.45">
      <c r="A77" s="10">
        <v>46086</v>
      </c>
      <c r="B77" s="3" t="s">
        <v>639</v>
      </c>
      <c r="C77" s="4" t="s">
        <v>101</v>
      </c>
      <c r="D77" s="53" t="str">
        <f t="shared" si="10"/>
        <v>Sage Green</v>
      </c>
      <c r="E77" s="4" t="s">
        <v>589</v>
      </c>
      <c r="F77" s="4" t="s">
        <v>7</v>
      </c>
      <c r="G77" s="4" t="str">
        <f t="shared" si="11"/>
        <v>Romper Short</v>
      </c>
      <c r="H77" s="38">
        <f t="shared" si="8"/>
        <v>3</v>
      </c>
      <c r="I77" s="54">
        <f t="shared" si="7"/>
        <v>10</v>
      </c>
      <c r="J77" s="14" t="str">
        <f t="shared" si="12"/>
        <v>Easter</v>
      </c>
      <c r="K77" s="16" t="str">
        <f t="shared" si="9"/>
        <v>6-12</v>
      </c>
      <c r="L77" s="14" t="str">
        <f t="shared" si="13"/>
        <v>Romper Short | 6-12 | Sage Green</v>
      </c>
      <c r="M77" s="16" t="s">
        <v>3610</v>
      </c>
    </row>
    <row r="78" spans="1:13" ht="25" customHeight="1" x14ac:dyDescent="0.45">
      <c r="A78" s="7">
        <v>46087</v>
      </c>
      <c r="B78" s="3" t="s">
        <v>640</v>
      </c>
      <c r="C78" s="4" t="s">
        <v>87</v>
      </c>
      <c r="D78" s="53" t="str">
        <f t="shared" si="10"/>
        <v>Cream</v>
      </c>
      <c r="E78" s="4" t="s">
        <v>485</v>
      </c>
      <c r="F78" s="4" t="s">
        <v>7</v>
      </c>
      <c r="G78" s="4" t="str">
        <f t="shared" si="11"/>
        <v>Romper Short</v>
      </c>
      <c r="H78" s="38">
        <f t="shared" si="8"/>
        <v>3</v>
      </c>
      <c r="I78" s="54">
        <f t="shared" si="7"/>
        <v>10</v>
      </c>
      <c r="J78" s="14" t="str">
        <f t="shared" si="12"/>
        <v>Easter</v>
      </c>
      <c r="K78" s="16" t="str">
        <f t="shared" si="9"/>
        <v>3-6</v>
      </c>
      <c r="L78" s="14" t="str">
        <f t="shared" si="13"/>
        <v>Romper Short | 3-6 | Cream</v>
      </c>
      <c r="M78" s="16" t="s">
        <v>3609</v>
      </c>
    </row>
    <row r="79" spans="1:13" ht="25" customHeight="1" x14ac:dyDescent="0.45">
      <c r="A79" s="10">
        <v>46087</v>
      </c>
      <c r="B79" s="3" t="s">
        <v>640</v>
      </c>
      <c r="C79" s="4" t="s">
        <v>101</v>
      </c>
      <c r="D79" s="53" t="str">
        <f t="shared" si="10"/>
        <v>Sage Green</v>
      </c>
      <c r="E79" s="4" t="s">
        <v>479</v>
      </c>
      <c r="F79" s="4" t="s">
        <v>7</v>
      </c>
      <c r="G79" s="4" t="str">
        <f>IF(ISNUMBER(SEARCH("LONG",E79)),"Romper Longer",IF(ISNUMBER(SEARCH("SHORT",E79)),"Romper Short","Bodysuit"))</f>
        <v>Romper Longer</v>
      </c>
      <c r="H79" s="38">
        <f t="shared" si="8"/>
        <v>3</v>
      </c>
      <c r="I79" s="54">
        <f t="shared" si="7"/>
        <v>10</v>
      </c>
      <c r="J79" s="14" t="str">
        <f t="shared" si="12"/>
        <v>Easter</v>
      </c>
      <c r="K79" s="16" t="str">
        <f t="shared" si="9"/>
        <v>6-12</v>
      </c>
      <c r="L79" s="14" t="str">
        <f t="shared" si="13"/>
        <v>Romper Longer | 6-12 | Sage Green</v>
      </c>
      <c r="M79" s="16" t="s">
        <v>3610</v>
      </c>
    </row>
    <row r="80" spans="1:13" ht="25" customHeight="1" x14ac:dyDescent="0.45">
      <c r="A80" s="10">
        <v>46087</v>
      </c>
      <c r="B80" s="3" t="s">
        <v>640</v>
      </c>
      <c r="C80" s="4" t="s">
        <v>87</v>
      </c>
      <c r="D80" s="53" t="str">
        <f t="shared" si="10"/>
        <v>Cream</v>
      </c>
      <c r="E80" s="4" t="s">
        <v>479</v>
      </c>
      <c r="F80" s="4" t="s">
        <v>7</v>
      </c>
      <c r="G80" s="4" t="str">
        <f t="shared" ref="G80:G143" si="14">IF(ISNUMBER(SEARCH("LONG",E80)),"Romper Longer",IF(ISNUMBER(SEARCH("SHORT",E80)),"Romper Short","Bodysuit"))</f>
        <v>Romper Longer</v>
      </c>
      <c r="H80" s="38">
        <f t="shared" si="8"/>
        <v>3</v>
      </c>
      <c r="I80" s="54">
        <f t="shared" ref="I80:I143" si="15">WEEKNUM(A80)</f>
        <v>10</v>
      </c>
      <c r="J80" s="14" t="str">
        <f t="shared" si="12"/>
        <v>Easter</v>
      </c>
      <c r="K80" s="16" t="str">
        <f t="shared" si="9"/>
        <v>6-12</v>
      </c>
      <c r="L80" s="14" t="str">
        <f t="shared" si="13"/>
        <v>Romper Longer | 6-12 | Cream</v>
      </c>
      <c r="M80" s="16" t="s">
        <v>3611</v>
      </c>
    </row>
    <row r="81" spans="1:13" ht="25" customHeight="1" x14ac:dyDescent="0.45">
      <c r="A81" s="8">
        <v>46087</v>
      </c>
      <c r="B81" s="3" t="s">
        <v>641</v>
      </c>
      <c r="C81" s="4" t="s">
        <v>559</v>
      </c>
      <c r="D81" s="53" t="str">
        <f t="shared" si="10"/>
        <v xml:space="preserve"> Sage Green</v>
      </c>
      <c r="E81" s="4" t="s">
        <v>580</v>
      </c>
      <c r="F81" s="4" t="s">
        <v>13</v>
      </c>
      <c r="G81" s="4" t="str">
        <f t="shared" si="14"/>
        <v>Romper Short</v>
      </c>
      <c r="H81" s="38">
        <f t="shared" si="8"/>
        <v>3</v>
      </c>
      <c r="I81" s="54">
        <f t="shared" si="15"/>
        <v>10</v>
      </c>
      <c r="J81" s="14" t="str">
        <f t="shared" si="12"/>
        <v>Easter</v>
      </c>
      <c r="K81" s="16" t="str">
        <f t="shared" si="9"/>
        <v>0-3</v>
      </c>
      <c r="L81" s="14" t="str">
        <f t="shared" si="13"/>
        <v>Romper Short | 0-3 | Sage Green</v>
      </c>
      <c r="M81" s="16" t="s">
        <v>3610</v>
      </c>
    </row>
    <row r="82" spans="1:13" ht="25" customHeight="1" x14ac:dyDescent="0.45">
      <c r="A82" s="6">
        <v>46088</v>
      </c>
      <c r="B82" s="3" t="s">
        <v>642</v>
      </c>
      <c r="C82" s="4" t="s">
        <v>87</v>
      </c>
      <c r="D82" s="53" t="str">
        <f t="shared" si="10"/>
        <v>Cream</v>
      </c>
      <c r="E82" s="4" t="s">
        <v>580</v>
      </c>
      <c r="F82" s="4" t="s">
        <v>7</v>
      </c>
      <c r="G82" s="4" t="str">
        <f t="shared" si="14"/>
        <v>Romper Short</v>
      </c>
      <c r="H82" s="38">
        <f t="shared" si="8"/>
        <v>3</v>
      </c>
      <c r="I82" s="54">
        <f t="shared" si="15"/>
        <v>10</v>
      </c>
      <c r="J82" s="14" t="str">
        <f t="shared" si="12"/>
        <v>Easter</v>
      </c>
      <c r="K82" s="16" t="str">
        <f t="shared" si="9"/>
        <v>0-3</v>
      </c>
      <c r="L82" s="14" t="str">
        <f t="shared" si="13"/>
        <v>Romper Short | 0-3 | Cream</v>
      </c>
      <c r="M82" s="16" t="s">
        <v>3609</v>
      </c>
    </row>
    <row r="83" spans="1:13" ht="25" customHeight="1" x14ac:dyDescent="0.45">
      <c r="A83" s="10">
        <v>46088</v>
      </c>
      <c r="B83" s="3" t="s">
        <v>643</v>
      </c>
      <c r="C83" s="4" t="s">
        <v>101</v>
      </c>
      <c r="D83" s="53" t="str">
        <f t="shared" si="10"/>
        <v>Sage Green</v>
      </c>
      <c r="E83" s="4" t="s">
        <v>555</v>
      </c>
      <c r="F83" s="4" t="s">
        <v>7</v>
      </c>
      <c r="G83" s="4" t="str">
        <f t="shared" si="14"/>
        <v>Romper Longer</v>
      </c>
      <c r="H83" s="38">
        <f t="shared" si="8"/>
        <v>3</v>
      </c>
      <c r="I83" s="54">
        <f t="shared" si="15"/>
        <v>10</v>
      </c>
      <c r="J83" s="14" t="str">
        <f t="shared" si="12"/>
        <v>Easter</v>
      </c>
      <c r="K83" s="16" t="str">
        <f t="shared" si="9"/>
        <v>3-6</v>
      </c>
      <c r="L83" s="14" t="str">
        <f t="shared" si="13"/>
        <v>Romper Longer | 3-6 | Sage Green</v>
      </c>
      <c r="M83" s="16" t="s">
        <v>3611</v>
      </c>
    </row>
    <row r="84" spans="1:13" ht="25" customHeight="1" x14ac:dyDescent="0.45">
      <c r="A84" s="6">
        <v>46089</v>
      </c>
      <c r="B84" s="3" t="s">
        <v>644</v>
      </c>
      <c r="C84" s="4" t="s">
        <v>87</v>
      </c>
      <c r="D84" s="53" t="str">
        <f t="shared" si="10"/>
        <v>Cream</v>
      </c>
      <c r="E84" s="4" t="s">
        <v>485</v>
      </c>
      <c r="F84" s="4" t="s">
        <v>15</v>
      </c>
      <c r="G84" s="4" t="str">
        <f t="shared" si="14"/>
        <v>Romper Short</v>
      </c>
      <c r="H84" s="38">
        <f t="shared" si="8"/>
        <v>3</v>
      </c>
      <c r="I84" s="54">
        <f t="shared" si="15"/>
        <v>11</v>
      </c>
      <c r="J84" s="14" t="str">
        <f t="shared" si="12"/>
        <v>Easter</v>
      </c>
      <c r="K84" s="16" t="str">
        <f t="shared" si="9"/>
        <v>3-6</v>
      </c>
      <c r="L84" s="14" t="str">
        <f t="shared" si="13"/>
        <v>Romper Short | 3-6 | Cream</v>
      </c>
      <c r="M84" s="16" t="s">
        <v>3609</v>
      </c>
    </row>
    <row r="85" spans="1:13" ht="25" customHeight="1" x14ac:dyDescent="0.45">
      <c r="A85" s="10">
        <v>46089</v>
      </c>
      <c r="B85" s="3" t="s">
        <v>645</v>
      </c>
      <c r="C85" s="4" t="s">
        <v>87</v>
      </c>
      <c r="D85" s="53" t="str">
        <f t="shared" si="10"/>
        <v>Cream</v>
      </c>
      <c r="E85" s="4" t="s">
        <v>479</v>
      </c>
      <c r="F85" s="4" t="s">
        <v>7</v>
      </c>
      <c r="G85" s="4" t="str">
        <f t="shared" si="14"/>
        <v>Romper Longer</v>
      </c>
      <c r="H85" s="38">
        <f t="shared" si="8"/>
        <v>3</v>
      </c>
      <c r="I85" s="54">
        <f t="shared" si="15"/>
        <v>11</v>
      </c>
      <c r="J85" s="14" t="str">
        <f t="shared" si="12"/>
        <v>Easter</v>
      </c>
      <c r="K85" s="16" t="str">
        <f t="shared" si="9"/>
        <v>6-12</v>
      </c>
      <c r="L85" s="14" t="str">
        <f t="shared" si="13"/>
        <v>Romper Longer | 6-12 | Cream</v>
      </c>
      <c r="M85" s="16" t="s">
        <v>3611</v>
      </c>
    </row>
    <row r="86" spans="1:13" ht="25" customHeight="1" x14ac:dyDescent="0.45">
      <c r="A86" s="10">
        <v>46089</v>
      </c>
      <c r="B86" s="3" t="s">
        <v>646</v>
      </c>
      <c r="C86" s="4" t="s">
        <v>87</v>
      </c>
      <c r="D86" s="53" t="str">
        <f t="shared" si="10"/>
        <v>Cream</v>
      </c>
      <c r="E86" s="4" t="s">
        <v>555</v>
      </c>
      <c r="F86" s="4" t="s">
        <v>19</v>
      </c>
      <c r="G86" s="4" t="str">
        <f t="shared" si="14"/>
        <v>Romper Longer</v>
      </c>
      <c r="H86" s="38">
        <f t="shared" si="8"/>
        <v>3</v>
      </c>
      <c r="I86" s="54">
        <f t="shared" si="15"/>
        <v>11</v>
      </c>
      <c r="J86" s="14" t="str">
        <f t="shared" si="12"/>
        <v>Easter</v>
      </c>
      <c r="K86" s="16" t="str">
        <f t="shared" si="9"/>
        <v>3-6</v>
      </c>
      <c r="L86" s="14" t="str">
        <f t="shared" si="13"/>
        <v>Romper Longer | 3-6 | Cream</v>
      </c>
      <c r="M86" s="16" t="s">
        <v>3609</v>
      </c>
    </row>
    <row r="87" spans="1:13" ht="25" customHeight="1" x14ac:dyDescent="0.45">
      <c r="A87" s="10">
        <v>46089</v>
      </c>
      <c r="B87" s="3" t="s">
        <v>647</v>
      </c>
      <c r="C87" s="4" t="s">
        <v>483</v>
      </c>
      <c r="D87" s="53" t="str">
        <f t="shared" si="10"/>
        <v>Forest Green</v>
      </c>
      <c r="E87" s="4" t="s">
        <v>596</v>
      </c>
      <c r="F87" s="4" t="s">
        <v>7</v>
      </c>
      <c r="G87" s="4" t="str">
        <f t="shared" si="14"/>
        <v>Romper Longer</v>
      </c>
      <c r="H87" s="38">
        <f t="shared" si="8"/>
        <v>3</v>
      </c>
      <c r="I87" s="54">
        <f t="shared" si="15"/>
        <v>11</v>
      </c>
      <c r="J87" s="14" t="str">
        <f t="shared" si="12"/>
        <v>Easter</v>
      </c>
      <c r="K87" s="16" t="str">
        <f t="shared" si="9"/>
        <v>12-18</v>
      </c>
      <c r="L87" s="14" t="str">
        <f t="shared" si="13"/>
        <v>Romper Longer | 12-18 | Forest Green</v>
      </c>
      <c r="M87" s="16" t="s">
        <v>3610</v>
      </c>
    </row>
    <row r="88" spans="1:13" ht="25" customHeight="1" x14ac:dyDescent="0.45">
      <c r="A88" s="10">
        <v>46089</v>
      </c>
      <c r="B88" s="3" t="s">
        <v>648</v>
      </c>
      <c r="C88" s="4" t="s">
        <v>470</v>
      </c>
      <c r="D88" s="53" t="str">
        <f t="shared" si="10"/>
        <v>Caldet Blue</v>
      </c>
      <c r="E88" s="4" t="s">
        <v>580</v>
      </c>
      <c r="F88" s="4" t="s">
        <v>7</v>
      </c>
      <c r="G88" s="4" t="str">
        <f t="shared" si="14"/>
        <v>Romper Short</v>
      </c>
      <c r="H88" s="38">
        <f t="shared" si="8"/>
        <v>3</v>
      </c>
      <c r="I88" s="54">
        <f t="shared" si="15"/>
        <v>11</v>
      </c>
      <c r="J88" s="14" t="str">
        <f t="shared" si="12"/>
        <v>Easter</v>
      </c>
      <c r="K88" s="16" t="str">
        <f t="shared" si="9"/>
        <v>0-3</v>
      </c>
      <c r="L88" s="14" t="str">
        <f t="shared" si="13"/>
        <v>Romper Short | 0-3 | Caldet Blue</v>
      </c>
      <c r="M88" s="16" t="s">
        <v>3610</v>
      </c>
    </row>
    <row r="89" spans="1:13" ht="25" customHeight="1" x14ac:dyDescent="0.45">
      <c r="A89" s="10">
        <v>46089</v>
      </c>
      <c r="B89" s="3" t="s">
        <v>649</v>
      </c>
      <c r="C89" s="4" t="s">
        <v>508</v>
      </c>
      <c r="D89" s="53" t="str">
        <f t="shared" si="10"/>
        <v>Dusty Pink</v>
      </c>
      <c r="E89" s="4" t="s">
        <v>555</v>
      </c>
      <c r="F89" s="4" t="s">
        <v>7</v>
      </c>
      <c r="G89" s="4" t="str">
        <f t="shared" si="14"/>
        <v>Romper Longer</v>
      </c>
      <c r="H89" s="38">
        <f t="shared" si="8"/>
        <v>3</v>
      </c>
      <c r="I89" s="54">
        <f t="shared" si="15"/>
        <v>11</v>
      </c>
      <c r="J89" s="14" t="str">
        <f t="shared" si="12"/>
        <v>Easter</v>
      </c>
      <c r="K89" s="16" t="str">
        <f t="shared" si="9"/>
        <v>3-6</v>
      </c>
      <c r="L89" s="14" t="str">
        <f t="shared" si="13"/>
        <v>Romper Longer | 3-6 | Dusty Pink</v>
      </c>
      <c r="M89" s="16" t="s">
        <v>3610</v>
      </c>
    </row>
    <row r="90" spans="1:13" ht="25" customHeight="1" x14ac:dyDescent="0.45">
      <c r="A90" s="10">
        <v>46089</v>
      </c>
      <c r="B90" s="3" t="s">
        <v>650</v>
      </c>
      <c r="C90" s="4" t="s">
        <v>87</v>
      </c>
      <c r="D90" s="53" t="str">
        <f t="shared" si="10"/>
        <v>Cream</v>
      </c>
      <c r="E90" s="4" t="s">
        <v>490</v>
      </c>
      <c r="F90" s="4" t="s">
        <v>7</v>
      </c>
      <c r="G90" s="4" t="str">
        <f t="shared" si="14"/>
        <v>Romper Longer</v>
      </c>
      <c r="H90" s="38">
        <f t="shared" si="8"/>
        <v>3</v>
      </c>
      <c r="I90" s="54">
        <f t="shared" si="15"/>
        <v>11</v>
      </c>
      <c r="J90" s="14" t="str">
        <f t="shared" si="12"/>
        <v>Easter</v>
      </c>
      <c r="K90" s="16" t="str">
        <f t="shared" si="9"/>
        <v>0-3</v>
      </c>
      <c r="L90" s="14" t="str">
        <f t="shared" si="13"/>
        <v>Romper Longer | 0-3 | Cream</v>
      </c>
      <c r="M90" s="16" t="s">
        <v>3609</v>
      </c>
    </row>
    <row r="91" spans="1:13" ht="25" customHeight="1" x14ac:dyDescent="0.45">
      <c r="A91" s="10">
        <v>46089</v>
      </c>
      <c r="B91" s="3" t="s">
        <v>651</v>
      </c>
      <c r="C91" s="4" t="s">
        <v>528</v>
      </c>
      <c r="D91" s="53" t="str">
        <f t="shared" si="10"/>
        <v>Watermelon</v>
      </c>
      <c r="E91" s="4" t="s">
        <v>485</v>
      </c>
      <c r="F91" s="4" t="s">
        <v>7</v>
      </c>
      <c r="G91" s="4" t="str">
        <f t="shared" si="14"/>
        <v>Romper Short</v>
      </c>
      <c r="H91" s="38">
        <f t="shared" si="8"/>
        <v>3</v>
      </c>
      <c r="I91" s="54">
        <f t="shared" si="15"/>
        <v>11</v>
      </c>
      <c r="J91" s="14" t="str">
        <f t="shared" si="12"/>
        <v>Easter</v>
      </c>
      <c r="K91" s="16" t="str">
        <f t="shared" si="9"/>
        <v>3-6</v>
      </c>
      <c r="L91" s="14" t="str">
        <f t="shared" si="13"/>
        <v>Romper Short | 3-6 | Watermelon</v>
      </c>
      <c r="M91" s="16" t="s">
        <v>3610</v>
      </c>
    </row>
    <row r="92" spans="1:13" ht="25" customHeight="1" x14ac:dyDescent="0.45">
      <c r="A92" s="10">
        <v>46089</v>
      </c>
      <c r="B92" s="3" t="s">
        <v>652</v>
      </c>
      <c r="C92" s="4" t="s">
        <v>573</v>
      </c>
      <c r="D92" s="53" t="str">
        <f t="shared" si="10"/>
        <v>Mauve Taupe</v>
      </c>
      <c r="E92" s="4" t="s">
        <v>490</v>
      </c>
      <c r="F92" s="4" t="s">
        <v>18</v>
      </c>
      <c r="G92" s="4" t="str">
        <f t="shared" si="14"/>
        <v>Romper Longer</v>
      </c>
      <c r="H92" s="38">
        <f t="shared" si="8"/>
        <v>3</v>
      </c>
      <c r="I92" s="54">
        <f t="shared" si="15"/>
        <v>11</v>
      </c>
      <c r="J92" s="14" t="str">
        <f t="shared" si="12"/>
        <v>Easter</v>
      </c>
      <c r="K92" s="16" t="str">
        <f t="shared" si="9"/>
        <v>0-3</v>
      </c>
      <c r="L92" s="14" t="str">
        <f t="shared" si="13"/>
        <v>Romper Longer | 0-3 | Mauve Taupe</v>
      </c>
      <c r="M92" s="16" t="s">
        <v>3610</v>
      </c>
    </row>
    <row r="93" spans="1:13" ht="25" customHeight="1" x14ac:dyDescent="0.45">
      <c r="A93" s="6">
        <v>46090</v>
      </c>
      <c r="B93" s="3" t="s">
        <v>653</v>
      </c>
      <c r="C93" s="4" t="s">
        <v>101</v>
      </c>
      <c r="D93" s="53" t="str">
        <f t="shared" si="10"/>
        <v>Sage Green</v>
      </c>
      <c r="E93" s="4" t="s">
        <v>555</v>
      </c>
      <c r="F93" s="4" t="s">
        <v>7</v>
      </c>
      <c r="G93" s="4" t="str">
        <f t="shared" si="14"/>
        <v>Romper Longer</v>
      </c>
      <c r="H93" s="38">
        <f t="shared" si="8"/>
        <v>3</v>
      </c>
      <c r="I93" s="54">
        <f t="shared" si="15"/>
        <v>11</v>
      </c>
      <c r="J93" s="14" t="str">
        <f t="shared" si="12"/>
        <v>Easter</v>
      </c>
      <c r="K93" s="16" t="str">
        <f t="shared" si="9"/>
        <v>3-6</v>
      </c>
      <c r="L93" s="14" t="str">
        <f t="shared" si="13"/>
        <v>Romper Longer | 3-6 | Sage Green</v>
      </c>
      <c r="M93" s="16" t="s">
        <v>3611</v>
      </c>
    </row>
    <row r="94" spans="1:13" ht="25" customHeight="1" x14ac:dyDescent="0.45">
      <c r="A94" s="6">
        <v>46090</v>
      </c>
      <c r="B94" s="3" t="s">
        <v>654</v>
      </c>
      <c r="C94" s="4" t="s">
        <v>101</v>
      </c>
      <c r="D94" s="53" t="str">
        <f t="shared" si="10"/>
        <v>Sage Green</v>
      </c>
      <c r="E94" s="4" t="s">
        <v>479</v>
      </c>
      <c r="F94" s="4" t="s">
        <v>7</v>
      </c>
      <c r="G94" s="4" t="str">
        <f t="shared" si="14"/>
        <v>Romper Longer</v>
      </c>
      <c r="H94" s="38">
        <f t="shared" si="8"/>
        <v>3</v>
      </c>
      <c r="I94" s="54">
        <f t="shared" si="15"/>
        <v>11</v>
      </c>
      <c r="J94" s="14" t="str">
        <f t="shared" si="12"/>
        <v>Easter</v>
      </c>
      <c r="K94" s="16" t="str">
        <f t="shared" si="9"/>
        <v>6-12</v>
      </c>
      <c r="L94" s="14" t="str">
        <f t="shared" si="13"/>
        <v>Romper Longer | 6-12 | Sage Green</v>
      </c>
      <c r="M94" s="16" t="s">
        <v>3610</v>
      </c>
    </row>
    <row r="95" spans="1:13" ht="25" customHeight="1" x14ac:dyDescent="0.45">
      <c r="A95" s="6">
        <v>46090</v>
      </c>
      <c r="B95" s="3" t="s">
        <v>654</v>
      </c>
      <c r="C95" s="4" t="s">
        <v>483</v>
      </c>
      <c r="D95" s="53" t="str">
        <f t="shared" si="10"/>
        <v>Forest Green</v>
      </c>
      <c r="E95" s="4" t="s">
        <v>490</v>
      </c>
      <c r="F95" s="4" t="s">
        <v>7</v>
      </c>
      <c r="G95" s="4" t="str">
        <f t="shared" si="14"/>
        <v>Romper Longer</v>
      </c>
      <c r="H95" s="38">
        <f t="shared" si="8"/>
        <v>3</v>
      </c>
      <c r="I95" s="54">
        <f t="shared" si="15"/>
        <v>11</v>
      </c>
      <c r="J95" s="14" t="str">
        <f t="shared" si="12"/>
        <v>Easter</v>
      </c>
      <c r="K95" s="16" t="str">
        <f t="shared" si="9"/>
        <v>0-3</v>
      </c>
      <c r="L95" s="14" t="str">
        <f t="shared" si="13"/>
        <v>Romper Longer | 0-3 | Forest Green</v>
      </c>
      <c r="M95" s="16" t="s">
        <v>3610</v>
      </c>
    </row>
    <row r="96" spans="1:13" ht="25" customHeight="1" x14ac:dyDescent="0.45">
      <c r="A96" s="6">
        <v>46090</v>
      </c>
      <c r="B96" s="3" t="s">
        <v>655</v>
      </c>
      <c r="C96" s="4" t="s">
        <v>87</v>
      </c>
      <c r="D96" s="53" t="str">
        <f t="shared" si="10"/>
        <v>Cream</v>
      </c>
      <c r="E96" s="4" t="s">
        <v>479</v>
      </c>
      <c r="F96" s="4" t="s">
        <v>7</v>
      </c>
      <c r="G96" s="4" t="str">
        <f t="shared" si="14"/>
        <v>Romper Longer</v>
      </c>
      <c r="H96" s="38">
        <f t="shared" si="8"/>
        <v>3</v>
      </c>
      <c r="I96" s="54">
        <f t="shared" si="15"/>
        <v>11</v>
      </c>
      <c r="J96" s="14" t="str">
        <f t="shared" si="12"/>
        <v>Easter</v>
      </c>
      <c r="K96" s="16" t="str">
        <f t="shared" si="9"/>
        <v>6-12</v>
      </c>
      <c r="L96" s="14" t="str">
        <f t="shared" si="13"/>
        <v>Romper Longer | 6-12 | Cream</v>
      </c>
      <c r="M96" s="16" t="s">
        <v>3611</v>
      </c>
    </row>
    <row r="97" spans="1:13" ht="25" customHeight="1" x14ac:dyDescent="0.45">
      <c r="A97" s="6">
        <v>46090</v>
      </c>
      <c r="B97" s="3" t="s">
        <v>656</v>
      </c>
      <c r="C97" s="4" t="s">
        <v>470</v>
      </c>
      <c r="D97" s="53" t="str">
        <f t="shared" si="10"/>
        <v>Caldet Blue</v>
      </c>
      <c r="E97" s="4" t="s">
        <v>485</v>
      </c>
      <c r="F97" s="4" t="s">
        <v>7</v>
      </c>
      <c r="G97" s="4" t="str">
        <f t="shared" si="14"/>
        <v>Romper Short</v>
      </c>
      <c r="H97" s="38">
        <f t="shared" si="8"/>
        <v>3</v>
      </c>
      <c r="I97" s="54">
        <f t="shared" si="15"/>
        <v>11</v>
      </c>
      <c r="J97" s="14" t="str">
        <f t="shared" si="12"/>
        <v>Easter</v>
      </c>
      <c r="K97" s="16" t="str">
        <f t="shared" si="9"/>
        <v>3-6</v>
      </c>
      <c r="L97" s="14" t="str">
        <f t="shared" si="13"/>
        <v>Romper Short | 3-6 | Caldet Blue</v>
      </c>
      <c r="M97" s="16" t="s">
        <v>3610</v>
      </c>
    </row>
    <row r="98" spans="1:13" ht="25" customHeight="1" x14ac:dyDescent="0.45">
      <c r="A98" s="6">
        <v>46090</v>
      </c>
      <c r="B98" s="3" t="s">
        <v>657</v>
      </c>
      <c r="C98" s="4" t="s">
        <v>87</v>
      </c>
      <c r="D98" s="53" t="str">
        <f t="shared" si="10"/>
        <v>Cream</v>
      </c>
      <c r="E98" s="4" t="s">
        <v>658</v>
      </c>
      <c r="F98" s="4" t="s">
        <v>7</v>
      </c>
      <c r="G98" s="4" t="str">
        <f t="shared" si="14"/>
        <v>Romper Longer</v>
      </c>
      <c r="H98" s="38">
        <f t="shared" si="8"/>
        <v>3</v>
      </c>
      <c r="I98" s="54">
        <f t="shared" si="15"/>
        <v>11</v>
      </c>
      <c r="J98" s="14" t="str">
        <f t="shared" si="12"/>
        <v>Easter</v>
      </c>
      <c r="K98" s="16" t="str">
        <f t="shared" si="9"/>
        <v>3-6</v>
      </c>
      <c r="L98" s="14" t="str">
        <f t="shared" si="13"/>
        <v>Romper Longer | 3-6 | Cream</v>
      </c>
      <c r="M98" s="16" t="s">
        <v>3609</v>
      </c>
    </row>
    <row r="99" spans="1:13" ht="25" customHeight="1" x14ac:dyDescent="0.45">
      <c r="A99" s="6">
        <v>46091</v>
      </c>
      <c r="B99" s="3" t="s">
        <v>659</v>
      </c>
      <c r="C99" s="4" t="s">
        <v>184</v>
      </c>
      <c r="D99" s="53" t="str">
        <f t="shared" si="10"/>
        <v>Coffee</v>
      </c>
      <c r="E99" s="4" t="s">
        <v>555</v>
      </c>
      <c r="F99" s="4" t="s">
        <v>7</v>
      </c>
      <c r="G99" s="4" t="str">
        <f t="shared" si="14"/>
        <v>Romper Longer</v>
      </c>
      <c r="H99" s="38">
        <f t="shared" si="8"/>
        <v>3</v>
      </c>
      <c r="I99" s="54">
        <f t="shared" si="15"/>
        <v>11</v>
      </c>
      <c r="J99" s="14" t="str">
        <f t="shared" si="12"/>
        <v>Easter</v>
      </c>
      <c r="K99" s="16" t="str">
        <f t="shared" si="9"/>
        <v>3-6</v>
      </c>
      <c r="L99" s="14" t="str">
        <f t="shared" si="13"/>
        <v>Romper Longer | 3-6 | Coffee</v>
      </c>
      <c r="M99" s="16" t="s">
        <v>3610</v>
      </c>
    </row>
    <row r="100" spans="1:13" ht="25" customHeight="1" x14ac:dyDescent="0.45">
      <c r="A100" s="6">
        <v>46091</v>
      </c>
      <c r="B100" s="3" t="s">
        <v>660</v>
      </c>
      <c r="C100" s="4" t="s">
        <v>87</v>
      </c>
      <c r="D100" s="53" t="str">
        <f t="shared" si="10"/>
        <v>Cream</v>
      </c>
      <c r="E100" s="4" t="s">
        <v>580</v>
      </c>
      <c r="F100" s="4" t="s">
        <v>19</v>
      </c>
      <c r="G100" s="4" t="str">
        <f t="shared" si="14"/>
        <v>Romper Short</v>
      </c>
      <c r="H100" s="38">
        <f t="shared" si="8"/>
        <v>3</v>
      </c>
      <c r="I100" s="54">
        <f t="shared" si="15"/>
        <v>11</v>
      </c>
      <c r="J100" s="14" t="str">
        <f t="shared" si="12"/>
        <v>Easter</v>
      </c>
      <c r="K100" s="16" t="str">
        <f t="shared" si="9"/>
        <v>0-3</v>
      </c>
      <c r="L100" s="14" t="str">
        <f t="shared" si="13"/>
        <v>Romper Short | 0-3 | Cream</v>
      </c>
      <c r="M100" s="16" t="s">
        <v>3609</v>
      </c>
    </row>
    <row r="101" spans="1:13" ht="25" customHeight="1" x14ac:dyDescent="0.45">
      <c r="A101" s="6">
        <v>46091</v>
      </c>
      <c r="B101" s="3" t="s">
        <v>661</v>
      </c>
      <c r="C101" s="4" t="s">
        <v>101</v>
      </c>
      <c r="D101" s="53" t="str">
        <f t="shared" si="10"/>
        <v>Sage Green</v>
      </c>
      <c r="E101" s="4" t="s">
        <v>490</v>
      </c>
      <c r="F101" s="4" t="s">
        <v>7</v>
      </c>
      <c r="G101" s="4" t="str">
        <f t="shared" si="14"/>
        <v>Romper Longer</v>
      </c>
      <c r="H101" s="38">
        <f t="shared" si="8"/>
        <v>3</v>
      </c>
      <c r="I101" s="54">
        <f t="shared" si="15"/>
        <v>11</v>
      </c>
      <c r="J101" s="14" t="str">
        <f t="shared" si="12"/>
        <v>Easter</v>
      </c>
      <c r="K101" s="16" t="str">
        <f t="shared" si="9"/>
        <v>0-3</v>
      </c>
      <c r="L101" s="14" t="str">
        <f t="shared" si="13"/>
        <v>Romper Longer | 0-3 | Sage Green</v>
      </c>
      <c r="M101" s="16" t="s">
        <v>3611</v>
      </c>
    </row>
    <row r="102" spans="1:13" ht="25" customHeight="1" x14ac:dyDescent="0.45">
      <c r="A102" s="6">
        <v>46091</v>
      </c>
      <c r="B102" s="3" t="s">
        <v>662</v>
      </c>
      <c r="C102" s="4" t="s">
        <v>87</v>
      </c>
      <c r="D102" s="53" t="str">
        <f t="shared" si="10"/>
        <v>Cream</v>
      </c>
      <c r="E102" s="4" t="s">
        <v>485</v>
      </c>
      <c r="F102" s="4" t="s">
        <v>7</v>
      </c>
      <c r="G102" s="4" t="str">
        <f t="shared" si="14"/>
        <v>Romper Short</v>
      </c>
      <c r="H102" s="38">
        <f t="shared" si="8"/>
        <v>3</v>
      </c>
      <c r="I102" s="54">
        <f t="shared" si="15"/>
        <v>11</v>
      </c>
      <c r="J102" s="14" t="str">
        <f t="shared" si="12"/>
        <v>Easter</v>
      </c>
      <c r="K102" s="16" t="str">
        <f t="shared" si="9"/>
        <v>3-6</v>
      </c>
      <c r="L102" s="14" t="str">
        <f t="shared" si="13"/>
        <v>Romper Short | 3-6 | Cream</v>
      </c>
      <c r="M102" s="16" t="s">
        <v>3609</v>
      </c>
    </row>
    <row r="103" spans="1:13" ht="25" customHeight="1" x14ac:dyDescent="0.45">
      <c r="A103" s="6">
        <v>46091</v>
      </c>
      <c r="B103" s="3" t="s">
        <v>663</v>
      </c>
      <c r="C103" s="4" t="s">
        <v>87</v>
      </c>
      <c r="D103" s="53" t="str">
        <f t="shared" si="10"/>
        <v>Cream</v>
      </c>
      <c r="E103" s="4" t="s">
        <v>485</v>
      </c>
      <c r="F103" s="4" t="s">
        <v>7</v>
      </c>
      <c r="G103" s="4" t="str">
        <f t="shared" si="14"/>
        <v>Romper Short</v>
      </c>
      <c r="H103" s="38">
        <f t="shared" si="8"/>
        <v>3</v>
      </c>
      <c r="I103" s="54">
        <f t="shared" si="15"/>
        <v>11</v>
      </c>
      <c r="J103" s="14" t="str">
        <f t="shared" si="12"/>
        <v>Easter</v>
      </c>
      <c r="K103" s="16" t="str">
        <f t="shared" si="9"/>
        <v>3-6</v>
      </c>
      <c r="L103" s="14" t="str">
        <f t="shared" si="13"/>
        <v>Romper Short | 3-6 | Cream</v>
      </c>
      <c r="M103" s="16" t="s">
        <v>3609</v>
      </c>
    </row>
    <row r="104" spans="1:13" ht="25" customHeight="1" x14ac:dyDescent="0.45">
      <c r="A104" s="6">
        <v>46091</v>
      </c>
      <c r="B104" s="3" t="s">
        <v>664</v>
      </c>
      <c r="C104" s="4" t="s">
        <v>184</v>
      </c>
      <c r="D104" s="53" t="str">
        <f t="shared" si="10"/>
        <v>Coffee</v>
      </c>
      <c r="E104" s="4" t="s">
        <v>580</v>
      </c>
      <c r="F104" s="4" t="s">
        <v>7</v>
      </c>
      <c r="G104" s="4" t="str">
        <f t="shared" si="14"/>
        <v>Romper Short</v>
      </c>
      <c r="H104" s="38">
        <f t="shared" si="8"/>
        <v>3</v>
      </c>
      <c r="I104" s="54">
        <f t="shared" si="15"/>
        <v>11</v>
      </c>
      <c r="J104" s="14" t="str">
        <f t="shared" si="12"/>
        <v>Easter</v>
      </c>
      <c r="K104" s="16" t="str">
        <f t="shared" si="9"/>
        <v>0-3</v>
      </c>
      <c r="L104" s="14" t="str">
        <f t="shared" si="13"/>
        <v>Romper Short | 0-3 | Coffee</v>
      </c>
      <c r="M104" s="16" t="s">
        <v>3610</v>
      </c>
    </row>
    <row r="105" spans="1:13" ht="25" customHeight="1" x14ac:dyDescent="0.45">
      <c r="A105" s="6">
        <v>46091</v>
      </c>
      <c r="B105" s="3" t="s">
        <v>665</v>
      </c>
      <c r="C105" s="4" t="s">
        <v>114</v>
      </c>
      <c r="D105" s="53" t="str">
        <f t="shared" si="10"/>
        <v>White</v>
      </c>
      <c r="E105" s="4" t="s">
        <v>580</v>
      </c>
      <c r="F105" s="4" t="s">
        <v>7</v>
      </c>
      <c r="G105" s="4" t="str">
        <f t="shared" si="14"/>
        <v>Romper Short</v>
      </c>
      <c r="H105" s="38">
        <f t="shared" si="8"/>
        <v>3</v>
      </c>
      <c r="I105" s="54">
        <f t="shared" si="15"/>
        <v>11</v>
      </c>
      <c r="J105" s="14" t="str">
        <f t="shared" si="12"/>
        <v>Easter</v>
      </c>
      <c r="K105" s="16" t="str">
        <f t="shared" si="9"/>
        <v>0-3</v>
      </c>
      <c r="L105" s="14" t="str">
        <f t="shared" si="13"/>
        <v>Romper Short | 0-3 | White</v>
      </c>
      <c r="M105" s="16" t="s">
        <v>3610</v>
      </c>
    </row>
    <row r="106" spans="1:13" ht="25" customHeight="1" x14ac:dyDescent="0.45">
      <c r="A106" s="6">
        <v>46091</v>
      </c>
      <c r="B106" s="3" t="s">
        <v>666</v>
      </c>
      <c r="C106" s="4" t="s">
        <v>101</v>
      </c>
      <c r="D106" s="53" t="str">
        <f t="shared" si="10"/>
        <v>Sage Green</v>
      </c>
      <c r="E106" s="4" t="s">
        <v>580</v>
      </c>
      <c r="F106" s="4" t="s">
        <v>7</v>
      </c>
      <c r="G106" s="4" t="str">
        <f t="shared" si="14"/>
        <v>Romper Short</v>
      </c>
      <c r="H106" s="38">
        <f t="shared" si="8"/>
        <v>3</v>
      </c>
      <c r="I106" s="54">
        <f t="shared" si="15"/>
        <v>11</v>
      </c>
      <c r="J106" s="14" t="str">
        <f t="shared" si="12"/>
        <v>Easter</v>
      </c>
      <c r="K106" s="16" t="str">
        <f t="shared" si="9"/>
        <v>0-3</v>
      </c>
      <c r="L106" s="14" t="str">
        <f t="shared" si="13"/>
        <v>Romper Short | 0-3 | Sage Green</v>
      </c>
      <c r="M106" s="16" t="s">
        <v>3610</v>
      </c>
    </row>
    <row r="107" spans="1:13" ht="25" customHeight="1" x14ac:dyDescent="0.45">
      <c r="A107" s="6">
        <v>46091</v>
      </c>
      <c r="B107" s="3" t="s">
        <v>667</v>
      </c>
      <c r="C107" s="4" t="s">
        <v>114</v>
      </c>
      <c r="D107" s="53" t="str">
        <f t="shared" si="10"/>
        <v>White</v>
      </c>
      <c r="E107" s="4" t="s">
        <v>589</v>
      </c>
      <c r="F107" s="4" t="s">
        <v>7</v>
      </c>
      <c r="G107" s="4" t="str">
        <f t="shared" si="14"/>
        <v>Romper Short</v>
      </c>
      <c r="H107" s="38">
        <f t="shared" si="8"/>
        <v>3</v>
      </c>
      <c r="I107" s="54">
        <f t="shared" si="15"/>
        <v>11</v>
      </c>
      <c r="J107" s="14" t="str">
        <f t="shared" si="12"/>
        <v>Easter</v>
      </c>
      <c r="K107" s="16" t="str">
        <f t="shared" si="9"/>
        <v>6-12</v>
      </c>
      <c r="L107" s="14" t="str">
        <f t="shared" si="13"/>
        <v>Romper Short | 6-12 | White</v>
      </c>
      <c r="M107" s="16" t="s">
        <v>3610</v>
      </c>
    </row>
    <row r="108" spans="1:13" ht="25" customHeight="1" x14ac:dyDescent="0.45">
      <c r="A108" s="6">
        <v>46091</v>
      </c>
      <c r="B108" s="3" t="s">
        <v>668</v>
      </c>
      <c r="C108" s="4" t="s">
        <v>114</v>
      </c>
      <c r="D108" s="53" t="str">
        <f t="shared" si="10"/>
        <v>White</v>
      </c>
      <c r="E108" s="4" t="s">
        <v>584</v>
      </c>
      <c r="F108" s="4" t="s">
        <v>7</v>
      </c>
      <c r="G108" s="4" t="str">
        <f t="shared" si="14"/>
        <v>Romper Short</v>
      </c>
      <c r="H108" s="38">
        <f t="shared" si="8"/>
        <v>3</v>
      </c>
      <c r="I108" s="54">
        <f t="shared" si="15"/>
        <v>11</v>
      </c>
      <c r="J108" s="14" t="str">
        <f t="shared" si="12"/>
        <v>Easter</v>
      </c>
      <c r="K108" s="16" t="str">
        <f t="shared" si="9"/>
        <v>18-24</v>
      </c>
      <c r="L108" s="14" t="str">
        <f t="shared" si="13"/>
        <v>Romper Short | 18-24 | White</v>
      </c>
      <c r="M108" s="16" t="s">
        <v>3610</v>
      </c>
    </row>
    <row r="109" spans="1:13" ht="25" customHeight="1" x14ac:dyDescent="0.45">
      <c r="A109" s="6">
        <v>46091</v>
      </c>
      <c r="B109" s="3" t="s">
        <v>669</v>
      </c>
      <c r="C109" s="4" t="s">
        <v>87</v>
      </c>
      <c r="D109" s="53" t="str">
        <f t="shared" si="10"/>
        <v>Cream</v>
      </c>
      <c r="E109" s="4" t="s">
        <v>490</v>
      </c>
      <c r="F109" s="4" t="s">
        <v>7</v>
      </c>
      <c r="G109" s="4" t="str">
        <f t="shared" si="14"/>
        <v>Romper Longer</v>
      </c>
      <c r="H109" s="38">
        <f t="shared" si="8"/>
        <v>3</v>
      </c>
      <c r="I109" s="54">
        <f t="shared" si="15"/>
        <v>11</v>
      </c>
      <c r="J109" s="14" t="str">
        <f t="shared" si="12"/>
        <v>Easter</v>
      </c>
      <c r="K109" s="16" t="str">
        <f t="shared" si="9"/>
        <v>0-3</v>
      </c>
      <c r="L109" s="14" t="str">
        <f t="shared" si="13"/>
        <v>Romper Longer | 0-3 | Cream</v>
      </c>
      <c r="M109" s="16" t="s">
        <v>3609</v>
      </c>
    </row>
    <row r="110" spans="1:13" ht="25" customHeight="1" x14ac:dyDescent="0.45">
      <c r="A110" s="6">
        <v>46092</v>
      </c>
      <c r="B110" s="3" t="s">
        <v>670</v>
      </c>
      <c r="C110" s="4" t="s">
        <v>508</v>
      </c>
      <c r="D110" s="53" t="str">
        <f t="shared" si="10"/>
        <v>Dusty Pink</v>
      </c>
      <c r="E110" s="4" t="s">
        <v>475</v>
      </c>
      <c r="F110" s="4" t="s">
        <v>7</v>
      </c>
      <c r="G110" s="4" t="str">
        <f t="shared" si="14"/>
        <v>Romper Short</v>
      </c>
      <c r="H110" s="38">
        <f t="shared" si="8"/>
        <v>3</v>
      </c>
      <c r="I110" s="54">
        <f t="shared" si="15"/>
        <v>11</v>
      </c>
      <c r="J110" s="14" t="str">
        <f t="shared" si="12"/>
        <v>Easter</v>
      </c>
      <c r="K110" s="16" t="str">
        <f t="shared" si="9"/>
        <v>12-18</v>
      </c>
      <c r="L110" s="14" t="str">
        <f t="shared" si="13"/>
        <v>Romper Short | 12-18 | Dusty Pink</v>
      </c>
      <c r="M110" s="16" t="s">
        <v>3610</v>
      </c>
    </row>
    <row r="111" spans="1:13" ht="25" customHeight="1" x14ac:dyDescent="0.45">
      <c r="A111" s="6">
        <v>46092</v>
      </c>
      <c r="B111" s="3" t="s">
        <v>671</v>
      </c>
      <c r="C111" s="4" t="s">
        <v>87</v>
      </c>
      <c r="D111" s="53" t="str">
        <f t="shared" si="10"/>
        <v>Cream</v>
      </c>
      <c r="E111" s="4" t="s">
        <v>580</v>
      </c>
      <c r="F111" s="4" t="s">
        <v>18</v>
      </c>
      <c r="G111" s="4" t="str">
        <f t="shared" si="14"/>
        <v>Romper Short</v>
      </c>
      <c r="H111" s="38">
        <f t="shared" si="8"/>
        <v>3</v>
      </c>
      <c r="I111" s="54">
        <f t="shared" si="15"/>
        <v>11</v>
      </c>
      <c r="J111" s="14" t="str">
        <f t="shared" si="12"/>
        <v>Easter</v>
      </c>
      <c r="K111" s="16" t="str">
        <f t="shared" si="9"/>
        <v>0-3</v>
      </c>
      <c r="L111" s="14" t="str">
        <f t="shared" si="13"/>
        <v>Romper Short | 0-3 | Cream</v>
      </c>
      <c r="M111" s="16" t="s">
        <v>3609</v>
      </c>
    </row>
    <row r="112" spans="1:13" ht="25" customHeight="1" x14ac:dyDescent="0.45">
      <c r="A112" s="6">
        <v>46092</v>
      </c>
      <c r="B112" s="3" t="s">
        <v>672</v>
      </c>
      <c r="C112" s="4" t="s">
        <v>470</v>
      </c>
      <c r="D112" s="53" t="str">
        <f t="shared" si="10"/>
        <v>Caldet Blue</v>
      </c>
      <c r="E112" s="4" t="s">
        <v>580</v>
      </c>
      <c r="F112" s="4" t="s">
        <v>16</v>
      </c>
      <c r="G112" s="4" t="str">
        <f t="shared" si="14"/>
        <v>Romper Short</v>
      </c>
      <c r="H112" s="38">
        <f t="shared" si="8"/>
        <v>3</v>
      </c>
      <c r="I112" s="54">
        <f t="shared" si="15"/>
        <v>11</v>
      </c>
      <c r="J112" s="14" t="str">
        <f t="shared" si="12"/>
        <v>Easter</v>
      </c>
      <c r="K112" s="16" t="str">
        <f t="shared" si="9"/>
        <v>0-3</v>
      </c>
      <c r="L112" s="14" t="str">
        <f t="shared" si="13"/>
        <v>Romper Short | 0-3 | Caldet Blue</v>
      </c>
      <c r="M112" s="16" t="s">
        <v>3610</v>
      </c>
    </row>
    <row r="113" spans="1:13" ht="25" customHeight="1" x14ac:dyDescent="0.45">
      <c r="A113" s="6">
        <v>46092</v>
      </c>
      <c r="B113" s="3" t="s">
        <v>673</v>
      </c>
      <c r="C113" s="4" t="s">
        <v>508</v>
      </c>
      <c r="D113" s="53" t="str">
        <f t="shared" si="10"/>
        <v>Dusty Pink</v>
      </c>
      <c r="E113" s="4" t="s">
        <v>555</v>
      </c>
      <c r="F113" s="4" t="s">
        <v>14</v>
      </c>
      <c r="G113" s="4" t="str">
        <f t="shared" si="14"/>
        <v>Romper Longer</v>
      </c>
      <c r="H113" s="38">
        <f t="shared" si="8"/>
        <v>3</v>
      </c>
      <c r="I113" s="54">
        <f t="shared" si="15"/>
        <v>11</v>
      </c>
      <c r="J113" s="14" t="str">
        <f t="shared" si="12"/>
        <v>Easter</v>
      </c>
      <c r="K113" s="16" t="str">
        <f t="shared" si="9"/>
        <v>3-6</v>
      </c>
      <c r="L113" s="14" t="str">
        <f t="shared" si="13"/>
        <v>Romper Longer | 3-6 | Dusty Pink</v>
      </c>
      <c r="M113" s="16" t="s">
        <v>3610</v>
      </c>
    </row>
    <row r="114" spans="1:13" ht="25" customHeight="1" x14ac:dyDescent="0.45">
      <c r="A114" s="6">
        <v>46092</v>
      </c>
      <c r="B114" s="3" t="s">
        <v>674</v>
      </c>
      <c r="C114" s="4" t="s">
        <v>508</v>
      </c>
      <c r="D114" s="53" t="str">
        <f t="shared" si="10"/>
        <v>Dusty Pink</v>
      </c>
      <c r="E114" s="4" t="s">
        <v>675</v>
      </c>
      <c r="F114" s="4" t="s">
        <v>14</v>
      </c>
      <c r="G114" s="4" t="str">
        <f t="shared" si="14"/>
        <v>Romper Longer</v>
      </c>
      <c r="H114" s="38">
        <f t="shared" si="8"/>
        <v>3</v>
      </c>
      <c r="I114" s="54">
        <f t="shared" si="15"/>
        <v>11</v>
      </c>
      <c r="J114" s="14" t="str">
        <f t="shared" si="12"/>
        <v>Easter</v>
      </c>
      <c r="K114" s="16" t="str">
        <f t="shared" si="9"/>
        <v>0-3</v>
      </c>
      <c r="L114" s="14" t="str">
        <f t="shared" si="13"/>
        <v>Romper Longer | 0-3 | Dusty Pink</v>
      </c>
      <c r="M114" s="16" t="s">
        <v>3610</v>
      </c>
    </row>
    <row r="115" spans="1:13" ht="25" customHeight="1" x14ac:dyDescent="0.45">
      <c r="A115" s="6">
        <v>46092</v>
      </c>
      <c r="B115" s="3" t="s">
        <v>676</v>
      </c>
      <c r="C115" s="4" t="s">
        <v>101</v>
      </c>
      <c r="D115" s="53" t="str">
        <f t="shared" si="10"/>
        <v>Sage Green</v>
      </c>
      <c r="E115" s="4" t="s">
        <v>485</v>
      </c>
      <c r="F115" s="4" t="s">
        <v>7</v>
      </c>
      <c r="G115" s="4" t="str">
        <f t="shared" si="14"/>
        <v>Romper Short</v>
      </c>
      <c r="H115" s="38">
        <f t="shared" si="8"/>
        <v>3</v>
      </c>
      <c r="I115" s="54">
        <f t="shared" si="15"/>
        <v>11</v>
      </c>
      <c r="J115" s="14" t="str">
        <f t="shared" si="12"/>
        <v>Easter</v>
      </c>
      <c r="K115" s="16" t="str">
        <f t="shared" si="9"/>
        <v>3-6</v>
      </c>
      <c r="L115" s="14" t="str">
        <f t="shared" si="13"/>
        <v>Romper Short | 3-6 | Sage Green</v>
      </c>
      <c r="M115" s="16" t="s">
        <v>3611</v>
      </c>
    </row>
    <row r="116" spans="1:13" ht="25" customHeight="1" x14ac:dyDescent="0.45">
      <c r="A116" s="6">
        <v>46092</v>
      </c>
      <c r="B116" s="3" t="s">
        <v>677</v>
      </c>
      <c r="C116" s="4" t="s">
        <v>87</v>
      </c>
      <c r="D116" s="53" t="str">
        <f t="shared" si="10"/>
        <v>Cream</v>
      </c>
      <c r="E116" s="4" t="s">
        <v>490</v>
      </c>
      <c r="F116" s="4" t="s">
        <v>7</v>
      </c>
      <c r="G116" s="4" t="str">
        <f t="shared" si="14"/>
        <v>Romper Longer</v>
      </c>
      <c r="H116" s="38">
        <f t="shared" si="8"/>
        <v>3</v>
      </c>
      <c r="I116" s="54">
        <f t="shared" si="15"/>
        <v>11</v>
      </c>
      <c r="J116" s="14" t="str">
        <f t="shared" si="12"/>
        <v>Easter</v>
      </c>
      <c r="K116" s="16" t="str">
        <f t="shared" si="9"/>
        <v>0-3</v>
      </c>
      <c r="L116" s="14" t="str">
        <f t="shared" si="13"/>
        <v>Romper Longer | 0-3 | Cream</v>
      </c>
      <c r="M116" s="16" t="s">
        <v>3609</v>
      </c>
    </row>
    <row r="117" spans="1:13" ht="25" customHeight="1" x14ac:dyDescent="0.45">
      <c r="A117" s="6">
        <v>46093</v>
      </c>
      <c r="B117" s="3" t="s">
        <v>678</v>
      </c>
      <c r="C117" s="4" t="s">
        <v>87</v>
      </c>
      <c r="D117" s="53" t="str">
        <f t="shared" si="10"/>
        <v>Cream</v>
      </c>
      <c r="E117" s="4" t="s">
        <v>580</v>
      </c>
      <c r="F117" s="4" t="s">
        <v>15</v>
      </c>
      <c r="G117" s="4" t="str">
        <f t="shared" si="14"/>
        <v>Romper Short</v>
      </c>
      <c r="H117" s="38">
        <f t="shared" si="8"/>
        <v>3</v>
      </c>
      <c r="I117" s="54">
        <f t="shared" si="15"/>
        <v>11</v>
      </c>
      <c r="J117" s="14" t="str">
        <f t="shared" si="12"/>
        <v>Easter</v>
      </c>
      <c r="K117" s="16" t="str">
        <f t="shared" si="9"/>
        <v>0-3</v>
      </c>
      <c r="L117" s="14" t="str">
        <f t="shared" si="13"/>
        <v>Romper Short | 0-3 | Cream</v>
      </c>
      <c r="M117" s="16" t="s">
        <v>3609</v>
      </c>
    </row>
    <row r="118" spans="1:13" ht="25" customHeight="1" x14ac:dyDescent="0.45">
      <c r="A118" s="6">
        <v>46093</v>
      </c>
      <c r="B118" s="3" t="s">
        <v>679</v>
      </c>
      <c r="C118" s="4" t="s">
        <v>470</v>
      </c>
      <c r="D118" s="53" t="str">
        <f t="shared" si="10"/>
        <v>Caldet Blue</v>
      </c>
      <c r="E118" s="4" t="s">
        <v>479</v>
      </c>
      <c r="F118" s="4" t="s">
        <v>7</v>
      </c>
      <c r="G118" s="4" t="str">
        <f t="shared" si="14"/>
        <v>Romper Longer</v>
      </c>
      <c r="H118" s="38">
        <f t="shared" si="8"/>
        <v>3</v>
      </c>
      <c r="I118" s="54">
        <f t="shared" si="15"/>
        <v>11</v>
      </c>
      <c r="J118" s="14" t="str">
        <f t="shared" si="12"/>
        <v>Easter</v>
      </c>
      <c r="K118" s="16" t="str">
        <f t="shared" si="9"/>
        <v>6-12</v>
      </c>
      <c r="L118" s="14" t="str">
        <f t="shared" si="13"/>
        <v>Romper Longer | 6-12 | Caldet Blue</v>
      </c>
      <c r="M118" s="16" t="s">
        <v>3610</v>
      </c>
    </row>
    <row r="119" spans="1:13" ht="25" customHeight="1" x14ac:dyDescent="0.45">
      <c r="A119" s="6">
        <v>46093</v>
      </c>
      <c r="B119" s="3" t="s">
        <v>680</v>
      </c>
      <c r="C119" s="4" t="s">
        <v>87</v>
      </c>
      <c r="D119" s="53" t="str">
        <f t="shared" si="10"/>
        <v>Cream</v>
      </c>
      <c r="E119" s="4" t="s">
        <v>490</v>
      </c>
      <c r="F119" s="4" t="s">
        <v>11</v>
      </c>
      <c r="G119" s="4" t="str">
        <f t="shared" si="14"/>
        <v>Romper Longer</v>
      </c>
      <c r="H119" s="38">
        <f t="shared" si="8"/>
        <v>3</v>
      </c>
      <c r="I119" s="54">
        <f t="shared" si="15"/>
        <v>11</v>
      </c>
      <c r="J119" s="14" t="str">
        <f t="shared" si="12"/>
        <v>Easter</v>
      </c>
      <c r="K119" s="16" t="str">
        <f t="shared" si="9"/>
        <v>0-3</v>
      </c>
      <c r="L119" s="14" t="str">
        <f t="shared" si="13"/>
        <v>Romper Longer | 0-3 | Cream</v>
      </c>
      <c r="M119" s="16" t="s">
        <v>3609</v>
      </c>
    </row>
    <row r="120" spans="1:13" ht="25" customHeight="1" x14ac:dyDescent="0.45">
      <c r="A120" s="6">
        <v>46093</v>
      </c>
      <c r="B120" s="3" t="s">
        <v>681</v>
      </c>
      <c r="C120" s="4" t="s">
        <v>87</v>
      </c>
      <c r="D120" s="53" t="str">
        <f t="shared" si="10"/>
        <v>Cream</v>
      </c>
      <c r="E120" s="4" t="s">
        <v>485</v>
      </c>
      <c r="F120" s="4" t="s">
        <v>7</v>
      </c>
      <c r="G120" s="4" t="str">
        <f t="shared" si="14"/>
        <v>Romper Short</v>
      </c>
      <c r="H120" s="38">
        <f t="shared" si="8"/>
        <v>3</v>
      </c>
      <c r="I120" s="54">
        <f t="shared" si="15"/>
        <v>11</v>
      </c>
      <c r="J120" s="14" t="str">
        <f t="shared" si="12"/>
        <v>Easter</v>
      </c>
      <c r="K120" s="16" t="str">
        <f t="shared" si="9"/>
        <v>3-6</v>
      </c>
      <c r="L120" s="14" t="str">
        <f t="shared" si="13"/>
        <v>Romper Short | 3-6 | Cream</v>
      </c>
      <c r="M120" s="16" t="s">
        <v>3609</v>
      </c>
    </row>
    <row r="121" spans="1:13" ht="25" customHeight="1" x14ac:dyDescent="0.45">
      <c r="A121" s="6">
        <v>46093</v>
      </c>
      <c r="B121" s="3" t="s">
        <v>682</v>
      </c>
      <c r="C121" s="4" t="s">
        <v>87</v>
      </c>
      <c r="D121" s="53" t="str">
        <f t="shared" si="10"/>
        <v>Cream</v>
      </c>
      <c r="E121" s="4" t="s">
        <v>580</v>
      </c>
      <c r="F121" s="4" t="s">
        <v>7</v>
      </c>
      <c r="G121" s="4" t="str">
        <f t="shared" si="14"/>
        <v>Romper Short</v>
      </c>
      <c r="H121" s="38">
        <f t="shared" si="8"/>
        <v>3</v>
      </c>
      <c r="I121" s="54">
        <f t="shared" si="15"/>
        <v>11</v>
      </c>
      <c r="J121" s="14" t="str">
        <f t="shared" si="12"/>
        <v>Easter</v>
      </c>
      <c r="K121" s="16" t="str">
        <f t="shared" si="9"/>
        <v>0-3</v>
      </c>
      <c r="L121" s="14" t="str">
        <f t="shared" si="13"/>
        <v>Romper Short | 0-3 | Cream</v>
      </c>
      <c r="M121" s="16" t="s">
        <v>3609</v>
      </c>
    </row>
    <row r="122" spans="1:13" ht="25" customHeight="1" x14ac:dyDescent="0.45">
      <c r="A122" s="6">
        <v>46093</v>
      </c>
      <c r="B122" s="3" t="s">
        <v>683</v>
      </c>
      <c r="C122" s="4" t="s">
        <v>87</v>
      </c>
      <c r="D122" s="53" t="str">
        <f t="shared" si="10"/>
        <v>Cream</v>
      </c>
      <c r="E122" s="4" t="s">
        <v>485</v>
      </c>
      <c r="F122" s="4" t="s">
        <v>7</v>
      </c>
      <c r="G122" s="4" t="str">
        <f t="shared" si="14"/>
        <v>Romper Short</v>
      </c>
      <c r="H122" s="38">
        <f t="shared" si="8"/>
        <v>3</v>
      </c>
      <c r="I122" s="54">
        <f t="shared" si="15"/>
        <v>11</v>
      </c>
      <c r="J122" s="14" t="str">
        <f t="shared" si="12"/>
        <v>Easter</v>
      </c>
      <c r="K122" s="16" t="str">
        <f t="shared" si="9"/>
        <v>3-6</v>
      </c>
      <c r="L122" s="14" t="str">
        <f t="shared" si="13"/>
        <v>Romper Short | 3-6 | Cream</v>
      </c>
      <c r="M122" s="16" t="s">
        <v>3609</v>
      </c>
    </row>
    <row r="123" spans="1:13" ht="25" customHeight="1" x14ac:dyDescent="0.45">
      <c r="A123" s="6">
        <v>46094</v>
      </c>
      <c r="B123" s="3" t="s">
        <v>684</v>
      </c>
      <c r="C123" s="4" t="s">
        <v>101</v>
      </c>
      <c r="D123" s="53" t="str">
        <f t="shared" si="10"/>
        <v>Sage Green</v>
      </c>
      <c r="E123" s="4" t="s">
        <v>485</v>
      </c>
      <c r="F123" s="4" t="s">
        <v>7</v>
      </c>
      <c r="G123" s="4" t="str">
        <f t="shared" si="14"/>
        <v>Romper Short</v>
      </c>
      <c r="H123" s="38">
        <f t="shared" si="8"/>
        <v>3</v>
      </c>
      <c r="I123" s="54">
        <f t="shared" si="15"/>
        <v>11</v>
      </c>
      <c r="J123" s="14" t="str">
        <f t="shared" si="12"/>
        <v>Easter</v>
      </c>
      <c r="K123" s="16" t="str">
        <f t="shared" si="9"/>
        <v>3-6</v>
      </c>
      <c r="L123" s="14" t="str">
        <f t="shared" si="13"/>
        <v>Romper Short | 3-6 | Sage Green</v>
      </c>
      <c r="M123" s="16" t="s">
        <v>3611</v>
      </c>
    </row>
    <row r="124" spans="1:13" ht="25" customHeight="1" x14ac:dyDescent="0.45">
      <c r="A124" s="6">
        <v>46094</v>
      </c>
      <c r="B124" s="3" t="s">
        <v>685</v>
      </c>
      <c r="C124" s="4" t="s">
        <v>528</v>
      </c>
      <c r="D124" s="53" t="str">
        <f t="shared" si="10"/>
        <v>Watermelon</v>
      </c>
      <c r="E124" s="4" t="s">
        <v>479</v>
      </c>
      <c r="F124" s="4" t="s">
        <v>7</v>
      </c>
      <c r="G124" s="4" t="str">
        <f t="shared" si="14"/>
        <v>Romper Longer</v>
      </c>
      <c r="H124" s="38">
        <f t="shared" si="8"/>
        <v>3</v>
      </c>
      <c r="I124" s="54">
        <f t="shared" si="15"/>
        <v>11</v>
      </c>
      <c r="J124" s="14" t="str">
        <f t="shared" si="12"/>
        <v>Easter</v>
      </c>
      <c r="K124" s="16" t="str">
        <f t="shared" si="9"/>
        <v>6-12</v>
      </c>
      <c r="L124" s="14" t="str">
        <f t="shared" si="13"/>
        <v>Romper Longer | 6-12 | Watermelon</v>
      </c>
      <c r="M124" s="16" t="s">
        <v>3610</v>
      </c>
    </row>
    <row r="125" spans="1:13" ht="25" customHeight="1" x14ac:dyDescent="0.45">
      <c r="A125" s="6">
        <v>46094</v>
      </c>
      <c r="B125" s="3" t="s">
        <v>686</v>
      </c>
      <c r="C125" s="4" t="s">
        <v>101</v>
      </c>
      <c r="D125" s="53" t="str">
        <f t="shared" si="10"/>
        <v>Sage Green</v>
      </c>
      <c r="E125" s="4" t="s">
        <v>479</v>
      </c>
      <c r="F125" s="4" t="s">
        <v>7</v>
      </c>
      <c r="G125" s="4" t="str">
        <f t="shared" si="14"/>
        <v>Romper Longer</v>
      </c>
      <c r="H125" s="38">
        <f t="shared" si="8"/>
        <v>3</v>
      </c>
      <c r="I125" s="54">
        <f t="shared" si="15"/>
        <v>11</v>
      </c>
      <c r="J125" s="14" t="str">
        <f t="shared" si="12"/>
        <v>Easter</v>
      </c>
      <c r="K125" s="16" t="str">
        <f t="shared" si="9"/>
        <v>6-12</v>
      </c>
      <c r="L125" s="14" t="str">
        <f t="shared" si="13"/>
        <v>Romper Longer | 6-12 | Sage Green</v>
      </c>
      <c r="M125" s="16" t="s">
        <v>3610</v>
      </c>
    </row>
    <row r="126" spans="1:13" ht="25" customHeight="1" x14ac:dyDescent="0.45">
      <c r="A126" s="6">
        <v>46094</v>
      </c>
      <c r="B126" s="3" t="s">
        <v>687</v>
      </c>
      <c r="C126" s="4" t="s">
        <v>87</v>
      </c>
      <c r="D126" s="53" t="str">
        <f t="shared" si="10"/>
        <v>Cream</v>
      </c>
      <c r="E126" s="4" t="s">
        <v>485</v>
      </c>
      <c r="F126" s="4" t="s">
        <v>7</v>
      </c>
      <c r="G126" s="4" t="str">
        <f t="shared" si="14"/>
        <v>Romper Short</v>
      </c>
      <c r="H126" s="38">
        <f t="shared" si="8"/>
        <v>3</v>
      </c>
      <c r="I126" s="54">
        <f t="shared" si="15"/>
        <v>11</v>
      </c>
      <c r="J126" s="14" t="str">
        <f t="shared" si="12"/>
        <v>Easter</v>
      </c>
      <c r="K126" s="16" t="str">
        <f t="shared" si="9"/>
        <v>3-6</v>
      </c>
      <c r="L126" s="14" t="str">
        <f t="shared" si="13"/>
        <v>Romper Short | 3-6 | Cream</v>
      </c>
      <c r="M126" s="16" t="s">
        <v>3609</v>
      </c>
    </row>
    <row r="127" spans="1:13" ht="25" customHeight="1" x14ac:dyDescent="0.45">
      <c r="A127" s="6">
        <v>46094</v>
      </c>
      <c r="B127" s="3" t="s">
        <v>688</v>
      </c>
      <c r="C127" s="4" t="s">
        <v>87</v>
      </c>
      <c r="D127" s="53" t="str">
        <f t="shared" si="10"/>
        <v>Cream</v>
      </c>
      <c r="E127" s="4" t="s">
        <v>555</v>
      </c>
      <c r="F127" s="4" t="s">
        <v>7</v>
      </c>
      <c r="G127" s="4" t="str">
        <f t="shared" si="14"/>
        <v>Romper Longer</v>
      </c>
      <c r="H127" s="38">
        <f t="shared" si="8"/>
        <v>3</v>
      </c>
      <c r="I127" s="54">
        <f t="shared" si="15"/>
        <v>11</v>
      </c>
      <c r="J127" s="14" t="str">
        <f t="shared" si="12"/>
        <v>Easter</v>
      </c>
      <c r="K127" s="16" t="str">
        <f t="shared" si="9"/>
        <v>3-6</v>
      </c>
      <c r="L127" s="14" t="str">
        <f t="shared" si="13"/>
        <v>Romper Longer | 3-6 | Cream</v>
      </c>
      <c r="M127" s="16" t="s">
        <v>3609</v>
      </c>
    </row>
    <row r="128" spans="1:13" ht="25" customHeight="1" x14ac:dyDescent="0.45">
      <c r="A128" s="6">
        <v>46094</v>
      </c>
      <c r="B128" s="3" t="s">
        <v>689</v>
      </c>
      <c r="C128" s="4" t="s">
        <v>528</v>
      </c>
      <c r="D128" s="53" t="str">
        <f t="shared" si="10"/>
        <v>Watermelon</v>
      </c>
      <c r="E128" s="4" t="s">
        <v>485</v>
      </c>
      <c r="F128" s="4" t="s">
        <v>7</v>
      </c>
      <c r="G128" s="4" t="str">
        <f t="shared" si="14"/>
        <v>Romper Short</v>
      </c>
      <c r="H128" s="38">
        <f t="shared" si="8"/>
        <v>3</v>
      </c>
      <c r="I128" s="54">
        <f t="shared" si="15"/>
        <v>11</v>
      </c>
      <c r="J128" s="14" t="str">
        <f t="shared" si="12"/>
        <v>Easter</v>
      </c>
      <c r="K128" s="16" t="str">
        <f t="shared" si="9"/>
        <v>3-6</v>
      </c>
      <c r="L128" s="14" t="str">
        <f t="shared" si="13"/>
        <v>Romper Short | 3-6 | Watermelon</v>
      </c>
      <c r="M128" s="16" t="s">
        <v>3610</v>
      </c>
    </row>
    <row r="129" spans="1:13" ht="25" customHeight="1" x14ac:dyDescent="0.45">
      <c r="A129" s="6">
        <v>46094</v>
      </c>
      <c r="B129" s="3" t="s">
        <v>689</v>
      </c>
      <c r="C129" s="4" t="s">
        <v>184</v>
      </c>
      <c r="D129" s="53" t="str">
        <f t="shared" si="10"/>
        <v>Coffee</v>
      </c>
      <c r="E129" s="4" t="s">
        <v>485</v>
      </c>
      <c r="F129" s="4" t="s">
        <v>7</v>
      </c>
      <c r="G129" s="4" t="str">
        <f t="shared" si="14"/>
        <v>Romper Short</v>
      </c>
      <c r="H129" s="38">
        <f t="shared" si="8"/>
        <v>3</v>
      </c>
      <c r="I129" s="54">
        <f t="shared" si="15"/>
        <v>11</v>
      </c>
      <c r="J129" s="14" t="str">
        <f t="shared" si="12"/>
        <v>Easter</v>
      </c>
      <c r="K129" s="16" t="str">
        <f t="shared" si="9"/>
        <v>3-6</v>
      </c>
      <c r="L129" s="14" t="str">
        <f t="shared" si="13"/>
        <v>Romper Short | 3-6 | Coffee</v>
      </c>
      <c r="M129" s="16" t="s">
        <v>3610</v>
      </c>
    </row>
    <row r="130" spans="1:13" ht="25" customHeight="1" x14ac:dyDescent="0.45">
      <c r="A130" s="6">
        <v>46094</v>
      </c>
      <c r="B130" s="3" t="s">
        <v>690</v>
      </c>
      <c r="C130" s="4" t="s">
        <v>528</v>
      </c>
      <c r="D130" s="53" t="str">
        <f t="shared" si="10"/>
        <v>Watermelon</v>
      </c>
      <c r="E130" s="4" t="s">
        <v>555</v>
      </c>
      <c r="F130" s="4" t="s">
        <v>7</v>
      </c>
      <c r="G130" s="4" t="str">
        <f t="shared" si="14"/>
        <v>Romper Longer</v>
      </c>
      <c r="H130" s="38">
        <f t="shared" ref="H130:H193" si="16">MONTH(A130)</f>
        <v>3</v>
      </c>
      <c r="I130" s="54">
        <f t="shared" si="15"/>
        <v>11</v>
      </c>
      <c r="J130" s="14" t="str">
        <f t="shared" si="12"/>
        <v>Easter</v>
      </c>
      <c r="K130" s="16" t="str">
        <f t="shared" ref="K130:K193" si="17">TRIM(LEFT(E130,FIND("(",E130&amp;"(")-2))</f>
        <v>3-6</v>
      </c>
      <c r="L130" s="14" t="str">
        <f t="shared" si="13"/>
        <v>Romper Longer | 3-6 | Watermelon</v>
      </c>
      <c r="M130" s="16" t="s">
        <v>3610</v>
      </c>
    </row>
    <row r="131" spans="1:13" ht="25" customHeight="1" x14ac:dyDescent="0.45">
      <c r="A131" s="6">
        <v>46094</v>
      </c>
      <c r="B131" s="3" t="s">
        <v>690</v>
      </c>
      <c r="C131" s="4" t="s">
        <v>528</v>
      </c>
      <c r="D131" s="53" t="str">
        <f t="shared" ref="D131:D194" si="18">PROPER(C131)</f>
        <v>Watermelon</v>
      </c>
      <c r="E131" s="4" t="s">
        <v>479</v>
      </c>
      <c r="F131" s="4" t="s">
        <v>7</v>
      </c>
      <c r="G131" s="4" t="str">
        <f t="shared" si="14"/>
        <v>Romper Longer</v>
      </c>
      <c r="H131" s="38">
        <f t="shared" si="16"/>
        <v>3</v>
      </c>
      <c r="I131" s="54">
        <f t="shared" si="15"/>
        <v>11</v>
      </c>
      <c r="J131" s="14" t="str">
        <f t="shared" ref="J131:J194" si="19">IF(H131=1,"NewYear",
IF(H131=2,"Valentine",
IF(OR(H131=3,H131=4),"Easter",
IF(H131=5,"MothersDay",
IF(H131=6,"FathersDay",
IF(OR(H131=7,H131=8),"Summer",
IF(H131=10,"Halloween",
IF(OR(H131=11,H131=12),"Christmas","Normal"))))))))</f>
        <v>Easter</v>
      </c>
      <c r="K131" s="16" t="str">
        <f t="shared" si="17"/>
        <v>6-12</v>
      </c>
      <c r="L131" s="14" t="str">
        <f t="shared" ref="L131:L194" si="20">TRIM(G131)&amp;" | "&amp;TRIM(K131)&amp;" | "&amp;PROPER(TRIM(D131))</f>
        <v>Romper Longer | 6-12 | Watermelon</v>
      </c>
      <c r="M131" s="16" t="s">
        <v>3610</v>
      </c>
    </row>
    <row r="132" spans="1:13" ht="25" customHeight="1" x14ac:dyDescent="0.45">
      <c r="A132" s="6">
        <v>46095</v>
      </c>
      <c r="B132" s="3" t="s">
        <v>691</v>
      </c>
      <c r="C132" s="4" t="s">
        <v>508</v>
      </c>
      <c r="D132" s="53" t="str">
        <f t="shared" si="18"/>
        <v>Dusty Pink</v>
      </c>
      <c r="E132" s="4" t="s">
        <v>485</v>
      </c>
      <c r="F132" s="4" t="s">
        <v>7</v>
      </c>
      <c r="G132" s="4" t="str">
        <f t="shared" si="14"/>
        <v>Romper Short</v>
      </c>
      <c r="H132" s="38">
        <f t="shared" si="16"/>
        <v>3</v>
      </c>
      <c r="I132" s="54">
        <f t="shared" si="15"/>
        <v>11</v>
      </c>
      <c r="J132" s="14" t="str">
        <f t="shared" si="19"/>
        <v>Easter</v>
      </c>
      <c r="K132" s="16" t="str">
        <f t="shared" si="17"/>
        <v>3-6</v>
      </c>
      <c r="L132" s="14" t="str">
        <f t="shared" si="20"/>
        <v>Romper Short | 3-6 | Dusty Pink</v>
      </c>
      <c r="M132" s="16" t="s">
        <v>3610</v>
      </c>
    </row>
    <row r="133" spans="1:13" ht="25" customHeight="1" x14ac:dyDescent="0.45">
      <c r="A133" s="6">
        <v>46095</v>
      </c>
      <c r="B133" s="3" t="s">
        <v>692</v>
      </c>
      <c r="C133" s="4" t="s">
        <v>483</v>
      </c>
      <c r="D133" s="53" t="str">
        <f t="shared" si="18"/>
        <v>Forest Green</v>
      </c>
      <c r="E133" s="4" t="s">
        <v>485</v>
      </c>
      <c r="F133" s="4" t="s">
        <v>7</v>
      </c>
      <c r="G133" s="4" t="str">
        <f t="shared" si="14"/>
        <v>Romper Short</v>
      </c>
      <c r="H133" s="38">
        <f t="shared" si="16"/>
        <v>3</v>
      </c>
      <c r="I133" s="54">
        <f t="shared" si="15"/>
        <v>11</v>
      </c>
      <c r="J133" s="14" t="str">
        <f t="shared" si="19"/>
        <v>Easter</v>
      </c>
      <c r="K133" s="16" t="str">
        <f t="shared" si="17"/>
        <v>3-6</v>
      </c>
      <c r="L133" s="14" t="str">
        <f t="shared" si="20"/>
        <v>Romper Short | 3-6 | Forest Green</v>
      </c>
      <c r="M133" s="16" t="s">
        <v>3610</v>
      </c>
    </row>
    <row r="134" spans="1:13" ht="25" customHeight="1" x14ac:dyDescent="0.45">
      <c r="A134" s="6">
        <v>46095</v>
      </c>
      <c r="B134" s="3" t="s">
        <v>693</v>
      </c>
      <c r="C134" s="4" t="s">
        <v>114</v>
      </c>
      <c r="D134" s="53" t="str">
        <f t="shared" si="18"/>
        <v>White</v>
      </c>
      <c r="E134" s="4" t="s">
        <v>479</v>
      </c>
      <c r="F134" s="4" t="s">
        <v>7</v>
      </c>
      <c r="G134" s="4" t="str">
        <f t="shared" si="14"/>
        <v>Romper Longer</v>
      </c>
      <c r="H134" s="38">
        <f t="shared" si="16"/>
        <v>3</v>
      </c>
      <c r="I134" s="54">
        <f t="shared" si="15"/>
        <v>11</v>
      </c>
      <c r="J134" s="14" t="str">
        <f t="shared" si="19"/>
        <v>Easter</v>
      </c>
      <c r="K134" s="16" t="str">
        <f t="shared" si="17"/>
        <v>6-12</v>
      </c>
      <c r="L134" s="14" t="str">
        <f t="shared" si="20"/>
        <v>Romper Longer | 6-12 | White</v>
      </c>
      <c r="M134" s="16" t="s">
        <v>3610</v>
      </c>
    </row>
    <row r="135" spans="1:13" ht="25" customHeight="1" x14ac:dyDescent="0.45">
      <c r="A135" s="6">
        <v>46095</v>
      </c>
      <c r="B135" s="3" t="s">
        <v>694</v>
      </c>
      <c r="C135" s="4" t="s">
        <v>573</v>
      </c>
      <c r="D135" s="53" t="str">
        <f t="shared" si="18"/>
        <v>Mauve Taupe</v>
      </c>
      <c r="E135" s="4" t="s">
        <v>490</v>
      </c>
      <c r="F135" s="4" t="s">
        <v>7</v>
      </c>
      <c r="G135" s="4" t="str">
        <f t="shared" si="14"/>
        <v>Romper Longer</v>
      </c>
      <c r="H135" s="38">
        <f t="shared" si="16"/>
        <v>3</v>
      </c>
      <c r="I135" s="54">
        <f t="shared" si="15"/>
        <v>11</v>
      </c>
      <c r="J135" s="14" t="str">
        <f t="shared" si="19"/>
        <v>Easter</v>
      </c>
      <c r="K135" s="16" t="str">
        <f t="shared" si="17"/>
        <v>0-3</v>
      </c>
      <c r="L135" s="14" t="str">
        <f t="shared" si="20"/>
        <v>Romper Longer | 0-3 | Mauve Taupe</v>
      </c>
      <c r="M135" s="16" t="s">
        <v>3610</v>
      </c>
    </row>
    <row r="136" spans="1:13" ht="25" customHeight="1" x14ac:dyDescent="0.45">
      <c r="A136" s="6">
        <v>46095</v>
      </c>
      <c r="B136" s="3" t="s">
        <v>695</v>
      </c>
      <c r="C136" s="4" t="s">
        <v>87</v>
      </c>
      <c r="D136" s="53" t="str">
        <f t="shared" si="18"/>
        <v>Cream</v>
      </c>
      <c r="E136" s="4" t="s">
        <v>589</v>
      </c>
      <c r="F136" s="4" t="s">
        <v>7</v>
      </c>
      <c r="G136" s="4" t="str">
        <f t="shared" si="14"/>
        <v>Romper Short</v>
      </c>
      <c r="H136" s="38">
        <f t="shared" si="16"/>
        <v>3</v>
      </c>
      <c r="I136" s="54">
        <f t="shared" si="15"/>
        <v>11</v>
      </c>
      <c r="J136" s="14" t="str">
        <f t="shared" si="19"/>
        <v>Easter</v>
      </c>
      <c r="K136" s="16" t="str">
        <f t="shared" si="17"/>
        <v>6-12</v>
      </c>
      <c r="L136" s="14" t="str">
        <f t="shared" si="20"/>
        <v>Romper Short | 6-12 | Cream</v>
      </c>
      <c r="M136" s="16" t="s">
        <v>3611</v>
      </c>
    </row>
    <row r="137" spans="1:13" ht="25" customHeight="1" x14ac:dyDescent="0.45">
      <c r="A137" s="6">
        <v>46095</v>
      </c>
      <c r="B137" s="3" t="s">
        <v>696</v>
      </c>
      <c r="C137" s="4" t="s">
        <v>101</v>
      </c>
      <c r="D137" s="53" t="str">
        <f t="shared" si="18"/>
        <v>Sage Green</v>
      </c>
      <c r="E137" s="4" t="s">
        <v>485</v>
      </c>
      <c r="F137" s="4" t="s">
        <v>7</v>
      </c>
      <c r="G137" s="4" t="str">
        <f t="shared" si="14"/>
        <v>Romper Short</v>
      </c>
      <c r="H137" s="38">
        <f t="shared" si="16"/>
        <v>3</v>
      </c>
      <c r="I137" s="54">
        <f t="shared" si="15"/>
        <v>11</v>
      </c>
      <c r="J137" s="14" t="str">
        <f t="shared" si="19"/>
        <v>Easter</v>
      </c>
      <c r="K137" s="16" t="str">
        <f t="shared" si="17"/>
        <v>3-6</v>
      </c>
      <c r="L137" s="14" t="str">
        <f t="shared" si="20"/>
        <v>Romper Short | 3-6 | Sage Green</v>
      </c>
      <c r="M137" s="16" t="s">
        <v>3611</v>
      </c>
    </row>
    <row r="138" spans="1:13" ht="25" customHeight="1" x14ac:dyDescent="0.45">
      <c r="A138" s="6">
        <v>46095</v>
      </c>
      <c r="B138" s="3" t="s">
        <v>697</v>
      </c>
      <c r="C138" s="4" t="s">
        <v>87</v>
      </c>
      <c r="D138" s="53" t="str">
        <f t="shared" si="18"/>
        <v>Cream</v>
      </c>
      <c r="E138" s="4" t="s">
        <v>479</v>
      </c>
      <c r="F138" s="4" t="s">
        <v>7</v>
      </c>
      <c r="G138" s="4" t="str">
        <f t="shared" si="14"/>
        <v>Romper Longer</v>
      </c>
      <c r="H138" s="38">
        <f t="shared" si="16"/>
        <v>3</v>
      </c>
      <c r="I138" s="54">
        <f t="shared" si="15"/>
        <v>11</v>
      </c>
      <c r="J138" s="14" t="str">
        <f t="shared" si="19"/>
        <v>Easter</v>
      </c>
      <c r="K138" s="16" t="str">
        <f t="shared" si="17"/>
        <v>6-12</v>
      </c>
      <c r="L138" s="14" t="str">
        <f t="shared" si="20"/>
        <v>Romper Longer | 6-12 | Cream</v>
      </c>
      <c r="M138" s="16" t="s">
        <v>3611</v>
      </c>
    </row>
    <row r="139" spans="1:13" ht="25" customHeight="1" x14ac:dyDescent="0.45">
      <c r="A139" s="6">
        <v>46095</v>
      </c>
      <c r="B139" s="3" t="s">
        <v>698</v>
      </c>
      <c r="C139" s="4" t="s">
        <v>87</v>
      </c>
      <c r="D139" s="53" t="str">
        <f t="shared" si="18"/>
        <v>Cream</v>
      </c>
      <c r="E139" s="4" t="s">
        <v>555</v>
      </c>
      <c r="F139" s="4" t="s">
        <v>7</v>
      </c>
      <c r="G139" s="4" t="str">
        <f t="shared" si="14"/>
        <v>Romper Longer</v>
      </c>
      <c r="H139" s="38">
        <f t="shared" si="16"/>
        <v>3</v>
      </c>
      <c r="I139" s="54">
        <f t="shared" si="15"/>
        <v>11</v>
      </c>
      <c r="J139" s="14" t="str">
        <f t="shared" si="19"/>
        <v>Easter</v>
      </c>
      <c r="K139" s="16" t="str">
        <f t="shared" si="17"/>
        <v>3-6</v>
      </c>
      <c r="L139" s="14" t="str">
        <f t="shared" si="20"/>
        <v>Romper Longer | 3-6 | Cream</v>
      </c>
      <c r="M139" s="16" t="s">
        <v>3609</v>
      </c>
    </row>
    <row r="140" spans="1:13" ht="25" customHeight="1" x14ac:dyDescent="0.45">
      <c r="A140" s="6">
        <v>46095</v>
      </c>
      <c r="B140" s="3" t="s">
        <v>699</v>
      </c>
      <c r="C140" s="4" t="s">
        <v>101</v>
      </c>
      <c r="D140" s="53" t="str">
        <f t="shared" si="18"/>
        <v>Sage Green</v>
      </c>
      <c r="E140" s="4" t="s">
        <v>584</v>
      </c>
      <c r="F140" s="4" t="s">
        <v>7</v>
      </c>
      <c r="G140" s="4" t="str">
        <f t="shared" si="14"/>
        <v>Romper Short</v>
      </c>
      <c r="H140" s="38">
        <f t="shared" si="16"/>
        <v>3</v>
      </c>
      <c r="I140" s="54">
        <f t="shared" si="15"/>
        <v>11</v>
      </c>
      <c r="J140" s="14" t="str">
        <f t="shared" si="19"/>
        <v>Easter</v>
      </c>
      <c r="K140" s="16" t="str">
        <f t="shared" si="17"/>
        <v>18-24</v>
      </c>
      <c r="L140" s="14" t="str">
        <f t="shared" si="20"/>
        <v>Romper Short | 18-24 | Sage Green</v>
      </c>
      <c r="M140" s="16" t="s">
        <v>3610</v>
      </c>
    </row>
    <row r="141" spans="1:13" ht="25" customHeight="1" x14ac:dyDescent="0.45">
      <c r="A141" s="6">
        <v>46096</v>
      </c>
      <c r="B141" s="3" t="s">
        <v>700</v>
      </c>
      <c r="C141" s="4" t="s">
        <v>87</v>
      </c>
      <c r="D141" s="53" t="str">
        <f t="shared" si="18"/>
        <v>Cream</v>
      </c>
      <c r="E141" s="4" t="s">
        <v>490</v>
      </c>
      <c r="F141" s="4" t="s">
        <v>12</v>
      </c>
      <c r="G141" s="4" t="str">
        <f t="shared" si="14"/>
        <v>Romper Longer</v>
      </c>
      <c r="H141" s="38">
        <f t="shared" si="16"/>
        <v>3</v>
      </c>
      <c r="I141" s="54">
        <f t="shared" si="15"/>
        <v>12</v>
      </c>
      <c r="J141" s="14" t="str">
        <f t="shared" si="19"/>
        <v>Easter</v>
      </c>
      <c r="K141" s="16" t="str">
        <f t="shared" si="17"/>
        <v>0-3</v>
      </c>
      <c r="L141" s="14" t="str">
        <f t="shared" si="20"/>
        <v>Romper Longer | 0-3 | Cream</v>
      </c>
      <c r="M141" s="16" t="s">
        <v>3609</v>
      </c>
    </row>
    <row r="142" spans="1:13" ht="25" customHeight="1" x14ac:dyDescent="0.45">
      <c r="A142" s="6">
        <v>46096</v>
      </c>
      <c r="B142" s="3" t="s">
        <v>701</v>
      </c>
      <c r="C142" s="4" t="s">
        <v>87</v>
      </c>
      <c r="D142" s="53" t="str">
        <f t="shared" si="18"/>
        <v>Cream</v>
      </c>
      <c r="E142" s="4" t="s">
        <v>490</v>
      </c>
      <c r="F142" s="4" t="s">
        <v>12</v>
      </c>
      <c r="G142" s="4" t="str">
        <f t="shared" si="14"/>
        <v>Romper Longer</v>
      </c>
      <c r="H142" s="38">
        <f t="shared" si="16"/>
        <v>3</v>
      </c>
      <c r="I142" s="54">
        <f t="shared" si="15"/>
        <v>12</v>
      </c>
      <c r="J142" s="14" t="str">
        <f t="shared" si="19"/>
        <v>Easter</v>
      </c>
      <c r="K142" s="16" t="str">
        <f t="shared" si="17"/>
        <v>0-3</v>
      </c>
      <c r="L142" s="14" t="str">
        <f t="shared" si="20"/>
        <v>Romper Longer | 0-3 | Cream</v>
      </c>
      <c r="M142" s="16" t="s">
        <v>3609</v>
      </c>
    </row>
    <row r="143" spans="1:13" ht="25" customHeight="1" x14ac:dyDescent="0.45">
      <c r="A143" s="6">
        <v>46096</v>
      </c>
      <c r="B143" s="3" t="s">
        <v>702</v>
      </c>
      <c r="C143" s="4" t="s">
        <v>87</v>
      </c>
      <c r="D143" s="53" t="str">
        <f t="shared" si="18"/>
        <v>Cream</v>
      </c>
      <c r="E143" s="4" t="s">
        <v>555</v>
      </c>
      <c r="F143" s="4" t="s">
        <v>7</v>
      </c>
      <c r="G143" s="4" t="str">
        <f t="shared" si="14"/>
        <v>Romper Longer</v>
      </c>
      <c r="H143" s="38">
        <f t="shared" si="16"/>
        <v>3</v>
      </c>
      <c r="I143" s="54">
        <f t="shared" si="15"/>
        <v>12</v>
      </c>
      <c r="J143" s="14" t="str">
        <f t="shared" si="19"/>
        <v>Easter</v>
      </c>
      <c r="K143" s="16" t="str">
        <f t="shared" si="17"/>
        <v>3-6</v>
      </c>
      <c r="L143" s="14" t="str">
        <f t="shared" si="20"/>
        <v>Romper Longer | 3-6 | Cream</v>
      </c>
      <c r="M143" s="16" t="s">
        <v>3609</v>
      </c>
    </row>
    <row r="144" spans="1:13" ht="25" customHeight="1" x14ac:dyDescent="0.45">
      <c r="A144" s="6">
        <v>46096</v>
      </c>
      <c r="B144" s="3" t="s">
        <v>703</v>
      </c>
      <c r="C144" s="4" t="s">
        <v>87</v>
      </c>
      <c r="D144" s="53" t="str">
        <f t="shared" si="18"/>
        <v>Cream</v>
      </c>
      <c r="E144" s="4" t="s">
        <v>490</v>
      </c>
      <c r="F144" s="4" t="s">
        <v>7</v>
      </c>
      <c r="G144" s="4" t="str">
        <f t="shared" ref="G144:G207" si="21">IF(ISNUMBER(SEARCH("LONG",E144)),"Romper Longer",IF(ISNUMBER(SEARCH("SHORT",E144)),"Romper Short","Bodysuit"))</f>
        <v>Romper Longer</v>
      </c>
      <c r="H144" s="38">
        <f t="shared" si="16"/>
        <v>3</v>
      </c>
      <c r="I144" s="54">
        <f t="shared" ref="I144:I207" si="22">WEEKNUM(A144)</f>
        <v>12</v>
      </c>
      <c r="J144" s="14" t="str">
        <f t="shared" si="19"/>
        <v>Easter</v>
      </c>
      <c r="K144" s="16" t="str">
        <f t="shared" si="17"/>
        <v>0-3</v>
      </c>
      <c r="L144" s="14" t="str">
        <f t="shared" si="20"/>
        <v>Romper Longer | 0-3 | Cream</v>
      </c>
      <c r="M144" s="16" t="s">
        <v>3609</v>
      </c>
    </row>
    <row r="145" spans="1:13" ht="25" customHeight="1" x14ac:dyDescent="0.45">
      <c r="A145" s="6">
        <v>46096</v>
      </c>
      <c r="B145" s="3" t="s">
        <v>704</v>
      </c>
      <c r="C145" s="4" t="s">
        <v>87</v>
      </c>
      <c r="D145" s="53" t="str">
        <f t="shared" si="18"/>
        <v>Cream</v>
      </c>
      <c r="E145" s="4" t="s">
        <v>479</v>
      </c>
      <c r="F145" s="4" t="s">
        <v>19</v>
      </c>
      <c r="G145" s="4" t="str">
        <f t="shared" si="21"/>
        <v>Romper Longer</v>
      </c>
      <c r="H145" s="38">
        <f t="shared" si="16"/>
        <v>3</v>
      </c>
      <c r="I145" s="54">
        <f t="shared" si="22"/>
        <v>12</v>
      </c>
      <c r="J145" s="14" t="str">
        <f t="shared" si="19"/>
        <v>Easter</v>
      </c>
      <c r="K145" s="16" t="str">
        <f t="shared" si="17"/>
        <v>6-12</v>
      </c>
      <c r="L145" s="14" t="str">
        <f t="shared" si="20"/>
        <v>Romper Longer | 6-12 | Cream</v>
      </c>
      <c r="M145" s="16" t="s">
        <v>3611</v>
      </c>
    </row>
    <row r="146" spans="1:13" ht="25" customHeight="1" x14ac:dyDescent="0.45">
      <c r="A146" s="6">
        <v>46096</v>
      </c>
      <c r="B146" s="3" t="s">
        <v>705</v>
      </c>
      <c r="C146" s="4" t="s">
        <v>470</v>
      </c>
      <c r="D146" s="53" t="str">
        <f t="shared" si="18"/>
        <v>Caldet Blue</v>
      </c>
      <c r="E146" s="4" t="s">
        <v>485</v>
      </c>
      <c r="F146" s="4" t="s">
        <v>7</v>
      </c>
      <c r="G146" s="4" t="str">
        <f t="shared" si="21"/>
        <v>Romper Short</v>
      </c>
      <c r="H146" s="38">
        <f t="shared" si="16"/>
        <v>3</v>
      </c>
      <c r="I146" s="54">
        <f t="shared" si="22"/>
        <v>12</v>
      </c>
      <c r="J146" s="14" t="str">
        <f t="shared" si="19"/>
        <v>Easter</v>
      </c>
      <c r="K146" s="16" t="str">
        <f t="shared" si="17"/>
        <v>3-6</v>
      </c>
      <c r="L146" s="14" t="str">
        <f t="shared" si="20"/>
        <v>Romper Short | 3-6 | Caldet Blue</v>
      </c>
      <c r="M146" s="16" t="s">
        <v>3610</v>
      </c>
    </row>
    <row r="147" spans="1:13" ht="25" customHeight="1" x14ac:dyDescent="0.45">
      <c r="A147" s="6">
        <v>46096</v>
      </c>
      <c r="B147" s="3" t="s">
        <v>706</v>
      </c>
      <c r="C147" s="4" t="s">
        <v>184</v>
      </c>
      <c r="D147" s="53" t="str">
        <f t="shared" si="18"/>
        <v>Coffee</v>
      </c>
      <c r="E147" s="4" t="s">
        <v>510</v>
      </c>
      <c r="F147" s="4" t="s">
        <v>7</v>
      </c>
      <c r="G147" s="4" t="str">
        <f t="shared" si="21"/>
        <v>Romper Short</v>
      </c>
      <c r="H147" s="38">
        <f t="shared" si="16"/>
        <v>3</v>
      </c>
      <c r="I147" s="54">
        <f t="shared" si="22"/>
        <v>12</v>
      </c>
      <c r="J147" s="14" t="str">
        <f t="shared" si="19"/>
        <v>Easter</v>
      </c>
      <c r="K147" s="16" t="str">
        <f t="shared" si="17"/>
        <v>3-6</v>
      </c>
      <c r="L147" s="14" t="str">
        <f t="shared" si="20"/>
        <v>Romper Short | 3-6 | Coffee</v>
      </c>
      <c r="M147" s="16" t="s">
        <v>3610</v>
      </c>
    </row>
    <row r="148" spans="1:13" ht="25" customHeight="1" x14ac:dyDescent="0.45">
      <c r="A148" s="6">
        <v>46096</v>
      </c>
      <c r="B148" s="3" t="s">
        <v>707</v>
      </c>
      <c r="C148" s="4" t="s">
        <v>87</v>
      </c>
      <c r="D148" s="53" t="str">
        <f t="shared" si="18"/>
        <v>Cream</v>
      </c>
      <c r="E148" s="4" t="s">
        <v>580</v>
      </c>
      <c r="F148" s="4" t="s">
        <v>7</v>
      </c>
      <c r="G148" s="4" t="str">
        <f t="shared" si="21"/>
        <v>Romper Short</v>
      </c>
      <c r="H148" s="38">
        <f t="shared" si="16"/>
        <v>3</v>
      </c>
      <c r="I148" s="54">
        <f t="shared" si="22"/>
        <v>12</v>
      </c>
      <c r="J148" s="14" t="str">
        <f t="shared" si="19"/>
        <v>Easter</v>
      </c>
      <c r="K148" s="16" t="str">
        <f t="shared" si="17"/>
        <v>0-3</v>
      </c>
      <c r="L148" s="14" t="str">
        <f t="shared" si="20"/>
        <v>Romper Short | 0-3 | Cream</v>
      </c>
      <c r="M148" s="16" t="s">
        <v>3609</v>
      </c>
    </row>
    <row r="149" spans="1:13" ht="25" customHeight="1" x14ac:dyDescent="0.45">
      <c r="A149" s="6">
        <v>46096</v>
      </c>
      <c r="B149" s="3" t="s">
        <v>708</v>
      </c>
      <c r="C149" s="4" t="s">
        <v>473</v>
      </c>
      <c r="D149" s="53" t="str">
        <f t="shared" si="18"/>
        <v>Salmon</v>
      </c>
      <c r="E149" s="4" t="s">
        <v>580</v>
      </c>
      <c r="F149" s="4" t="s">
        <v>7</v>
      </c>
      <c r="G149" s="4" t="str">
        <f t="shared" si="21"/>
        <v>Romper Short</v>
      </c>
      <c r="H149" s="38">
        <f t="shared" si="16"/>
        <v>3</v>
      </c>
      <c r="I149" s="54">
        <f t="shared" si="22"/>
        <v>12</v>
      </c>
      <c r="J149" s="14" t="str">
        <f t="shared" si="19"/>
        <v>Easter</v>
      </c>
      <c r="K149" s="16" t="str">
        <f t="shared" si="17"/>
        <v>0-3</v>
      </c>
      <c r="L149" s="14" t="str">
        <f t="shared" si="20"/>
        <v>Romper Short | 0-3 | Salmon</v>
      </c>
      <c r="M149" s="16" t="s">
        <v>3610</v>
      </c>
    </row>
    <row r="150" spans="1:13" ht="25" customHeight="1" x14ac:dyDescent="0.45">
      <c r="A150" s="6">
        <v>46096</v>
      </c>
      <c r="B150" s="3" t="s">
        <v>709</v>
      </c>
      <c r="C150" s="4" t="s">
        <v>473</v>
      </c>
      <c r="D150" s="53" t="str">
        <f t="shared" si="18"/>
        <v>Salmon</v>
      </c>
      <c r="E150" s="4" t="s">
        <v>555</v>
      </c>
      <c r="F150" s="4" t="s">
        <v>37</v>
      </c>
      <c r="G150" s="4" t="str">
        <f t="shared" si="21"/>
        <v>Romper Longer</v>
      </c>
      <c r="H150" s="38">
        <f t="shared" si="16"/>
        <v>3</v>
      </c>
      <c r="I150" s="54">
        <f t="shared" si="22"/>
        <v>12</v>
      </c>
      <c r="J150" s="14" t="str">
        <f t="shared" si="19"/>
        <v>Easter</v>
      </c>
      <c r="K150" s="16" t="str">
        <f t="shared" si="17"/>
        <v>3-6</v>
      </c>
      <c r="L150" s="14" t="str">
        <f t="shared" si="20"/>
        <v>Romper Longer | 3-6 | Salmon</v>
      </c>
      <c r="M150" s="16" t="s">
        <v>3610</v>
      </c>
    </row>
    <row r="151" spans="1:13" ht="25" customHeight="1" x14ac:dyDescent="0.45">
      <c r="A151" s="6">
        <v>46096</v>
      </c>
      <c r="B151" s="3" t="s">
        <v>710</v>
      </c>
      <c r="C151" s="4" t="s">
        <v>520</v>
      </c>
      <c r="D151" s="53" t="str">
        <f t="shared" si="18"/>
        <v xml:space="preserve"> Caldet Blue</v>
      </c>
      <c r="E151" s="4" t="s">
        <v>490</v>
      </c>
      <c r="F151" s="4" t="s">
        <v>7</v>
      </c>
      <c r="G151" s="4" t="str">
        <f t="shared" si="21"/>
        <v>Romper Longer</v>
      </c>
      <c r="H151" s="38">
        <f t="shared" si="16"/>
        <v>3</v>
      </c>
      <c r="I151" s="54">
        <f t="shared" si="22"/>
        <v>12</v>
      </c>
      <c r="J151" s="14" t="str">
        <f t="shared" si="19"/>
        <v>Easter</v>
      </c>
      <c r="K151" s="16" t="str">
        <f t="shared" si="17"/>
        <v>0-3</v>
      </c>
      <c r="L151" s="14" t="str">
        <f t="shared" si="20"/>
        <v>Romper Longer | 0-3 | Caldet Blue</v>
      </c>
      <c r="M151" s="16" t="s">
        <v>3610</v>
      </c>
    </row>
    <row r="152" spans="1:13" ht="25" customHeight="1" x14ac:dyDescent="0.45">
      <c r="A152" s="6">
        <v>46096</v>
      </c>
      <c r="B152" s="3" t="s">
        <v>711</v>
      </c>
      <c r="C152" s="4" t="s">
        <v>508</v>
      </c>
      <c r="D152" s="53" t="str">
        <f t="shared" si="18"/>
        <v>Dusty Pink</v>
      </c>
      <c r="E152" s="4" t="s">
        <v>589</v>
      </c>
      <c r="F152" s="4" t="s">
        <v>7</v>
      </c>
      <c r="G152" s="4" t="str">
        <f t="shared" si="21"/>
        <v>Romper Short</v>
      </c>
      <c r="H152" s="38">
        <f t="shared" si="16"/>
        <v>3</v>
      </c>
      <c r="I152" s="54">
        <f t="shared" si="22"/>
        <v>12</v>
      </c>
      <c r="J152" s="14" t="str">
        <f t="shared" si="19"/>
        <v>Easter</v>
      </c>
      <c r="K152" s="16" t="str">
        <f t="shared" si="17"/>
        <v>6-12</v>
      </c>
      <c r="L152" s="14" t="str">
        <f t="shared" si="20"/>
        <v>Romper Short | 6-12 | Dusty Pink</v>
      </c>
      <c r="M152" s="16" t="s">
        <v>3610</v>
      </c>
    </row>
    <row r="153" spans="1:13" ht="25" customHeight="1" x14ac:dyDescent="0.45">
      <c r="A153" s="6">
        <v>46096</v>
      </c>
      <c r="B153" s="3" t="s">
        <v>712</v>
      </c>
      <c r="C153" s="4" t="s">
        <v>101</v>
      </c>
      <c r="D153" s="53" t="str">
        <f t="shared" si="18"/>
        <v>Sage Green</v>
      </c>
      <c r="E153" s="4" t="s">
        <v>485</v>
      </c>
      <c r="F153" s="4" t="s">
        <v>19</v>
      </c>
      <c r="G153" s="4" t="str">
        <f t="shared" si="21"/>
        <v>Romper Short</v>
      </c>
      <c r="H153" s="38">
        <f t="shared" si="16"/>
        <v>3</v>
      </c>
      <c r="I153" s="54">
        <f t="shared" si="22"/>
        <v>12</v>
      </c>
      <c r="J153" s="14" t="str">
        <f t="shared" si="19"/>
        <v>Easter</v>
      </c>
      <c r="K153" s="16" t="str">
        <f t="shared" si="17"/>
        <v>3-6</v>
      </c>
      <c r="L153" s="14" t="str">
        <f t="shared" si="20"/>
        <v>Romper Short | 3-6 | Sage Green</v>
      </c>
      <c r="M153" s="16" t="s">
        <v>3611</v>
      </c>
    </row>
    <row r="154" spans="1:13" ht="25" customHeight="1" x14ac:dyDescent="0.45">
      <c r="A154" s="6">
        <v>46096</v>
      </c>
      <c r="B154" s="3" t="s">
        <v>713</v>
      </c>
      <c r="C154" s="4" t="s">
        <v>87</v>
      </c>
      <c r="D154" s="53" t="str">
        <f t="shared" si="18"/>
        <v>Cream</v>
      </c>
      <c r="E154" s="4" t="s">
        <v>580</v>
      </c>
      <c r="F154" s="4" t="s">
        <v>7</v>
      </c>
      <c r="G154" s="4" t="str">
        <f t="shared" si="21"/>
        <v>Romper Short</v>
      </c>
      <c r="H154" s="38">
        <f t="shared" si="16"/>
        <v>3</v>
      </c>
      <c r="I154" s="54">
        <f t="shared" si="22"/>
        <v>12</v>
      </c>
      <c r="J154" s="14" t="str">
        <f t="shared" si="19"/>
        <v>Easter</v>
      </c>
      <c r="K154" s="16" t="str">
        <f t="shared" si="17"/>
        <v>0-3</v>
      </c>
      <c r="L154" s="14" t="str">
        <f t="shared" si="20"/>
        <v>Romper Short | 0-3 | Cream</v>
      </c>
      <c r="M154" s="16" t="s">
        <v>3609</v>
      </c>
    </row>
    <row r="155" spans="1:13" ht="25" customHeight="1" x14ac:dyDescent="0.45">
      <c r="A155" s="6">
        <v>46096</v>
      </c>
      <c r="B155" s="3" t="s">
        <v>714</v>
      </c>
      <c r="C155" s="4" t="s">
        <v>483</v>
      </c>
      <c r="D155" s="53" t="str">
        <f t="shared" si="18"/>
        <v>Forest Green</v>
      </c>
      <c r="E155" s="4" t="s">
        <v>485</v>
      </c>
      <c r="F155" s="4" t="s">
        <v>7</v>
      </c>
      <c r="G155" s="4" t="str">
        <f t="shared" si="21"/>
        <v>Romper Short</v>
      </c>
      <c r="H155" s="38">
        <f t="shared" si="16"/>
        <v>3</v>
      </c>
      <c r="I155" s="54">
        <f t="shared" si="22"/>
        <v>12</v>
      </c>
      <c r="J155" s="14" t="str">
        <f t="shared" si="19"/>
        <v>Easter</v>
      </c>
      <c r="K155" s="16" t="str">
        <f t="shared" si="17"/>
        <v>3-6</v>
      </c>
      <c r="L155" s="14" t="str">
        <f t="shared" si="20"/>
        <v>Romper Short | 3-6 | Forest Green</v>
      </c>
      <c r="M155" s="16" t="s">
        <v>3610</v>
      </c>
    </row>
    <row r="156" spans="1:13" ht="25" customHeight="1" x14ac:dyDescent="0.45">
      <c r="A156" s="6">
        <v>46097</v>
      </c>
      <c r="B156" s="3" t="s">
        <v>715</v>
      </c>
      <c r="C156" s="4" t="s">
        <v>87</v>
      </c>
      <c r="D156" s="53" t="str">
        <f t="shared" si="18"/>
        <v>Cream</v>
      </c>
      <c r="E156" s="4" t="s">
        <v>485</v>
      </c>
      <c r="F156" s="4" t="s">
        <v>7</v>
      </c>
      <c r="G156" s="4" t="str">
        <f t="shared" si="21"/>
        <v>Romper Short</v>
      </c>
      <c r="H156" s="38">
        <f t="shared" si="16"/>
        <v>3</v>
      </c>
      <c r="I156" s="54">
        <f t="shared" si="22"/>
        <v>12</v>
      </c>
      <c r="J156" s="14" t="str">
        <f t="shared" si="19"/>
        <v>Easter</v>
      </c>
      <c r="K156" s="16" t="str">
        <f t="shared" si="17"/>
        <v>3-6</v>
      </c>
      <c r="L156" s="14" t="str">
        <f t="shared" si="20"/>
        <v>Romper Short | 3-6 | Cream</v>
      </c>
      <c r="M156" s="16" t="s">
        <v>3609</v>
      </c>
    </row>
    <row r="157" spans="1:13" ht="25" customHeight="1" x14ac:dyDescent="0.45">
      <c r="A157" s="6">
        <v>46097</v>
      </c>
      <c r="B157" s="3" t="s">
        <v>716</v>
      </c>
      <c r="C157" s="4" t="s">
        <v>87</v>
      </c>
      <c r="D157" s="53" t="str">
        <f t="shared" si="18"/>
        <v>Cream</v>
      </c>
      <c r="E157" s="4" t="s">
        <v>485</v>
      </c>
      <c r="F157" s="4" t="s">
        <v>19</v>
      </c>
      <c r="G157" s="4" t="str">
        <f t="shared" si="21"/>
        <v>Romper Short</v>
      </c>
      <c r="H157" s="38">
        <f t="shared" si="16"/>
        <v>3</v>
      </c>
      <c r="I157" s="54">
        <f t="shared" si="22"/>
        <v>12</v>
      </c>
      <c r="J157" s="14" t="str">
        <f t="shared" si="19"/>
        <v>Easter</v>
      </c>
      <c r="K157" s="16" t="str">
        <f t="shared" si="17"/>
        <v>3-6</v>
      </c>
      <c r="L157" s="14" t="str">
        <f t="shared" si="20"/>
        <v>Romper Short | 3-6 | Cream</v>
      </c>
      <c r="M157" s="16" t="s">
        <v>3609</v>
      </c>
    </row>
    <row r="158" spans="1:13" ht="25" customHeight="1" x14ac:dyDescent="0.45">
      <c r="A158" s="6">
        <v>46097</v>
      </c>
      <c r="B158" s="3" t="s">
        <v>716</v>
      </c>
      <c r="C158" s="4" t="s">
        <v>473</v>
      </c>
      <c r="D158" s="53" t="str">
        <f t="shared" si="18"/>
        <v>Salmon</v>
      </c>
      <c r="E158" s="4" t="s">
        <v>485</v>
      </c>
      <c r="F158" s="4" t="s">
        <v>7</v>
      </c>
      <c r="G158" s="4" t="str">
        <f t="shared" si="21"/>
        <v>Romper Short</v>
      </c>
      <c r="H158" s="38">
        <f t="shared" si="16"/>
        <v>3</v>
      </c>
      <c r="I158" s="54">
        <f t="shared" si="22"/>
        <v>12</v>
      </c>
      <c r="J158" s="14" t="str">
        <f t="shared" si="19"/>
        <v>Easter</v>
      </c>
      <c r="K158" s="16" t="str">
        <f t="shared" si="17"/>
        <v>3-6</v>
      </c>
      <c r="L158" s="14" t="str">
        <f t="shared" si="20"/>
        <v>Romper Short | 3-6 | Salmon</v>
      </c>
      <c r="M158" s="16" t="s">
        <v>3610</v>
      </c>
    </row>
    <row r="159" spans="1:13" ht="25" customHeight="1" x14ac:dyDescent="0.45">
      <c r="A159" s="6">
        <v>46097</v>
      </c>
      <c r="B159" s="3" t="s">
        <v>717</v>
      </c>
      <c r="C159" s="4" t="s">
        <v>101</v>
      </c>
      <c r="D159" s="53" t="str">
        <f t="shared" si="18"/>
        <v>Sage Green</v>
      </c>
      <c r="E159" s="4" t="s">
        <v>718</v>
      </c>
      <c r="F159" s="4" t="s">
        <v>7</v>
      </c>
      <c r="G159" s="4" t="str">
        <f t="shared" si="21"/>
        <v>Romper Longer</v>
      </c>
      <c r="H159" s="38">
        <f t="shared" si="16"/>
        <v>3</v>
      </c>
      <c r="I159" s="54">
        <f t="shared" si="22"/>
        <v>12</v>
      </c>
      <c r="J159" s="14" t="str">
        <f t="shared" si="19"/>
        <v>Easter</v>
      </c>
      <c r="K159" s="16" t="str">
        <f t="shared" si="17"/>
        <v>0-3</v>
      </c>
      <c r="L159" s="14" t="str">
        <f t="shared" si="20"/>
        <v>Romper Longer | 0-3 | Sage Green</v>
      </c>
      <c r="M159" s="16" t="s">
        <v>3611</v>
      </c>
    </row>
    <row r="160" spans="1:13" ht="25" customHeight="1" x14ac:dyDescent="0.45">
      <c r="A160" s="6">
        <v>46097</v>
      </c>
      <c r="B160" s="3" t="s">
        <v>719</v>
      </c>
      <c r="C160" s="4" t="s">
        <v>101</v>
      </c>
      <c r="D160" s="53" t="str">
        <f t="shared" si="18"/>
        <v>Sage Green</v>
      </c>
      <c r="E160" s="4" t="s">
        <v>485</v>
      </c>
      <c r="F160" s="4" t="s">
        <v>7</v>
      </c>
      <c r="G160" s="4" t="str">
        <f t="shared" si="21"/>
        <v>Romper Short</v>
      </c>
      <c r="H160" s="38">
        <f t="shared" si="16"/>
        <v>3</v>
      </c>
      <c r="I160" s="54">
        <f t="shared" si="22"/>
        <v>12</v>
      </c>
      <c r="J160" s="14" t="str">
        <f t="shared" si="19"/>
        <v>Easter</v>
      </c>
      <c r="K160" s="16" t="str">
        <f t="shared" si="17"/>
        <v>3-6</v>
      </c>
      <c r="L160" s="14" t="str">
        <f t="shared" si="20"/>
        <v>Romper Short | 3-6 | Sage Green</v>
      </c>
      <c r="M160" s="16" t="s">
        <v>3611</v>
      </c>
    </row>
    <row r="161" spans="1:13" ht="25" customHeight="1" x14ac:dyDescent="0.45">
      <c r="A161" s="6">
        <v>46097</v>
      </c>
      <c r="B161" s="3" t="s">
        <v>720</v>
      </c>
      <c r="C161" s="4" t="s">
        <v>101</v>
      </c>
      <c r="D161" s="53" t="str">
        <f t="shared" si="18"/>
        <v>Sage Green</v>
      </c>
      <c r="E161" s="4" t="s">
        <v>589</v>
      </c>
      <c r="F161" s="4" t="s">
        <v>7</v>
      </c>
      <c r="G161" s="4" t="str">
        <f t="shared" si="21"/>
        <v>Romper Short</v>
      </c>
      <c r="H161" s="38">
        <f t="shared" si="16"/>
        <v>3</v>
      </c>
      <c r="I161" s="54">
        <f t="shared" si="22"/>
        <v>12</v>
      </c>
      <c r="J161" s="14" t="str">
        <f t="shared" si="19"/>
        <v>Easter</v>
      </c>
      <c r="K161" s="16" t="str">
        <f t="shared" si="17"/>
        <v>6-12</v>
      </c>
      <c r="L161" s="14" t="str">
        <f t="shared" si="20"/>
        <v>Romper Short | 6-12 | Sage Green</v>
      </c>
      <c r="M161" s="16" t="s">
        <v>3610</v>
      </c>
    </row>
    <row r="162" spans="1:13" ht="25" customHeight="1" x14ac:dyDescent="0.45">
      <c r="A162" s="6">
        <v>46097</v>
      </c>
      <c r="B162" s="3" t="s">
        <v>715</v>
      </c>
      <c r="C162" s="4" t="s">
        <v>470</v>
      </c>
      <c r="D162" s="53" t="str">
        <f t="shared" si="18"/>
        <v>Caldet Blue</v>
      </c>
      <c r="E162" s="4" t="s">
        <v>485</v>
      </c>
      <c r="F162" s="4" t="s">
        <v>7</v>
      </c>
      <c r="G162" s="4" t="str">
        <f t="shared" si="21"/>
        <v>Romper Short</v>
      </c>
      <c r="H162" s="38">
        <f t="shared" si="16"/>
        <v>3</v>
      </c>
      <c r="I162" s="54">
        <f t="shared" si="22"/>
        <v>12</v>
      </c>
      <c r="J162" s="14" t="str">
        <f t="shared" si="19"/>
        <v>Easter</v>
      </c>
      <c r="K162" s="16" t="str">
        <f t="shared" si="17"/>
        <v>3-6</v>
      </c>
      <c r="L162" s="14" t="str">
        <f t="shared" si="20"/>
        <v>Romper Short | 3-6 | Caldet Blue</v>
      </c>
      <c r="M162" s="16" t="s">
        <v>3610</v>
      </c>
    </row>
    <row r="163" spans="1:13" ht="25" customHeight="1" x14ac:dyDescent="0.45">
      <c r="A163" s="6">
        <v>46097</v>
      </c>
      <c r="B163" s="3" t="s">
        <v>721</v>
      </c>
      <c r="C163" s="4" t="s">
        <v>184</v>
      </c>
      <c r="D163" s="53" t="str">
        <f t="shared" si="18"/>
        <v>Coffee</v>
      </c>
      <c r="E163" s="4" t="s">
        <v>555</v>
      </c>
      <c r="F163" s="4" t="s">
        <v>7</v>
      </c>
      <c r="G163" s="4" t="str">
        <f t="shared" si="21"/>
        <v>Romper Longer</v>
      </c>
      <c r="H163" s="38">
        <f t="shared" si="16"/>
        <v>3</v>
      </c>
      <c r="I163" s="54">
        <f t="shared" si="22"/>
        <v>12</v>
      </c>
      <c r="J163" s="14" t="str">
        <f t="shared" si="19"/>
        <v>Easter</v>
      </c>
      <c r="K163" s="16" t="str">
        <f t="shared" si="17"/>
        <v>3-6</v>
      </c>
      <c r="L163" s="14" t="str">
        <f t="shared" si="20"/>
        <v>Romper Longer | 3-6 | Coffee</v>
      </c>
      <c r="M163" s="16" t="s">
        <v>3610</v>
      </c>
    </row>
    <row r="164" spans="1:13" ht="25" customHeight="1" x14ac:dyDescent="0.45">
      <c r="A164" s="6">
        <v>46097</v>
      </c>
      <c r="B164" s="3" t="s">
        <v>722</v>
      </c>
      <c r="C164" s="4" t="s">
        <v>87</v>
      </c>
      <c r="D164" s="53" t="str">
        <f t="shared" si="18"/>
        <v>Cream</v>
      </c>
      <c r="E164" s="4" t="s">
        <v>485</v>
      </c>
      <c r="F164" s="4" t="s">
        <v>7</v>
      </c>
      <c r="G164" s="4" t="str">
        <f t="shared" si="21"/>
        <v>Romper Short</v>
      </c>
      <c r="H164" s="38">
        <f t="shared" si="16"/>
        <v>3</v>
      </c>
      <c r="I164" s="54">
        <f t="shared" si="22"/>
        <v>12</v>
      </c>
      <c r="J164" s="14" t="str">
        <f t="shared" si="19"/>
        <v>Easter</v>
      </c>
      <c r="K164" s="16" t="str">
        <f t="shared" si="17"/>
        <v>3-6</v>
      </c>
      <c r="L164" s="14" t="str">
        <f t="shared" si="20"/>
        <v>Romper Short | 3-6 | Cream</v>
      </c>
      <c r="M164" s="16" t="s">
        <v>3609</v>
      </c>
    </row>
    <row r="165" spans="1:13" ht="25" customHeight="1" x14ac:dyDescent="0.45">
      <c r="A165" s="6">
        <v>46097</v>
      </c>
      <c r="B165" s="3" t="s">
        <v>723</v>
      </c>
      <c r="C165" s="4" t="s">
        <v>87</v>
      </c>
      <c r="D165" s="53" t="str">
        <f t="shared" si="18"/>
        <v>Cream</v>
      </c>
      <c r="E165" s="4" t="s">
        <v>658</v>
      </c>
      <c r="F165" s="4" t="s">
        <v>7</v>
      </c>
      <c r="G165" s="4" t="str">
        <f t="shared" si="21"/>
        <v>Romper Longer</v>
      </c>
      <c r="H165" s="38">
        <f t="shared" si="16"/>
        <v>3</v>
      </c>
      <c r="I165" s="54">
        <f t="shared" si="22"/>
        <v>12</v>
      </c>
      <c r="J165" s="14" t="str">
        <f t="shared" si="19"/>
        <v>Easter</v>
      </c>
      <c r="K165" s="16" t="str">
        <f t="shared" si="17"/>
        <v>3-6</v>
      </c>
      <c r="L165" s="14" t="str">
        <f t="shared" si="20"/>
        <v>Romper Longer | 3-6 | Cream</v>
      </c>
      <c r="M165" s="16" t="s">
        <v>3609</v>
      </c>
    </row>
    <row r="166" spans="1:13" ht="25" customHeight="1" x14ac:dyDescent="0.45">
      <c r="A166" s="6">
        <v>46097</v>
      </c>
      <c r="B166" s="3" t="s">
        <v>724</v>
      </c>
      <c r="C166" s="4" t="s">
        <v>508</v>
      </c>
      <c r="D166" s="53" t="str">
        <f t="shared" si="18"/>
        <v>Dusty Pink</v>
      </c>
      <c r="E166" s="4" t="s">
        <v>479</v>
      </c>
      <c r="F166" s="4" t="s">
        <v>7</v>
      </c>
      <c r="G166" s="4" t="str">
        <f t="shared" si="21"/>
        <v>Romper Longer</v>
      </c>
      <c r="H166" s="38">
        <f t="shared" si="16"/>
        <v>3</v>
      </c>
      <c r="I166" s="54">
        <f t="shared" si="22"/>
        <v>12</v>
      </c>
      <c r="J166" s="14" t="str">
        <f t="shared" si="19"/>
        <v>Easter</v>
      </c>
      <c r="K166" s="16" t="str">
        <f t="shared" si="17"/>
        <v>6-12</v>
      </c>
      <c r="L166" s="14" t="str">
        <f t="shared" si="20"/>
        <v>Romper Longer | 6-12 | Dusty Pink</v>
      </c>
      <c r="M166" s="16" t="s">
        <v>3610</v>
      </c>
    </row>
    <row r="167" spans="1:13" ht="25" customHeight="1" x14ac:dyDescent="0.45">
      <c r="A167" s="6">
        <v>46097</v>
      </c>
      <c r="B167" s="3" t="s">
        <v>725</v>
      </c>
      <c r="C167" s="4" t="s">
        <v>87</v>
      </c>
      <c r="D167" s="53" t="str">
        <f t="shared" si="18"/>
        <v>Cream</v>
      </c>
      <c r="E167" s="4" t="s">
        <v>490</v>
      </c>
      <c r="F167" s="4" t="s">
        <v>7</v>
      </c>
      <c r="G167" s="4" t="str">
        <f t="shared" si="21"/>
        <v>Romper Longer</v>
      </c>
      <c r="H167" s="38">
        <f t="shared" si="16"/>
        <v>3</v>
      </c>
      <c r="I167" s="54">
        <f t="shared" si="22"/>
        <v>12</v>
      </c>
      <c r="J167" s="14" t="str">
        <f t="shared" si="19"/>
        <v>Easter</v>
      </c>
      <c r="K167" s="16" t="str">
        <f t="shared" si="17"/>
        <v>0-3</v>
      </c>
      <c r="L167" s="14" t="str">
        <f t="shared" si="20"/>
        <v>Romper Longer | 0-3 | Cream</v>
      </c>
      <c r="M167" s="16" t="s">
        <v>3609</v>
      </c>
    </row>
    <row r="168" spans="1:13" ht="25" customHeight="1" x14ac:dyDescent="0.45">
      <c r="A168" s="6">
        <v>46097</v>
      </c>
      <c r="B168" s="3" t="s">
        <v>726</v>
      </c>
      <c r="C168" s="4" t="s">
        <v>87</v>
      </c>
      <c r="D168" s="53" t="str">
        <f t="shared" si="18"/>
        <v>Cream</v>
      </c>
      <c r="E168" s="4" t="s">
        <v>580</v>
      </c>
      <c r="F168" s="4" t="s">
        <v>19</v>
      </c>
      <c r="G168" s="4" t="str">
        <f t="shared" si="21"/>
        <v>Romper Short</v>
      </c>
      <c r="H168" s="38">
        <f t="shared" si="16"/>
        <v>3</v>
      </c>
      <c r="I168" s="54">
        <f t="shared" si="22"/>
        <v>12</v>
      </c>
      <c r="J168" s="14" t="str">
        <f t="shared" si="19"/>
        <v>Easter</v>
      </c>
      <c r="K168" s="16" t="str">
        <f t="shared" si="17"/>
        <v>0-3</v>
      </c>
      <c r="L168" s="14" t="str">
        <f t="shared" si="20"/>
        <v>Romper Short | 0-3 | Cream</v>
      </c>
      <c r="M168" s="16" t="s">
        <v>3609</v>
      </c>
    </row>
    <row r="169" spans="1:13" ht="25" customHeight="1" x14ac:dyDescent="0.45">
      <c r="A169" s="6">
        <v>46098</v>
      </c>
      <c r="B169" s="3" t="s">
        <v>727</v>
      </c>
      <c r="C169" s="4" t="s">
        <v>483</v>
      </c>
      <c r="D169" s="53" t="str">
        <f t="shared" si="18"/>
        <v>Forest Green</v>
      </c>
      <c r="E169" s="4" t="s">
        <v>580</v>
      </c>
      <c r="F169" s="4" t="s">
        <v>7</v>
      </c>
      <c r="G169" s="4" t="str">
        <f t="shared" si="21"/>
        <v>Romper Short</v>
      </c>
      <c r="H169" s="38">
        <f t="shared" si="16"/>
        <v>3</v>
      </c>
      <c r="I169" s="54">
        <f t="shared" si="22"/>
        <v>12</v>
      </c>
      <c r="J169" s="14" t="str">
        <f t="shared" si="19"/>
        <v>Easter</v>
      </c>
      <c r="K169" s="16" t="str">
        <f t="shared" si="17"/>
        <v>0-3</v>
      </c>
      <c r="L169" s="14" t="str">
        <f t="shared" si="20"/>
        <v>Romper Short | 0-3 | Forest Green</v>
      </c>
      <c r="M169" s="16" t="s">
        <v>3610</v>
      </c>
    </row>
    <row r="170" spans="1:13" ht="25" customHeight="1" x14ac:dyDescent="0.45">
      <c r="A170" s="6">
        <v>46098</v>
      </c>
      <c r="B170" s="3" t="s">
        <v>728</v>
      </c>
      <c r="C170" s="4" t="s">
        <v>87</v>
      </c>
      <c r="D170" s="53" t="str">
        <f t="shared" si="18"/>
        <v>Cream</v>
      </c>
      <c r="E170" s="4" t="s">
        <v>555</v>
      </c>
      <c r="F170" s="4" t="s">
        <v>7</v>
      </c>
      <c r="G170" s="4" t="str">
        <f t="shared" si="21"/>
        <v>Romper Longer</v>
      </c>
      <c r="H170" s="38">
        <f t="shared" si="16"/>
        <v>3</v>
      </c>
      <c r="I170" s="54">
        <f t="shared" si="22"/>
        <v>12</v>
      </c>
      <c r="J170" s="14" t="str">
        <f t="shared" si="19"/>
        <v>Easter</v>
      </c>
      <c r="K170" s="16" t="str">
        <f t="shared" si="17"/>
        <v>3-6</v>
      </c>
      <c r="L170" s="14" t="str">
        <f t="shared" si="20"/>
        <v>Romper Longer | 3-6 | Cream</v>
      </c>
      <c r="M170" s="16" t="s">
        <v>3609</v>
      </c>
    </row>
    <row r="171" spans="1:13" ht="25" customHeight="1" x14ac:dyDescent="0.45">
      <c r="A171" s="6">
        <v>46098</v>
      </c>
      <c r="B171" s="3" t="s">
        <v>729</v>
      </c>
      <c r="C171" s="4" t="s">
        <v>101</v>
      </c>
      <c r="D171" s="53" t="str">
        <f t="shared" si="18"/>
        <v>Sage Green</v>
      </c>
      <c r="E171" s="4" t="s">
        <v>490</v>
      </c>
      <c r="F171" s="4" t="s">
        <v>11</v>
      </c>
      <c r="G171" s="4" t="str">
        <f t="shared" si="21"/>
        <v>Romper Longer</v>
      </c>
      <c r="H171" s="38">
        <f t="shared" si="16"/>
        <v>3</v>
      </c>
      <c r="I171" s="54">
        <f t="shared" si="22"/>
        <v>12</v>
      </c>
      <c r="J171" s="14" t="str">
        <f t="shared" si="19"/>
        <v>Easter</v>
      </c>
      <c r="K171" s="16" t="str">
        <f t="shared" si="17"/>
        <v>0-3</v>
      </c>
      <c r="L171" s="14" t="str">
        <f t="shared" si="20"/>
        <v>Romper Longer | 0-3 | Sage Green</v>
      </c>
      <c r="M171" s="16" t="s">
        <v>3611</v>
      </c>
    </row>
    <row r="172" spans="1:13" ht="25" customHeight="1" x14ac:dyDescent="0.45">
      <c r="A172" s="6">
        <v>46098</v>
      </c>
      <c r="B172" s="3" t="s">
        <v>730</v>
      </c>
      <c r="C172" s="4" t="s">
        <v>114</v>
      </c>
      <c r="D172" s="53" t="str">
        <f t="shared" si="18"/>
        <v>White</v>
      </c>
      <c r="E172" s="4" t="s">
        <v>580</v>
      </c>
      <c r="F172" s="4" t="s">
        <v>11</v>
      </c>
      <c r="G172" s="4" t="str">
        <f t="shared" si="21"/>
        <v>Romper Short</v>
      </c>
      <c r="H172" s="38">
        <f t="shared" si="16"/>
        <v>3</v>
      </c>
      <c r="I172" s="54">
        <f t="shared" si="22"/>
        <v>12</v>
      </c>
      <c r="J172" s="14" t="str">
        <f t="shared" si="19"/>
        <v>Easter</v>
      </c>
      <c r="K172" s="16" t="str">
        <f t="shared" si="17"/>
        <v>0-3</v>
      </c>
      <c r="L172" s="14" t="str">
        <f t="shared" si="20"/>
        <v>Romper Short | 0-3 | White</v>
      </c>
      <c r="M172" s="16" t="s">
        <v>3610</v>
      </c>
    </row>
    <row r="173" spans="1:13" ht="25" customHeight="1" x14ac:dyDescent="0.45">
      <c r="A173" s="6">
        <v>46098</v>
      </c>
      <c r="B173" s="3" t="s">
        <v>731</v>
      </c>
      <c r="C173" s="4" t="s">
        <v>87</v>
      </c>
      <c r="D173" s="53" t="str">
        <f t="shared" si="18"/>
        <v>Cream</v>
      </c>
      <c r="E173" s="4" t="s">
        <v>490</v>
      </c>
      <c r="F173" s="4" t="s">
        <v>7</v>
      </c>
      <c r="G173" s="4" t="str">
        <f t="shared" si="21"/>
        <v>Romper Longer</v>
      </c>
      <c r="H173" s="38">
        <f t="shared" si="16"/>
        <v>3</v>
      </c>
      <c r="I173" s="54">
        <f t="shared" si="22"/>
        <v>12</v>
      </c>
      <c r="J173" s="14" t="str">
        <f t="shared" si="19"/>
        <v>Easter</v>
      </c>
      <c r="K173" s="16" t="str">
        <f t="shared" si="17"/>
        <v>0-3</v>
      </c>
      <c r="L173" s="14" t="str">
        <f t="shared" si="20"/>
        <v>Romper Longer | 0-3 | Cream</v>
      </c>
      <c r="M173" s="16" t="s">
        <v>3609</v>
      </c>
    </row>
    <row r="174" spans="1:13" ht="25" customHeight="1" x14ac:dyDescent="0.45">
      <c r="A174" s="6">
        <v>46098</v>
      </c>
      <c r="B174" s="3" t="s">
        <v>732</v>
      </c>
      <c r="C174" s="4" t="s">
        <v>87</v>
      </c>
      <c r="D174" s="53" t="str">
        <f t="shared" si="18"/>
        <v>Cream</v>
      </c>
      <c r="E174" s="4" t="s">
        <v>555</v>
      </c>
      <c r="F174" s="4" t="s">
        <v>69</v>
      </c>
      <c r="G174" s="4" t="str">
        <f t="shared" si="21"/>
        <v>Romper Longer</v>
      </c>
      <c r="H174" s="38">
        <f t="shared" si="16"/>
        <v>3</v>
      </c>
      <c r="I174" s="54">
        <f t="shared" si="22"/>
        <v>12</v>
      </c>
      <c r="J174" s="14" t="str">
        <f t="shared" si="19"/>
        <v>Easter</v>
      </c>
      <c r="K174" s="16" t="str">
        <f t="shared" si="17"/>
        <v>3-6</v>
      </c>
      <c r="L174" s="14" t="str">
        <f t="shared" si="20"/>
        <v>Romper Longer | 3-6 | Cream</v>
      </c>
      <c r="M174" s="16" t="s">
        <v>3609</v>
      </c>
    </row>
    <row r="175" spans="1:13" ht="25" customHeight="1" x14ac:dyDescent="0.45">
      <c r="A175" s="6">
        <v>46098</v>
      </c>
      <c r="B175" s="3" t="s">
        <v>733</v>
      </c>
      <c r="C175" s="4" t="s">
        <v>101</v>
      </c>
      <c r="D175" s="53" t="str">
        <f t="shared" si="18"/>
        <v>Sage Green</v>
      </c>
      <c r="E175" s="4" t="s">
        <v>555</v>
      </c>
      <c r="F175" s="4" t="s">
        <v>11</v>
      </c>
      <c r="G175" s="4" t="str">
        <f t="shared" si="21"/>
        <v>Romper Longer</v>
      </c>
      <c r="H175" s="38">
        <f t="shared" si="16"/>
        <v>3</v>
      </c>
      <c r="I175" s="54">
        <f t="shared" si="22"/>
        <v>12</v>
      </c>
      <c r="J175" s="14" t="str">
        <f t="shared" si="19"/>
        <v>Easter</v>
      </c>
      <c r="K175" s="16" t="str">
        <f t="shared" si="17"/>
        <v>3-6</v>
      </c>
      <c r="L175" s="14" t="str">
        <f t="shared" si="20"/>
        <v>Romper Longer | 3-6 | Sage Green</v>
      </c>
      <c r="M175" s="16" t="s">
        <v>3611</v>
      </c>
    </row>
    <row r="176" spans="1:13" ht="25" customHeight="1" x14ac:dyDescent="0.45">
      <c r="A176" s="6">
        <v>46098</v>
      </c>
      <c r="B176" s="3" t="s">
        <v>734</v>
      </c>
      <c r="C176" s="4" t="s">
        <v>87</v>
      </c>
      <c r="D176" s="53" t="str">
        <f t="shared" si="18"/>
        <v>Cream</v>
      </c>
      <c r="E176" s="4" t="s">
        <v>596</v>
      </c>
      <c r="F176" s="4" t="s">
        <v>7</v>
      </c>
      <c r="G176" s="4" t="str">
        <f t="shared" si="21"/>
        <v>Romper Longer</v>
      </c>
      <c r="H176" s="38">
        <f t="shared" si="16"/>
        <v>3</v>
      </c>
      <c r="I176" s="54">
        <f t="shared" si="22"/>
        <v>12</v>
      </c>
      <c r="J176" s="14" t="str">
        <f t="shared" si="19"/>
        <v>Easter</v>
      </c>
      <c r="K176" s="16" t="str">
        <f t="shared" si="17"/>
        <v>12-18</v>
      </c>
      <c r="L176" s="14" t="str">
        <f t="shared" si="20"/>
        <v>Romper Longer | 12-18 | Cream</v>
      </c>
      <c r="M176" s="16" t="s">
        <v>3610</v>
      </c>
    </row>
    <row r="177" spans="1:13" ht="25" customHeight="1" x14ac:dyDescent="0.45">
      <c r="A177" s="6">
        <v>46098</v>
      </c>
      <c r="B177" s="3" t="s">
        <v>735</v>
      </c>
      <c r="C177" s="4" t="s">
        <v>87</v>
      </c>
      <c r="D177" s="53" t="str">
        <f t="shared" si="18"/>
        <v>Cream</v>
      </c>
      <c r="E177" s="4" t="s">
        <v>580</v>
      </c>
      <c r="F177" s="4" t="s">
        <v>7</v>
      </c>
      <c r="G177" s="4" t="str">
        <f t="shared" si="21"/>
        <v>Romper Short</v>
      </c>
      <c r="H177" s="38">
        <f t="shared" si="16"/>
        <v>3</v>
      </c>
      <c r="I177" s="54">
        <f t="shared" si="22"/>
        <v>12</v>
      </c>
      <c r="J177" s="14" t="str">
        <f t="shared" si="19"/>
        <v>Easter</v>
      </c>
      <c r="K177" s="16" t="str">
        <f t="shared" si="17"/>
        <v>0-3</v>
      </c>
      <c r="L177" s="14" t="str">
        <f t="shared" si="20"/>
        <v>Romper Short | 0-3 | Cream</v>
      </c>
      <c r="M177" s="16" t="s">
        <v>3609</v>
      </c>
    </row>
    <row r="178" spans="1:13" ht="25" customHeight="1" x14ac:dyDescent="0.45">
      <c r="A178" s="6">
        <v>46098</v>
      </c>
      <c r="B178" s="3" t="s">
        <v>736</v>
      </c>
      <c r="C178" s="4" t="s">
        <v>87</v>
      </c>
      <c r="D178" s="53" t="str">
        <f t="shared" si="18"/>
        <v>Cream</v>
      </c>
      <c r="E178" s="4" t="s">
        <v>490</v>
      </c>
      <c r="F178" s="4" t="s">
        <v>7</v>
      </c>
      <c r="G178" s="4" t="str">
        <f t="shared" si="21"/>
        <v>Romper Longer</v>
      </c>
      <c r="H178" s="38">
        <f t="shared" si="16"/>
        <v>3</v>
      </c>
      <c r="I178" s="54">
        <f t="shared" si="22"/>
        <v>12</v>
      </c>
      <c r="J178" s="14" t="str">
        <f t="shared" si="19"/>
        <v>Easter</v>
      </c>
      <c r="K178" s="16" t="str">
        <f t="shared" si="17"/>
        <v>0-3</v>
      </c>
      <c r="L178" s="14" t="str">
        <f t="shared" si="20"/>
        <v>Romper Longer | 0-3 | Cream</v>
      </c>
      <c r="M178" s="16" t="s">
        <v>3609</v>
      </c>
    </row>
    <row r="179" spans="1:13" ht="25" customHeight="1" x14ac:dyDescent="0.45">
      <c r="A179" s="6">
        <v>46098</v>
      </c>
      <c r="B179" s="3" t="s">
        <v>737</v>
      </c>
      <c r="C179" s="4" t="s">
        <v>101</v>
      </c>
      <c r="D179" s="53" t="str">
        <f t="shared" si="18"/>
        <v>Sage Green</v>
      </c>
      <c r="E179" s="4" t="s">
        <v>485</v>
      </c>
      <c r="F179" s="4" t="s">
        <v>7</v>
      </c>
      <c r="G179" s="4" t="str">
        <f t="shared" si="21"/>
        <v>Romper Short</v>
      </c>
      <c r="H179" s="38">
        <f t="shared" si="16"/>
        <v>3</v>
      </c>
      <c r="I179" s="54">
        <f t="shared" si="22"/>
        <v>12</v>
      </c>
      <c r="J179" s="14" t="str">
        <f t="shared" si="19"/>
        <v>Easter</v>
      </c>
      <c r="K179" s="16" t="str">
        <f t="shared" si="17"/>
        <v>3-6</v>
      </c>
      <c r="L179" s="14" t="str">
        <f t="shared" si="20"/>
        <v>Romper Short | 3-6 | Sage Green</v>
      </c>
      <c r="M179" s="16" t="s">
        <v>3611</v>
      </c>
    </row>
    <row r="180" spans="1:13" ht="25" customHeight="1" x14ac:dyDescent="0.45">
      <c r="A180" s="6">
        <v>46098</v>
      </c>
      <c r="B180" s="3" t="s">
        <v>738</v>
      </c>
      <c r="C180" s="4" t="s">
        <v>87</v>
      </c>
      <c r="D180" s="53" t="str">
        <f t="shared" si="18"/>
        <v>Cream</v>
      </c>
      <c r="E180" s="4" t="s">
        <v>490</v>
      </c>
      <c r="F180" s="4" t="s">
        <v>7</v>
      </c>
      <c r="G180" s="4" t="str">
        <f t="shared" si="21"/>
        <v>Romper Longer</v>
      </c>
      <c r="H180" s="38">
        <f t="shared" si="16"/>
        <v>3</v>
      </c>
      <c r="I180" s="54">
        <f t="shared" si="22"/>
        <v>12</v>
      </c>
      <c r="J180" s="14" t="str">
        <f t="shared" si="19"/>
        <v>Easter</v>
      </c>
      <c r="K180" s="16" t="str">
        <f t="shared" si="17"/>
        <v>0-3</v>
      </c>
      <c r="L180" s="14" t="str">
        <f t="shared" si="20"/>
        <v>Romper Longer | 0-3 | Cream</v>
      </c>
      <c r="M180" s="16" t="s">
        <v>3609</v>
      </c>
    </row>
    <row r="181" spans="1:13" ht="25" customHeight="1" x14ac:dyDescent="0.45">
      <c r="A181" s="6">
        <v>46099</v>
      </c>
      <c r="B181" s="3" t="s">
        <v>1318</v>
      </c>
      <c r="C181" s="4" t="s">
        <v>470</v>
      </c>
      <c r="D181" s="53" t="str">
        <f t="shared" si="18"/>
        <v>Caldet Blue</v>
      </c>
      <c r="E181" s="4" t="s">
        <v>485</v>
      </c>
      <c r="F181" s="4" t="s">
        <v>7</v>
      </c>
      <c r="G181" s="4" t="str">
        <f t="shared" si="21"/>
        <v>Romper Short</v>
      </c>
      <c r="H181" s="38">
        <f t="shared" si="16"/>
        <v>3</v>
      </c>
      <c r="I181" s="54">
        <f t="shared" si="22"/>
        <v>12</v>
      </c>
      <c r="J181" s="14" t="str">
        <f t="shared" si="19"/>
        <v>Easter</v>
      </c>
      <c r="K181" s="16" t="str">
        <f t="shared" si="17"/>
        <v>3-6</v>
      </c>
      <c r="L181" s="14" t="str">
        <f t="shared" si="20"/>
        <v>Romper Short | 3-6 | Caldet Blue</v>
      </c>
      <c r="M181" s="16" t="s">
        <v>3610</v>
      </c>
    </row>
    <row r="182" spans="1:13" ht="25" customHeight="1" x14ac:dyDescent="0.45">
      <c r="A182" s="6">
        <v>46099</v>
      </c>
      <c r="B182" s="3" t="s">
        <v>739</v>
      </c>
      <c r="C182" s="4" t="s">
        <v>470</v>
      </c>
      <c r="D182" s="53" t="str">
        <f t="shared" si="18"/>
        <v>Caldet Blue</v>
      </c>
      <c r="E182" s="4" t="s">
        <v>490</v>
      </c>
      <c r="F182" s="4" t="s">
        <v>19</v>
      </c>
      <c r="G182" s="4" t="str">
        <f t="shared" si="21"/>
        <v>Romper Longer</v>
      </c>
      <c r="H182" s="38">
        <f t="shared" si="16"/>
        <v>3</v>
      </c>
      <c r="I182" s="54">
        <f t="shared" si="22"/>
        <v>12</v>
      </c>
      <c r="J182" s="14" t="str">
        <f t="shared" si="19"/>
        <v>Easter</v>
      </c>
      <c r="K182" s="16" t="str">
        <f t="shared" si="17"/>
        <v>0-3</v>
      </c>
      <c r="L182" s="14" t="str">
        <f t="shared" si="20"/>
        <v>Romper Longer | 0-3 | Caldet Blue</v>
      </c>
      <c r="M182" s="16" t="s">
        <v>3610</v>
      </c>
    </row>
    <row r="183" spans="1:13" ht="25" customHeight="1" x14ac:dyDescent="0.45">
      <c r="A183" s="6">
        <v>46099</v>
      </c>
      <c r="B183" s="3" t="s">
        <v>740</v>
      </c>
      <c r="C183" s="4" t="s">
        <v>101</v>
      </c>
      <c r="D183" s="53" t="str">
        <f t="shared" si="18"/>
        <v>Sage Green</v>
      </c>
      <c r="E183" s="4" t="s">
        <v>479</v>
      </c>
      <c r="F183" s="4" t="s">
        <v>7</v>
      </c>
      <c r="G183" s="4" t="str">
        <f t="shared" si="21"/>
        <v>Romper Longer</v>
      </c>
      <c r="H183" s="38">
        <f t="shared" si="16"/>
        <v>3</v>
      </c>
      <c r="I183" s="54">
        <f t="shared" si="22"/>
        <v>12</v>
      </c>
      <c r="J183" s="14" t="str">
        <f t="shared" si="19"/>
        <v>Easter</v>
      </c>
      <c r="K183" s="16" t="str">
        <f t="shared" si="17"/>
        <v>6-12</v>
      </c>
      <c r="L183" s="14" t="str">
        <f t="shared" si="20"/>
        <v>Romper Longer | 6-12 | Sage Green</v>
      </c>
      <c r="M183" s="16" t="s">
        <v>3610</v>
      </c>
    </row>
    <row r="184" spans="1:13" ht="25" customHeight="1" x14ac:dyDescent="0.45">
      <c r="A184" s="6">
        <v>46099</v>
      </c>
      <c r="B184" s="3" t="s">
        <v>741</v>
      </c>
      <c r="C184" s="4" t="s">
        <v>87</v>
      </c>
      <c r="D184" s="53" t="str">
        <f t="shared" si="18"/>
        <v>Cream</v>
      </c>
      <c r="E184" s="4" t="s">
        <v>589</v>
      </c>
      <c r="F184" s="4" t="s">
        <v>7</v>
      </c>
      <c r="G184" s="4" t="str">
        <f t="shared" si="21"/>
        <v>Romper Short</v>
      </c>
      <c r="H184" s="38">
        <f t="shared" si="16"/>
        <v>3</v>
      </c>
      <c r="I184" s="54">
        <f t="shared" si="22"/>
        <v>12</v>
      </c>
      <c r="J184" s="14" t="str">
        <f t="shared" si="19"/>
        <v>Easter</v>
      </c>
      <c r="K184" s="16" t="str">
        <f t="shared" si="17"/>
        <v>6-12</v>
      </c>
      <c r="L184" s="14" t="str">
        <f t="shared" si="20"/>
        <v>Romper Short | 6-12 | Cream</v>
      </c>
      <c r="M184" s="16" t="s">
        <v>3611</v>
      </c>
    </row>
    <row r="185" spans="1:13" ht="25" customHeight="1" x14ac:dyDescent="0.45">
      <c r="A185" s="6">
        <v>46099</v>
      </c>
      <c r="B185" s="3" t="s">
        <v>742</v>
      </c>
      <c r="C185" s="4" t="s">
        <v>87</v>
      </c>
      <c r="D185" s="53" t="str">
        <f t="shared" si="18"/>
        <v>Cream</v>
      </c>
      <c r="E185" s="4" t="s">
        <v>485</v>
      </c>
      <c r="F185" s="4" t="s">
        <v>7</v>
      </c>
      <c r="G185" s="4" t="str">
        <f t="shared" si="21"/>
        <v>Romper Short</v>
      </c>
      <c r="H185" s="38">
        <f t="shared" si="16"/>
        <v>3</v>
      </c>
      <c r="I185" s="54">
        <f t="shared" si="22"/>
        <v>12</v>
      </c>
      <c r="J185" s="14" t="str">
        <f t="shared" si="19"/>
        <v>Easter</v>
      </c>
      <c r="K185" s="16" t="str">
        <f t="shared" si="17"/>
        <v>3-6</v>
      </c>
      <c r="L185" s="14" t="str">
        <f t="shared" si="20"/>
        <v>Romper Short | 3-6 | Cream</v>
      </c>
      <c r="M185" s="16" t="s">
        <v>3609</v>
      </c>
    </row>
    <row r="186" spans="1:13" ht="25" customHeight="1" x14ac:dyDescent="0.45">
      <c r="A186" s="6">
        <v>46099</v>
      </c>
      <c r="B186" s="3" t="s">
        <v>743</v>
      </c>
      <c r="C186" s="4" t="s">
        <v>87</v>
      </c>
      <c r="D186" s="53" t="str">
        <f t="shared" si="18"/>
        <v>Cream</v>
      </c>
      <c r="E186" s="4" t="s">
        <v>485</v>
      </c>
      <c r="F186" s="4" t="s">
        <v>7</v>
      </c>
      <c r="G186" s="4" t="str">
        <f t="shared" si="21"/>
        <v>Romper Short</v>
      </c>
      <c r="H186" s="38">
        <f t="shared" si="16"/>
        <v>3</v>
      </c>
      <c r="I186" s="54">
        <f t="shared" si="22"/>
        <v>12</v>
      </c>
      <c r="J186" s="14" t="str">
        <f t="shared" si="19"/>
        <v>Easter</v>
      </c>
      <c r="K186" s="16" t="str">
        <f t="shared" si="17"/>
        <v>3-6</v>
      </c>
      <c r="L186" s="14" t="str">
        <f t="shared" si="20"/>
        <v>Romper Short | 3-6 | Cream</v>
      </c>
      <c r="M186" s="16" t="s">
        <v>3609</v>
      </c>
    </row>
    <row r="187" spans="1:13" ht="25" customHeight="1" x14ac:dyDescent="0.45">
      <c r="A187" s="6">
        <v>46100</v>
      </c>
      <c r="B187" s="3" t="s">
        <v>617</v>
      </c>
      <c r="C187" s="4" t="s">
        <v>101</v>
      </c>
      <c r="D187" s="53" t="str">
        <f t="shared" si="18"/>
        <v>Sage Green</v>
      </c>
      <c r="E187" s="4" t="s">
        <v>555</v>
      </c>
      <c r="F187" s="4" t="s">
        <v>7</v>
      </c>
      <c r="G187" s="4" t="str">
        <f t="shared" si="21"/>
        <v>Romper Longer</v>
      </c>
      <c r="H187" s="38">
        <f t="shared" si="16"/>
        <v>3</v>
      </c>
      <c r="I187" s="54">
        <f t="shared" si="22"/>
        <v>12</v>
      </c>
      <c r="J187" s="14" t="str">
        <f t="shared" si="19"/>
        <v>Easter</v>
      </c>
      <c r="K187" s="16" t="str">
        <f t="shared" si="17"/>
        <v>3-6</v>
      </c>
      <c r="L187" s="14" t="str">
        <f t="shared" si="20"/>
        <v>Romper Longer | 3-6 | Sage Green</v>
      </c>
      <c r="M187" s="16" t="s">
        <v>3611</v>
      </c>
    </row>
    <row r="188" spans="1:13" ht="25" customHeight="1" x14ac:dyDescent="0.45">
      <c r="A188" s="6">
        <v>46100</v>
      </c>
      <c r="B188" s="3" t="s">
        <v>582</v>
      </c>
      <c r="C188" s="4" t="s">
        <v>87</v>
      </c>
      <c r="D188" s="53" t="str">
        <f t="shared" si="18"/>
        <v>Cream</v>
      </c>
      <c r="E188" s="4" t="s">
        <v>580</v>
      </c>
      <c r="F188" s="4" t="s">
        <v>7</v>
      </c>
      <c r="G188" s="4" t="str">
        <f t="shared" si="21"/>
        <v>Romper Short</v>
      </c>
      <c r="H188" s="38">
        <f t="shared" si="16"/>
        <v>3</v>
      </c>
      <c r="I188" s="54">
        <f t="shared" si="22"/>
        <v>12</v>
      </c>
      <c r="J188" s="14" t="str">
        <f t="shared" si="19"/>
        <v>Easter</v>
      </c>
      <c r="K188" s="16" t="str">
        <f t="shared" si="17"/>
        <v>0-3</v>
      </c>
      <c r="L188" s="14" t="str">
        <f t="shared" si="20"/>
        <v>Romper Short | 0-3 | Cream</v>
      </c>
      <c r="M188" s="16" t="s">
        <v>3609</v>
      </c>
    </row>
    <row r="189" spans="1:13" ht="25" customHeight="1" x14ac:dyDescent="0.45">
      <c r="A189" s="6">
        <v>46100</v>
      </c>
      <c r="B189" s="3" t="s">
        <v>744</v>
      </c>
      <c r="C189" s="4" t="s">
        <v>101</v>
      </c>
      <c r="D189" s="53" t="str">
        <f t="shared" si="18"/>
        <v>Sage Green</v>
      </c>
      <c r="E189" s="4" t="s">
        <v>485</v>
      </c>
      <c r="F189" s="4" t="s">
        <v>7</v>
      </c>
      <c r="G189" s="4" t="str">
        <f t="shared" si="21"/>
        <v>Romper Short</v>
      </c>
      <c r="H189" s="38">
        <f t="shared" si="16"/>
        <v>3</v>
      </c>
      <c r="I189" s="54">
        <f t="shared" si="22"/>
        <v>12</v>
      </c>
      <c r="J189" s="14" t="str">
        <f t="shared" si="19"/>
        <v>Easter</v>
      </c>
      <c r="K189" s="16" t="str">
        <f t="shared" si="17"/>
        <v>3-6</v>
      </c>
      <c r="L189" s="14" t="str">
        <f t="shared" si="20"/>
        <v>Romper Short | 3-6 | Sage Green</v>
      </c>
      <c r="M189" s="16" t="s">
        <v>3611</v>
      </c>
    </row>
    <row r="190" spans="1:13" ht="25" customHeight="1" x14ac:dyDescent="0.45">
      <c r="A190" s="6">
        <v>46100</v>
      </c>
      <c r="B190" s="3" t="s">
        <v>744</v>
      </c>
      <c r="C190" s="4" t="s">
        <v>101</v>
      </c>
      <c r="D190" s="53" t="str">
        <f t="shared" si="18"/>
        <v>Sage Green</v>
      </c>
      <c r="E190" s="4" t="s">
        <v>580</v>
      </c>
      <c r="F190" s="4" t="s">
        <v>7</v>
      </c>
      <c r="G190" s="4" t="str">
        <f t="shared" si="21"/>
        <v>Romper Short</v>
      </c>
      <c r="H190" s="38">
        <f t="shared" si="16"/>
        <v>3</v>
      </c>
      <c r="I190" s="54">
        <f t="shared" si="22"/>
        <v>12</v>
      </c>
      <c r="J190" s="14" t="str">
        <f t="shared" si="19"/>
        <v>Easter</v>
      </c>
      <c r="K190" s="16" t="str">
        <f t="shared" si="17"/>
        <v>0-3</v>
      </c>
      <c r="L190" s="14" t="str">
        <f t="shared" si="20"/>
        <v>Romper Short | 0-3 | Sage Green</v>
      </c>
      <c r="M190" s="16" t="s">
        <v>3610</v>
      </c>
    </row>
    <row r="191" spans="1:13" ht="25" customHeight="1" x14ac:dyDescent="0.45">
      <c r="A191" s="6">
        <v>46101</v>
      </c>
      <c r="B191" s="3" t="s">
        <v>745</v>
      </c>
      <c r="C191" s="4" t="s">
        <v>87</v>
      </c>
      <c r="D191" s="53" t="str">
        <f t="shared" si="18"/>
        <v>Cream</v>
      </c>
      <c r="E191" s="4" t="s">
        <v>490</v>
      </c>
      <c r="F191" s="4" t="s">
        <v>7</v>
      </c>
      <c r="G191" s="4" t="str">
        <f t="shared" si="21"/>
        <v>Romper Longer</v>
      </c>
      <c r="H191" s="38">
        <f t="shared" si="16"/>
        <v>3</v>
      </c>
      <c r="I191" s="54">
        <f t="shared" si="22"/>
        <v>12</v>
      </c>
      <c r="J191" s="14" t="str">
        <f t="shared" si="19"/>
        <v>Easter</v>
      </c>
      <c r="K191" s="16" t="str">
        <f t="shared" si="17"/>
        <v>0-3</v>
      </c>
      <c r="L191" s="14" t="str">
        <f t="shared" si="20"/>
        <v>Romper Longer | 0-3 | Cream</v>
      </c>
      <c r="M191" s="16" t="s">
        <v>3609</v>
      </c>
    </row>
    <row r="192" spans="1:13" ht="25" customHeight="1" x14ac:dyDescent="0.45">
      <c r="A192" s="6">
        <v>46101</v>
      </c>
      <c r="B192" s="3" t="s">
        <v>746</v>
      </c>
      <c r="C192" s="4" t="s">
        <v>87</v>
      </c>
      <c r="D192" s="53" t="str">
        <f t="shared" si="18"/>
        <v>Cream</v>
      </c>
      <c r="E192" s="4" t="s">
        <v>555</v>
      </c>
      <c r="F192" s="4" t="s">
        <v>7</v>
      </c>
      <c r="G192" s="4" t="str">
        <f t="shared" si="21"/>
        <v>Romper Longer</v>
      </c>
      <c r="H192" s="38">
        <f t="shared" si="16"/>
        <v>3</v>
      </c>
      <c r="I192" s="54">
        <f t="shared" si="22"/>
        <v>12</v>
      </c>
      <c r="J192" s="14" t="str">
        <f t="shared" si="19"/>
        <v>Easter</v>
      </c>
      <c r="K192" s="16" t="str">
        <f t="shared" si="17"/>
        <v>3-6</v>
      </c>
      <c r="L192" s="14" t="str">
        <f t="shared" si="20"/>
        <v>Romper Longer | 3-6 | Cream</v>
      </c>
      <c r="M192" s="16" t="s">
        <v>3609</v>
      </c>
    </row>
    <row r="193" spans="1:13" ht="25" customHeight="1" x14ac:dyDescent="0.45">
      <c r="A193" s="6">
        <v>46101</v>
      </c>
      <c r="B193" s="3" t="s">
        <v>747</v>
      </c>
      <c r="C193" s="4" t="s">
        <v>114</v>
      </c>
      <c r="D193" s="53" t="str">
        <f t="shared" si="18"/>
        <v>White</v>
      </c>
      <c r="E193" s="4" t="s">
        <v>490</v>
      </c>
      <c r="F193" s="4" t="s">
        <v>7</v>
      </c>
      <c r="G193" s="4" t="str">
        <f t="shared" si="21"/>
        <v>Romper Longer</v>
      </c>
      <c r="H193" s="38">
        <f t="shared" si="16"/>
        <v>3</v>
      </c>
      <c r="I193" s="54">
        <f t="shared" si="22"/>
        <v>12</v>
      </c>
      <c r="J193" s="14" t="str">
        <f t="shared" si="19"/>
        <v>Easter</v>
      </c>
      <c r="K193" s="16" t="str">
        <f t="shared" si="17"/>
        <v>0-3</v>
      </c>
      <c r="L193" s="14" t="str">
        <f t="shared" si="20"/>
        <v>Romper Longer | 0-3 | White</v>
      </c>
      <c r="M193" s="16" t="s">
        <v>3610</v>
      </c>
    </row>
    <row r="194" spans="1:13" ht="25" customHeight="1" x14ac:dyDescent="0.45">
      <c r="A194" s="6">
        <v>46101</v>
      </c>
      <c r="B194" s="3" t="s">
        <v>748</v>
      </c>
      <c r="C194" s="4" t="s">
        <v>87</v>
      </c>
      <c r="D194" s="53" t="str">
        <f t="shared" si="18"/>
        <v>Cream</v>
      </c>
      <c r="E194" s="4" t="s">
        <v>490</v>
      </c>
      <c r="F194" s="4" t="s">
        <v>7</v>
      </c>
      <c r="G194" s="4" t="str">
        <f t="shared" si="21"/>
        <v>Romper Longer</v>
      </c>
      <c r="H194" s="38">
        <f t="shared" ref="H194:H257" si="23">MONTH(A194)</f>
        <v>3</v>
      </c>
      <c r="I194" s="54">
        <f t="shared" si="22"/>
        <v>12</v>
      </c>
      <c r="J194" s="14" t="str">
        <f t="shared" si="19"/>
        <v>Easter</v>
      </c>
      <c r="K194" s="16" t="str">
        <f t="shared" ref="K194:K257" si="24">TRIM(LEFT(E194,FIND("(",E194&amp;"(")-2))</f>
        <v>0-3</v>
      </c>
      <c r="L194" s="14" t="str">
        <f t="shared" si="20"/>
        <v>Romper Longer | 0-3 | Cream</v>
      </c>
      <c r="M194" s="16" t="s">
        <v>3609</v>
      </c>
    </row>
    <row r="195" spans="1:13" ht="25" customHeight="1" x14ac:dyDescent="0.45">
      <c r="A195" s="6">
        <v>46101</v>
      </c>
      <c r="B195" s="3" t="s">
        <v>749</v>
      </c>
      <c r="C195" s="4" t="s">
        <v>87</v>
      </c>
      <c r="D195" s="53" t="str">
        <f t="shared" ref="D195:D258" si="25">PROPER(C195)</f>
        <v>Cream</v>
      </c>
      <c r="E195" s="4" t="s">
        <v>589</v>
      </c>
      <c r="F195" s="4" t="s">
        <v>7</v>
      </c>
      <c r="G195" s="4" t="str">
        <f t="shared" si="21"/>
        <v>Romper Short</v>
      </c>
      <c r="H195" s="38">
        <f t="shared" si="23"/>
        <v>3</v>
      </c>
      <c r="I195" s="54">
        <f t="shared" si="22"/>
        <v>12</v>
      </c>
      <c r="J195" s="14" t="str">
        <f t="shared" ref="J195:J258" si="26">IF(H195=1,"NewYear",
IF(H195=2,"Valentine",
IF(OR(H195=3,H195=4),"Easter",
IF(H195=5,"MothersDay",
IF(H195=6,"FathersDay",
IF(OR(H195=7,H195=8),"Summer",
IF(H195=10,"Halloween",
IF(OR(H195=11,H195=12),"Christmas","Normal"))))))))</f>
        <v>Easter</v>
      </c>
      <c r="K195" s="16" t="str">
        <f t="shared" si="24"/>
        <v>6-12</v>
      </c>
      <c r="L195" s="14" t="str">
        <f t="shared" ref="L195:L258" si="27">TRIM(G195)&amp;" | "&amp;TRIM(K195)&amp;" | "&amp;PROPER(TRIM(D195))</f>
        <v>Romper Short | 6-12 | Cream</v>
      </c>
      <c r="M195" s="16" t="s">
        <v>3611</v>
      </c>
    </row>
    <row r="196" spans="1:13" ht="25" customHeight="1" x14ac:dyDescent="0.45">
      <c r="A196" s="6">
        <v>46101</v>
      </c>
      <c r="B196" s="3" t="s">
        <v>750</v>
      </c>
      <c r="C196" s="4" t="s">
        <v>483</v>
      </c>
      <c r="D196" s="53" t="str">
        <f t="shared" si="25"/>
        <v>Forest Green</v>
      </c>
      <c r="E196" s="4" t="s">
        <v>555</v>
      </c>
      <c r="F196" s="4" t="s">
        <v>7</v>
      </c>
      <c r="G196" s="4" t="str">
        <f t="shared" si="21"/>
        <v>Romper Longer</v>
      </c>
      <c r="H196" s="38">
        <f t="shared" si="23"/>
        <v>3</v>
      </c>
      <c r="I196" s="54">
        <f t="shared" si="22"/>
        <v>12</v>
      </c>
      <c r="J196" s="14" t="str">
        <f t="shared" si="26"/>
        <v>Easter</v>
      </c>
      <c r="K196" s="16" t="str">
        <f t="shared" si="24"/>
        <v>3-6</v>
      </c>
      <c r="L196" s="14" t="str">
        <f t="shared" si="27"/>
        <v>Romper Longer | 3-6 | Forest Green</v>
      </c>
      <c r="M196" s="16" t="s">
        <v>3610</v>
      </c>
    </row>
    <row r="197" spans="1:13" ht="25" customHeight="1" x14ac:dyDescent="0.45">
      <c r="A197" s="6">
        <v>46101</v>
      </c>
      <c r="B197" s="3" t="s">
        <v>751</v>
      </c>
      <c r="C197" s="4" t="s">
        <v>87</v>
      </c>
      <c r="D197" s="53" t="str">
        <f t="shared" si="25"/>
        <v>Cream</v>
      </c>
      <c r="E197" s="4" t="s">
        <v>485</v>
      </c>
      <c r="F197" s="4" t="s">
        <v>17</v>
      </c>
      <c r="G197" s="4" t="str">
        <f t="shared" si="21"/>
        <v>Romper Short</v>
      </c>
      <c r="H197" s="38">
        <f t="shared" si="23"/>
        <v>3</v>
      </c>
      <c r="I197" s="54">
        <f t="shared" si="22"/>
        <v>12</v>
      </c>
      <c r="J197" s="14" t="str">
        <f t="shared" si="26"/>
        <v>Easter</v>
      </c>
      <c r="K197" s="16" t="str">
        <f t="shared" si="24"/>
        <v>3-6</v>
      </c>
      <c r="L197" s="14" t="str">
        <f t="shared" si="27"/>
        <v>Romper Short | 3-6 | Cream</v>
      </c>
      <c r="M197" s="16" t="s">
        <v>3609</v>
      </c>
    </row>
    <row r="198" spans="1:13" ht="25" customHeight="1" x14ac:dyDescent="0.45">
      <c r="A198" s="6">
        <v>46101</v>
      </c>
      <c r="B198" s="3" t="s">
        <v>752</v>
      </c>
      <c r="C198" s="4" t="s">
        <v>87</v>
      </c>
      <c r="D198" s="53" t="str">
        <f t="shared" si="25"/>
        <v>Cream</v>
      </c>
      <c r="E198" s="4" t="s">
        <v>580</v>
      </c>
      <c r="F198" s="4" t="s">
        <v>7</v>
      </c>
      <c r="G198" s="4" t="str">
        <f t="shared" si="21"/>
        <v>Romper Short</v>
      </c>
      <c r="H198" s="38">
        <f t="shared" si="23"/>
        <v>3</v>
      </c>
      <c r="I198" s="54">
        <f t="shared" si="22"/>
        <v>12</v>
      </c>
      <c r="J198" s="14" t="str">
        <f t="shared" si="26"/>
        <v>Easter</v>
      </c>
      <c r="K198" s="16" t="str">
        <f t="shared" si="24"/>
        <v>0-3</v>
      </c>
      <c r="L198" s="14" t="str">
        <f t="shared" si="27"/>
        <v>Romper Short | 0-3 | Cream</v>
      </c>
      <c r="M198" s="16" t="s">
        <v>3609</v>
      </c>
    </row>
    <row r="199" spans="1:13" ht="25" customHeight="1" x14ac:dyDescent="0.45">
      <c r="A199" s="6">
        <v>46101</v>
      </c>
      <c r="B199" s="3" t="s">
        <v>753</v>
      </c>
      <c r="C199" s="4" t="s">
        <v>101</v>
      </c>
      <c r="D199" s="53" t="str">
        <f t="shared" si="25"/>
        <v>Sage Green</v>
      </c>
      <c r="E199" s="4" t="s">
        <v>754</v>
      </c>
      <c r="F199" s="4" t="s">
        <v>7</v>
      </c>
      <c r="G199" s="4" t="str">
        <f t="shared" si="21"/>
        <v>Romper Longer</v>
      </c>
      <c r="H199" s="38">
        <f t="shared" si="23"/>
        <v>3</v>
      </c>
      <c r="I199" s="54">
        <f t="shared" si="22"/>
        <v>12</v>
      </c>
      <c r="J199" s="14" t="str">
        <f t="shared" si="26"/>
        <v>Easter</v>
      </c>
      <c r="K199" s="16" t="str">
        <f t="shared" si="24"/>
        <v>6-12</v>
      </c>
      <c r="L199" s="14" t="str">
        <f t="shared" si="27"/>
        <v>Romper Longer | 6-12 | Sage Green</v>
      </c>
      <c r="M199" s="16" t="s">
        <v>3610</v>
      </c>
    </row>
    <row r="200" spans="1:13" ht="25" customHeight="1" x14ac:dyDescent="0.45">
      <c r="A200" s="6">
        <v>46101</v>
      </c>
      <c r="B200" s="3" t="s">
        <v>755</v>
      </c>
      <c r="C200" s="4" t="s">
        <v>87</v>
      </c>
      <c r="D200" s="53" t="str">
        <f t="shared" si="25"/>
        <v>Cream</v>
      </c>
      <c r="E200" s="4" t="s">
        <v>555</v>
      </c>
      <c r="F200" s="4" t="s">
        <v>11</v>
      </c>
      <c r="G200" s="4" t="str">
        <f t="shared" si="21"/>
        <v>Romper Longer</v>
      </c>
      <c r="H200" s="38">
        <f t="shared" si="23"/>
        <v>3</v>
      </c>
      <c r="I200" s="54">
        <f t="shared" si="22"/>
        <v>12</v>
      </c>
      <c r="J200" s="14" t="str">
        <f t="shared" si="26"/>
        <v>Easter</v>
      </c>
      <c r="K200" s="16" t="str">
        <f t="shared" si="24"/>
        <v>3-6</v>
      </c>
      <c r="L200" s="14" t="str">
        <f t="shared" si="27"/>
        <v>Romper Longer | 3-6 | Cream</v>
      </c>
      <c r="M200" s="16" t="s">
        <v>3609</v>
      </c>
    </row>
    <row r="201" spans="1:13" ht="25" customHeight="1" x14ac:dyDescent="0.45">
      <c r="A201" s="6">
        <v>46101</v>
      </c>
      <c r="B201" s="3" t="s">
        <v>756</v>
      </c>
      <c r="C201" s="4" t="s">
        <v>87</v>
      </c>
      <c r="D201" s="53" t="str">
        <f t="shared" si="25"/>
        <v>Cream</v>
      </c>
      <c r="E201" s="4" t="s">
        <v>490</v>
      </c>
      <c r="F201" s="4" t="s">
        <v>11</v>
      </c>
      <c r="G201" s="4" t="str">
        <f t="shared" si="21"/>
        <v>Romper Longer</v>
      </c>
      <c r="H201" s="38">
        <f t="shared" si="23"/>
        <v>3</v>
      </c>
      <c r="I201" s="54">
        <f t="shared" si="22"/>
        <v>12</v>
      </c>
      <c r="J201" s="14" t="str">
        <f t="shared" si="26"/>
        <v>Easter</v>
      </c>
      <c r="K201" s="16" t="str">
        <f t="shared" si="24"/>
        <v>0-3</v>
      </c>
      <c r="L201" s="14" t="str">
        <f t="shared" si="27"/>
        <v>Romper Longer | 0-3 | Cream</v>
      </c>
      <c r="M201" s="16" t="s">
        <v>3609</v>
      </c>
    </row>
    <row r="202" spans="1:13" ht="25" customHeight="1" x14ac:dyDescent="0.45">
      <c r="A202" s="6">
        <v>46101</v>
      </c>
      <c r="B202" s="3" t="s">
        <v>757</v>
      </c>
      <c r="C202" s="4" t="s">
        <v>101</v>
      </c>
      <c r="D202" s="53" t="str">
        <f t="shared" si="25"/>
        <v>Sage Green</v>
      </c>
      <c r="E202" s="4" t="s">
        <v>580</v>
      </c>
      <c r="F202" s="4" t="s">
        <v>7</v>
      </c>
      <c r="G202" s="4" t="str">
        <f t="shared" si="21"/>
        <v>Romper Short</v>
      </c>
      <c r="H202" s="38">
        <f t="shared" si="23"/>
        <v>3</v>
      </c>
      <c r="I202" s="54">
        <f t="shared" si="22"/>
        <v>12</v>
      </c>
      <c r="J202" s="14" t="str">
        <f t="shared" si="26"/>
        <v>Easter</v>
      </c>
      <c r="K202" s="16" t="str">
        <f t="shared" si="24"/>
        <v>0-3</v>
      </c>
      <c r="L202" s="14" t="str">
        <f t="shared" si="27"/>
        <v>Romper Short | 0-3 | Sage Green</v>
      </c>
      <c r="M202" s="16" t="s">
        <v>3610</v>
      </c>
    </row>
    <row r="203" spans="1:13" ht="25" customHeight="1" x14ac:dyDescent="0.45">
      <c r="A203" s="6">
        <v>46101</v>
      </c>
      <c r="B203" s="3" t="s">
        <v>758</v>
      </c>
      <c r="C203" s="4" t="s">
        <v>87</v>
      </c>
      <c r="D203" s="53" t="str">
        <f t="shared" si="25"/>
        <v>Cream</v>
      </c>
      <c r="E203" s="4" t="s">
        <v>485</v>
      </c>
      <c r="F203" s="4" t="s">
        <v>7</v>
      </c>
      <c r="G203" s="4" t="str">
        <f t="shared" si="21"/>
        <v>Romper Short</v>
      </c>
      <c r="H203" s="38">
        <f t="shared" si="23"/>
        <v>3</v>
      </c>
      <c r="I203" s="54">
        <f t="shared" si="22"/>
        <v>12</v>
      </c>
      <c r="J203" s="14" t="str">
        <f t="shared" si="26"/>
        <v>Easter</v>
      </c>
      <c r="K203" s="16" t="str">
        <f t="shared" si="24"/>
        <v>3-6</v>
      </c>
      <c r="L203" s="14" t="str">
        <f t="shared" si="27"/>
        <v>Romper Short | 3-6 | Cream</v>
      </c>
      <c r="M203" s="16" t="s">
        <v>3609</v>
      </c>
    </row>
    <row r="204" spans="1:13" ht="25" customHeight="1" x14ac:dyDescent="0.45">
      <c r="A204" s="6">
        <v>46102</v>
      </c>
      <c r="B204" s="3" t="s">
        <v>759</v>
      </c>
      <c r="C204" s="4" t="s">
        <v>87</v>
      </c>
      <c r="D204" s="53" t="str">
        <f t="shared" si="25"/>
        <v>Cream</v>
      </c>
      <c r="E204" s="4" t="s">
        <v>555</v>
      </c>
      <c r="F204" s="4" t="s">
        <v>7</v>
      </c>
      <c r="G204" s="4" t="str">
        <f t="shared" si="21"/>
        <v>Romper Longer</v>
      </c>
      <c r="H204" s="38">
        <f t="shared" si="23"/>
        <v>3</v>
      </c>
      <c r="I204" s="54">
        <f t="shared" si="22"/>
        <v>12</v>
      </c>
      <c r="J204" s="14" t="str">
        <f t="shared" si="26"/>
        <v>Easter</v>
      </c>
      <c r="K204" s="16" t="str">
        <f t="shared" si="24"/>
        <v>3-6</v>
      </c>
      <c r="L204" s="14" t="str">
        <f t="shared" si="27"/>
        <v>Romper Longer | 3-6 | Cream</v>
      </c>
      <c r="M204" s="16" t="s">
        <v>3609</v>
      </c>
    </row>
    <row r="205" spans="1:13" ht="25" customHeight="1" x14ac:dyDescent="0.45">
      <c r="A205" s="6">
        <v>46102</v>
      </c>
      <c r="B205" s="3" t="s">
        <v>760</v>
      </c>
      <c r="C205" s="4" t="s">
        <v>87</v>
      </c>
      <c r="D205" s="53" t="str">
        <f t="shared" si="25"/>
        <v>Cream</v>
      </c>
      <c r="E205" s="4" t="s">
        <v>575</v>
      </c>
      <c r="F205" s="4" t="s">
        <v>7</v>
      </c>
      <c r="G205" s="4" t="str">
        <f t="shared" si="21"/>
        <v>Romper Longer</v>
      </c>
      <c r="H205" s="38">
        <f t="shared" si="23"/>
        <v>3</v>
      </c>
      <c r="I205" s="54">
        <f t="shared" si="22"/>
        <v>12</v>
      </c>
      <c r="J205" s="14" t="str">
        <f t="shared" si="26"/>
        <v>Easter</v>
      </c>
      <c r="K205" s="16" t="str">
        <f t="shared" si="24"/>
        <v>18-24</v>
      </c>
      <c r="L205" s="14" t="str">
        <f t="shared" si="27"/>
        <v>Romper Longer | 18-24 | Cream</v>
      </c>
      <c r="M205" s="16" t="s">
        <v>3610</v>
      </c>
    </row>
    <row r="206" spans="1:13" ht="25" customHeight="1" x14ac:dyDescent="0.45">
      <c r="A206" s="6">
        <v>46103</v>
      </c>
      <c r="B206" s="3" t="s">
        <v>761</v>
      </c>
      <c r="C206" s="4" t="s">
        <v>87</v>
      </c>
      <c r="D206" s="53" t="str">
        <f t="shared" si="25"/>
        <v>Cream</v>
      </c>
      <c r="E206" s="4" t="s">
        <v>490</v>
      </c>
      <c r="F206" s="4" t="s">
        <v>7</v>
      </c>
      <c r="G206" s="4" t="str">
        <f t="shared" si="21"/>
        <v>Romper Longer</v>
      </c>
      <c r="H206" s="38">
        <f t="shared" si="23"/>
        <v>3</v>
      </c>
      <c r="I206" s="54">
        <f t="shared" si="22"/>
        <v>13</v>
      </c>
      <c r="J206" s="14" t="str">
        <f t="shared" si="26"/>
        <v>Easter</v>
      </c>
      <c r="K206" s="16" t="str">
        <f t="shared" si="24"/>
        <v>0-3</v>
      </c>
      <c r="L206" s="14" t="str">
        <f t="shared" si="27"/>
        <v>Romper Longer | 0-3 | Cream</v>
      </c>
      <c r="M206" s="16" t="s">
        <v>3609</v>
      </c>
    </row>
    <row r="207" spans="1:13" ht="25" customHeight="1" x14ac:dyDescent="0.45">
      <c r="A207" s="6">
        <v>46103</v>
      </c>
      <c r="B207" s="3" t="s">
        <v>762</v>
      </c>
      <c r="C207" s="4" t="s">
        <v>87</v>
      </c>
      <c r="D207" s="53" t="str">
        <f t="shared" si="25"/>
        <v>Cream</v>
      </c>
      <c r="E207" s="4" t="s">
        <v>589</v>
      </c>
      <c r="F207" s="4" t="s">
        <v>19</v>
      </c>
      <c r="G207" s="4" t="str">
        <f t="shared" si="21"/>
        <v>Romper Short</v>
      </c>
      <c r="H207" s="38">
        <f t="shared" si="23"/>
        <v>3</v>
      </c>
      <c r="I207" s="54">
        <f t="shared" si="22"/>
        <v>13</v>
      </c>
      <c r="J207" s="14" t="str">
        <f t="shared" si="26"/>
        <v>Easter</v>
      </c>
      <c r="K207" s="16" t="str">
        <f t="shared" si="24"/>
        <v>6-12</v>
      </c>
      <c r="L207" s="14" t="str">
        <f t="shared" si="27"/>
        <v>Romper Short | 6-12 | Cream</v>
      </c>
      <c r="M207" s="16" t="s">
        <v>3611</v>
      </c>
    </row>
    <row r="208" spans="1:13" ht="25" customHeight="1" x14ac:dyDescent="0.45">
      <c r="A208" s="6">
        <v>46103</v>
      </c>
      <c r="B208" s="3" t="s">
        <v>763</v>
      </c>
      <c r="C208" s="4" t="s">
        <v>101</v>
      </c>
      <c r="D208" s="53" t="str">
        <f t="shared" si="25"/>
        <v>Sage Green</v>
      </c>
      <c r="E208" s="4" t="s">
        <v>479</v>
      </c>
      <c r="F208" s="4" t="s">
        <v>7</v>
      </c>
      <c r="G208" s="4" t="str">
        <f t="shared" ref="G208:G271" si="28">IF(ISNUMBER(SEARCH("LONG",E208)),"Romper Longer",IF(ISNUMBER(SEARCH("SHORT",E208)),"Romper Short","Bodysuit"))</f>
        <v>Romper Longer</v>
      </c>
      <c r="H208" s="38">
        <f t="shared" si="23"/>
        <v>3</v>
      </c>
      <c r="I208" s="54">
        <f t="shared" ref="I208:I271" si="29">WEEKNUM(A208)</f>
        <v>13</v>
      </c>
      <c r="J208" s="14" t="str">
        <f t="shared" si="26"/>
        <v>Easter</v>
      </c>
      <c r="K208" s="16" t="str">
        <f t="shared" si="24"/>
        <v>6-12</v>
      </c>
      <c r="L208" s="14" t="str">
        <f t="shared" si="27"/>
        <v>Romper Longer | 6-12 | Sage Green</v>
      </c>
      <c r="M208" s="16" t="s">
        <v>3610</v>
      </c>
    </row>
    <row r="209" spans="1:13" ht="25" customHeight="1" x14ac:dyDescent="0.45">
      <c r="A209" s="6">
        <v>46103</v>
      </c>
      <c r="B209" s="3" t="s">
        <v>764</v>
      </c>
      <c r="C209" s="4" t="s">
        <v>483</v>
      </c>
      <c r="D209" s="53" t="str">
        <f t="shared" si="25"/>
        <v>Forest Green</v>
      </c>
      <c r="E209" s="4" t="s">
        <v>589</v>
      </c>
      <c r="F209" s="4" t="s">
        <v>7</v>
      </c>
      <c r="G209" s="4" t="str">
        <f t="shared" si="28"/>
        <v>Romper Short</v>
      </c>
      <c r="H209" s="38">
        <f t="shared" si="23"/>
        <v>3</v>
      </c>
      <c r="I209" s="54">
        <f t="shared" si="29"/>
        <v>13</v>
      </c>
      <c r="J209" s="14" t="str">
        <f t="shared" si="26"/>
        <v>Easter</v>
      </c>
      <c r="K209" s="16" t="str">
        <f t="shared" si="24"/>
        <v>6-12</v>
      </c>
      <c r="L209" s="14" t="str">
        <f t="shared" si="27"/>
        <v>Romper Short | 6-12 | Forest Green</v>
      </c>
      <c r="M209" s="16" t="s">
        <v>3610</v>
      </c>
    </row>
    <row r="210" spans="1:13" ht="25" customHeight="1" x14ac:dyDescent="0.45">
      <c r="A210" s="6">
        <v>46103</v>
      </c>
      <c r="B210" s="3" t="s">
        <v>765</v>
      </c>
      <c r="C210" s="4" t="s">
        <v>87</v>
      </c>
      <c r="D210" s="53" t="str">
        <f t="shared" si="25"/>
        <v>Cream</v>
      </c>
      <c r="E210" s="4" t="s">
        <v>589</v>
      </c>
      <c r="F210" s="4" t="s">
        <v>7</v>
      </c>
      <c r="G210" s="4" t="str">
        <f t="shared" si="28"/>
        <v>Romper Short</v>
      </c>
      <c r="H210" s="38">
        <f t="shared" si="23"/>
        <v>3</v>
      </c>
      <c r="I210" s="54">
        <f t="shared" si="29"/>
        <v>13</v>
      </c>
      <c r="J210" s="14" t="str">
        <f t="shared" si="26"/>
        <v>Easter</v>
      </c>
      <c r="K210" s="16" t="str">
        <f t="shared" si="24"/>
        <v>6-12</v>
      </c>
      <c r="L210" s="14" t="str">
        <f t="shared" si="27"/>
        <v>Romper Short | 6-12 | Cream</v>
      </c>
      <c r="M210" s="16" t="s">
        <v>3611</v>
      </c>
    </row>
    <row r="211" spans="1:13" ht="25" customHeight="1" x14ac:dyDescent="0.45">
      <c r="A211" s="6">
        <v>46103</v>
      </c>
      <c r="B211" s="3" t="s">
        <v>766</v>
      </c>
      <c r="C211" s="4" t="s">
        <v>87</v>
      </c>
      <c r="D211" s="53" t="str">
        <f t="shared" si="25"/>
        <v>Cream</v>
      </c>
      <c r="E211" s="4" t="s">
        <v>596</v>
      </c>
      <c r="F211" s="4" t="s">
        <v>7</v>
      </c>
      <c r="G211" s="4" t="str">
        <f t="shared" si="28"/>
        <v>Romper Longer</v>
      </c>
      <c r="H211" s="38">
        <f t="shared" si="23"/>
        <v>3</v>
      </c>
      <c r="I211" s="54">
        <f t="shared" si="29"/>
        <v>13</v>
      </c>
      <c r="J211" s="14" t="str">
        <f t="shared" si="26"/>
        <v>Easter</v>
      </c>
      <c r="K211" s="16" t="str">
        <f t="shared" si="24"/>
        <v>12-18</v>
      </c>
      <c r="L211" s="14" t="str">
        <f t="shared" si="27"/>
        <v>Romper Longer | 12-18 | Cream</v>
      </c>
      <c r="M211" s="16" t="s">
        <v>3610</v>
      </c>
    </row>
    <row r="212" spans="1:13" ht="25" customHeight="1" x14ac:dyDescent="0.45">
      <c r="A212" s="6">
        <v>46135</v>
      </c>
      <c r="B212" s="3" t="s">
        <v>767</v>
      </c>
      <c r="C212" s="4" t="s">
        <v>473</v>
      </c>
      <c r="D212" s="53" t="str">
        <f t="shared" si="25"/>
        <v>Salmon</v>
      </c>
      <c r="E212" s="4" t="s">
        <v>475</v>
      </c>
      <c r="F212" s="4" t="s">
        <v>7</v>
      </c>
      <c r="G212" s="4" t="str">
        <f t="shared" si="28"/>
        <v>Romper Short</v>
      </c>
      <c r="H212" s="38">
        <f t="shared" si="23"/>
        <v>4</v>
      </c>
      <c r="I212" s="54">
        <f t="shared" si="29"/>
        <v>17</v>
      </c>
      <c r="J212" s="14" t="str">
        <f t="shared" si="26"/>
        <v>Easter</v>
      </c>
      <c r="K212" s="16" t="str">
        <f t="shared" si="24"/>
        <v>12-18</v>
      </c>
      <c r="L212" s="14" t="str">
        <f t="shared" si="27"/>
        <v>Romper Short | 12-18 | Salmon</v>
      </c>
      <c r="M212" s="16" t="s">
        <v>3610</v>
      </c>
    </row>
    <row r="213" spans="1:13" ht="25" customHeight="1" x14ac:dyDescent="0.45">
      <c r="A213" s="6">
        <v>46135</v>
      </c>
      <c r="B213" s="3" t="s">
        <v>768</v>
      </c>
      <c r="C213" s="4" t="s">
        <v>87</v>
      </c>
      <c r="D213" s="53" t="str">
        <f t="shared" si="25"/>
        <v>Cream</v>
      </c>
      <c r="E213" s="4" t="s">
        <v>479</v>
      </c>
      <c r="F213" s="4" t="s">
        <v>7</v>
      </c>
      <c r="G213" s="4" t="str">
        <f t="shared" si="28"/>
        <v>Romper Longer</v>
      </c>
      <c r="H213" s="38">
        <f t="shared" si="23"/>
        <v>4</v>
      </c>
      <c r="I213" s="54">
        <f t="shared" si="29"/>
        <v>17</v>
      </c>
      <c r="J213" s="14" t="str">
        <f t="shared" si="26"/>
        <v>Easter</v>
      </c>
      <c r="K213" s="16" t="str">
        <f t="shared" si="24"/>
        <v>6-12</v>
      </c>
      <c r="L213" s="14" t="str">
        <f t="shared" si="27"/>
        <v>Romper Longer | 6-12 | Cream</v>
      </c>
      <c r="M213" s="16" t="s">
        <v>3611</v>
      </c>
    </row>
    <row r="214" spans="1:13" ht="25" customHeight="1" x14ac:dyDescent="0.45">
      <c r="A214" s="6">
        <v>46135</v>
      </c>
      <c r="B214" s="3" t="s">
        <v>769</v>
      </c>
      <c r="C214" s="4" t="s">
        <v>473</v>
      </c>
      <c r="D214" s="53" t="str">
        <f t="shared" si="25"/>
        <v>Salmon</v>
      </c>
      <c r="E214" s="4" t="s">
        <v>770</v>
      </c>
      <c r="F214" s="4" t="s">
        <v>7</v>
      </c>
      <c r="G214" s="4" t="str">
        <f t="shared" si="28"/>
        <v>Romper Short</v>
      </c>
      <c r="H214" s="38">
        <f t="shared" si="23"/>
        <v>4</v>
      </c>
      <c r="I214" s="54">
        <f t="shared" si="29"/>
        <v>17</v>
      </c>
      <c r="J214" s="14" t="str">
        <f t="shared" si="26"/>
        <v>Easter</v>
      </c>
      <c r="K214" s="16" t="str">
        <f t="shared" si="24"/>
        <v>18-24</v>
      </c>
      <c r="L214" s="14" t="str">
        <f t="shared" si="27"/>
        <v>Romper Short | 18-24 | Salmon</v>
      </c>
      <c r="M214" s="16" t="s">
        <v>3610</v>
      </c>
    </row>
    <row r="215" spans="1:13" ht="25" customHeight="1" x14ac:dyDescent="0.45">
      <c r="A215" s="6">
        <v>46135</v>
      </c>
      <c r="B215" s="3" t="s">
        <v>769</v>
      </c>
      <c r="C215" s="4" t="s">
        <v>473</v>
      </c>
      <c r="D215" s="53" t="str">
        <f t="shared" si="25"/>
        <v>Salmon</v>
      </c>
      <c r="E215" s="4" t="s">
        <v>479</v>
      </c>
      <c r="F215" s="4" t="s">
        <v>7</v>
      </c>
      <c r="G215" s="4" t="str">
        <f t="shared" si="28"/>
        <v>Romper Longer</v>
      </c>
      <c r="H215" s="38">
        <f t="shared" si="23"/>
        <v>4</v>
      </c>
      <c r="I215" s="54">
        <f t="shared" si="29"/>
        <v>17</v>
      </c>
      <c r="J215" s="14" t="str">
        <f t="shared" si="26"/>
        <v>Easter</v>
      </c>
      <c r="K215" s="16" t="str">
        <f t="shared" si="24"/>
        <v>6-12</v>
      </c>
      <c r="L215" s="14" t="str">
        <f t="shared" si="27"/>
        <v>Romper Longer | 6-12 | Salmon</v>
      </c>
      <c r="M215" s="16" t="s">
        <v>3610</v>
      </c>
    </row>
    <row r="216" spans="1:13" ht="25" customHeight="1" x14ac:dyDescent="0.45">
      <c r="A216" s="6">
        <v>46135</v>
      </c>
      <c r="B216" s="3" t="s">
        <v>771</v>
      </c>
      <c r="C216" s="4" t="s">
        <v>87</v>
      </c>
      <c r="D216" s="53" t="str">
        <f t="shared" si="25"/>
        <v>Cream</v>
      </c>
      <c r="E216" s="4" t="s">
        <v>490</v>
      </c>
      <c r="F216" s="4" t="s">
        <v>7</v>
      </c>
      <c r="G216" s="4" t="str">
        <f t="shared" si="28"/>
        <v>Romper Longer</v>
      </c>
      <c r="H216" s="38">
        <f t="shared" si="23"/>
        <v>4</v>
      </c>
      <c r="I216" s="54">
        <f t="shared" si="29"/>
        <v>17</v>
      </c>
      <c r="J216" s="14" t="str">
        <f t="shared" si="26"/>
        <v>Easter</v>
      </c>
      <c r="K216" s="16" t="str">
        <f t="shared" si="24"/>
        <v>0-3</v>
      </c>
      <c r="L216" s="14" t="str">
        <f t="shared" si="27"/>
        <v>Romper Longer | 0-3 | Cream</v>
      </c>
      <c r="M216" s="16" t="s">
        <v>3609</v>
      </c>
    </row>
    <row r="217" spans="1:13" ht="25" customHeight="1" x14ac:dyDescent="0.45">
      <c r="A217" s="6">
        <v>46135</v>
      </c>
      <c r="B217" s="3" t="s">
        <v>772</v>
      </c>
      <c r="C217" s="4" t="s">
        <v>87</v>
      </c>
      <c r="D217" s="53" t="str">
        <f t="shared" si="25"/>
        <v>Cream</v>
      </c>
      <c r="E217" s="4" t="s">
        <v>479</v>
      </c>
      <c r="F217" s="4" t="s">
        <v>11</v>
      </c>
      <c r="G217" s="4" t="str">
        <f t="shared" si="28"/>
        <v>Romper Longer</v>
      </c>
      <c r="H217" s="38">
        <f t="shared" si="23"/>
        <v>4</v>
      </c>
      <c r="I217" s="54">
        <f t="shared" si="29"/>
        <v>17</v>
      </c>
      <c r="J217" s="14" t="str">
        <f t="shared" si="26"/>
        <v>Easter</v>
      </c>
      <c r="K217" s="16" t="str">
        <f t="shared" si="24"/>
        <v>6-12</v>
      </c>
      <c r="L217" s="14" t="str">
        <f t="shared" si="27"/>
        <v>Romper Longer | 6-12 | Cream</v>
      </c>
      <c r="M217" s="16" t="s">
        <v>3611</v>
      </c>
    </row>
    <row r="218" spans="1:13" ht="25" customHeight="1" x14ac:dyDescent="0.45">
      <c r="A218" s="6">
        <v>46135</v>
      </c>
      <c r="B218" s="3" t="s">
        <v>773</v>
      </c>
      <c r="C218" s="4" t="s">
        <v>87</v>
      </c>
      <c r="D218" s="53" t="str">
        <f t="shared" si="25"/>
        <v>Cream</v>
      </c>
      <c r="E218" s="4" t="s">
        <v>490</v>
      </c>
      <c r="F218" s="4" t="s">
        <v>7</v>
      </c>
      <c r="G218" s="4" t="str">
        <f t="shared" si="28"/>
        <v>Romper Longer</v>
      </c>
      <c r="H218" s="38">
        <f t="shared" si="23"/>
        <v>4</v>
      </c>
      <c r="I218" s="54">
        <f t="shared" si="29"/>
        <v>17</v>
      </c>
      <c r="J218" s="14" t="str">
        <f t="shared" si="26"/>
        <v>Easter</v>
      </c>
      <c r="K218" s="16" t="str">
        <f t="shared" si="24"/>
        <v>0-3</v>
      </c>
      <c r="L218" s="14" t="str">
        <f t="shared" si="27"/>
        <v>Romper Longer | 0-3 | Cream</v>
      </c>
      <c r="M218" s="16" t="s">
        <v>3609</v>
      </c>
    </row>
    <row r="219" spans="1:13" ht="25" customHeight="1" x14ac:dyDescent="0.45">
      <c r="A219" s="6">
        <v>46135</v>
      </c>
      <c r="B219" s="3" t="s">
        <v>774</v>
      </c>
      <c r="C219" s="4" t="s">
        <v>470</v>
      </c>
      <c r="D219" s="53" t="str">
        <f t="shared" si="25"/>
        <v>Caldet Blue</v>
      </c>
      <c r="E219" s="4" t="s">
        <v>555</v>
      </c>
      <c r="F219" s="4" t="s">
        <v>7</v>
      </c>
      <c r="G219" s="4" t="str">
        <f t="shared" si="28"/>
        <v>Romper Longer</v>
      </c>
      <c r="H219" s="38">
        <f t="shared" si="23"/>
        <v>4</v>
      </c>
      <c r="I219" s="54">
        <f t="shared" si="29"/>
        <v>17</v>
      </c>
      <c r="J219" s="14" t="str">
        <f t="shared" si="26"/>
        <v>Easter</v>
      </c>
      <c r="K219" s="16" t="str">
        <f t="shared" si="24"/>
        <v>3-6</v>
      </c>
      <c r="L219" s="14" t="str">
        <f t="shared" si="27"/>
        <v>Romper Longer | 3-6 | Caldet Blue</v>
      </c>
      <c r="M219" s="16" t="s">
        <v>3610</v>
      </c>
    </row>
    <row r="220" spans="1:13" ht="25" customHeight="1" x14ac:dyDescent="0.45">
      <c r="A220" s="6">
        <v>46105</v>
      </c>
      <c r="B220" s="3" t="s">
        <v>775</v>
      </c>
      <c r="C220" s="4" t="s">
        <v>538</v>
      </c>
      <c r="D220" s="53" t="str">
        <f t="shared" si="25"/>
        <v xml:space="preserve"> Forest Green</v>
      </c>
      <c r="E220" s="4" t="s">
        <v>479</v>
      </c>
      <c r="F220" s="4" t="s">
        <v>13</v>
      </c>
      <c r="G220" s="4" t="str">
        <f t="shared" si="28"/>
        <v>Romper Longer</v>
      </c>
      <c r="H220" s="38">
        <f t="shared" si="23"/>
        <v>3</v>
      </c>
      <c r="I220" s="54">
        <f t="shared" si="29"/>
        <v>13</v>
      </c>
      <c r="J220" s="14" t="str">
        <f t="shared" si="26"/>
        <v>Easter</v>
      </c>
      <c r="K220" s="16" t="str">
        <f t="shared" si="24"/>
        <v>6-12</v>
      </c>
      <c r="L220" s="14" t="str">
        <f t="shared" si="27"/>
        <v>Romper Longer | 6-12 | Forest Green</v>
      </c>
      <c r="M220" s="16" t="s">
        <v>3610</v>
      </c>
    </row>
    <row r="221" spans="1:13" ht="25" customHeight="1" x14ac:dyDescent="0.45">
      <c r="A221" s="6">
        <v>46105</v>
      </c>
      <c r="B221" s="3" t="s">
        <v>776</v>
      </c>
      <c r="C221" s="4" t="s">
        <v>87</v>
      </c>
      <c r="D221" s="53" t="str">
        <f t="shared" si="25"/>
        <v>Cream</v>
      </c>
      <c r="E221" s="4" t="s">
        <v>596</v>
      </c>
      <c r="F221" s="4" t="s">
        <v>37</v>
      </c>
      <c r="G221" s="4" t="str">
        <f t="shared" si="28"/>
        <v>Romper Longer</v>
      </c>
      <c r="H221" s="38">
        <f t="shared" si="23"/>
        <v>3</v>
      </c>
      <c r="I221" s="54">
        <f t="shared" si="29"/>
        <v>13</v>
      </c>
      <c r="J221" s="14" t="str">
        <f t="shared" si="26"/>
        <v>Easter</v>
      </c>
      <c r="K221" s="16" t="str">
        <f t="shared" si="24"/>
        <v>12-18</v>
      </c>
      <c r="L221" s="14" t="str">
        <f t="shared" si="27"/>
        <v>Romper Longer | 12-18 | Cream</v>
      </c>
      <c r="M221" s="16" t="s">
        <v>3610</v>
      </c>
    </row>
    <row r="222" spans="1:13" ht="25" customHeight="1" x14ac:dyDescent="0.45">
      <c r="A222" s="6">
        <v>46105</v>
      </c>
      <c r="B222" s="3" t="s">
        <v>777</v>
      </c>
      <c r="C222" s="4" t="s">
        <v>483</v>
      </c>
      <c r="D222" s="53" t="str">
        <f t="shared" si="25"/>
        <v>Forest Green</v>
      </c>
      <c r="E222" s="4" t="s">
        <v>479</v>
      </c>
      <c r="F222" s="4" t="s">
        <v>19</v>
      </c>
      <c r="G222" s="4" t="str">
        <f t="shared" si="28"/>
        <v>Romper Longer</v>
      </c>
      <c r="H222" s="38">
        <f t="shared" si="23"/>
        <v>3</v>
      </c>
      <c r="I222" s="54">
        <f t="shared" si="29"/>
        <v>13</v>
      </c>
      <c r="J222" s="14" t="str">
        <f t="shared" si="26"/>
        <v>Easter</v>
      </c>
      <c r="K222" s="16" t="str">
        <f t="shared" si="24"/>
        <v>6-12</v>
      </c>
      <c r="L222" s="14" t="str">
        <f t="shared" si="27"/>
        <v>Romper Longer | 6-12 | Forest Green</v>
      </c>
      <c r="M222" s="16" t="s">
        <v>3610</v>
      </c>
    </row>
    <row r="223" spans="1:13" ht="25" customHeight="1" x14ac:dyDescent="0.45">
      <c r="A223" s="6">
        <v>46105</v>
      </c>
      <c r="B223" s="3" t="s">
        <v>778</v>
      </c>
      <c r="C223" s="4" t="s">
        <v>87</v>
      </c>
      <c r="D223" s="53" t="str">
        <f t="shared" si="25"/>
        <v>Cream</v>
      </c>
      <c r="E223" s="4" t="s">
        <v>555</v>
      </c>
      <c r="F223" s="4" t="s">
        <v>281</v>
      </c>
      <c r="G223" s="4" t="str">
        <f t="shared" si="28"/>
        <v>Romper Longer</v>
      </c>
      <c r="H223" s="38">
        <f t="shared" si="23"/>
        <v>3</v>
      </c>
      <c r="I223" s="54">
        <f t="shared" si="29"/>
        <v>13</v>
      </c>
      <c r="J223" s="14" t="str">
        <f t="shared" si="26"/>
        <v>Easter</v>
      </c>
      <c r="K223" s="16" t="str">
        <f t="shared" si="24"/>
        <v>3-6</v>
      </c>
      <c r="L223" s="14" t="str">
        <f t="shared" si="27"/>
        <v>Romper Longer | 3-6 | Cream</v>
      </c>
      <c r="M223" s="16" t="s">
        <v>3609</v>
      </c>
    </row>
    <row r="224" spans="1:13" ht="25" customHeight="1" x14ac:dyDescent="0.45">
      <c r="A224" s="6">
        <v>46105</v>
      </c>
      <c r="B224" s="3" t="s">
        <v>779</v>
      </c>
      <c r="C224" s="4" t="s">
        <v>483</v>
      </c>
      <c r="D224" s="53" t="str">
        <f t="shared" si="25"/>
        <v>Forest Green</v>
      </c>
      <c r="E224" s="4" t="s">
        <v>479</v>
      </c>
      <c r="F224" s="4" t="s">
        <v>7</v>
      </c>
      <c r="G224" s="4" t="str">
        <f t="shared" si="28"/>
        <v>Romper Longer</v>
      </c>
      <c r="H224" s="38">
        <f t="shared" si="23"/>
        <v>3</v>
      </c>
      <c r="I224" s="54">
        <f t="shared" si="29"/>
        <v>13</v>
      </c>
      <c r="J224" s="14" t="str">
        <f t="shared" si="26"/>
        <v>Easter</v>
      </c>
      <c r="K224" s="16" t="str">
        <f t="shared" si="24"/>
        <v>6-12</v>
      </c>
      <c r="L224" s="14" t="str">
        <f t="shared" si="27"/>
        <v>Romper Longer | 6-12 | Forest Green</v>
      </c>
      <c r="M224" s="16" t="s">
        <v>3610</v>
      </c>
    </row>
    <row r="225" spans="1:13" ht="25" customHeight="1" x14ac:dyDescent="0.45">
      <c r="A225" s="6">
        <v>46105</v>
      </c>
      <c r="B225" s="3" t="s">
        <v>780</v>
      </c>
      <c r="C225" s="4" t="s">
        <v>87</v>
      </c>
      <c r="D225" s="53" t="str">
        <f t="shared" si="25"/>
        <v>Cream</v>
      </c>
      <c r="E225" s="4" t="s">
        <v>589</v>
      </c>
      <c r="F225" s="4" t="s">
        <v>7</v>
      </c>
      <c r="G225" s="4" t="str">
        <f t="shared" si="28"/>
        <v>Romper Short</v>
      </c>
      <c r="H225" s="38">
        <f t="shared" si="23"/>
        <v>3</v>
      </c>
      <c r="I225" s="54">
        <f t="shared" si="29"/>
        <v>13</v>
      </c>
      <c r="J225" s="14" t="str">
        <f t="shared" si="26"/>
        <v>Easter</v>
      </c>
      <c r="K225" s="16" t="str">
        <f t="shared" si="24"/>
        <v>6-12</v>
      </c>
      <c r="L225" s="14" t="str">
        <f t="shared" si="27"/>
        <v>Romper Short | 6-12 | Cream</v>
      </c>
      <c r="M225" s="16" t="s">
        <v>3611</v>
      </c>
    </row>
    <row r="226" spans="1:13" ht="25" customHeight="1" x14ac:dyDescent="0.45">
      <c r="A226" s="6">
        <v>46105</v>
      </c>
      <c r="B226" s="3" t="s">
        <v>781</v>
      </c>
      <c r="C226" s="4" t="s">
        <v>470</v>
      </c>
      <c r="D226" s="53" t="str">
        <f t="shared" si="25"/>
        <v>Caldet Blue</v>
      </c>
      <c r="E226" s="4" t="s">
        <v>596</v>
      </c>
      <c r="F226" s="4" t="s">
        <v>7</v>
      </c>
      <c r="G226" s="4" t="str">
        <f t="shared" si="28"/>
        <v>Romper Longer</v>
      </c>
      <c r="H226" s="38">
        <f t="shared" si="23"/>
        <v>3</v>
      </c>
      <c r="I226" s="54">
        <f t="shared" si="29"/>
        <v>13</v>
      </c>
      <c r="J226" s="14" t="str">
        <f t="shared" si="26"/>
        <v>Easter</v>
      </c>
      <c r="K226" s="16" t="str">
        <f t="shared" si="24"/>
        <v>12-18</v>
      </c>
      <c r="L226" s="14" t="str">
        <f t="shared" si="27"/>
        <v>Romper Longer | 12-18 | Caldet Blue</v>
      </c>
      <c r="M226" s="16" t="s">
        <v>3610</v>
      </c>
    </row>
    <row r="227" spans="1:13" ht="25" customHeight="1" x14ac:dyDescent="0.45">
      <c r="A227" s="6">
        <v>46105</v>
      </c>
      <c r="B227" s="3" t="s">
        <v>782</v>
      </c>
      <c r="C227" s="4" t="s">
        <v>101</v>
      </c>
      <c r="D227" s="53" t="str">
        <f t="shared" si="25"/>
        <v>Sage Green</v>
      </c>
      <c r="E227" s="4" t="s">
        <v>555</v>
      </c>
      <c r="F227" s="4" t="s">
        <v>7</v>
      </c>
      <c r="G227" s="4" t="str">
        <f t="shared" si="28"/>
        <v>Romper Longer</v>
      </c>
      <c r="H227" s="38">
        <f t="shared" si="23"/>
        <v>3</v>
      </c>
      <c r="I227" s="54">
        <f t="shared" si="29"/>
        <v>13</v>
      </c>
      <c r="J227" s="14" t="str">
        <f t="shared" si="26"/>
        <v>Easter</v>
      </c>
      <c r="K227" s="16" t="str">
        <f t="shared" si="24"/>
        <v>3-6</v>
      </c>
      <c r="L227" s="14" t="str">
        <f t="shared" si="27"/>
        <v>Romper Longer | 3-6 | Sage Green</v>
      </c>
      <c r="M227" s="16" t="s">
        <v>3611</v>
      </c>
    </row>
    <row r="228" spans="1:13" ht="25" customHeight="1" x14ac:dyDescent="0.45">
      <c r="A228" s="6">
        <v>46106</v>
      </c>
      <c r="B228" s="3" t="s">
        <v>783</v>
      </c>
      <c r="C228" s="4" t="s">
        <v>184</v>
      </c>
      <c r="D228" s="53" t="str">
        <f t="shared" si="25"/>
        <v>Coffee</v>
      </c>
      <c r="E228" s="4" t="s">
        <v>485</v>
      </c>
      <c r="F228" s="4" t="s">
        <v>7</v>
      </c>
      <c r="G228" s="4" t="str">
        <f t="shared" si="28"/>
        <v>Romper Short</v>
      </c>
      <c r="H228" s="38">
        <f t="shared" si="23"/>
        <v>3</v>
      </c>
      <c r="I228" s="54">
        <f t="shared" si="29"/>
        <v>13</v>
      </c>
      <c r="J228" s="14" t="str">
        <f t="shared" si="26"/>
        <v>Easter</v>
      </c>
      <c r="K228" s="16" t="str">
        <f t="shared" si="24"/>
        <v>3-6</v>
      </c>
      <c r="L228" s="14" t="str">
        <f t="shared" si="27"/>
        <v>Romper Short | 3-6 | Coffee</v>
      </c>
      <c r="M228" s="16" t="s">
        <v>3610</v>
      </c>
    </row>
    <row r="229" spans="1:13" ht="25" customHeight="1" x14ac:dyDescent="0.45">
      <c r="A229" s="6">
        <v>46106</v>
      </c>
      <c r="B229" s="3" t="s">
        <v>784</v>
      </c>
      <c r="C229" s="4" t="s">
        <v>87</v>
      </c>
      <c r="D229" s="53" t="str">
        <f t="shared" si="25"/>
        <v>Cream</v>
      </c>
      <c r="E229" s="4" t="s">
        <v>485</v>
      </c>
      <c r="F229" s="4" t="s">
        <v>7</v>
      </c>
      <c r="G229" s="4" t="str">
        <f t="shared" si="28"/>
        <v>Romper Short</v>
      </c>
      <c r="H229" s="38">
        <f t="shared" si="23"/>
        <v>3</v>
      </c>
      <c r="I229" s="54">
        <f t="shared" si="29"/>
        <v>13</v>
      </c>
      <c r="J229" s="14" t="str">
        <f t="shared" si="26"/>
        <v>Easter</v>
      </c>
      <c r="K229" s="16" t="str">
        <f t="shared" si="24"/>
        <v>3-6</v>
      </c>
      <c r="L229" s="14" t="str">
        <f t="shared" si="27"/>
        <v>Romper Short | 3-6 | Cream</v>
      </c>
      <c r="M229" s="16" t="s">
        <v>3609</v>
      </c>
    </row>
    <row r="230" spans="1:13" ht="25" customHeight="1" x14ac:dyDescent="0.45">
      <c r="A230" s="6">
        <v>46106</v>
      </c>
      <c r="B230" s="3" t="s">
        <v>785</v>
      </c>
      <c r="C230" s="4" t="s">
        <v>87</v>
      </c>
      <c r="D230" s="53" t="str">
        <f t="shared" si="25"/>
        <v>Cream</v>
      </c>
      <c r="E230" s="4" t="s">
        <v>596</v>
      </c>
      <c r="F230" s="4" t="s">
        <v>18</v>
      </c>
      <c r="G230" s="4" t="str">
        <f t="shared" si="28"/>
        <v>Romper Longer</v>
      </c>
      <c r="H230" s="38">
        <f t="shared" si="23"/>
        <v>3</v>
      </c>
      <c r="I230" s="54">
        <f t="shared" si="29"/>
        <v>13</v>
      </c>
      <c r="J230" s="14" t="str">
        <f t="shared" si="26"/>
        <v>Easter</v>
      </c>
      <c r="K230" s="16" t="str">
        <f t="shared" si="24"/>
        <v>12-18</v>
      </c>
      <c r="L230" s="14" t="str">
        <f t="shared" si="27"/>
        <v>Romper Longer | 12-18 | Cream</v>
      </c>
      <c r="M230" s="16" t="s">
        <v>3610</v>
      </c>
    </row>
    <row r="231" spans="1:13" ht="25" customHeight="1" x14ac:dyDescent="0.45">
      <c r="A231" s="6">
        <v>46106</v>
      </c>
      <c r="B231" s="3" t="s">
        <v>786</v>
      </c>
      <c r="C231" s="4" t="s">
        <v>493</v>
      </c>
      <c r="D231" s="53" t="str">
        <f t="shared" si="25"/>
        <v>Texas Orange</v>
      </c>
      <c r="E231" s="4" t="s">
        <v>479</v>
      </c>
      <c r="F231" s="4" t="s">
        <v>7</v>
      </c>
      <c r="G231" s="4" t="str">
        <f t="shared" si="28"/>
        <v>Romper Longer</v>
      </c>
      <c r="H231" s="38">
        <f t="shared" si="23"/>
        <v>3</v>
      </c>
      <c r="I231" s="54">
        <f t="shared" si="29"/>
        <v>13</v>
      </c>
      <c r="J231" s="14" t="str">
        <f t="shared" si="26"/>
        <v>Easter</v>
      </c>
      <c r="K231" s="16" t="str">
        <f t="shared" si="24"/>
        <v>6-12</v>
      </c>
      <c r="L231" s="14" t="str">
        <f t="shared" si="27"/>
        <v>Romper Longer | 6-12 | Texas Orange</v>
      </c>
      <c r="M231" s="16" t="s">
        <v>3610</v>
      </c>
    </row>
    <row r="232" spans="1:13" ht="25" customHeight="1" x14ac:dyDescent="0.45">
      <c r="A232" s="6">
        <v>46106</v>
      </c>
      <c r="B232" s="3" t="s">
        <v>787</v>
      </c>
      <c r="C232" s="4" t="s">
        <v>470</v>
      </c>
      <c r="D232" s="53" t="str">
        <f t="shared" si="25"/>
        <v>Caldet Blue</v>
      </c>
      <c r="E232" s="4" t="s">
        <v>490</v>
      </c>
      <c r="F232" s="4" t="s">
        <v>7</v>
      </c>
      <c r="G232" s="4" t="str">
        <f t="shared" si="28"/>
        <v>Romper Longer</v>
      </c>
      <c r="H232" s="38">
        <f t="shared" si="23"/>
        <v>3</v>
      </c>
      <c r="I232" s="54">
        <f t="shared" si="29"/>
        <v>13</v>
      </c>
      <c r="J232" s="14" t="str">
        <f t="shared" si="26"/>
        <v>Easter</v>
      </c>
      <c r="K232" s="16" t="str">
        <f t="shared" si="24"/>
        <v>0-3</v>
      </c>
      <c r="L232" s="14" t="str">
        <f t="shared" si="27"/>
        <v>Romper Longer | 0-3 | Caldet Blue</v>
      </c>
      <c r="M232" s="16" t="s">
        <v>3610</v>
      </c>
    </row>
    <row r="233" spans="1:13" ht="25" customHeight="1" x14ac:dyDescent="0.45">
      <c r="A233" s="6">
        <v>46106</v>
      </c>
      <c r="B233" s="3" t="s">
        <v>1319</v>
      </c>
      <c r="C233" s="4" t="s">
        <v>87</v>
      </c>
      <c r="D233" s="53" t="str">
        <f t="shared" si="25"/>
        <v>Cream</v>
      </c>
      <c r="E233" s="4" t="s">
        <v>580</v>
      </c>
      <c r="F233" s="4" t="s">
        <v>7</v>
      </c>
      <c r="G233" s="4" t="str">
        <f t="shared" si="28"/>
        <v>Romper Short</v>
      </c>
      <c r="H233" s="38">
        <f t="shared" si="23"/>
        <v>3</v>
      </c>
      <c r="I233" s="54">
        <f t="shared" si="29"/>
        <v>13</v>
      </c>
      <c r="J233" s="14" t="str">
        <f t="shared" si="26"/>
        <v>Easter</v>
      </c>
      <c r="K233" s="16" t="str">
        <f t="shared" si="24"/>
        <v>0-3</v>
      </c>
      <c r="L233" s="14" t="str">
        <f t="shared" si="27"/>
        <v>Romper Short | 0-3 | Cream</v>
      </c>
      <c r="M233" s="16" t="s">
        <v>3609</v>
      </c>
    </row>
    <row r="234" spans="1:13" ht="25" customHeight="1" x14ac:dyDescent="0.45">
      <c r="A234" s="6">
        <v>46106</v>
      </c>
      <c r="B234" s="3" t="s">
        <v>788</v>
      </c>
      <c r="C234" s="4" t="s">
        <v>508</v>
      </c>
      <c r="D234" s="53" t="str">
        <f t="shared" si="25"/>
        <v>Dusty Pink</v>
      </c>
      <c r="E234" s="4" t="s">
        <v>580</v>
      </c>
      <c r="F234" s="4" t="s">
        <v>7</v>
      </c>
      <c r="G234" s="4" t="str">
        <f t="shared" si="28"/>
        <v>Romper Short</v>
      </c>
      <c r="H234" s="38">
        <f t="shared" si="23"/>
        <v>3</v>
      </c>
      <c r="I234" s="54">
        <f t="shared" si="29"/>
        <v>13</v>
      </c>
      <c r="J234" s="14" t="str">
        <f t="shared" si="26"/>
        <v>Easter</v>
      </c>
      <c r="K234" s="16" t="str">
        <f t="shared" si="24"/>
        <v>0-3</v>
      </c>
      <c r="L234" s="14" t="str">
        <f t="shared" si="27"/>
        <v>Romper Short | 0-3 | Dusty Pink</v>
      </c>
      <c r="M234" s="16" t="s">
        <v>3610</v>
      </c>
    </row>
    <row r="235" spans="1:13" ht="25" customHeight="1" x14ac:dyDescent="0.45">
      <c r="A235" s="6">
        <v>46106</v>
      </c>
      <c r="B235" s="3" t="s">
        <v>789</v>
      </c>
      <c r="C235" s="4" t="s">
        <v>483</v>
      </c>
      <c r="D235" s="53" t="str">
        <f t="shared" si="25"/>
        <v>Forest Green</v>
      </c>
      <c r="E235" s="4" t="s">
        <v>475</v>
      </c>
      <c r="F235" s="4" t="s">
        <v>7</v>
      </c>
      <c r="G235" s="4" t="str">
        <f t="shared" si="28"/>
        <v>Romper Short</v>
      </c>
      <c r="H235" s="38">
        <f t="shared" si="23"/>
        <v>3</v>
      </c>
      <c r="I235" s="54">
        <f t="shared" si="29"/>
        <v>13</v>
      </c>
      <c r="J235" s="14" t="str">
        <f t="shared" si="26"/>
        <v>Easter</v>
      </c>
      <c r="K235" s="16" t="str">
        <f t="shared" si="24"/>
        <v>12-18</v>
      </c>
      <c r="L235" s="14" t="str">
        <f t="shared" si="27"/>
        <v>Romper Short | 12-18 | Forest Green</v>
      </c>
      <c r="M235" s="16" t="s">
        <v>3610</v>
      </c>
    </row>
    <row r="236" spans="1:13" ht="25" customHeight="1" x14ac:dyDescent="0.45">
      <c r="A236" s="6">
        <v>46106</v>
      </c>
      <c r="B236" s="3" t="s">
        <v>790</v>
      </c>
      <c r="C236" s="4" t="s">
        <v>483</v>
      </c>
      <c r="D236" s="53" t="str">
        <f t="shared" si="25"/>
        <v>Forest Green</v>
      </c>
      <c r="E236" s="4" t="s">
        <v>490</v>
      </c>
      <c r="F236" s="4" t="s">
        <v>7</v>
      </c>
      <c r="G236" s="4" t="str">
        <f t="shared" si="28"/>
        <v>Romper Longer</v>
      </c>
      <c r="H236" s="38">
        <f t="shared" si="23"/>
        <v>3</v>
      </c>
      <c r="I236" s="54">
        <f t="shared" si="29"/>
        <v>13</v>
      </c>
      <c r="J236" s="14" t="str">
        <f t="shared" si="26"/>
        <v>Easter</v>
      </c>
      <c r="K236" s="16" t="str">
        <f t="shared" si="24"/>
        <v>0-3</v>
      </c>
      <c r="L236" s="14" t="str">
        <f t="shared" si="27"/>
        <v>Romper Longer | 0-3 | Forest Green</v>
      </c>
      <c r="M236" s="16" t="s">
        <v>3610</v>
      </c>
    </row>
    <row r="237" spans="1:13" ht="25" customHeight="1" x14ac:dyDescent="0.45">
      <c r="A237" s="6">
        <v>46106</v>
      </c>
      <c r="B237" s="3" t="s">
        <v>791</v>
      </c>
      <c r="C237" s="4" t="s">
        <v>470</v>
      </c>
      <c r="D237" s="53" t="str">
        <f t="shared" si="25"/>
        <v>Caldet Blue</v>
      </c>
      <c r="E237" s="4" t="s">
        <v>589</v>
      </c>
      <c r="F237" s="4" t="s">
        <v>7</v>
      </c>
      <c r="G237" s="4" t="str">
        <f t="shared" si="28"/>
        <v>Romper Short</v>
      </c>
      <c r="H237" s="38">
        <f t="shared" si="23"/>
        <v>3</v>
      </c>
      <c r="I237" s="54">
        <f t="shared" si="29"/>
        <v>13</v>
      </c>
      <c r="J237" s="14" t="str">
        <f t="shared" si="26"/>
        <v>Easter</v>
      </c>
      <c r="K237" s="16" t="str">
        <f t="shared" si="24"/>
        <v>6-12</v>
      </c>
      <c r="L237" s="14" t="str">
        <f t="shared" si="27"/>
        <v>Romper Short | 6-12 | Caldet Blue</v>
      </c>
      <c r="M237" s="16" t="s">
        <v>3610</v>
      </c>
    </row>
    <row r="238" spans="1:13" ht="25" customHeight="1" x14ac:dyDescent="0.45">
      <c r="A238" s="6">
        <v>46107</v>
      </c>
      <c r="B238" s="3" t="s">
        <v>792</v>
      </c>
      <c r="C238" s="4" t="s">
        <v>101</v>
      </c>
      <c r="D238" s="53" t="str">
        <f t="shared" si="25"/>
        <v>Sage Green</v>
      </c>
      <c r="E238" s="4" t="s">
        <v>555</v>
      </c>
      <c r="F238" s="4" t="s">
        <v>7</v>
      </c>
      <c r="G238" s="4" t="str">
        <f t="shared" si="28"/>
        <v>Romper Longer</v>
      </c>
      <c r="H238" s="38">
        <f t="shared" si="23"/>
        <v>3</v>
      </c>
      <c r="I238" s="54">
        <f t="shared" si="29"/>
        <v>13</v>
      </c>
      <c r="J238" s="14" t="str">
        <f t="shared" si="26"/>
        <v>Easter</v>
      </c>
      <c r="K238" s="16" t="str">
        <f t="shared" si="24"/>
        <v>3-6</v>
      </c>
      <c r="L238" s="14" t="str">
        <f t="shared" si="27"/>
        <v>Romper Longer | 3-6 | Sage Green</v>
      </c>
      <c r="M238" s="16" t="s">
        <v>3611</v>
      </c>
    </row>
    <row r="239" spans="1:13" ht="25" customHeight="1" x14ac:dyDescent="0.45">
      <c r="A239" s="6">
        <v>46107</v>
      </c>
      <c r="B239" s="3" t="s">
        <v>793</v>
      </c>
      <c r="C239" s="4" t="s">
        <v>184</v>
      </c>
      <c r="D239" s="53" t="str">
        <f t="shared" si="25"/>
        <v>Coffee</v>
      </c>
      <c r="E239" s="4" t="s">
        <v>589</v>
      </c>
      <c r="F239" s="4" t="s">
        <v>7</v>
      </c>
      <c r="G239" s="4" t="str">
        <f t="shared" si="28"/>
        <v>Romper Short</v>
      </c>
      <c r="H239" s="38">
        <f t="shared" si="23"/>
        <v>3</v>
      </c>
      <c r="I239" s="54">
        <f t="shared" si="29"/>
        <v>13</v>
      </c>
      <c r="J239" s="14" t="str">
        <f t="shared" si="26"/>
        <v>Easter</v>
      </c>
      <c r="K239" s="16" t="str">
        <f t="shared" si="24"/>
        <v>6-12</v>
      </c>
      <c r="L239" s="14" t="str">
        <f t="shared" si="27"/>
        <v>Romper Short | 6-12 | Coffee</v>
      </c>
      <c r="M239" s="16" t="s">
        <v>3610</v>
      </c>
    </row>
    <row r="240" spans="1:13" ht="25" customHeight="1" x14ac:dyDescent="0.45">
      <c r="A240" s="6">
        <v>46107</v>
      </c>
      <c r="B240" s="3" t="s">
        <v>794</v>
      </c>
      <c r="C240" s="4" t="s">
        <v>101</v>
      </c>
      <c r="D240" s="53" t="str">
        <f t="shared" si="25"/>
        <v>Sage Green</v>
      </c>
      <c r="E240" s="4" t="s">
        <v>485</v>
      </c>
      <c r="F240" s="4" t="s">
        <v>7</v>
      </c>
      <c r="G240" s="4" t="str">
        <f t="shared" si="28"/>
        <v>Romper Short</v>
      </c>
      <c r="H240" s="38">
        <f t="shared" si="23"/>
        <v>3</v>
      </c>
      <c r="I240" s="54">
        <f t="shared" si="29"/>
        <v>13</v>
      </c>
      <c r="J240" s="14" t="str">
        <f t="shared" si="26"/>
        <v>Easter</v>
      </c>
      <c r="K240" s="16" t="str">
        <f t="shared" si="24"/>
        <v>3-6</v>
      </c>
      <c r="L240" s="14" t="str">
        <f t="shared" si="27"/>
        <v>Romper Short | 3-6 | Sage Green</v>
      </c>
      <c r="M240" s="16" t="s">
        <v>3611</v>
      </c>
    </row>
    <row r="241" spans="1:13" ht="25" customHeight="1" x14ac:dyDescent="0.45">
      <c r="A241" s="6">
        <v>46107</v>
      </c>
      <c r="B241" s="3" t="s">
        <v>719</v>
      </c>
      <c r="C241" s="4" t="s">
        <v>473</v>
      </c>
      <c r="D241" s="53" t="str">
        <f t="shared" si="25"/>
        <v>Salmon</v>
      </c>
      <c r="E241" s="4" t="s">
        <v>485</v>
      </c>
      <c r="F241" s="4" t="s">
        <v>7</v>
      </c>
      <c r="G241" s="4" t="str">
        <f t="shared" si="28"/>
        <v>Romper Short</v>
      </c>
      <c r="H241" s="38">
        <f t="shared" si="23"/>
        <v>3</v>
      </c>
      <c r="I241" s="54">
        <f t="shared" si="29"/>
        <v>13</v>
      </c>
      <c r="J241" s="14" t="str">
        <f t="shared" si="26"/>
        <v>Easter</v>
      </c>
      <c r="K241" s="16" t="str">
        <f t="shared" si="24"/>
        <v>3-6</v>
      </c>
      <c r="L241" s="14" t="str">
        <f t="shared" si="27"/>
        <v>Romper Short | 3-6 | Salmon</v>
      </c>
      <c r="M241" s="16" t="s">
        <v>3610</v>
      </c>
    </row>
    <row r="242" spans="1:13" ht="25" customHeight="1" x14ac:dyDescent="0.45">
      <c r="A242" s="6">
        <v>46108</v>
      </c>
      <c r="B242" s="3" t="s">
        <v>795</v>
      </c>
      <c r="C242" s="4" t="s">
        <v>87</v>
      </c>
      <c r="D242" s="53" t="str">
        <f t="shared" si="25"/>
        <v>Cream</v>
      </c>
      <c r="E242" s="4" t="s">
        <v>490</v>
      </c>
      <c r="F242" s="4" t="s">
        <v>7</v>
      </c>
      <c r="G242" s="4" t="str">
        <f t="shared" si="28"/>
        <v>Romper Longer</v>
      </c>
      <c r="H242" s="38">
        <f t="shared" si="23"/>
        <v>3</v>
      </c>
      <c r="I242" s="54">
        <f t="shared" si="29"/>
        <v>13</v>
      </c>
      <c r="J242" s="14" t="str">
        <f t="shared" si="26"/>
        <v>Easter</v>
      </c>
      <c r="K242" s="16" t="str">
        <f t="shared" si="24"/>
        <v>0-3</v>
      </c>
      <c r="L242" s="14" t="str">
        <f t="shared" si="27"/>
        <v>Romper Longer | 0-3 | Cream</v>
      </c>
      <c r="M242" s="16" t="s">
        <v>3609</v>
      </c>
    </row>
    <row r="243" spans="1:13" ht="25" customHeight="1" x14ac:dyDescent="0.45">
      <c r="A243" s="6">
        <v>46108</v>
      </c>
      <c r="B243" s="3" t="s">
        <v>796</v>
      </c>
      <c r="C243" s="4" t="s">
        <v>87</v>
      </c>
      <c r="D243" s="53" t="str">
        <f t="shared" si="25"/>
        <v>Cream</v>
      </c>
      <c r="E243" s="4" t="s">
        <v>485</v>
      </c>
      <c r="F243" s="4" t="s">
        <v>7</v>
      </c>
      <c r="G243" s="4" t="str">
        <f t="shared" si="28"/>
        <v>Romper Short</v>
      </c>
      <c r="H243" s="38">
        <f t="shared" si="23"/>
        <v>3</v>
      </c>
      <c r="I243" s="54">
        <f t="shared" si="29"/>
        <v>13</v>
      </c>
      <c r="J243" s="14" t="str">
        <f t="shared" si="26"/>
        <v>Easter</v>
      </c>
      <c r="K243" s="16" t="str">
        <f t="shared" si="24"/>
        <v>3-6</v>
      </c>
      <c r="L243" s="14" t="str">
        <f t="shared" si="27"/>
        <v>Romper Short | 3-6 | Cream</v>
      </c>
      <c r="M243" s="16" t="s">
        <v>3609</v>
      </c>
    </row>
    <row r="244" spans="1:13" ht="25" customHeight="1" x14ac:dyDescent="0.45">
      <c r="A244" s="6">
        <v>46108</v>
      </c>
      <c r="B244" s="3" t="s">
        <v>797</v>
      </c>
      <c r="C244" s="4" t="s">
        <v>101</v>
      </c>
      <c r="D244" s="53" t="str">
        <f t="shared" si="25"/>
        <v>Sage Green</v>
      </c>
      <c r="E244" s="4" t="s">
        <v>485</v>
      </c>
      <c r="F244" s="4" t="s">
        <v>7</v>
      </c>
      <c r="G244" s="4" t="str">
        <f t="shared" si="28"/>
        <v>Romper Short</v>
      </c>
      <c r="H244" s="38">
        <f t="shared" si="23"/>
        <v>3</v>
      </c>
      <c r="I244" s="54">
        <f t="shared" si="29"/>
        <v>13</v>
      </c>
      <c r="J244" s="14" t="str">
        <f t="shared" si="26"/>
        <v>Easter</v>
      </c>
      <c r="K244" s="16" t="str">
        <f t="shared" si="24"/>
        <v>3-6</v>
      </c>
      <c r="L244" s="14" t="str">
        <f t="shared" si="27"/>
        <v>Romper Short | 3-6 | Sage Green</v>
      </c>
      <c r="M244" s="16" t="s">
        <v>3611</v>
      </c>
    </row>
    <row r="245" spans="1:13" ht="25" customHeight="1" x14ac:dyDescent="0.45">
      <c r="A245" s="6">
        <v>46108</v>
      </c>
      <c r="B245" s="3" t="s">
        <v>798</v>
      </c>
      <c r="C245" s="4" t="s">
        <v>101</v>
      </c>
      <c r="D245" s="53" t="str">
        <f t="shared" si="25"/>
        <v>Sage Green</v>
      </c>
      <c r="E245" s="4" t="s">
        <v>555</v>
      </c>
      <c r="F245" s="4" t="s">
        <v>7</v>
      </c>
      <c r="G245" s="4" t="str">
        <f t="shared" si="28"/>
        <v>Romper Longer</v>
      </c>
      <c r="H245" s="38">
        <f t="shared" si="23"/>
        <v>3</v>
      </c>
      <c r="I245" s="54">
        <f t="shared" si="29"/>
        <v>13</v>
      </c>
      <c r="J245" s="14" t="str">
        <f t="shared" si="26"/>
        <v>Easter</v>
      </c>
      <c r="K245" s="16" t="str">
        <f t="shared" si="24"/>
        <v>3-6</v>
      </c>
      <c r="L245" s="14" t="str">
        <f t="shared" si="27"/>
        <v>Romper Longer | 3-6 | Sage Green</v>
      </c>
      <c r="M245" s="16" t="s">
        <v>3611</v>
      </c>
    </row>
    <row r="246" spans="1:13" ht="25" customHeight="1" x14ac:dyDescent="0.45">
      <c r="A246" s="6">
        <v>46108</v>
      </c>
      <c r="B246" s="3" t="s">
        <v>799</v>
      </c>
      <c r="C246" s="4" t="s">
        <v>508</v>
      </c>
      <c r="D246" s="53" t="str">
        <f t="shared" si="25"/>
        <v>Dusty Pink</v>
      </c>
      <c r="E246" s="4" t="s">
        <v>485</v>
      </c>
      <c r="F246" s="4" t="s">
        <v>800</v>
      </c>
      <c r="G246" s="4" t="str">
        <f t="shared" si="28"/>
        <v>Romper Short</v>
      </c>
      <c r="H246" s="38">
        <f t="shared" si="23"/>
        <v>3</v>
      </c>
      <c r="I246" s="54">
        <f t="shared" si="29"/>
        <v>13</v>
      </c>
      <c r="J246" s="14" t="str">
        <f t="shared" si="26"/>
        <v>Easter</v>
      </c>
      <c r="K246" s="16" t="str">
        <f t="shared" si="24"/>
        <v>3-6</v>
      </c>
      <c r="L246" s="14" t="str">
        <f t="shared" si="27"/>
        <v>Romper Short | 3-6 | Dusty Pink</v>
      </c>
      <c r="M246" s="16" t="s">
        <v>3610</v>
      </c>
    </row>
    <row r="247" spans="1:13" ht="25" customHeight="1" x14ac:dyDescent="0.45">
      <c r="A247" s="6">
        <v>46108</v>
      </c>
      <c r="B247" s="3" t="s">
        <v>801</v>
      </c>
      <c r="C247" s="4" t="s">
        <v>87</v>
      </c>
      <c r="D247" s="53" t="str">
        <f t="shared" si="25"/>
        <v>Cream</v>
      </c>
      <c r="E247" s="4" t="s">
        <v>510</v>
      </c>
      <c r="F247" s="4" t="s">
        <v>7</v>
      </c>
      <c r="G247" s="4" t="str">
        <f t="shared" si="28"/>
        <v>Romper Short</v>
      </c>
      <c r="H247" s="38">
        <f t="shared" si="23"/>
        <v>3</v>
      </c>
      <c r="I247" s="54">
        <f t="shared" si="29"/>
        <v>13</v>
      </c>
      <c r="J247" s="14" t="str">
        <f t="shared" si="26"/>
        <v>Easter</v>
      </c>
      <c r="K247" s="16" t="str">
        <f t="shared" si="24"/>
        <v>3-6</v>
      </c>
      <c r="L247" s="14" t="str">
        <f t="shared" si="27"/>
        <v>Romper Short | 3-6 | Cream</v>
      </c>
      <c r="M247" s="16" t="s">
        <v>3609</v>
      </c>
    </row>
    <row r="248" spans="1:13" ht="25" customHeight="1" x14ac:dyDescent="0.45">
      <c r="A248" s="6">
        <v>46109</v>
      </c>
      <c r="B248" s="3" t="s">
        <v>802</v>
      </c>
      <c r="C248" s="4" t="s">
        <v>101</v>
      </c>
      <c r="D248" s="53" t="str">
        <f t="shared" si="25"/>
        <v>Sage Green</v>
      </c>
      <c r="E248" s="4" t="s">
        <v>803</v>
      </c>
      <c r="F248" s="4" t="s">
        <v>7</v>
      </c>
      <c r="G248" s="4" t="str">
        <f t="shared" si="28"/>
        <v>Romper Short</v>
      </c>
      <c r="H248" s="38">
        <f t="shared" si="23"/>
        <v>3</v>
      </c>
      <c r="I248" s="54">
        <f t="shared" si="29"/>
        <v>13</v>
      </c>
      <c r="J248" s="14" t="str">
        <f t="shared" si="26"/>
        <v>Easter</v>
      </c>
      <c r="K248" s="16" t="str">
        <f t="shared" si="24"/>
        <v>6-12</v>
      </c>
      <c r="L248" s="14" t="str">
        <f t="shared" si="27"/>
        <v>Romper Short | 6-12 | Sage Green</v>
      </c>
      <c r="M248" s="16" t="s">
        <v>3610</v>
      </c>
    </row>
    <row r="249" spans="1:13" ht="25" customHeight="1" x14ac:dyDescent="0.45">
      <c r="A249" s="6">
        <v>46109</v>
      </c>
      <c r="B249" s="3" t="s">
        <v>804</v>
      </c>
      <c r="C249" s="4" t="s">
        <v>528</v>
      </c>
      <c r="D249" s="53" t="str">
        <f t="shared" si="25"/>
        <v>Watermelon</v>
      </c>
      <c r="E249" s="4" t="s">
        <v>580</v>
      </c>
      <c r="F249" s="4" t="s">
        <v>7</v>
      </c>
      <c r="G249" s="4" t="str">
        <f t="shared" si="28"/>
        <v>Romper Short</v>
      </c>
      <c r="H249" s="38">
        <f t="shared" si="23"/>
        <v>3</v>
      </c>
      <c r="I249" s="54">
        <f t="shared" si="29"/>
        <v>13</v>
      </c>
      <c r="J249" s="14" t="str">
        <f t="shared" si="26"/>
        <v>Easter</v>
      </c>
      <c r="K249" s="16" t="str">
        <f t="shared" si="24"/>
        <v>0-3</v>
      </c>
      <c r="L249" s="14" t="str">
        <f t="shared" si="27"/>
        <v>Romper Short | 0-3 | Watermelon</v>
      </c>
      <c r="M249" s="16" t="s">
        <v>3610</v>
      </c>
    </row>
    <row r="250" spans="1:13" ht="25" customHeight="1" x14ac:dyDescent="0.45">
      <c r="A250" s="6">
        <v>46109</v>
      </c>
      <c r="B250" s="3" t="s">
        <v>804</v>
      </c>
      <c r="C250" s="4" t="s">
        <v>101</v>
      </c>
      <c r="D250" s="53" t="str">
        <f t="shared" si="25"/>
        <v>Sage Green</v>
      </c>
      <c r="E250" s="4" t="s">
        <v>580</v>
      </c>
      <c r="F250" s="4" t="s">
        <v>7</v>
      </c>
      <c r="G250" s="4" t="str">
        <f t="shared" si="28"/>
        <v>Romper Short</v>
      </c>
      <c r="H250" s="38">
        <f t="shared" si="23"/>
        <v>3</v>
      </c>
      <c r="I250" s="54">
        <f t="shared" si="29"/>
        <v>13</v>
      </c>
      <c r="J250" s="14" t="str">
        <f t="shared" si="26"/>
        <v>Easter</v>
      </c>
      <c r="K250" s="16" t="str">
        <f t="shared" si="24"/>
        <v>0-3</v>
      </c>
      <c r="L250" s="14" t="str">
        <f t="shared" si="27"/>
        <v>Romper Short | 0-3 | Sage Green</v>
      </c>
      <c r="M250" s="16" t="s">
        <v>3610</v>
      </c>
    </row>
    <row r="251" spans="1:13" ht="25" customHeight="1" x14ac:dyDescent="0.45">
      <c r="A251" s="6">
        <v>46109</v>
      </c>
      <c r="B251" s="3" t="s">
        <v>805</v>
      </c>
      <c r="C251" s="4" t="s">
        <v>87</v>
      </c>
      <c r="D251" s="53" t="str">
        <f t="shared" si="25"/>
        <v>Cream</v>
      </c>
      <c r="E251" s="4" t="s">
        <v>479</v>
      </c>
      <c r="F251" s="4" t="s">
        <v>7</v>
      </c>
      <c r="G251" s="4" t="str">
        <f t="shared" si="28"/>
        <v>Romper Longer</v>
      </c>
      <c r="H251" s="38">
        <f t="shared" si="23"/>
        <v>3</v>
      </c>
      <c r="I251" s="54">
        <f t="shared" si="29"/>
        <v>13</v>
      </c>
      <c r="J251" s="14" t="str">
        <f t="shared" si="26"/>
        <v>Easter</v>
      </c>
      <c r="K251" s="16" t="str">
        <f t="shared" si="24"/>
        <v>6-12</v>
      </c>
      <c r="L251" s="14" t="str">
        <f t="shared" si="27"/>
        <v>Romper Longer | 6-12 | Cream</v>
      </c>
      <c r="M251" s="16" t="s">
        <v>3611</v>
      </c>
    </row>
    <row r="252" spans="1:13" ht="25" customHeight="1" x14ac:dyDescent="0.45">
      <c r="A252" s="6">
        <v>46109</v>
      </c>
      <c r="B252" s="3" t="s">
        <v>806</v>
      </c>
      <c r="C252" s="4" t="s">
        <v>508</v>
      </c>
      <c r="D252" s="53" t="str">
        <f t="shared" si="25"/>
        <v>Dusty Pink</v>
      </c>
      <c r="E252" s="4" t="s">
        <v>485</v>
      </c>
      <c r="F252" s="4" t="s">
        <v>7</v>
      </c>
      <c r="G252" s="4" t="str">
        <f t="shared" si="28"/>
        <v>Romper Short</v>
      </c>
      <c r="H252" s="38">
        <f t="shared" si="23"/>
        <v>3</v>
      </c>
      <c r="I252" s="54">
        <f t="shared" si="29"/>
        <v>13</v>
      </c>
      <c r="J252" s="14" t="str">
        <f t="shared" si="26"/>
        <v>Easter</v>
      </c>
      <c r="K252" s="16" t="str">
        <f t="shared" si="24"/>
        <v>3-6</v>
      </c>
      <c r="L252" s="14" t="str">
        <f t="shared" si="27"/>
        <v>Romper Short | 3-6 | Dusty Pink</v>
      </c>
      <c r="M252" s="16" t="s">
        <v>3610</v>
      </c>
    </row>
    <row r="253" spans="1:13" ht="25" customHeight="1" x14ac:dyDescent="0.45">
      <c r="A253" s="6">
        <v>46109</v>
      </c>
      <c r="B253" s="3" t="s">
        <v>807</v>
      </c>
      <c r="C253" s="4" t="s">
        <v>114</v>
      </c>
      <c r="D253" s="53" t="str">
        <f t="shared" si="25"/>
        <v>White</v>
      </c>
      <c r="E253" s="4" t="s">
        <v>490</v>
      </c>
      <c r="F253" s="4" t="s">
        <v>18</v>
      </c>
      <c r="G253" s="4" t="str">
        <f t="shared" si="28"/>
        <v>Romper Longer</v>
      </c>
      <c r="H253" s="38">
        <f t="shared" si="23"/>
        <v>3</v>
      </c>
      <c r="I253" s="54">
        <f t="shared" si="29"/>
        <v>13</v>
      </c>
      <c r="J253" s="14" t="str">
        <f t="shared" si="26"/>
        <v>Easter</v>
      </c>
      <c r="K253" s="16" t="str">
        <f t="shared" si="24"/>
        <v>0-3</v>
      </c>
      <c r="L253" s="14" t="str">
        <f t="shared" si="27"/>
        <v>Romper Longer | 0-3 | White</v>
      </c>
      <c r="M253" s="16" t="s">
        <v>3610</v>
      </c>
    </row>
    <row r="254" spans="1:13" ht="25" customHeight="1" x14ac:dyDescent="0.45">
      <c r="A254" s="6">
        <v>46110</v>
      </c>
      <c r="B254" s="3" t="s">
        <v>808</v>
      </c>
      <c r="C254" s="4" t="s">
        <v>87</v>
      </c>
      <c r="D254" s="53" t="str">
        <f t="shared" si="25"/>
        <v>Cream</v>
      </c>
      <c r="E254" s="4" t="s">
        <v>555</v>
      </c>
      <c r="F254" s="4" t="s">
        <v>18</v>
      </c>
      <c r="G254" s="4" t="str">
        <f t="shared" si="28"/>
        <v>Romper Longer</v>
      </c>
      <c r="H254" s="38">
        <f t="shared" si="23"/>
        <v>3</v>
      </c>
      <c r="I254" s="54">
        <f t="shared" si="29"/>
        <v>14</v>
      </c>
      <c r="J254" s="14" t="str">
        <f t="shared" si="26"/>
        <v>Easter</v>
      </c>
      <c r="K254" s="16" t="str">
        <f t="shared" si="24"/>
        <v>3-6</v>
      </c>
      <c r="L254" s="14" t="str">
        <f t="shared" si="27"/>
        <v>Romper Longer | 3-6 | Cream</v>
      </c>
      <c r="M254" s="16" t="s">
        <v>3609</v>
      </c>
    </row>
    <row r="255" spans="1:13" ht="25" customHeight="1" x14ac:dyDescent="0.45">
      <c r="A255" s="6">
        <v>46110</v>
      </c>
      <c r="B255" s="3" t="s">
        <v>809</v>
      </c>
      <c r="C255" s="4" t="s">
        <v>87</v>
      </c>
      <c r="D255" s="53" t="str">
        <f t="shared" si="25"/>
        <v>Cream</v>
      </c>
      <c r="E255" s="4" t="s">
        <v>485</v>
      </c>
      <c r="F255" s="4" t="s">
        <v>37</v>
      </c>
      <c r="G255" s="4" t="str">
        <f t="shared" si="28"/>
        <v>Romper Short</v>
      </c>
      <c r="H255" s="38">
        <f t="shared" si="23"/>
        <v>3</v>
      </c>
      <c r="I255" s="54">
        <f t="shared" si="29"/>
        <v>14</v>
      </c>
      <c r="J255" s="14" t="str">
        <f t="shared" si="26"/>
        <v>Easter</v>
      </c>
      <c r="K255" s="16" t="str">
        <f t="shared" si="24"/>
        <v>3-6</v>
      </c>
      <c r="L255" s="14" t="str">
        <f t="shared" si="27"/>
        <v>Romper Short | 3-6 | Cream</v>
      </c>
      <c r="M255" s="16" t="s">
        <v>3609</v>
      </c>
    </row>
    <row r="256" spans="1:13" ht="25" customHeight="1" x14ac:dyDescent="0.45">
      <c r="A256" s="6">
        <v>46110</v>
      </c>
      <c r="B256" s="3" t="s">
        <v>810</v>
      </c>
      <c r="C256" s="4" t="s">
        <v>87</v>
      </c>
      <c r="D256" s="53" t="str">
        <f t="shared" si="25"/>
        <v>Cream</v>
      </c>
      <c r="E256" s="4" t="s">
        <v>485</v>
      </c>
      <c r="F256" s="4" t="s">
        <v>7</v>
      </c>
      <c r="G256" s="4" t="str">
        <f t="shared" si="28"/>
        <v>Romper Short</v>
      </c>
      <c r="H256" s="38">
        <f t="shared" si="23"/>
        <v>3</v>
      </c>
      <c r="I256" s="54">
        <f t="shared" si="29"/>
        <v>14</v>
      </c>
      <c r="J256" s="14" t="str">
        <f t="shared" si="26"/>
        <v>Easter</v>
      </c>
      <c r="K256" s="16" t="str">
        <f t="shared" si="24"/>
        <v>3-6</v>
      </c>
      <c r="L256" s="14" t="str">
        <f t="shared" si="27"/>
        <v>Romper Short | 3-6 | Cream</v>
      </c>
      <c r="M256" s="16" t="s">
        <v>3609</v>
      </c>
    </row>
    <row r="257" spans="1:13" ht="25" customHeight="1" x14ac:dyDescent="0.45">
      <c r="A257" s="6">
        <v>46110</v>
      </c>
      <c r="B257" s="3" t="s">
        <v>811</v>
      </c>
      <c r="C257" s="4" t="s">
        <v>508</v>
      </c>
      <c r="D257" s="53" t="str">
        <f t="shared" si="25"/>
        <v>Dusty Pink</v>
      </c>
      <c r="E257" s="4" t="s">
        <v>479</v>
      </c>
      <c r="F257" s="4" t="s">
        <v>7</v>
      </c>
      <c r="G257" s="4" t="str">
        <f t="shared" si="28"/>
        <v>Romper Longer</v>
      </c>
      <c r="H257" s="38">
        <f t="shared" si="23"/>
        <v>3</v>
      </c>
      <c r="I257" s="54">
        <f t="shared" si="29"/>
        <v>14</v>
      </c>
      <c r="J257" s="14" t="str">
        <f t="shared" si="26"/>
        <v>Easter</v>
      </c>
      <c r="K257" s="16" t="str">
        <f t="shared" si="24"/>
        <v>6-12</v>
      </c>
      <c r="L257" s="14" t="str">
        <f t="shared" si="27"/>
        <v>Romper Longer | 6-12 | Dusty Pink</v>
      </c>
      <c r="M257" s="16" t="s">
        <v>3610</v>
      </c>
    </row>
    <row r="258" spans="1:13" ht="25" customHeight="1" x14ac:dyDescent="0.45">
      <c r="A258" s="6">
        <v>46111</v>
      </c>
      <c r="B258" s="3" t="s">
        <v>812</v>
      </c>
      <c r="C258" s="4" t="s">
        <v>528</v>
      </c>
      <c r="D258" s="53" t="str">
        <f t="shared" si="25"/>
        <v>Watermelon</v>
      </c>
      <c r="E258" s="4" t="s">
        <v>555</v>
      </c>
      <c r="F258" s="4" t="s">
        <v>11</v>
      </c>
      <c r="G258" s="4" t="str">
        <f t="shared" si="28"/>
        <v>Romper Longer</v>
      </c>
      <c r="H258" s="38">
        <f t="shared" ref="H258:H321" si="30">MONTH(A258)</f>
        <v>3</v>
      </c>
      <c r="I258" s="54">
        <f t="shared" si="29"/>
        <v>14</v>
      </c>
      <c r="J258" s="14" t="str">
        <f t="shared" si="26"/>
        <v>Easter</v>
      </c>
      <c r="K258" s="16" t="str">
        <f t="shared" ref="K258:K321" si="31">TRIM(LEFT(E258,FIND("(",E258&amp;"(")-2))</f>
        <v>3-6</v>
      </c>
      <c r="L258" s="14" t="str">
        <f t="shared" si="27"/>
        <v>Romper Longer | 3-6 | Watermelon</v>
      </c>
      <c r="M258" s="16" t="s">
        <v>3610</v>
      </c>
    </row>
    <row r="259" spans="1:13" ht="25" customHeight="1" x14ac:dyDescent="0.45">
      <c r="A259" s="6">
        <v>46111</v>
      </c>
      <c r="B259" s="3" t="s">
        <v>813</v>
      </c>
      <c r="C259" s="4" t="s">
        <v>87</v>
      </c>
      <c r="D259" s="53" t="str">
        <f t="shared" ref="D259:D322" si="32">PROPER(C259)</f>
        <v>Cream</v>
      </c>
      <c r="E259" s="4" t="s">
        <v>479</v>
      </c>
      <c r="F259" s="4" t="s">
        <v>11</v>
      </c>
      <c r="G259" s="4" t="str">
        <f t="shared" si="28"/>
        <v>Romper Longer</v>
      </c>
      <c r="H259" s="38">
        <f t="shared" si="30"/>
        <v>3</v>
      </c>
      <c r="I259" s="54">
        <f t="shared" si="29"/>
        <v>14</v>
      </c>
      <c r="J259" s="14" t="str">
        <f t="shared" ref="J259:J322" si="33">IF(H259=1,"NewYear",
IF(H259=2,"Valentine",
IF(OR(H259=3,H259=4),"Easter",
IF(H259=5,"MothersDay",
IF(H259=6,"FathersDay",
IF(OR(H259=7,H259=8),"Summer",
IF(H259=10,"Halloween",
IF(OR(H259=11,H259=12),"Christmas","Normal"))))))))</f>
        <v>Easter</v>
      </c>
      <c r="K259" s="16" t="str">
        <f t="shared" si="31"/>
        <v>6-12</v>
      </c>
      <c r="L259" s="14" t="str">
        <f t="shared" ref="L259:L322" si="34">TRIM(G259)&amp;" | "&amp;TRIM(K259)&amp;" | "&amp;PROPER(TRIM(D259))</f>
        <v>Romper Longer | 6-12 | Cream</v>
      </c>
      <c r="M259" s="16" t="s">
        <v>3611</v>
      </c>
    </row>
    <row r="260" spans="1:13" ht="25" customHeight="1" x14ac:dyDescent="0.45">
      <c r="A260" s="6">
        <v>46111</v>
      </c>
      <c r="B260" s="3" t="s">
        <v>814</v>
      </c>
      <c r="C260" s="4" t="s">
        <v>87</v>
      </c>
      <c r="D260" s="53" t="str">
        <f t="shared" si="32"/>
        <v>Cream</v>
      </c>
      <c r="E260" s="4" t="s">
        <v>485</v>
      </c>
      <c r="F260" s="4" t="s">
        <v>37</v>
      </c>
      <c r="G260" s="4" t="str">
        <f t="shared" si="28"/>
        <v>Romper Short</v>
      </c>
      <c r="H260" s="38">
        <f t="shared" si="30"/>
        <v>3</v>
      </c>
      <c r="I260" s="54">
        <f t="shared" si="29"/>
        <v>14</v>
      </c>
      <c r="J260" s="14" t="str">
        <f t="shared" si="33"/>
        <v>Easter</v>
      </c>
      <c r="K260" s="16" t="str">
        <f t="shared" si="31"/>
        <v>3-6</v>
      </c>
      <c r="L260" s="14" t="str">
        <f t="shared" si="34"/>
        <v>Romper Short | 3-6 | Cream</v>
      </c>
      <c r="M260" s="16" t="s">
        <v>3609</v>
      </c>
    </row>
    <row r="261" spans="1:13" ht="25" customHeight="1" x14ac:dyDescent="0.45">
      <c r="A261" s="6">
        <v>46111</v>
      </c>
      <c r="B261" s="3" t="s">
        <v>815</v>
      </c>
      <c r="C261" s="4" t="s">
        <v>101</v>
      </c>
      <c r="D261" s="53" t="str">
        <f t="shared" si="32"/>
        <v>Sage Green</v>
      </c>
      <c r="E261" s="4" t="s">
        <v>490</v>
      </c>
      <c r="F261" s="4" t="s">
        <v>7</v>
      </c>
      <c r="G261" s="4" t="str">
        <f t="shared" si="28"/>
        <v>Romper Longer</v>
      </c>
      <c r="H261" s="38">
        <f t="shared" si="30"/>
        <v>3</v>
      </c>
      <c r="I261" s="54">
        <f t="shared" si="29"/>
        <v>14</v>
      </c>
      <c r="J261" s="14" t="str">
        <f t="shared" si="33"/>
        <v>Easter</v>
      </c>
      <c r="K261" s="16" t="str">
        <f t="shared" si="31"/>
        <v>0-3</v>
      </c>
      <c r="L261" s="14" t="str">
        <f t="shared" si="34"/>
        <v>Romper Longer | 0-3 | Sage Green</v>
      </c>
      <c r="M261" s="16" t="s">
        <v>3611</v>
      </c>
    </row>
    <row r="262" spans="1:13" ht="25" customHeight="1" x14ac:dyDescent="0.45">
      <c r="A262" s="6">
        <v>46111</v>
      </c>
      <c r="B262" s="3" t="s">
        <v>816</v>
      </c>
      <c r="C262" s="4" t="s">
        <v>87</v>
      </c>
      <c r="D262" s="53" t="str">
        <f t="shared" si="32"/>
        <v>Cream</v>
      </c>
      <c r="E262" s="4" t="s">
        <v>580</v>
      </c>
      <c r="F262" s="4" t="s">
        <v>7</v>
      </c>
      <c r="G262" s="4" t="str">
        <f t="shared" si="28"/>
        <v>Romper Short</v>
      </c>
      <c r="H262" s="38">
        <f t="shared" si="30"/>
        <v>3</v>
      </c>
      <c r="I262" s="54">
        <f t="shared" si="29"/>
        <v>14</v>
      </c>
      <c r="J262" s="14" t="str">
        <f t="shared" si="33"/>
        <v>Easter</v>
      </c>
      <c r="K262" s="16" t="str">
        <f t="shared" si="31"/>
        <v>0-3</v>
      </c>
      <c r="L262" s="14" t="str">
        <f t="shared" si="34"/>
        <v>Romper Short | 0-3 | Cream</v>
      </c>
      <c r="M262" s="16" t="s">
        <v>3609</v>
      </c>
    </row>
    <row r="263" spans="1:13" ht="25" customHeight="1" x14ac:dyDescent="0.45">
      <c r="A263" s="6">
        <v>46111</v>
      </c>
      <c r="B263" s="3" t="s">
        <v>817</v>
      </c>
      <c r="C263" s="4" t="s">
        <v>87</v>
      </c>
      <c r="D263" s="53" t="str">
        <f t="shared" si="32"/>
        <v>Cream</v>
      </c>
      <c r="E263" s="4" t="s">
        <v>580</v>
      </c>
      <c r="F263" s="4" t="s">
        <v>7</v>
      </c>
      <c r="G263" s="4" t="str">
        <f t="shared" si="28"/>
        <v>Romper Short</v>
      </c>
      <c r="H263" s="38">
        <f t="shared" si="30"/>
        <v>3</v>
      </c>
      <c r="I263" s="54">
        <f t="shared" si="29"/>
        <v>14</v>
      </c>
      <c r="J263" s="14" t="str">
        <f t="shared" si="33"/>
        <v>Easter</v>
      </c>
      <c r="K263" s="16" t="str">
        <f t="shared" si="31"/>
        <v>0-3</v>
      </c>
      <c r="L263" s="14" t="str">
        <f t="shared" si="34"/>
        <v>Romper Short | 0-3 | Cream</v>
      </c>
      <c r="M263" s="16" t="s">
        <v>3609</v>
      </c>
    </row>
    <row r="264" spans="1:13" ht="25" customHeight="1" x14ac:dyDescent="0.45">
      <c r="A264" s="6">
        <v>46113</v>
      </c>
      <c r="B264" s="3" t="s">
        <v>818</v>
      </c>
      <c r="C264" s="4" t="s">
        <v>101</v>
      </c>
      <c r="D264" s="53" t="str">
        <f t="shared" si="32"/>
        <v>Sage Green</v>
      </c>
      <c r="E264" s="4" t="s">
        <v>555</v>
      </c>
      <c r="F264" s="4" t="s">
        <v>7</v>
      </c>
      <c r="G264" s="4" t="str">
        <f t="shared" si="28"/>
        <v>Romper Longer</v>
      </c>
      <c r="H264" s="38">
        <f t="shared" si="30"/>
        <v>4</v>
      </c>
      <c r="I264" s="54">
        <f t="shared" si="29"/>
        <v>14</v>
      </c>
      <c r="J264" s="14" t="str">
        <f t="shared" si="33"/>
        <v>Easter</v>
      </c>
      <c r="K264" s="16" t="str">
        <f t="shared" si="31"/>
        <v>3-6</v>
      </c>
      <c r="L264" s="14" t="str">
        <f t="shared" si="34"/>
        <v>Romper Longer | 3-6 | Sage Green</v>
      </c>
      <c r="M264" s="16" t="s">
        <v>3611</v>
      </c>
    </row>
    <row r="265" spans="1:13" ht="25" customHeight="1" x14ac:dyDescent="0.45">
      <c r="A265" s="6">
        <v>46113</v>
      </c>
      <c r="B265" s="3" t="s">
        <v>819</v>
      </c>
      <c r="C265" s="4" t="s">
        <v>87</v>
      </c>
      <c r="D265" s="53" t="str">
        <f t="shared" si="32"/>
        <v>Cream</v>
      </c>
      <c r="E265" s="4" t="s">
        <v>485</v>
      </c>
      <c r="F265" s="4" t="s">
        <v>7</v>
      </c>
      <c r="G265" s="4" t="str">
        <f t="shared" si="28"/>
        <v>Romper Short</v>
      </c>
      <c r="H265" s="38">
        <f t="shared" si="30"/>
        <v>4</v>
      </c>
      <c r="I265" s="54">
        <f t="shared" si="29"/>
        <v>14</v>
      </c>
      <c r="J265" s="14" t="str">
        <f t="shared" si="33"/>
        <v>Easter</v>
      </c>
      <c r="K265" s="16" t="str">
        <f t="shared" si="31"/>
        <v>3-6</v>
      </c>
      <c r="L265" s="14" t="str">
        <f t="shared" si="34"/>
        <v>Romper Short | 3-6 | Cream</v>
      </c>
      <c r="M265" s="16" t="s">
        <v>3609</v>
      </c>
    </row>
    <row r="266" spans="1:13" ht="25" customHeight="1" x14ac:dyDescent="0.45">
      <c r="A266" s="6">
        <v>46113</v>
      </c>
      <c r="B266" s="3" t="s">
        <v>820</v>
      </c>
      <c r="C266" s="4" t="s">
        <v>101</v>
      </c>
      <c r="D266" s="53" t="str">
        <f t="shared" si="32"/>
        <v>Sage Green</v>
      </c>
      <c r="E266" s="4" t="s">
        <v>803</v>
      </c>
      <c r="F266" s="4" t="s">
        <v>19</v>
      </c>
      <c r="G266" s="4" t="str">
        <f t="shared" si="28"/>
        <v>Romper Short</v>
      </c>
      <c r="H266" s="38">
        <f t="shared" si="30"/>
        <v>4</v>
      </c>
      <c r="I266" s="54">
        <f t="shared" si="29"/>
        <v>14</v>
      </c>
      <c r="J266" s="14" t="str">
        <f t="shared" si="33"/>
        <v>Easter</v>
      </c>
      <c r="K266" s="16" t="str">
        <f t="shared" si="31"/>
        <v>6-12</v>
      </c>
      <c r="L266" s="14" t="str">
        <f t="shared" si="34"/>
        <v>Romper Short | 6-12 | Sage Green</v>
      </c>
      <c r="M266" s="16" t="s">
        <v>3610</v>
      </c>
    </row>
    <row r="267" spans="1:13" ht="25" customHeight="1" x14ac:dyDescent="0.45">
      <c r="A267" s="6">
        <v>46113</v>
      </c>
      <c r="B267" s="3" t="s">
        <v>821</v>
      </c>
      <c r="C267" s="4" t="s">
        <v>493</v>
      </c>
      <c r="D267" s="53" t="str">
        <f t="shared" si="32"/>
        <v>Texas Orange</v>
      </c>
      <c r="E267" s="4" t="s">
        <v>485</v>
      </c>
      <c r="F267" s="4" t="s">
        <v>7</v>
      </c>
      <c r="G267" s="4" t="str">
        <f t="shared" si="28"/>
        <v>Romper Short</v>
      </c>
      <c r="H267" s="38">
        <f t="shared" si="30"/>
        <v>4</v>
      </c>
      <c r="I267" s="54">
        <f t="shared" si="29"/>
        <v>14</v>
      </c>
      <c r="J267" s="14" t="str">
        <f t="shared" si="33"/>
        <v>Easter</v>
      </c>
      <c r="K267" s="16" t="str">
        <f t="shared" si="31"/>
        <v>3-6</v>
      </c>
      <c r="L267" s="14" t="str">
        <f t="shared" si="34"/>
        <v>Romper Short | 3-6 | Texas Orange</v>
      </c>
      <c r="M267" s="16" t="s">
        <v>3610</v>
      </c>
    </row>
    <row r="268" spans="1:13" ht="25" customHeight="1" x14ac:dyDescent="0.45">
      <c r="A268" s="6">
        <v>46114</v>
      </c>
      <c r="B268" s="3" t="s">
        <v>822</v>
      </c>
      <c r="C268" s="4" t="s">
        <v>87</v>
      </c>
      <c r="D268" s="53" t="str">
        <f t="shared" si="32"/>
        <v>Cream</v>
      </c>
      <c r="E268" s="4" t="s">
        <v>485</v>
      </c>
      <c r="F268" s="4" t="s">
        <v>37</v>
      </c>
      <c r="G268" s="4" t="str">
        <f t="shared" si="28"/>
        <v>Romper Short</v>
      </c>
      <c r="H268" s="38">
        <f t="shared" si="30"/>
        <v>4</v>
      </c>
      <c r="I268" s="54">
        <f t="shared" si="29"/>
        <v>14</v>
      </c>
      <c r="J268" s="14" t="str">
        <f t="shared" si="33"/>
        <v>Easter</v>
      </c>
      <c r="K268" s="16" t="str">
        <f t="shared" si="31"/>
        <v>3-6</v>
      </c>
      <c r="L268" s="14" t="str">
        <f t="shared" si="34"/>
        <v>Romper Short | 3-6 | Cream</v>
      </c>
      <c r="M268" s="16" t="s">
        <v>3609</v>
      </c>
    </row>
    <row r="269" spans="1:13" ht="25" customHeight="1" x14ac:dyDescent="0.45">
      <c r="A269" s="6">
        <v>46114</v>
      </c>
      <c r="B269" s="3" t="s">
        <v>823</v>
      </c>
      <c r="C269" s="4" t="s">
        <v>87</v>
      </c>
      <c r="D269" s="53" t="str">
        <f t="shared" si="32"/>
        <v>Cream</v>
      </c>
      <c r="E269" s="4" t="s">
        <v>485</v>
      </c>
      <c r="F269" s="4" t="s">
        <v>19</v>
      </c>
      <c r="G269" s="4" t="str">
        <f t="shared" si="28"/>
        <v>Romper Short</v>
      </c>
      <c r="H269" s="38">
        <f t="shared" si="30"/>
        <v>4</v>
      </c>
      <c r="I269" s="54">
        <f t="shared" si="29"/>
        <v>14</v>
      </c>
      <c r="J269" s="14" t="str">
        <f t="shared" si="33"/>
        <v>Easter</v>
      </c>
      <c r="K269" s="16" t="str">
        <f t="shared" si="31"/>
        <v>3-6</v>
      </c>
      <c r="L269" s="14" t="str">
        <f t="shared" si="34"/>
        <v>Romper Short | 3-6 | Cream</v>
      </c>
      <c r="M269" s="16" t="s">
        <v>3609</v>
      </c>
    </row>
    <row r="270" spans="1:13" ht="25" customHeight="1" x14ac:dyDescent="0.45">
      <c r="A270" s="6">
        <v>46114</v>
      </c>
      <c r="B270" s="3" t="s">
        <v>824</v>
      </c>
      <c r="C270" s="4" t="s">
        <v>101</v>
      </c>
      <c r="D270" s="53" t="str">
        <f t="shared" si="32"/>
        <v>Sage Green</v>
      </c>
      <c r="E270" s="4" t="s">
        <v>479</v>
      </c>
      <c r="F270" s="4" t="s">
        <v>7</v>
      </c>
      <c r="G270" s="4" t="str">
        <f t="shared" si="28"/>
        <v>Romper Longer</v>
      </c>
      <c r="H270" s="38">
        <f t="shared" si="30"/>
        <v>4</v>
      </c>
      <c r="I270" s="54">
        <f t="shared" si="29"/>
        <v>14</v>
      </c>
      <c r="J270" s="14" t="str">
        <f t="shared" si="33"/>
        <v>Easter</v>
      </c>
      <c r="K270" s="16" t="str">
        <f t="shared" si="31"/>
        <v>6-12</v>
      </c>
      <c r="L270" s="14" t="str">
        <f t="shared" si="34"/>
        <v>Romper Longer | 6-12 | Sage Green</v>
      </c>
      <c r="M270" s="16" t="s">
        <v>3610</v>
      </c>
    </row>
    <row r="271" spans="1:13" ht="25" customHeight="1" x14ac:dyDescent="0.45">
      <c r="A271" s="6">
        <v>46115</v>
      </c>
      <c r="B271" s="3" t="s">
        <v>825</v>
      </c>
      <c r="C271" s="4" t="s">
        <v>87</v>
      </c>
      <c r="D271" s="53" t="str">
        <f t="shared" si="32"/>
        <v>Cream</v>
      </c>
      <c r="E271" s="4" t="s">
        <v>555</v>
      </c>
      <c r="F271" s="4" t="s">
        <v>826</v>
      </c>
      <c r="G271" s="4" t="str">
        <f t="shared" si="28"/>
        <v>Romper Longer</v>
      </c>
      <c r="H271" s="38">
        <f t="shared" si="30"/>
        <v>4</v>
      </c>
      <c r="I271" s="54">
        <f t="shared" si="29"/>
        <v>14</v>
      </c>
      <c r="J271" s="14" t="str">
        <f t="shared" si="33"/>
        <v>Easter</v>
      </c>
      <c r="K271" s="16" t="str">
        <f t="shared" si="31"/>
        <v>3-6</v>
      </c>
      <c r="L271" s="14" t="str">
        <f t="shared" si="34"/>
        <v>Romper Longer | 3-6 | Cream</v>
      </c>
      <c r="M271" s="16" t="s">
        <v>3609</v>
      </c>
    </row>
    <row r="272" spans="1:13" ht="25" customHeight="1" x14ac:dyDescent="0.45">
      <c r="A272" s="6">
        <v>46115</v>
      </c>
      <c r="B272" s="3" t="s">
        <v>827</v>
      </c>
      <c r="C272" s="4" t="s">
        <v>528</v>
      </c>
      <c r="D272" s="53" t="str">
        <f t="shared" si="32"/>
        <v>Watermelon</v>
      </c>
      <c r="E272" s="4" t="s">
        <v>555</v>
      </c>
      <c r="F272" s="4" t="s">
        <v>7</v>
      </c>
      <c r="G272" s="4" t="str">
        <f t="shared" ref="G272:G335" si="35">IF(ISNUMBER(SEARCH("LONG",E272)),"Romper Longer",IF(ISNUMBER(SEARCH("SHORT",E272)),"Romper Short","Bodysuit"))</f>
        <v>Romper Longer</v>
      </c>
      <c r="H272" s="38">
        <f t="shared" si="30"/>
        <v>4</v>
      </c>
      <c r="I272" s="54">
        <f t="shared" ref="I272:I335" si="36">WEEKNUM(A272)</f>
        <v>14</v>
      </c>
      <c r="J272" s="14" t="str">
        <f t="shared" si="33"/>
        <v>Easter</v>
      </c>
      <c r="K272" s="16" t="str">
        <f t="shared" si="31"/>
        <v>3-6</v>
      </c>
      <c r="L272" s="14" t="str">
        <f t="shared" si="34"/>
        <v>Romper Longer | 3-6 | Watermelon</v>
      </c>
      <c r="M272" s="16" t="s">
        <v>3610</v>
      </c>
    </row>
    <row r="273" spans="1:13" ht="25" customHeight="1" x14ac:dyDescent="0.45">
      <c r="A273" s="6">
        <v>46115</v>
      </c>
      <c r="B273" s="3" t="s">
        <v>828</v>
      </c>
      <c r="C273" s="4" t="s">
        <v>573</v>
      </c>
      <c r="D273" s="53" t="str">
        <f t="shared" si="32"/>
        <v>Mauve Taupe</v>
      </c>
      <c r="E273" s="4" t="s">
        <v>485</v>
      </c>
      <c r="F273" s="4" t="s">
        <v>7</v>
      </c>
      <c r="G273" s="4" t="str">
        <f t="shared" si="35"/>
        <v>Romper Short</v>
      </c>
      <c r="H273" s="38">
        <f t="shared" si="30"/>
        <v>4</v>
      </c>
      <c r="I273" s="54">
        <f t="shared" si="36"/>
        <v>14</v>
      </c>
      <c r="J273" s="14" t="str">
        <f t="shared" si="33"/>
        <v>Easter</v>
      </c>
      <c r="K273" s="16" t="str">
        <f t="shared" si="31"/>
        <v>3-6</v>
      </c>
      <c r="L273" s="14" t="str">
        <f t="shared" si="34"/>
        <v>Romper Short | 3-6 | Mauve Taupe</v>
      </c>
      <c r="M273" s="16" t="s">
        <v>3610</v>
      </c>
    </row>
    <row r="274" spans="1:13" ht="25" customHeight="1" x14ac:dyDescent="0.45">
      <c r="A274" s="6">
        <v>46115</v>
      </c>
      <c r="B274" s="3" t="s">
        <v>829</v>
      </c>
      <c r="C274" s="4" t="s">
        <v>528</v>
      </c>
      <c r="D274" s="53" t="str">
        <f t="shared" si="32"/>
        <v>Watermelon</v>
      </c>
      <c r="E274" s="4" t="s">
        <v>479</v>
      </c>
      <c r="F274" s="4" t="s">
        <v>7</v>
      </c>
      <c r="G274" s="4" t="str">
        <f t="shared" si="35"/>
        <v>Romper Longer</v>
      </c>
      <c r="H274" s="38">
        <f t="shared" si="30"/>
        <v>4</v>
      </c>
      <c r="I274" s="54">
        <f t="shared" si="36"/>
        <v>14</v>
      </c>
      <c r="J274" s="14" t="str">
        <f t="shared" si="33"/>
        <v>Easter</v>
      </c>
      <c r="K274" s="16" t="str">
        <f t="shared" si="31"/>
        <v>6-12</v>
      </c>
      <c r="L274" s="14" t="str">
        <f t="shared" si="34"/>
        <v>Romper Longer | 6-12 | Watermelon</v>
      </c>
      <c r="M274" s="16" t="s">
        <v>3610</v>
      </c>
    </row>
    <row r="275" spans="1:13" ht="25" customHeight="1" x14ac:dyDescent="0.45">
      <c r="A275" s="6">
        <v>46115</v>
      </c>
      <c r="B275" s="3" t="s">
        <v>830</v>
      </c>
      <c r="C275" s="4" t="s">
        <v>87</v>
      </c>
      <c r="D275" s="53" t="str">
        <f t="shared" si="32"/>
        <v>Cream</v>
      </c>
      <c r="E275" s="4" t="s">
        <v>580</v>
      </c>
      <c r="F275" s="4" t="s">
        <v>7</v>
      </c>
      <c r="G275" s="4" t="str">
        <f t="shared" si="35"/>
        <v>Romper Short</v>
      </c>
      <c r="H275" s="38">
        <f t="shared" si="30"/>
        <v>4</v>
      </c>
      <c r="I275" s="54">
        <f t="shared" si="36"/>
        <v>14</v>
      </c>
      <c r="J275" s="14" t="str">
        <f t="shared" si="33"/>
        <v>Easter</v>
      </c>
      <c r="K275" s="16" t="str">
        <f t="shared" si="31"/>
        <v>0-3</v>
      </c>
      <c r="L275" s="14" t="str">
        <f t="shared" si="34"/>
        <v>Romper Short | 0-3 | Cream</v>
      </c>
      <c r="M275" s="16" t="s">
        <v>3609</v>
      </c>
    </row>
    <row r="276" spans="1:13" ht="25" customHeight="1" x14ac:dyDescent="0.45">
      <c r="A276" s="6">
        <v>46115</v>
      </c>
      <c r="B276" s="3" t="s">
        <v>831</v>
      </c>
      <c r="C276" s="4" t="s">
        <v>528</v>
      </c>
      <c r="D276" s="53" t="str">
        <f t="shared" si="32"/>
        <v>Watermelon</v>
      </c>
      <c r="E276" s="4" t="s">
        <v>475</v>
      </c>
      <c r="F276" s="4" t="s">
        <v>7</v>
      </c>
      <c r="G276" s="4" t="str">
        <f t="shared" si="35"/>
        <v>Romper Short</v>
      </c>
      <c r="H276" s="38">
        <f t="shared" si="30"/>
        <v>4</v>
      </c>
      <c r="I276" s="54">
        <f t="shared" si="36"/>
        <v>14</v>
      </c>
      <c r="J276" s="14" t="str">
        <f t="shared" si="33"/>
        <v>Easter</v>
      </c>
      <c r="K276" s="16" t="str">
        <f t="shared" si="31"/>
        <v>12-18</v>
      </c>
      <c r="L276" s="14" t="str">
        <f t="shared" si="34"/>
        <v>Romper Short | 12-18 | Watermelon</v>
      </c>
      <c r="M276" s="16" t="s">
        <v>3610</v>
      </c>
    </row>
    <row r="277" spans="1:13" ht="25" customHeight="1" x14ac:dyDescent="0.45">
      <c r="A277" s="6">
        <v>46115</v>
      </c>
      <c r="B277" s="3" t="s">
        <v>832</v>
      </c>
      <c r="C277" s="4" t="s">
        <v>184</v>
      </c>
      <c r="D277" s="53" t="str">
        <f t="shared" si="32"/>
        <v>Coffee</v>
      </c>
      <c r="E277" s="4" t="s">
        <v>580</v>
      </c>
      <c r="F277" s="4" t="s">
        <v>7</v>
      </c>
      <c r="G277" s="4" t="str">
        <f t="shared" si="35"/>
        <v>Romper Short</v>
      </c>
      <c r="H277" s="38">
        <f t="shared" si="30"/>
        <v>4</v>
      </c>
      <c r="I277" s="54">
        <f t="shared" si="36"/>
        <v>14</v>
      </c>
      <c r="J277" s="14" t="str">
        <f t="shared" si="33"/>
        <v>Easter</v>
      </c>
      <c r="K277" s="16" t="str">
        <f t="shared" si="31"/>
        <v>0-3</v>
      </c>
      <c r="L277" s="14" t="str">
        <f t="shared" si="34"/>
        <v>Romper Short | 0-3 | Coffee</v>
      </c>
      <c r="M277" s="16" t="s">
        <v>3610</v>
      </c>
    </row>
    <row r="278" spans="1:13" ht="25" customHeight="1" x14ac:dyDescent="0.45">
      <c r="A278" s="6">
        <v>46115</v>
      </c>
      <c r="B278" s="3" t="s">
        <v>833</v>
      </c>
      <c r="C278" s="4" t="s">
        <v>101</v>
      </c>
      <c r="D278" s="53" t="str">
        <f t="shared" si="32"/>
        <v>Sage Green</v>
      </c>
      <c r="E278" s="4" t="s">
        <v>580</v>
      </c>
      <c r="F278" s="4" t="s">
        <v>7</v>
      </c>
      <c r="G278" s="4" t="str">
        <f t="shared" si="35"/>
        <v>Romper Short</v>
      </c>
      <c r="H278" s="38">
        <f t="shared" si="30"/>
        <v>4</v>
      </c>
      <c r="I278" s="54">
        <f t="shared" si="36"/>
        <v>14</v>
      </c>
      <c r="J278" s="14" t="str">
        <f t="shared" si="33"/>
        <v>Easter</v>
      </c>
      <c r="K278" s="16" t="str">
        <f t="shared" si="31"/>
        <v>0-3</v>
      </c>
      <c r="L278" s="14" t="str">
        <f t="shared" si="34"/>
        <v>Romper Short | 0-3 | Sage Green</v>
      </c>
      <c r="M278" s="16" t="s">
        <v>3610</v>
      </c>
    </row>
    <row r="279" spans="1:13" ht="25" customHeight="1" x14ac:dyDescent="0.45">
      <c r="A279" s="6">
        <v>46116</v>
      </c>
      <c r="B279" s="3" t="s">
        <v>834</v>
      </c>
      <c r="C279" s="4" t="s">
        <v>87</v>
      </c>
      <c r="D279" s="53" t="str">
        <f t="shared" si="32"/>
        <v>Cream</v>
      </c>
      <c r="E279" s="4" t="s">
        <v>490</v>
      </c>
      <c r="F279" s="4" t="s">
        <v>7</v>
      </c>
      <c r="G279" s="4" t="str">
        <f t="shared" si="35"/>
        <v>Romper Longer</v>
      </c>
      <c r="H279" s="38">
        <f t="shared" si="30"/>
        <v>4</v>
      </c>
      <c r="I279" s="54">
        <f t="shared" si="36"/>
        <v>14</v>
      </c>
      <c r="J279" s="14" t="str">
        <f t="shared" si="33"/>
        <v>Easter</v>
      </c>
      <c r="K279" s="16" t="str">
        <f t="shared" si="31"/>
        <v>0-3</v>
      </c>
      <c r="L279" s="14" t="str">
        <f t="shared" si="34"/>
        <v>Romper Longer | 0-3 | Cream</v>
      </c>
      <c r="M279" s="16" t="s">
        <v>3609</v>
      </c>
    </row>
    <row r="280" spans="1:13" ht="25" customHeight="1" x14ac:dyDescent="0.45">
      <c r="A280" s="6">
        <v>46116</v>
      </c>
      <c r="B280" s="3" t="s">
        <v>835</v>
      </c>
      <c r="C280" s="4" t="s">
        <v>114</v>
      </c>
      <c r="D280" s="53" t="str">
        <f t="shared" si="32"/>
        <v>White</v>
      </c>
      <c r="E280" s="4" t="s">
        <v>485</v>
      </c>
      <c r="F280" s="4" t="s">
        <v>826</v>
      </c>
      <c r="G280" s="4" t="str">
        <f t="shared" si="35"/>
        <v>Romper Short</v>
      </c>
      <c r="H280" s="38">
        <f t="shared" si="30"/>
        <v>4</v>
      </c>
      <c r="I280" s="54">
        <f t="shared" si="36"/>
        <v>14</v>
      </c>
      <c r="J280" s="14" t="str">
        <f t="shared" si="33"/>
        <v>Easter</v>
      </c>
      <c r="K280" s="16" t="str">
        <f t="shared" si="31"/>
        <v>3-6</v>
      </c>
      <c r="L280" s="14" t="str">
        <f t="shared" si="34"/>
        <v>Romper Short | 3-6 | White</v>
      </c>
      <c r="M280" s="16" t="s">
        <v>3610</v>
      </c>
    </row>
    <row r="281" spans="1:13" ht="25" customHeight="1" x14ac:dyDescent="0.45">
      <c r="A281" s="6">
        <v>46116</v>
      </c>
      <c r="B281" s="3" t="s">
        <v>836</v>
      </c>
      <c r="C281" s="4" t="s">
        <v>87</v>
      </c>
      <c r="D281" s="53" t="str">
        <f t="shared" si="32"/>
        <v>Cream</v>
      </c>
      <c r="E281" s="4" t="s">
        <v>580</v>
      </c>
      <c r="F281" s="4" t="s">
        <v>7</v>
      </c>
      <c r="G281" s="4" t="str">
        <f t="shared" si="35"/>
        <v>Romper Short</v>
      </c>
      <c r="H281" s="38">
        <f t="shared" si="30"/>
        <v>4</v>
      </c>
      <c r="I281" s="54">
        <f t="shared" si="36"/>
        <v>14</v>
      </c>
      <c r="J281" s="14" t="str">
        <f t="shared" si="33"/>
        <v>Easter</v>
      </c>
      <c r="K281" s="16" t="str">
        <f t="shared" si="31"/>
        <v>0-3</v>
      </c>
      <c r="L281" s="14" t="str">
        <f t="shared" si="34"/>
        <v>Romper Short | 0-3 | Cream</v>
      </c>
      <c r="M281" s="16" t="s">
        <v>3609</v>
      </c>
    </row>
    <row r="282" spans="1:13" ht="25" customHeight="1" x14ac:dyDescent="0.45">
      <c r="A282" s="6">
        <v>46117</v>
      </c>
      <c r="B282" s="3" t="s">
        <v>837</v>
      </c>
      <c r="C282" s="4" t="s">
        <v>508</v>
      </c>
      <c r="D282" s="53" t="str">
        <f t="shared" si="32"/>
        <v>Dusty Pink</v>
      </c>
      <c r="E282" s="4" t="s">
        <v>490</v>
      </c>
      <c r="F282" s="4" t="s">
        <v>7</v>
      </c>
      <c r="G282" s="4" t="str">
        <f t="shared" si="35"/>
        <v>Romper Longer</v>
      </c>
      <c r="H282" s="38">
        <f t="shared" si="30"/>
        <v>4</v>
      </c>
      <c r="I282" s="54">
        <f t="shared" si="36"/>
        <v>15</v>
      </c>
      <c r="J282" s="14" t="str">
        <f t="shared" si="33"/>
        <v>Easter</v>
      </c>
      <c r="K282" s="16" t="str">
        <f t="shared" si="31"/>
        <v>0-3</v>
      </c>
      <c r="L282" s="14" t="str">
        <f t="shared" si="34"/>
        <v>Romper Longer | 0-3 | Dusty Pink</v>
      </c>
      <c r="M282" s="16" t="s">
        <v>3610</v>
      </c>
    </row>
    <row r="283" spans="1:13" ht="25" customHeight="1" x14ac:dyDescent="0.45">
      <c r="A283" s="6">
        <v>46117</v>
      </c>
      <c r="B283" s="3" t="s">
        <v>838</v>
      </c>
      <c r="C283" s="4" t="s">
        <v>87</v>
      </c>
      <c r="D283" s="53" t="str">
        <f t="shared" si="32"/>
        <v>Cream</v>
      </c>
      <c r="E283" s="4" t="s">
        <v>555</v>
      </c>
      <c r="F283" s="4" t="s">
        <v>19</v>
      </c>
      <c r="G283" s="4" t="str">
        <f t="shared" si="35"/>
        <v>Romper Longer</v>
      </c>
      <c r="H283" s="38">
        <f t="shared" si="30"/>
        <v>4</v>
      </c>
      <c r="I283" s="54">
        <f t="shared" si="36"/>
        <v>15</v>
      </c>
      <c r="J283" s="14" t="str">
        <f t="shared" si="33"/>
        <v>Easter</v>
      </c>
      <c r="K283" s="16" t="str">
        <f t="shared" si="31"/>
        <v>3-6</v>
      </c>
      <c r="L283" s="14" t="str">
        <f t="shared" si="34"/>
        <v>Romper Longer | 3-6 | Cream</v>
      </c>
      <c r="M283" s="16" t="s">
        <v>3609</v>
      </c>
    </row>
    <row r="284" spans="1:13" ht="25" customHeight="1" x14ac:dyDescent="0.45">
      <c r="A284" s="6">
        <v>46117</v>
      </c>
      <c r="B284" s="3" t="s">
        <v>839</v>
      </c>
      <c r="C284" s="4" t="s">
        <v>473</v>
      </c>
      <c r="D284" s="53" t="str">
        <f t="shared" si="32"/>
        <v>Salmon</v>
      </c>
      <c r="E284" s="4" t="s">
        <v>485</v>
      </c>
      <c r="F284" s="4" t="s">
        <v>13</v>
      </c>
      <c r="G284" s="4" t="str">
        <f t="shared" si="35"/>
        <v>Romper Short</v>
      </c>
      <c r="H284" s="38">
        <f t="shared" si="30"/>
        <v>4</v>
      </c>
      <c r="I284" s="54">
        <f t="shared" si="36"/>
        <v>15</v>
      </c>
      <c r="J284" s="14" t="str">
        <f t="shared" si="33"/>
        <v>Easter</v>
      </c>
      <c r="K284" s="16" t="str">
        <f t="shared" si="31"/>
        <v>3-6</v>
      </c>
      <c r="L284" s="14" t="str">
        <f t="shared" si="34"/>
        <v>Romper Short | 3-6 | Salmon</v>
      </c>
      <c r="M284" s="16" t="s">
        <v>3610</v>
      </c>
    </row>
    <row r="285" spans="1:13" ht="25" customHeight="1" x14ac:dyDescent="0.45">
      <c r="A285" s="6">
        <v>46117</v>
      </c>
      <c r="B285" s="3" t="s">
        <v>840</v>
      </c>
      <c r="C285" s="4" t="s">
        <v>101</v>
      </c>
      <c r="D285" s="53" t="str">
        <f t="shared" si="32"/>
        <v>Sage Green</v>
      </c>
      <c r="E285" s="4" t="s">
        <v>485</v>
      </c>
      <c r="F285" s="4" t="s">
        <v>7</v>
      </c>
      <c r="G285" s="4" t="str">
        <f t="shared" si="35"/>
        <v>Romper Short</v>
      </c>
      <c r="H285" s="38">
        <f t="shared" si="30"/>
        <v>4</v>
      </c>
      <c r="I285" s="54">
        <f t="shared" si="36"/>
        <v>15</v>
      </c>
      <c r="J285" s="14" t="str">
        <f t="shared" si="33"/>
        <v>Easter</v>
      </c>
      <c r="K285" s="16" t="str">
        <f t="shared" si="31"/>
        <v>3-6</v>
      </c>
      <c r="L285" s="14" t="str">
        <f t="shared" si="34"/>
        <v>Romper Short | 3-6 | Sage Green</v>
      </c>
      <c r="M285" s="16" t="s">
        <v>3611</v>
      </c>
    </row>
    <row r="286" spans="1:13" ht="25" customHeight="1" x14ac:dyDescent="0.45">
      <c r="A286" s="6">
        <v>46117</v>
      </c>
      <c r="B286" s="3" t="s">
        <v>841</v>
      </c>
      <c r="C286" s="4" t="s">
        <v>508</v>
      </c>
      <c r="D286" s="53" t="str">
        <f t="shared" si="32"/>
        <v>Dusty Pink</v>
      </c>
      <c r="E286" s="4" t="s">
        <v>490</v>
      </c>
      <c r="F286" s="4" t="s">
        <v>7</v>
      </c>
      <c r="G286" s="4" t="str">
        <f t="shared" si="35"/>
        <v>Romper Longer</v>
      </c>
      <c r="H286" s="38">
        <f t="shared" si="30"/>
        <v>4</v>
      </c>
      <c r="I286" s="54">
        <f t="shared" si="36"/>
        <v>15</v>
      </c>
      <c r="J286" s="14" t="str">
        <f t="shared" si="33"/>
        <v>Easter</v>
      </c>
      <c r="K286" s="16" t="str">
        <f t="shared" si="31"/>
        <v>0-3</v>
      </c>
      <c r="L286" s="14" t="str">
        <f t="shared" si="34"/>
        <v>Romper Longer | 0-3 | Dusty Pink</v>
      </c>
      <c r="M286" s="16" t="s">
        <v>3610</v>
      </c>
    </row>
    <row r="287" spans="1:13" ht="25" customHeight="1" x14ac:dyDescent="0.45">
      <c r="A287" s="6">
        <v>46117</v>
      </c>
      <c r="B287" s="3" t="s">
        <v>842</v>
      </c>
      <c r="C287" s="4" t="s">
        <v>87</v>
      </c>
      <c r="D287" s="53" t="str">
        <f t="shared" si="32"/>
        <v>Cream</v>
      </c>
      <c r="E287" s="4" t="s">
        <v>479</v>
      </c>
      <c r="F287" s="4" t="s">
        <v>7</v>
      </c>
      <c r="G287" s="4" t="str">
        <f t="shared" si="35"/>
        <v>Romper Longer</v>
      </c>
      <c r="H287" s="38">
        <f t="shared" si="30"/>
        <v>4</v>
      </c>
      <c r="I287" s="54">
        <f t="shared" si="36"/>
        <v>15</v>
      </c>
      <c r="J287" s="14" t="str">
        <f t="shared" si="33"/>
        <v>Easter</v>
      </c>
      <c r="K287" s="16" t="str">
        <f t="shared" si="31"/>
        <v>6-12</v>
      </c>
      <c r="L287" s="14" t="str">
        <f t="shared" si="34"/>
        <v>Romper Longer | 6-12 | Cream</v>
      </c>
      <c r="M287" s="16" t="s">
        <v>3611</v>
      </c>
    </row>
    <row r="288" spans="1:13" ht="25" customHeight="1" x14ac:dyDescent="0.45">
      <c r="A288" s="6">
        <v>46117</v>
      </c>
      <c r="B288" s="3" t="s">
        <v>843</v>
      </c>
      <c r="C288" s="4" t="s">
        <v>101</v>
      </c>
      <c r="D288" s="53" t="str">
        <f t="shared" si="32"/>
        <v>Sage Green</v>
      </c>
      <c r="E288" s="4" t="s">
        <v>485</v>
      </c>
      <c r="F288" s="4" t="s">
        <v>7</v>
      </c>
      <c r="G288" s="4" t="str">
        <f t="shared" si="35"/>
        <v>Romper Short</v>
      </c>
      <c r="H288" s="38">
        <f t="shared" si="30"/>
        <v>4</v>
      </c>
      <c r="I288" s="54">
        <f t="shared" si="36"/>
        <v>15</v>
      </c>
      <c r="J288" s="14" t="str">
        <f t="shared" si="33"/>
        <v>Easter</v>
      </c>
      <c r="K288" s="16" t="str">
        <f t="shared" si="31"/>
        <v>3-6</v>
      </c>
      <c r="L288" s="14" t="str">
        <f t="shared" si="34"/>
        <v>Romper Short | 3-6 | Sage Green</v>
      </c>
      <c r="M288" s="16" t="s">
        <v>3611</v>
      </c>
    </row>
    <row r="289" spans="1:13" ht="25" customHeight="1" x14ac:dyDescent="0.45">
      <c r="A289" s="6">
        <v>46117</v>
      </c>
      <c r="B289" s="3" t="s">
        <v>844</v>
      </c>
      <c r="C289" s="4" t="s">
        <v>87</v>
      </c>
      <c r="D289" s="53" t="str">
        <f t="shared" si="32"/>
        <v>Cream</v>
      </c>
      <c r="E289" s="4" t="s">
        <v>490</v>
      </c>
      <c r="F289" s="4" t="s">
        <v>7</v>
      </c>
      <c r="G289" s="4" t="str">
        <f t="shared" si="35"/>
        <v>Romper Longer</v>
      </c>
      <c r="H289" s="38">
        <f t="shared" si="30"/>
        <v>4</v>
      </c>
      <c r="I289" s="54">
        <f t="shared" si="36"/>
        <v>15</v>
      </c>
      <c r="J289" s="14" t="str">
        <f t="shared" si="33"/>
        <v>Easter</v>
      </c>
      <c r="K289" s="16" t="str">
        <f t="shared" si="31"/>
        <v>0-3</v>
      </c>
      <c r="L289" s="14" t="str">
        <f t="shared" si="34"/>
        <v>Romper Longer | 0-3 | Cream</v>
      </c>
      <c r="M289" s="16" t="s">
        <v>3609</v>
      </c>
    </row>
    <row r="290" spans="1:13" ht="25" customHeight="1" x14ac:dyDescent="0.45">
      <c r="A290" s="6">
        <v>46117</v>
      </c>
      <c r="B290" s="3" t="s">
        <v>845</v>
      </c>
      <c r="C290" s="4" t="s">
        <v>114</v>
      </c>
      <c r="D290" s="53" t="str">
        <f t="shared" si="32"/>
        <v>White</v>
      </c>
      <c r="E290" s="4" t="s">
        <v>490</v>
      </c>
      <c r="F290" s="4" t="s">
        <v>846</v>
      </c>
      <c r="G290" s="4" t="str">
        <f t="shared" si="35"/>
        <v>Romper Longer</v>
      </c>
      <c r="H290" s="38">
        <f t="shared" si="30"/>
        <v>4</v>
      </c>
      <c r="I290" s="54">
        <f t="shared" si="36"/>
        <v>15</v>
      </c>
      <c r="J290" s="14" t="str">
        <f t="shared" si="33"/>
        <v>Easter</v>
      </c>
      <c r="K290" s="16" t="str">
        <f t="shared" si="31"/>
        <v>0-3</v>
      </c>
      <c r="L290" s="14" t="str">
        <f t="shared" si="34"/>
        <v>Romper Longer | 0-3 | White</v>
      </c>
      <c r="M290" s="16" t="s">
        <v>3610</v>
      </c>
    </row>
    <row r="291" spans="1:13" ht="25" customHeight="1" x14ac:dyDescent="0.45">
      <c r="A291" s="6">
        <v>46118</v>
      </c>
      <c r="B291" s="3" t="s">
        <v>847</v>
      </c>
      <c r="C291" s="4" t="s">
        <v>87</v>
      </c>
      <c r="D291" s="53" t="str">
        <f t="shared" si="32"/>
        <v>Cream</v>
      </c>
      <c r="E291" s="4" t="s">
        <v>490</v>
      </c>
      <c r="F291" s="4" t="s">
        <v>37</v>
      </c>
      <c r="G291" s="4" t="str">
        <f t="shared" si="35"/>
        <v>Romper Longer</v>
      </c>
      <c r="H291" s="38">
        <f t="shared" si="30"/>
        <v>4</v>
      </c>
      <c r="I291" s="54">
        <f t="shared" si="36"/>
        <v>15</v>
      </c>
      <c r="J291" s="14" t="str">
        <f t="shared" si="33"/>
        <v>Easter</v>
      </c>
      <c r="K291" s="16" t="str">
        <f t="shared" si="31"/>
        <v>0-3</v>
      </c>
      <c r="L291" s="14" t="str">
        <f t="shared" si="34"/>
        <v>Romper Longer | 0-3 | Cream</v>
      </c>
      <c r="M291" s="16" t="s">
        <v>3609</v>
      </c>
    </row>
    <row r="292" spans="1:13" ht="25" customHeight="1" x14ac:dyDescent="0.45">
      <c r="A292" s="6">
        <v>46118</v>
      </c>
      <c r="B292" s="3" t="s">
        <v>848</v>
      </c>
      <c r="C292" s="4" t="s">
        <v>87</v>
      </c>
      <c r="D292" s="53" t="str">
        <f t="shared" si="32"/>
        <v>Cream</v>
      </c>
      <c r="E292" s="4" t="s">
        <v>475</v>
      </c>
      <c r="F292" s="4" t="s">
        <v>13</v>
      </c>
      <c r="G292" s="4" t="str">
        <f t="shared" si="35"/>
        <v>Romper Short</v>
      </c>
      <c r="H292" s="38">
        <f t="shared" si="30"/>
        <v>4</v>
      </c>
      <c r="I292" s="54">
        <f t="shared" si="36"/>
        <v>15</v>
      </c>
      <c r="J292" s="14" t="str">
        <f t="shared" si="33"/>
        <v>Easter</v>
      </c>
      <c r="K292" s="16" t="str">
        <f t="shared" si="31"/>
        <v>12-18</v>
      </c>
      <c r="L292" s="14" t="str">
        <f t="shared" si="34"/>
        <v>Romper Short | 12-18 | Cream</v>
      </c>
      <c r="M292" s="16" t="s">
        <v>3610</v>
      </c>
    </row>
    <row r="293" spans="1:13" ht="25" customHeight="1" x14ac:dyDescent="0.45">
      <c r="A293" s="6">
        <v>46118</v>
      </c>
      <c r="B293" s="3" t="s">
        <v>849</v>
      </c>
      <c r="C293" s="4" t="s">
        <v>473</v>
      </c>
      <c r="D293" s="53" t="str">
        <f t="shared" si="32"/>
        <v>Salmon</v>
      </c>
      <c r="E293" s="4" t="s">
        <v>580</v>
      </c>
      <c r="F293" s="4" t="s">
        <v>7</v>
      </c>
      <c r="G293" s="4" t="str">
        <f t="shared" si="35"/>
        <v>Romper Short</v>
      </c>
      <c r="H293" s="38">
        <f t="shared" si="30"/>
        <v>4</v>
      </c>
      <c r="I293" s="54">
        <f t="shared" si="36"/>
        <v>15</v>
      </c>
      <c r="J293" s="14" t="str">
        <f t="shared" si="33"/>
        <v>Easter</v>
      </c>
      <c r="K293" s="16" t="str">
        <f t="shared" si="31"/>
        <v>0-3</v>
      </c>
      <c r="L293" s="14" t="str">
        <f t="shared" si="34"/>
        <v>Romper Short | 0-3 | Salmon</v>
      </c>
      <c r="M293" s="16" t="s">
        <v>3610</v>
      </c>
    </row>
    <row r="294" spans="1:13" ht="25" customHeight="1" x14ac:dyDescent="0.45">
      <c r="A294" s="6">
        <v>46118</v>
      </c>
      <c r="B294" s="3" t="s">
        <v>850</v>
      </c>
      <c r="C294" s="4" t="s">
        <v>87</v>
      </c>
      <c r="D294" s="53" t="str">
        <f t="shared" si="32"/>
        <v>Cream</v>
      </c>
      <c r="E294" s="4" t="s">
        <v>580</v>
      </c>
      <c r="F294" s="4" t="s">
        <v>7</v>
      </c>
      <c r="G294" s="4" t="str">
        <f t="shared" si="35"/>
        <v>Romper Short</v>
      </c>
      <c r="H294" s="38">
        <f t="shared" si="30"/>
        <v>4</v>
      </c>
      <c r="I294" s="54">
        <f t="shared" si="36"/>
        <v>15</v>
      </c>
      <c r="J294" s="14" t="str">
        <f t="shared" si="33"/>
        <v>Easter</v>
      </c>
      <c r="K294" s="16" t="str">
        <f t="shared" si="31"/>
        <v>0-3</v>
      </c>
      <c r="L294" s="14" t="str">
        <f t="shared" si="34"/>
        <v>Romper Short | 0-3 | Cream</v>
      </c>
      <c r="M294" s="16" t="s">
        <v>3609</v>
      </c>
    </row>
    <row r="295" spans="1:13" ht="25" customHeight="1" x14ac:dyDescent="0.45">
      <c r="A295" s="6">
        <v>46119</v>
      </c>
      <c r="B295" s="3" t="s">
        <v>851</v>
      </c>
      <c r="C295" s="4" t="s">
        <v>87</v>
      </c>
      <c r="D295" s="53" t="str">
        <f t="shared" si="32"/>
        <v>Cream</v>
      </c>
      <c r="E295" s="4" t="s">
        <v>485</v>
      </c>
      <c r="F295" s="4" t="s">
        <v>11</v>
      </c>
      <c r="G295" s="4" t="str">
        <f t="shared" si="35"/>
        <v>Romper Short</v>
      </c>
      <c r="H295" s="38">
        <f t="shared" si="30"/>
        <v>4</v>
      </c>
      <c r="I295" s="54">
        <f t="shared" si="36"/>
        <v>15</v>
      </c>
      <c r="J295" s="14" t="str">
        <f t="shared" si="33"/>
        <v>Easter</v>
      </c>
      <c r="K295" s="16" t="str">
        <f t="shared" si="31"/>
        <v>3-6</v>
      </c>
      <c r="L295" s="14" t="str">
        <f t="shared" si="34"/>
        <v>Romper Short | 3-6 | Cream</v>
      </c>
      <c r="M295" s="16" t="s">
        <v>3609</v>
      </c>
    </row>
    <row r="296" spans="1:13" ht="25" customHeight="1" x14ac:dyDescent="0.45">
      <c r="A296" s="6">
        <v>46119</v>
      </c>
      <c r="B296" s="3" t="s">
        <v>852</v>
      </c>
      <c r="C296" s="4" t="s">
        <v>87</v>
      </c>
      <c r="D296" s="53" t="str">
        <f t="shared" si="32"/>
        <v>Cream</v>
      </c>
      <c r="E296" s="4" t="s">
        <v>580</v>
      </c>
      <c r="F296" s="4" t="s">
        <v>7</v>
      </c>
      <c r="G296" s="4" t="str">
        <f t="shared" si="35"/>
        <v>Romper Short</v>
      </c>
      <c r="H296" s="38">
        <f t="shared" si="30"/>
        <v>4</v>
      </c>
      <c r="I296" s="54">
        <f t="shared" si="36"/>
        <v>15</v>
      </c>
      <c r="J296" s="14" t="str">
        <f t="shared" si="33"/>
        <v>Easter</v>
      </c>
      <c r="K296" s="16" t="str">
        <f t="shared" si="31"/>
        <v>0-3</v>
      </c>
      <c r="L296" s="14" t="str">
        <f t="shared" si="34"/>
        <v>Romper Short | 0-3 | Cream</v>
      </c>
      <c r="M296" s="16" t="s">
        <v>3609</v>
      </c>
    </row>
    <row r="297" spans="1:13" ht="25" customHeight="1" x14ac:dyDescent="0.45">
      <c r="A297" s="6">
        <v>46119</v>
      </c>
      <c r="B297" s="3" t="s">
        <v>853</v>
      </c>
      <c r="C297" s="4" t="s">
        <v>483</v>
      </c>
      <c r="D297" s="53" t="str">
        <f t="shared" si="32"/>
        <v>Forest Green</v>
      </c>
      <c r="E297" s="4" t="s">
        <v>479</v>
      </c>
      <c r="F297" s="4" t="s">
        <v>7</v>
      </c>
      <c r="G297" s="4" t="str">
        <f t="shared" si="35"/>
        <v>Romper Longer</v>
      </c>
      <c r="H297" s="38">
        <f t="shared" si="30"/>
        <v>4</v>
      </c>
      <c r="I297" s="54">
        <f t="shared" si="36"/>
        <v>15</v>
      </c>
      <c r="J297" s="14" t="str">
        <f t="shared" si="33"/>
        <v>Easter</v>
      </c>
      <c r="K297" s="16" t="str">
        <f t="shared" si="31"/>
        <v>6-12</v>
      </c>
      <c r="L297" s="14" t="str">
        <f t="shared" si="34"/>
        <v>Romper Longer | 6-12 | Forest Green</v>
      </c>
      <c r="M297" s="16" t="s">
        <v>3610</v>
      </c>
    </row>
    <row r="298" spans="1:13" ht="25" customHeight="1" x14ac:dyDescent="0.45">
      <c r="A298" s="6">
        <v>46119</v>
      </c>
      <c r="B298" s="3" t="s">
        <v>854</v>
      </c>
      <c r="C298" s="4" t="s">
        <v>483</v>
      </c>
      <c r="D298" s="53" t="str">
        <f t="shared" si="32"/>
        <v>Forest Green</v>
      </c>
      <c r="E298" s="4" t="s">
        <v>580</v>
      </c>
      <c r="F298" s="4" t="s">
        <v>7</v>
      </c>
      <c r="G298" s="4" t="str">
        <f t="shared" si="35"/>
        <v>Romper Short</v>
      </c>
      <c r="H298" s="38">
        <f t="shared" si="30"/>
        <v>4</v>
      </c>
      <c r="I298" s="54">
        <f t="shared" si="36"/>
        <v>15</v>
      </c>
      <c r="J298" s="14" t="str">
        <f t="shared" si="33"/>
        <v>Easter</v>
      </c>
      <c r="K298" s="16" t="str">
        <f t="shared" si="31"/>
        <v>0-3</v>
      </c>
      <c r="L298" s="14" t="str">
        <f t="shared" si="34"/>
        <v>Romper Short | 0-3 | Forest Green</v>
      </c>
      <c r="M298" s="16" t="s">
        <v>3610</v>
      </c>
    </row>
    <row r="299" spans="1:13" ht="25" customHeight="1" x14ac:dyDescent="0.45">
      <c r="A299" s="6">
        <v>46119</v>
      </c>
      <c r="B299" s="3" t="s">
        <v>855</v>
      </c>
      <c r="C299" s="4" t="s">
        <v>101</v>
      </c>
      <c r="D299" s="53" t="str">
        <f t="shared" si="32"/>
        <v>Sage Green</v>
      </c>
      <c r="E299" s="4" t="s">
        <v>555</v>
      </c>
      <c r="F299" s="4" t="s">
        <v>7</v>
      </c>
      <c r="G299" s="4" t="str">
        <f t="shared" si="35"/>
        <v>Romper Longer</v>
      </c>
      <c r="H299" s="38">
        <f t="shared" si="30"/>
        <v>4</v>
      </c>
      <c r="I299" s="54">
        <f t="shared" si="36"/>
        <v>15</v>
      </c>
      <c r="J299" s="14" t="str">
        <f t="shared" si="33"/>
        <v>Easter</v>
      </c>
      <c r="K299" s="16" t="str">
        <f t="shared" si="31"/>
        <v>3-6</v>
      </c>
      <c r="L299" s="14" t="str">
        <f t="shared" si="34"/>
        <v>Romper Longer | 3-6 | Sage Green</v>
      </c>
      <c r="M299" s="16" t="s">
        <v>3611</v>
      </c>
    </row>
    <row r="300" spans="1:13" ht="25" customHeight="1" x14ac:dyDescent="0.45">
      <c r="A300" s="6">
        <v>46120</v>
      </c>
      <c r="B300" s="3" t="s">
        <v>856</v>
      </c>
      <c r="C300" s="4" t="s">
        <v>87</v>
      </c>
      <c r="D300" s="53" t="str">
        <f t="shared" si="32"/>
        <v>Cream</v>
      </c>
      <c r="E300" s="4" t="s">
        <v>485</v>
      </c>
      <c r="F300" s="4" t="s">
        <v>14</v>
      </c>
      <c r="G300" s="4" t="str">
        <f t="shared" si="35"/>
        <v>Romper Short</v>
      </c>
      <c r="H300" s="38">
        <f t="shared" si="30"/>
        <v>4</v>
      </c>
      <c r="I300" s="54">
        <f t="shared" si="36"/>
        <v>15</v>
      </c>
      <c r="J300" s="14" t="str">
        <f t="shared" si="33"/>
        <v>Easter</v>
      </c>
      <c r="K300" s="16" t="str">
        <f t="shared" si="31"/>
        <v>3-6</v>
      </c>
      <c r="L300" s="14" t="str">
        <f t="shared" si="34"/>
        <v>Romper Short | 3-6 | Cream</v>
      </c>
      <c r="M300" s="16" t="s">
        <v>3609</v>
      </c>
    </row>
    <row r="301" spans="1:13" ht="25" customHeight="1" x14ac:dyDescent="0.45">
      <c r="A301" s="6">
        <v>46120</v>
      </c>
      <c r="B301" s="3" t="s">
        <v>857</v>
      </c>
      <c r="C301" s="4" t="s">
        <v>101</v>
      </c>
      <c r="D301" s="53" t="str">
        <f t="shared" si="32"/>
        <v>Sage Green</v>
      </c>
      <c r="E301" s="4" t="s">
        <v>490</v>
      </c>
      <c r="F301" s="4" t="s">
        <v>7</v>
      </c>
      <c r="G301" s="4" t="str">
        <f t="shared" si="35"/>
        <v>Romper Longer</v>
      </c>
      <c r="H301" s="38">
        <f t="shared" si="30"/>
        <v>4</v>
      </c>
      <c r="I301" s="54">
        <f t="shared" si="36"/>
        <v>15</v>
      </c>
      <c r="J301" s="14" t="str">
        <f t="shared" si="33"/>
        <v>Easter</v>
      </c>
      <c r="K301" s="16" t="str">
        <f t="shared" si="31"/>
        <v>0-3</v>
      </c>
      <c r="L301" s="14" t="str">
        <f t="shared" si="34"/>
        <v>Romper Longer | 0-3 | Sage Green</v>
      </c>
      <c r="M301" s="16" t="s">
        <v>3611</v>
      </c>
    </row>
    <row r="302" spans="1:13" ht="25" customHeight="1" x14ac:dyDescent="0.45">
      <c r="A302" s="6">
        <v>46120</v>
      </c>
      <c r="B302" s="3" t="s">
        <v>858</v>
      </c>
      <c r="C302" s="4" t="s">
        <v>470</v>
      </c>
      <c r="D302" s="53" t="str">
        <f t="shared" si="32"/>
        <v>Caldet Blue</v>
      </c>
      <c r="E302" s="4" t="s">
        <v>580</v>
      </c>
      <c r="F302" s="4" t="s">
        <v>7</v>
      </c>
      <c r="G302" s="4" t="str">
        <f t="shared" si="35"/>
        <v>Romper Short</v>
      </c>
      <c r="H302" s="38">
        <f t="shared" si="30"/>
        <v>4</v>
      </c>
      <c r="I302" s="54">
        <f t="shared" si="36"/>
        <v>15</v>
      </c>
      <c r="J302" s="14" t="str">
        <f t="shared" si="33"/>
        <v>Easter</v>
      </c>
      <c r="K302" s="16" t="str">
        <f t="shared" si="31"/>
        <v>0-3</v>
      </c>
      <c r="L302" s="14" t="str">
        <f t="shared" si="34"/>
        <v>Romper Short | 0-3 | Caldet Blue</v>
      </c>
      <c r="M302" s="16" t="s">
        <v>3610</v>
      </c>
    </row>
    <row r="303" spans="1:13" ht="25" customHeight="1" x14ac:dyDescent="0.45">
      <c r="A303" s="6">
        <v>46120</v>
      </c>
      <c r="B303" s="3" t="s">
        <v>859</v>
      </c>
      <c r="C303" s="4" t="s">
        <v>87</v>
      </c>
      <c r="D303" s="53" t="str">
        <f t="shared" si="32"/>
        <v>Cream</v>
      </c>
      <c r="E303" s="4" t="s">
        <v>555</v>
      </c>
      <c r="F303" s="4" t="s">
        <v>7</v>
      </c>
      <c r="G303" s="4" t="str">
        <f t="shared" si="35"/>
        <v>Romper Longer</v>
      </c>
      <c r="H303" s="38">
        <f t="shared" si="30"/>
        <v>4</v>
      </c>
      <c r="I303" s="54">
        <f t="shared" si="36"/>
        <v>15</v>
      </c>
      <c r="J303" s="14" t="str">
        <f t="shared" si="33"/>
        <v>Easter</v>
      </c>
      <c r="K303" s="16" t="str">
        <f t="shared" si="31"/>
        <v>3-6</v>
      </c>
      <c r="L303" s="14" t="str">
        <f t="shared" si="34"/>
        <v>Romper Longer | 3-6 | Cream</v>
      </c>
      <c r="M303" s="16" t="s">
        <v>3609</v>
      </c>
    </row>
    <row r="304" spans="1:13" ht="25" customHeight="1" x14ac:dyDescent="0.45">
      <c r="A304" s="6">
        <v>46120</v>
      </c>
      <c r="B304" s="3" t="s">
        <v>860</v>
      </c>
      <c r="C304" s="4" t="s">
        <v>508</v>
      </c>
      <c r="D304" s="53" t="str">
        <f t="shared" si="32"/>
        <v>Dusty Pink</v>
      </c>
      <c r="E304" s="4" t="s">
        <v>490</v>
      </c>
      <c r="F304" s="4" t="s">
        <v>7</v>
      </c>
      <c r="G304" s="4" t="str">
        <f t="shared" si="35"/>
        <v>Romper Longer</v>
      </c>
      <c r="H304" s="38">
        <f t="shared" si="30"/>
        <v>4</v>
      </c>
      <c r="I304" s="54">
        <f t="shared" si="36"/>
        <v>15</v>
      </c>
      <c r="J304" s="14" t="str">
        <f t="shared" si="33"/>
        <v>Easter</v>
      </c>
      <c r="K304" s="16" t="str">
        <f t="shared" si="31"/>
        <v>0-3</v>
      </c>
      <c r="L304" s="14" t="str">
        <f t="shared" si="34"/>
        <v>Romper Longer | 0-3 | Dusty Pink</v>
      </c>
      <c r="M304" s="16" t="s">
        <v>3610</v>
      </c>
    </row>
    <row r="305" spans="1:13" ht="25" customHeight="1" x14ac:dyDescent="0.45">
      <c r="A305" s="6">
        <v>46120</v>
      </c>
      <c r="B305" s="3" t="s">
        <v>861</v>
      </c>
      <c r="C305" s="4" t="s">
        <v>473</v>
      </c>
      <c r="D305" s="53" t="str">
        <f t="shared" si="32"/>
        <v>Salmon</v>
      </c>
      <c r="E305" s="4" t="s">
        <v>485</v>
      </c>
      <c r="F305" s="4" t="s">
        <v>7</v>
      </c>
      <c r="G305" s="4" t="str">
        <f t="shared" si="35"/>
        <v>Romper Short</v>
      </c>
      <c r="H305" s="38">
        <f t="shared" si="30"/>
        <v>4</v>
      </c>
      <c r="I305" s="54">
        <f t="shared" si="36"/>
        <v>15</v>
      </c>
      <c r="J305" s="14" t="str">
        <f t="shared" si="33"/>
        <v>Easter</v>
      </c>
      <c r="K305" s="16" t="str">
        <f t="shared" si="31"/>
        <v>3-6</v>
      </c>
      <c r="L305" s="14" t="str">
        <f t="shared" si="34"/>
        <v>Romper Short | 3-6 | Salmon</v>
      </c>
      <c r="M305" s="16" t="s">
        <v>3610</v>
      </c>
    </row>
    <row r="306" spans="1:13" ht="25" customHeight="1" x14ac:dyDescent="0.45">
      <c r="A306" s="6">
        <v>46121</v>
      </c>
      <c r="B306" s="3" t="s">
        <v>862</v>
      </c>
      <c r="C306" s="4" t="s">
        <v>87</v>
      </c>
      <c r="D306" s="53" t="str">
        <f t="shared" si="32"/>
        <v>Cream</v>
      </c>
      <c r="E306" s="4" t="s">
        <v>490</v>
      </c>
      <c r="F306" s="4" t="s">
        <v>13</v>
      </c>
      <c r="G306" s="4" t="str">
        <f t="shared" si="35"/>
        <v>Romper Longer</v>
      </c>
      <c r="H306" s="38">
        <f t="shared" si="30"/>
        <v>4</v>
      </c>
      <c r="I306" s="54">
        <f t="shared" si="36"/>
        <v>15</v>
      </c>
      <c r="J306" s="14" t="str">
        <f t="shared" si="33"/>
        <v>Easter</v>
      </c>
      <c r="K306" s="16" t="str">
        <f t="shared" si="31"/>
        <v>0-3</v>
      </c>
      <c r="L306" s="14" t="str">
        <f t="shared" si="34"/>
        <v>Romper Longer | 0-3 | Cream</v>
      </c>
      <c r="M306" s="16" t="s">
        <v>3609</v>
      </c>
    </row>
    <row r="307" spans="1:13" ht="25" customHeight="1" x14ac:dyDescent="0.45">
      <c r="A307" s="6">
        <v>46121</v>
      </c>
      <c r="B307" s="3" t="s">
        <v>863</v>
      </c>
      <c r="C307" s="4" t="s">
        <v>87</v>
      </c>
      <c r="D307" s="53" t="str">
        <f t="shared" si="32"/>
        <v>Cream</v>
      </c>
      <c r="E307" s="4" t="s">
        <v>555</v>
      </c>
      <c r="F307" s="4" t="s">
        <v>7</v>
      </c>
      <c r="G307" s="4" t="str">
        <f t="shared" si="35"/>
        <v>Romper Longer</v>
      </c>
      <c r="H307" s="38">
        <f t="shared" si="30"/>
        <v>4</v>
      </c>
      <c r="I307" s="54">
        <f t="shared" si="36"/>
        <v>15</v>
      </c>
      <c r="J307" s="14" t="str">
        <f t="shared" si="33"/>
        <v>Easter</v>
      </c>
      <c r="K307" s="16" t="str">
        <f t="shared" si="31"/>
        <v>3-6</v>
      </c>
      <c r="L307" s="14" t="str">
        <f t="shared" si="34"/>
        <v>Romper Longer | 3-6 | Cream</v>
      </c>
      <c r="M307" s="16" t="s">
        <v>3609</v>
      </c>
    </row>
    <row r="308" spans="1:13" ht="25" customHeight="1" x14ac:dyDescent="0.45">
      <c r="A308" s="6">
        <v>46121</v>
      </c>
      <c r="B308" s="3" t="s">
        <v>864</v>
      </c>
      <c r="C308" s="4" t="s">
        <v>470</v>
      </c>
      <c r="D308" s="53" t="str">
        <f t="shared" si="32"/>
        <v>Caldet Blue</v>
      </c>
      <c r="E308" s="4" t="s">
        <v>555</v>
      </c>
      <c r="F308" s="4" t="s">
        <v>19</v>
      </c>
      <c r="G308" s="4" t="str">
        <f t="shared" si="35"/>
        <v>Romper Longer</v>
      </c>
      <c r="H308" s="38">
        <f t="shared" si="30"/>
        <v>4</v>
      </c>
      <c r="I308" s="54">
        <f t="shared" si="36"/>
        <v>15</v>
      </c>
      <c r="J308" s="14" t="str">
        <f t="shared" si="33"/>
        <v>Easter</v>
      </c>
      <c r="K308" s="16" t="str">
        <f t="shared" si="31"/>
        <v>3-6</v>
      </c>
      <c r="L308" s="14" t="str">
        <f t="shared" si="34"/>
        <v>Romper Longer | 3-6 | Caldet Blue</v>
      </c>
      <c r="M308" s="16" t="s">
        <v>3610</v>
      </c>
    </row>
    <row r="309" spans="1:13" ht="25" customHeight="1" x14ac:dyDescent="0.45">
      <c r="A309" s="6">
        <v>46121</v>
      </c>
      <c r="B309" s="3" t="s">
        <v>865</v>
      </c>
      <c r="C309" s="4" t="s">
        <v>184</v>
      </c>
      <c r="D309" s="53" t="str">
        <f t="shared" si="32"/>
        <v>Coffee</v>
      </c>
      <c r="E309" s="4" t="s">
        <v>555</v>
      </c>
      <c r="F309" s="4" t="s">
        <v>7</v>
      </c>
      <c r="G309" s="4" t="str">
        <f t="shared" si="35"/>
        <v>Romper Longer</v>
      </c>
      <c r="H309" s="38">
        <f t="shared" si="30"/>
        <v>4</v>
      </c>
      <c r="I309" s="54">
        <f t="shared" si="36"/>
        <v>15</v>
      </c>
      <c r="J309" s="14" t="str">
        <f t="shared" si="33"/>
        <v>Easter</v>
      </c>
      <c r="K309" s="16" t="str">
        <f t="shared" si="31"/>
        <v>3-6</v>
      </c>
      <c r="L309" s="14" t="str">
        <f t="shared" si="34"/>
        <v>Romper Longer | 3-6 | Coffee</v>
      </c>
      <c r="M309" s="16" t="s">
        <v>3610</v>
      </c>
    </row>
    <row r="310" spans="1:13" ht="25" customHeight="1" x14ac:dyDescent="0.45">
      <c r="A310" s="6">
        <v>46121</v>
      </c>
      <c r="B310" s="3" t="s">
        <v>866</v>
      </c>
      <c r="C310" s="4" t="s">
        <v>101</v>
      </c>
      <c r="D310" s="53" t="str">
        <f t="shared" si="32"/>
        <v>Sage Green</v>
      </c>
      <c r="E310" s="4" t="s">
        <v>589</v>
      </c>
      <c r="F310" s="4" t="s">
        <v>7</v>
      </c>
      <c r="G310" s="4" t="str">
        <f t="shared" si="35"/>
        <v>Romper Short</v>
      </c>
      <c r="H310" s="38">
        <f t="shared" si="30"/>
        <v>4</v>
      </c>
      <c r="I310" s="54">
        <f t="shared" si="36"/>
        <v>15</v>
      </c>
      <c r="J310" s="14" t="str">
        <f t="shared" si="33"/>
        <v>Easter</v>
      </c>
      <c r="K310" s="16" t="str">
        <f t="shared" si="31"/>
        <v>6-12</v>
      </c>
      <c r="L310" s="14" t="str">
        <f t="shared" si="34"/>
        <v>Romper Short | 6-12 | Sage Green</v>
      </c>
      <c r="M310" s="16" t="s">
        <v>3610</v>
      </c>
    </row>
    <row r="311" spans="1:13" ht="25" customHeight="1" x14ac:dyDescent="0.45">
      <c r="A311" s="6">
        <v>46121</v>
      </c>
      <c r="B311" s="3" t="s">
        <v>867</v>
      </c>
      <c r="C311" s="4" t="s">
        <v>508</v>
      </c>
      <c r="D311" s="53" t="str">
        <f t="shared" si="32"/>
        <v>Dusty Pink</v>
      </c>
      <c r="E311" s="4" t="s">
        <v>555</v>
      </c>
      <c r="F311" s="4" t="s">
        <v>7</v>
      </c>
      <c r="G311" s="4" t="str">
        <f t="shared" si="35"/>
        <v>Romper Longer</v>
      </c>
      <c r="H311" s="38">
        <f t="shared" si="30"/>
        <v>4</v>
      </c>
      <c r="I311" s="54">
        <f t="shared" si="36"/>
        <v>15</v>
      </c>
      <c r="J311" s="14" t="str">
        <f t="shared" si="33"/>
        <v>Easter</v>
      </c>
      <c r="K311" s="16" t="str">
        <f t="shared" si="31"/>
        <v>3-6</v>
      </c>
      <c r="L311" s="14" t="str">
        <f t="shared" si="34"/>
        <v>Romper Longer | 3-6 | Dusty Pink</v>
      </c>
      <c r="M311" s="16" t="s">
        <v>3610</v>
      </c>
    </row>
    <row r="312" spans="1:13" ht="25" customHeight="1" x14ac:dyDescent="0.45">
      <c r="A312" s="6">
        <v>46121</v>
      </c>
      <c r="B312" s="3" t="s">
        <v>868</v>
      </c>
      <c r="C312" s="4" t="s">
        <v>87</v>
      </c>
      <c r="D312" s="53" t="str">
        <f t="shared" si="32"/>
        <v>Cream</v>
      </c>
      <c r="E312" s="4" t="s">
        <v>490</v>
      </c>
      <c r="F312" s="4" t="s">
        <v>7</v>
      </c>
      <c r="G312" s="4" t="str">
        <f t="shared" si="35"/>
        <v>Romper Longer</v>
      </c>
      <c r="H312" s="38">
        <f t="shared" si="30"/>
        <v>4</v>
      </c>
      <c r="I312" s="54">
        <f t="shared" si="36"/>
        <v>15</v>
      </c>
      <c r="J312" s="14" t="str">
        <f t="shared" si="33"/>
        <v>Easter</v>
      </c>
      <c r="K312" s="16" t="str">
        <f t="shared" si="31"/>
        <v>0-3</v>
      </c>
      <c r="L312" s="14" t="str">
        <f t="shared" si="34"/>
        <v>Romper Longer | 0-3 | Cream</v>
      </c>
      <c r="M312" s="16" t="s">
        <v>3609</v>
      </c>
    </row>
    <row r="313" spans="1:13" ht="25" customHeight="1" x14ac:dyDescent="0.45">
      <c r="A313" s="6">
        <v>46121</v>
      </c>
      <c r="B313" s="3" t="s">
        <v>869</v>
      </c>
      <c r="C313" s="4" t="s">
        <v>508</v>
      </c>
      <c r="D313" s="53" t="str">
        <f t="shared" si="32"/>
        <v>Dusty Pink</v>
      </c>
      <c r="E313" s="4" t="s">
        <v>490</v>
      </c>
      <c r="F313" s="4" t="s">
        <v>7</v>
      </c>
      <c r="G313" s="4" t="str">
        <f t="shared" si="35"/>
        <v>Romper Longer</v>
      </c>
      <c r="H313" s="38">
        <f t="shared" si="30"/>
        <v>4</v>
      </c>
      <c r="I313" s="54">
        <f t="shared" si="36"/>
        <v>15</v>
      </c>
      <c r="J313" s="14" t="str">
        <f t="shared" si="33"/>
        <v>Easter</v>
      </c>
      <c r="K313" s="16" t="str">
        <f t="shared" si="31"/>
        <v>0-3</v>
      </c>
      <c r="L313" s="14" t="str">
        <f t="shared" si="34"/>
        <v>Romper Longer | 0-3 | Dusty Pink</v>
      </c>
      <c r="M313" s="16" t="s">
        <v>3610</v>
      </c>
    </row>
    <row r="314" spans="1:13" ht="25" customHeight="1" x14ac:dyDescent="0.45">
      <c r="A314" s="6">
        <v>46121</v>
      </c>
      <c r="B314" s="3" t="s">
        <v>870</v>
      </c>
      <c r="C314" s="4" t="s">
        <v>508</v>
      </c>
      <c r="D314" s="53" t="str">
        <f t="shared" si="32"/>
        <v>Dusty Pink</v>
      </c>
      <c r="E314" s="4" t="s">
        <v>555</v>
      </c>
      <c r="F314" s="4" t="s">
        <v>7</v>
      </c>
      <c r="G314" s="4" t="str">
        <f t="shared" si="35"/>
        <v>Romper Longer</v>
      </c>
      <c r="H314" s="38">
        <f t="shared" si="30"/>
        <v>4</v>
      </c>
      <c r="I314" s="54">
        <f t="shared" si="36"/>
        <v>15</v>
      </c>
      <c r="J314" s="14" t="str">
        <f t="shared" si="33"/>
        <v>Easter</v>
      </c>
      <c r="K314" s="16" t="str">
        <f t="shared" si="31"/>
        <v>3-6</v>
      </c>
      <c r="L314" s="14" t="str">
        <f t="shared" si="34"/>
        <v>Romper Longer | 3-6 | Dusty Pink</v>
      </c>
      <c r="M314" s="16" t="s">
        <v>3610</v>
      </c>
    </row>
    <row r="315" spans="1:13" ht="25" customHeight="1" x14ac:dyDescent="0.45">
      <c r="A315" s="6">
        <v>46121</v>
      </c>
      <c r="B315" s="3" t="s">
        <v>871</v>
      </c>
      <c r="C315" s="4" t="s">
        <v>101</v>
      </c>
      <c r="D315" s="53" t="str">
        <f t="shared" si="32"/>
        <v>Sage Green</v>
      </c>
      <c r="E315" s="4" t="s">
        <v>555</v>
      </c>
      <c r="F315" s="4" t="s">
        <v>7</v>
      </c>
      <c r="G315" s="4" t="str">
        <f t="shared" si="35"/>
        <v>Romper Longer</v>
      </c>
      <c r="H315" s="38">
        <f t="shared" si="30"/>
        <v>4</v>
      </c>
      <c r="I315" s="54">
        <f t="shared" si="36"/>
        <v>15</v>
      </c>
      <c r="J315" s="14" t="str">
        <f t="shared" si="33"/>
        <v>Easter</v>
      </c>
      <c r="K315" s="16" t="str">
        <f t="shared" si="31"/>
        <v>3-6</v>
      </c>
      <c r="L315" s="14" t="str">
        <f t="shared" si="34"/>
        <v>Romper Longer | 3-6 | Sage Green</v>
      </c>
      <c r="M315" s="16" t="s">
        <v>3611</v>
      </c>
    </row>
    <row r="316" spans="1:13" ht="25" customHeight="1" x14ac:dyDescent="0.45">
      <c r="A316" s="6">
        <v>46121</v>
      </c>
      <c r="B316" s="3" t="s">
        <v>872</v>
      </c>
      <c r="C316" s="4" t="s">
        <v>101</v>
      </c>
      <c r="D316" s="53" t="str">
        <f t="shared" si="32"/>
        <v>Sage Green</v>
      </c>
      <c r="E316" s="4" t="s">
        <v>479</v>
      </c>
      <c r="F316" s="4" t="s">
        <v>7</v>
      </c>
      <c r="G316" s="4" t="str">
        <f t="shared" si="35"/>
        <v>Romper Longer</v>
      </c>
      <c r="H316" s="38">
        <f t="shared" si="30"/>
        <v>4</v>
      </c>
      <c r="I316" s="54">
        <f t="shared" si="36"/>
        <v>15</v>
      </c>
      <c r="J316" s="14" t="str">
        <f t="shared" si="33"/>
        <v>Easter</v>
      </c>
      <c r="K316" s="16" t="str">
        <f t="shared" si="31"/>
        <v>6-12</v>
      </c>
      <c r="L316" s="14" t="str">
        <f t="shared" si="34"/>
        <v>Romper Longer | 6-12 | Sage Green</v>
      </c>
      <c r="M316" s="16" t="s">
        <v>3610</v>
      </c>
    </row>
    <row r="317" spans="1:13" ht="25" customHeight="1" x14ac:dyDescent="0.45">
      <c r="A317" s="6">
        <v>46121</v>
      </c>
      <c r="B317" s="3" t="s">
        <v>873</v>
      </c>
      <c r="C317" s="4" t="s">
        <v>470</v>
      </c>
      <c r="D317" s="53" t="str">
        <f t="shared" si="32"/>
        <v>Caldet Blue</v>
      </c>
      <c r="E317" s="4" t="s">
        <v>580</v>
      </c>
      <c r="F317" s="4" t="s">
        <v>7</v>
      </c>
      <c r="G317" s="4" t="str">
        <f t="shared" si="35"/>
        <v>Romper Short</v>
      </c>
      <c r="H317" s="38">
        <f t="shared" si="30"/>
        <v>4</v>
      </c>
      <c r="I317" s="54">
        <f t="shared" si="36"/>
        <v>15</v>
      </c>
      <c r="J317" s="14" t="str">
        <f t="shared" si="33"/>
        <v>Easter</v>
      </c>
      <c r="K317" s="16" t="str">
        <f t="shared" si="31"/>
        <v>0-3</v>
      </c>
      <c r="L317" s="14" t="str">
        <f t="shared" si="34"/>
        <v>Romper Short | 0-3 | Caldet Blue</v>
      </c>
      <c r="M317" s="16" t="s">
        <v>3610</v>
      </c>
    </row>
    <row r="318" spans="1:13" ht="25" customHeight="1" x14ac:dyDescent="0.45">
      <c r="A318" s="6">
        <v>46122</v>
      </c>
      <c r="B318" s="3" t="s">
        <v>874</v>
      </c>
      <c r="C318" s="4" t="s">
        <v>87</v>
      </c>
      <c r="D318" s="53" t="str">
        <f t="shared" si="32"/>
        <v>Cream</v>
      </c>
      <c r="E318" s="4" t="s">
        <v>490</v>
      </c>
      <c r="F318" s="4" t="s">
        <v>7</v>
      </c>
      <c r="G318" s="4" t="str">
        <f t="shared" si="35"/>
        <v>Romper Longer</v>
      </c>
      <c r="H318" s="38">
        <f t="shared" si="30"/>
        <v>4</v>
      </c>
      <c r="I318" s="54">
        <f t="shared" si="36"/>
        <v>15</v>
      </c>
      <c r="J318" s="14" t="str">
        <f t="shared" si="33"/>
        <v>Easter</v>
      </c>
      <c r="K318" s="16" t="str">
        <f t="shared" si="31"/>
        <v>0-3</v>
      </c>
      <c r="L318" s="14" t="str">
        <f t="shared" si="34"/>
        <v>Romper Longer | 0-3 | Cream</v>
      </c>
      <c r="M318" s="16" t="s">
        <v>3609</v>
      </c>
    </row>
    <row r="319" spans="1:13" ht="25" customHeight="1" x14ac:dyDescent="0.45">
      <c r="A319" s="6">
        <v>46122</v>
      </c>
      <c r="B319" s="3" t="s">
        <v>875</v>
      </c>
      <c r="C319" s="4" t="s">
        <v>114</v>
      </c>
      <c r="D319" s="53" t="str">
        <f t="shared" si="32"/>
        <v>White</v>
      </c>
      <c r="E319" s="4" t="s">
        <v>555</v>
      </c>
      <c r="F319" s="4" t="s">
        <v>11</v>
      </c>
      <c r="G319" s="4" t="str">
        <f t="shared" si="35"/>
        <v>Romper Longer</v>
      </c>
      <c r="H319" s="38">
        <f t="shared" si="30"/>
        <v>4</v>
      </c>
      <c r="I319" s="54">
        <f t="shared" si="36"/>
        <v>15</v>
      </c>
      <c r="J319" s="14" t="str">
        <f t="shared" si="33"/>
        <v>Easter</v>
      </c>
      <c r="K319" s="16" t="str">
        <f t="shared" si="31"/>
        <v>3-6</v>
      </c>
      <c r="L319" s="14" t="str">
        <f t="shared" si="34"/>
        <v>Romper Longer | 3-6 | White</v>
      </c>
      <c r="M319" s="16" t="s">
        <v>3610</v>
      </c>
    </row>
    <row r="320" spans="1:13" ht="25" customHeight="1" x14ac:dyDescent="0.45">
      <c r="A320" s="6">
        <v>46122</v>
      </c>
      <c r="B320" s="3" t="s">
        <v>876</v>
      </c>
      <c r="C320" s="4" t="s">
        <v>573</v>
      </c>
      <c r="D320" s="53" t="str">
        <f t="shared" si="32"/>
        <v>Mauve Taupe</v>
      </c>
      <c r="E320" s="4" t="s">
        <v>580</v>
      </c>
      <c r="F320" s="4" t="s">
        <v>7</v>
      </c>
      <c r="G320" s="4" t="str">
        <f t="shared" si="35"/>
        <v>Romper Short</v>
      </c>
      <c r="H320" s="38">
        <f t="shared" si="30"/>
        <v>4</v>
      </c>
      <c r="I320" s="54">
        <f t="shared" si="36"/>
        <v>15</v>
      </c>
      <c r="J320" s="14" t="str">
        <f t="shared" si="33"/>
        <v>Easter</v>
      </c>
      <c r="K320" s="16" t="str">
        <f t="shared" si="31"/>
        <v>0-3</v>
      </c>
      <c r="L320" s="14" t="str">
        <f t="shared" si="34"/>
        <v>Romper Short | 0-3 | Mauve Taupe</v>
      </c>
      <c r="M320" s="16" t="s">
        <v>3610</v>
      </c>
    </row>
    <row r="321" spans="1:13" ht="25" customHeight="1" x14ac:dyDescent="0.45">
      <c r="A321" s="6">
        <v>46122</v>
      </c>
      <c r="B321" s="3" t="s">
        <v>877</v>
      </c>
      <c r="C321" s="4" t="s">
        <v>101</v>
      </c>
      <c r="D321" s="53" t="str">
        <f t="shared" si="32"/>
        <v>Sage Green</v>
      </c>
      <c r="E321" s="4" t="s">
        <v>589</v>
      </c>
      <c r="F321" s="4" t="s">
        <v>7</v>
      </c>
      <c r="G321" s="4" t="str">
        <f t="shared" si="35"/>
        <v>Romper Short</v>
      </c>
      <c r="H321" s="38">
        <f t="shared" si="30"/>
        <v>4</v>
      </c>
      <c r="I321" s="54">
        <f t="shared" si="36"/>
        <v>15</v>
      </c>
      <c r="J321" s="14" t="str">
        <f t="shared" si="33"/>
        <v>Easter</v>
      </c>
      <c r="K321" s="16" t="str">
        <f t="shared" si="31"/>
        <v>6-12</v>
      </c>
      <c r="L321" s="14" t="str">
        <f t="shared" si="34"/>
        <v>Romper Short | 6-12 | Sage Green</v>
      </c>
      <c r="M321" s="16" t="s">
        <v>3610</v>
      </c>
    </row>
    <row r="322" spans="1:13" ht="25" customHeight="1" x14ac:dyDescent="0.45">
      <c r="A322" s="6">
        <v>46123</v>
      </c>
      <c r="B322" s="3" t="s">
        <v>878</v>
      </c>
      <c r="C322" s="4" t="s">
        <v>87</v>
      </c>
      <c r="D322" s="53" t="str">
        <f t="shared" si="32"/>
        <v>Cream</v>
      </c>
      <c r="E322" s="4" t="s">
        <v>580</v>
      </c>
      <c r="F322" s="4" t="s">
        <v>18</v>
      </c>
      <c r="G322" s="4" t="str">
        <f t="shared" si="35"/>
        <v>Romper Short</v>
      </c>
      <c r="H322" s="38">
        <f t="shared" ref="H322:H385" si="37">MONTH(A322)</f>
        <v>4</v>
      </c>
      <c r="I322" s="54">
        <f t="shared" si="36"/>
        <v>15</v>
      </c>
      <c r="J322" s="14" t="str">
        <f t="shared" si="33"/>
        <v>Easter</v>
      </c>
      <c r="K322" s="16" t="str">
        <f t="shared" ref="K322:K385" si="38">TRIM(LEFT(E322,FIND("(",E322&amp;"(")-2))</f>
        <v>0-3</v>
      </c>
      <c r="L322" s="14" t="str">
        <f t="shared" si="34"/>
        <v>Romper Short | 0-3 | Cream</v>
      </c>
      <c r="M322" s="16" t="s">
        <v>3609</v>
      </c>
    </row>
    <row r="323" spans="1:13" ht="25" customHeight="1" x14ac:dyDescent="0.45">
      <c r="A323" s="6">
        <v>46123</v>
      </c>
      <c r="B323" s="3" t="s">
        <v>879</v>
      </c>
      <c r="C323" s="4" t="s">
        <v>101</v>
      </c>
      <c r="D323" s="53" t="str">
        <f t="shared" ref="D323:D386" si="39">PROPER(C323)</f>
        <v>Sage Green</v>
      </c>
      <c r="E323" s="4" t="s">
        <v>485</v>
      </c>
      <c r="F323" s="4" t="s">
        <v>7</v>
      </c>
      <c r="G323" s="4" t="str">
        <f t="shared" si="35"/>
        <v>Romper Short</v>
      </c>
      <c r="H323" s="38">
        <f t="shared" si="37"/>
        <v>4</v>
      </c>
      <c r="I323" s="54">
        <f t="shared" si="36"/>
        <v>15</v>
      </c>
      <c r="J323" s="14" t="str">
        <f t="shared" ref="J323:J386" si="40">IF(H323=1,"NewYear",
IF(H323=2,"Valentine",
IF(OR(H323=3,H323=4),"Easter",
IF(H323=5,"MothersDay",
IF(H323=6,"FathersDay",
IF(OR(H323=7,H323=8),"Summer",
IF(H323=10,"Halloween",
IF(OR(H323=11,H323=12),"Christmas","Normal"))))))))</f>
        <v>Easter</v>
      </c>
      <c r="K323" s="16" t="str">
        <f t="shared" si="38"/>
        <v>3-6</v>
      </c>
      <c r="L323" s="14" t="str">
        <f t="shared" ref="L323:L386" si="41">TRIM(G323)&amp;" | "&amp;TRIM(K323)&amp;" | "&amp;PROPER(TRIM(D323))</f>
        <v>Romper Short | 3-6 | Sage Green</v>
      </c>
      <c r="M323" s="16" t="s">
        <v>3611</v>
      </c>
    </row>
    <row r="324" spans="1:13" ht="25" customHeight="1" x14ac:dyDescent="0.45">
      <c r="A324" s="6">
        <v>46123</v>
      </c>
      <c r="B324" s="3" t="s">
        <v>880</v>
      </c>
      <c r="C324" s="4" t="s">
        <v>101</v>
      </c>
      <c r="D324" s="53" t="str">
        <f t="shared" si="39"/>
        <v>Sage Green</v>
      </c>
      <c r="E324" s="4" t="s">
        <v>580</v>
      </c>
      <c r="F324" s="4" t="s">
        <v>11</v>
      </c>
      <c r="G324" s="4" t="str">
        <f t="shared" si="35"/>
        <v>Romper Short</v>
      </c>
      <c r="H324" s="38">
        <f t="shared" si="37"/>
        <v>4</v>
      </c>
      <c r="I324" s="54">
        <f t="shared" si="36"/>
        <v>15</v>
      </c>
      <c r="J324" s="14" t="str">
        <f t="shared" si="40"/>
        <v>Easter</v>
      </c>
      <c r="K324" s="16" t="str">
        <f t="shared" si="38"/>
        <v>0-3</v>
      </c>
      <c r="L324" s="14" t="str">
        <f t="shared" si="41"/>
        <v>Romper Short | 0-3 | Sage Green</v>
      </c>
      <c r="M324" s="16" t="s">
        <v>3610</v>
      </c>
    </row>
    <row r="325" spans="1:13" ht="25" customHeight="1" x14ac:dyDescent="0.45">
      <c r="A325" s="6">
        <v>46123</v>
      </c>
      <c r="B325" s="3" t="s">
        <v>881</v>
      </c>
      <c r="C325" s="4" t="s">
        <v>87</v>
      </c>
      <c r="D325" s="53" t="str">
        <f t="shared" si="39"/>
        <v>Cream</v>
      </c>
      <c r="E325" s="4" t="s">
        <v>555</v>
      </c>
      <c r="F325" s="4" t="s">
        <v>7</v>
      </c>
      <c r="G325" s="4" t="str">
        <f t="shared" si="35"/>
        <v>Romper Longer</v>
      </c>
      <c r="H325" s="38">
        <f t="shared" si="37"/>
        <v>4</v>
      </c>
      <c r="I325" s="54">
        <f t="shared" si="36"/>
        <v>15</v>
      </c>
      <c r="J325" s="14" t="str">
        <f t="shared" si="40"/>
        <v>Easter</v>
      </c>
      <c r="K325" s="16" t="str">
        <f t="shared" si="38"/>
        <v>3-6</v>
      </c>
      <c r="L325" s="14" t="str">
        <f t="shared" si="41"/>
        <v>Romper Longer | 3-6 | Cream</v>
      </c>
      <c r="M325" s="16" t="s">
        <v>3609</v>
      </c>
    </row>
    <row r="326" spans="1:13" ht="25" customHeight="1" x14ac:dyDescent="0.45">
      <c r="A326" s="6">
        <v>46124</v>
      </c>
      <c r="B326" s="3" t="s">
        <v>882</v>
      </c>
      <c r="C326" s="4" t="s">
        <v>87</v>
      </c>
      <c r="D326" s="53" t="str">
        <f t="shared" si="39"/>
        <v>Cream</v>
      </c>
      <c r="E326" s="4" t="s">
        <v>589</v>
      </c>
      <c r="F326" s="4" t="s">
        <v>7</v>
      </c>
      <c r="G326" s="4" t="str">
        <f t="shared" si="35"/>
        <v>Romper Short</v>
      </c>
      <c r="H326" s="38">
        <f t="shared" si="37"/>
        <v>4</v>
      </c>
      <c r="I326" s="54">
        <f t="shared" si="36"/>
        <v>16</v>
      </c>
      <c r="J326" s="14" t="str">
        <f t="shared" si="40"/>
        <v>Easter</v>
      </c>
      <c r="K326" s="16" t="str">
        <f t="shared" si="38"/>
        <v>6-12</v>
      </c>
      <c r="L326" s="14" t="str">
        <f t="shared" si="41"/>
        <v>Romper Short | 6-12 | Cream</v>
      </c>
      <c r="M326" s="16" t="s">
        <v>3611</v>
      </c>
    </row>
    <row r="327" spans="1:13" ht="25" customHeight="1" x14ac:dyDescent="0.45">
      <c r="A327" s="6">
        <v>46124</v>
      </c>
      <c r="B327" s="3" t="s">
        <v>883</v>
      </c>
      <c r="C327" s="4" t="s">
        <v>101</v>
      </c>
      <c r="D327" s="53" t="str">
        <f t="shared" si="39"/>
        <v>Sage Green</v>
      </c>
      <c r="E327" s="4" t="s">
        <v>803</v>
      </c>
      <c r="F327" s="4" t="s">
        <v>7</v>
      </c>
      <c r="G327" s="4" t="str">
        <f t="shared" si="35"/>
        <v>Romper Short</v>
      </c>
      <c r="H327" s="38">
        <f t="shared" si="37"/>
        <v>4</v>
      </c>
      <c r="I327" s="54">
        <f t="shared" si="36"/>
        <v>16</v>
      </c>
      <c r="J327" s="14" t="str">
        <f t="shared" si="40"/>
        <v>Easter</v>
      </c>
      <c r="K327" s="16" t="str">
        <f t="shared" si="38"/>
        <v>6-12</v>
      </c>
      <c r="L327" s="14" t="str">
        <f t="shared" si="41"/>
        <v>Romper Short | 6-12 | Sage Green</v>
      </c>
      <c r="M327" s="16" t="s">
        <v>3610</v>
      </c>
    </row>
    <row r="328" spans="1:13" ht="25" customHeight="1" x14ac:dyDescent="0.45">
      <c r="A328" s="6">
        <v>46124</v>
      </c>
      <c r="B328" s="3" t="s">
        <v>884</v>
      </c>
      <c r="C328" s="4" t="s">
        <v>573</v>
      </c>
      <c r="D328" s="53" t="str">
        <f t="shared" si="39"/>
        <v>Mauve Taupe</v>
      </c>
      <c r="E328" s="4" t="s">
        <v>555</v>
      </c>
      <c r="F328" s="4" t="s">
        <v>7</v>
      </c>
      <c r="G328" s="4" t="str">
        <f t="shared" si="35"/>
        <v>Romper Longer</v>
      </c>
      <c r="H328" s="38">
        <f t="shared" si="37"/>
        <v>4</v>
      </c>
      <c r="I328" s="54">
        <f t="shared" si="36"/>
        <v>16</v>
      </c>
      <c r="J328" s="14" t="str">
        <f t="shared" si="40"/>
        <v>Easter</v>
      </c>
      <c r="K328" s="16" t="str">
        <f t="shared" si="38"/>
        <v>3-6</v>
      </c>
      <c r="L328" s="14" t="str">
        <f t="shared" si="41"/>
        <v>Romper Longer | 3-6 | Mauve Taupe</v>
      </c>
      <c r="M328" s="16" t="s">
        <v>3610</v>
      </c>
    </row>
    <row r="329" spans="1:13" ht="25" customHeight="1" x14ac:dyDescent="0.45">
      <c r="A329" s="6">
        <v>46124</v>
      </c>
      <c r="B329" s="3" t="s">
        <v>885</v>
      </c>
      <c r="C329" s="4" t="s">
        <v>101</v>
      </c>
      <c r="D329" s="53" t="str">
        <f t="shared" si="39"/>
        <v>Sage Green</v>
      </c>
      <c r="E329" s="4" t="s">
        <v>479</v>
      </c>
      <c r="F329" s="4" t="s">
        <v>7</v>
      </c>
      <c r="G329" s="4" t="str">
        <f t="shared" si="35"/>
        <v>Romper Longer</v>
      </c>
      <c r="H329" s="38">
        <f t="shared" si="37"/>
        <v>4</v>
      </c>
      <c r="I329" s="54">
        <f t="shared" si="36"/>
        <v>16</v>
      </c>
      <c r="J329" s="14" t="str">
        <f t="shared" si="40"/>
        <v>Easter</v>
      </c>
      <c r="K329" s="16" t="str">
        <f t="shared" si="38"/>
        <v>6-12</v>
      </c>
      <c r="L329" s="14" t="str">
        <f t="shared" si="41"/>
        <v>Romper Longer | 6-12 | Sage Green</v>
      </c>
      <c r="M329" s="16" t="s">
        <v>3610</v>
      </c>
    </row>
    <row r="330" spans="1:13" ht="25" customHeight="1" x14ac:dyDescent="0.45">
      <c r="A330" s="6">
        <v>46124</v>
      </c>
      <c r="B330" s="3" t="s">
        <v>886</v>
      </c>
      <c r="C330" s="4" t="s">
        <v>508</v>
      </c>
      <c r="D330" s="53" t="str">
        <f t="shared" si="39"/>
        <v>Dusty Pink</v>
      </c>
      <c r="E330" s="4" t="s">
        <v>479</v>
      </c>
      <c r="F330" s="4" t="s">
        <v>7</v>
      </c>
      <c r="G330" s="4" t="str">
        <f t="shared" si="35"/>
        <v>Romper Longer</v>
      </c>
      <c r="H330" s="38">
        <f t="shared" si="37"/>
        <v>4</v>
      </c>
      <c r="I330" s="54">
        <f t="shared" si="36"/>
        <v>16</v>
      </c>
      <c r="J330" s="14" t="str">
        <f t="shared" si="40"/>
        <v>Easter</v>
      </c>
      <c r="K330" s="16" t="str">
        <f t="shared" si="38"/>
        <v>6-12</v>
      </c>
      <c r="L330" s="14" t="str">
        <f t="shared" si="41"/>
        <v>Romper Longer | 6-12 | Dusty Pink</v>
      </c>
      <c r="M330" s="16" t="s">
        <v>3610</v>
      </c>
    </row>
    <row r="331" spans="1:13" ht="25" customHeight="1" x14ac:dyDescent="0.45">
      <c r="A331" s="6">
        <v>46124</v>
      </c>
      <c r="B331" s="3" t="s">
        <v>887</v>
      </c>
      <c r="C331" s="4" t="s">
        <v>101</v>
      </c>
      <c r="D331" s="53" t="str">
        <f t="shared" si="39"/>
        <v>Sage Green</v>
      </c>
      <c r="E331" s="4" t="s">
        <v>485</v>
      </c>
      <c r="F331" s="4" t="s">
        <v>18</v>
      </c>
      <c r="G331" s="4" t="str">
        <f t="shared" si="35"/>
        <v>Romper Short</v>
      </c>
      <c r="H331" s="38">
        <f t="shared" si="37"/>
        <v>4</v>
      </c>
      <c r="I331" s="54">
        <f t="shared" si="36"/>
        <v>16</v>
      </c>
      <c r="J331" s="14" t="str">
        <f t="shared" si="40"/>
        <v>Easter</v>
      </c>
      <c r="K331" s="16" t="str">
        <f t="shared" si="38"/>
        <v>3-6</v>
      </c>
      <c r="L331" s="14" t="str">
        <f t="shared" si="41"/>
        <v>Romper Short | 3-6 | Sage Green</v>
      </c>
      <c r="M331" s="16" t="s">
        <v>3611</v>
      </c>
    </row>
    <row r="332" spans="1:13" ht="25" customHeight="1" x14ac:dyDescent="0.45">
      <c r="A332" s="6">
        <v>46125</v>
      </c>
      <c r="B332" s="3" t="s">
        <v>888</v>
      </c>
      <c r="C332" s="4" t="s">
        <v>87</v>
      </c>
      <c r="D332" s="53" t="str">
        <f t="shared" si="39"/>
        <v>Cream</v>
      </c>
      <c r="E332" s="4" t="s">
        <v>580</v>
      </c>
      <c r="F332" s="4" t="s">
        <v>40</v>
      </c>
      <c r="G332" s="4" t="str">
        <f t="shared" si="35"/>
        <v>Romper Short</v>
      </c>
      <c r="H332" s="38">
        <f t="shared" si="37"/>
        <v>4</v>
      </c>
      <c r="I332" s="54">
        <f t="shared" si="36"/>
        <v>16</v>
      </c>
      <c r="J332" s="14" t="str">
        <f t="shared" si="40"/>
        <v>Easter</v>
      </c>
      <c r="K332" s="16" t="str">
        <f t="shared" si="38"/>
        <v>0-3</v>
      </c>
      <c r="L332" s="14" t="str">
        <f t="shared" si="41"/>
        <v>Romper Short | 0-3 | Cream</v>
      </c>
      <c r="M332" s="16" t="s">
        <v>3609</v>
      </c>
    </row>
    <row r="333" spans="1:13" ht="25" customHeight="1" x14ac:dyDescent="0.45">
      <c r="A333" s="6">
        <v>46125</v>
      </c>
      <c r="B333" s="3" t="s">
        <v>889</v>
      </c>
      <c r="C333" s="4" t="s">
        <v>87</v>
      </c>
      <c r="D333" s="53" t="str">
        <f t="shared" si="39"/>
        <v>Cream</v>
      </c>
      <c r="E333" s="4" t="s">
        <v>490</v>
      </c>
      <c r="F333" s="4" t="s">
        <v>7</v>
      </c>
      <c r="G333" s="4" t="str">
        <f t="shared" si="35"/>
        <v>Romper Longer</v>
      </c>
      <c r="H333" s="38">
        <f t="shared" si="37"/>
        <v>4</v>
      </c>
      <c r="I333" s="54">
        <f t="shared" si="36"/>
        <v>16</v>
      </c>
      <c r="J333" s="14" t="str">
        <f t="shared" si="40"/>
        <v>Easter</v>
      </c>
      <c r="K333" s="16" t="str">
        <f t="shared" si="38"/>
        <v>0-3</v>
      </c>
      <c r="L333" s="14" t="str">
        <f t="shared" si="41"/>
        <v>Romper Longer | 0-3 | Cream</v>
      </c>
      <c r="M333" s="16" t="s">
        <v>3609</v>
      </c>
    </row>
    <row r="334" spans="1:13" ht="25" customHeight="1" x14ac:dyDescent="0.45">
      <c r="A334" s="6">
        <v>46125</v>
      </c>
      <c r="B334" s="3" t="s">
        <v>889</v>
      </c>
      <c r="C334" s="4" t="s">
        <v>101</v>
      </c>
      <c r="D334" s="53" t="str">
        <f t="shared" si="39"/>
        <v>Sage Green</v>
      </c>
      <c r="E334" s="4" t="s">
        <v>490</v>
      </c>
      <c r="F334" s="4" t="s">
        <v>7</v>
      </c>
      <c r="G334" s="4" t="str">
        <f t="shared" si="35"/>
        <v>Romper Longer</v>
      </c>
      <c r="H334" s="38">
        <f t="shared" si="37"/>
        <v>4</v>
      </c>
      <c r="I334" s="54">
        <f t="shared" si="36"/>
        <v>16</v>
      </c>
      <c r="J334" s="14" t="str">
        <f t="shared" si="40"/>
        <v>Easter</v>
      </c>
      <c r="K334" s="16" t="str">
        <f t="shared" si="38"/>
        <v>0-3</v>
      </c>
      <c r="L334" s="14" t="str">
        <f t="shared" si="41"/>
        <v>Romper Longer | 0-3 | Sage Green</v>
      </c>
      <c r="M334" s="16" t="s">
        <v>3611</v>
      </c>
    </row>
    <row r="335" spans="1:13" ht="25" customHeight="1" x14ac:dyDescent="0.45">
      <c r="A335" s="6">
        <v>46125</v>
      </c>
      <c r="B335" s="3" t="s">
        <v>890</v>
      </c>
      <c r="C335" s="4" t="s">
        <v>101</v>
      </c>
      <c r="D335" s="53" t="str">
        <f t="shared" si="39"/>
        <v>Sage Green</v>
      </c>
      <c r="E335" s="4" t="s">
        <v>479</v>
      </c>
      <c r="F335" s="4" t="s">
        <v>7</v>
      </c>
      <c r="G335" s="4" t="str">
        <f t="shared" si="35"/>
        <v>Romper Longer</v>
      </c>
      <c r="H335" s="38">
        <f t="shared" si="37"/>
        <v>4</v>
      </c>
      <c r="I335" s="54">
        <f t="shared" si="36"/>
        <v>16</v>
      </c>
      <c r="J335" s="14" t="str">
        <f t="shared" si="40"/>
        <v>Easter</v>
      </c>
      <c r="K335" s="16" t="str">
        <f t="shared" si="38"/>
        <v>6-12</v>
      </c>
      <c r="L335" s="14" t="str">
        <f t="shared" si="41"/>
        <v>Romper Longer | 6-12 | Sage Green</v>
      </c>
      <c r="M335" s="16" t="s">
        <v>3610</v>
      </c>
    </row>
    <row r="336" spans="1:13" ht="25" customHeight="1" x14ac:dyDescent="0.45">
      <c r="A336" s="6">
        <v>46125</v>
      </c>
      <c r="B336" s="3" t="s">
        <v>891</v>
      </c>
      <c r="C336" s="4" t="s">
        <v>87</v>
      </c>
      <c r="D336" s="53" t="str">
        <f t="shared" si="39"/>
        <v>Cream</v>
      </c>
      <c r="E336" s="4" t="s">
        <v>555</v>
      </c>
      <c r="F336" s="4" t="s">
        <v>892</v>
      </c>
      <c r="G336" s="4" t="str">
        <f t="shared" ref="G336:G399" si="42">IF(ISNUMBER(SEARCH("LONG",E336)),"Romper Longer",IF(ISNUMBER(SEARCH("SHORT",E336)),"Romper Short","Bodysuit"))</f>
        <v>Romper Longer</v>
      </c>
      <c r="H336" s="38">
        <f t="shared" si="37"/>
        <v>4</v>
      </c>
      <c r="I336" s="54">
        <f t="shared" ref="I336:I399" si="43">WEEKNUM(A336)</f>
        <v>16</v>
      </c>
      <c r="J336" s="14" t="str">
        <f t="shared" si="40"/>
        <v>Easter</v>
      </c>
      <c r="K336" s="16" t="str">
        <f t="shared" si="38"/>
        <v>3-6</v>
      </c>
      <c r="L336" s="14" t="str">
        <f t="shared" si="41"/>
        <v>Romper Longer | 3-6 | Cream</v>
      </c>
      <c r="M336" s="16" t="s">
        <v>3609</v>
      </c>
    </row>
    <row r="337" spans="1:13" ht="25" customHeight="1" x14ac:dyDescent="0.45">
      <c r="A337" s="6">
        <v>46125</v>
      </c>
      <c r="B337" s="3" t="s">
        <v>893</v>
      </c>
      <c r="C337" s="4" t="s">
        <v>470</v>
      </c>
      <c r="D337" s="53" t="str">
        <f t="shared" si="39"/>
        <v>Caldet Blue</v>
      </c>
      <c r="E337" s="4" t="s">
        <v>754</v>
      </c>
      <c r="F337" s="4" t="s">
        <v>7</v>
      </c>
      <c r="G337" s="4" t="str">
        <f t="shared" si="42"/>
        <v>Romper Longer</v>
      </c>
      <c r="H337" s="38">
        <f t="shared" si="37"/>
        <v>4</v>
      </c>
      <c r="I337" s="54">
        <f t="shared" si="43"/>
        <v>16</v>
      </c>
      <c r="J337" s="14" t="str">
        <f t="shared" si="40"/>
        <v>Easter</v>
      </c>
      <c r="K337" s="16" t="str">
        <f t="shared" si="38"/>
        <v>6-12</v>
      </c>
      <c r="L337" s="14" t="str">
        <f t="shared" si="41"/>
        <v>Romper Longer | 6-12 | Caldet Blue</v>
      </c>
      <c r="M337" s="16" t="s">
        <v>3610</v>
      </c>
    </row>
    <row r="338" spans="1:13" ht="25" customHeight="1" x14ac:dyDescent="0.45">
      <c r="A338" s="6">
        <v>46125</v>
      </c>
      <c r="B338" s="3" t="s">
        <v>894</v>
      </c>
      <c r="C338" s="4" t="s">
        <v>87</v>
      </c>
      <c r="D338" s="53" t="str">
        <f t="shared" si="39"/>
        <v>Cream</v>
      </c>
      <c r="E338" s="4" t="s">
        <v>555</v>
      </c>
      <c r="F338" s="4" t="s">
        <v>7</v>
      </c>
      <c r="G338" s="4" t="str">
        <f t="shared" si="42"/>
        <v>Romper Longer</v>
      </c>
      <c r="H338" s="38">
        <f t="shared" si="37"/>
        <v>4</v>
      </c>
      <c r="I338" s="54">
        <f t="shared" si="43"/>
        <v>16</v>
      </c>
      <c r="J338" s="14" t="str">
        <f t="shared" si="40"/>
        <v>Easter</v>
      </c>
      <c r="K338" s="16" t="str">
        <f t="shared" si="38"/>
        <v>3-6</v>
      </c>
      <c r="L338" s="14" t="str">
        <f t="shared" si="41"/>
        <v>Romper Longer | 3-6 | Cream</v>
      </c>
      <c r="M338" s="16" t="s">
        <v>3609</v>
      </c>
    </row>
    <row r="339" spans="1:13" ht="25" customHeight="1" x14ac:dyDescent="0.45">
      <c r="A339" s="6">
        <v>46095</v>
      </c>
      <c r="B339" s="3" t="s">
        <v>895</v>
      </c>
      <c r="C339" s="4" t="s">
        <v>87</v>
      </c>
      <c r="D339" s="53" t="str">
        <f t="shared" si="39"/>
        <v>Cream</v>
      </c>
      <c r="E339" s="4" t="s">
        <v>485</v>
      </c>
      <c r="F339" s="4" t="s">
        <v>11</v>
      </c>
      <c r="G339" s="4" t="str">
        <f t="shared" si="42"/>
        <v>Romper Short</v>
      </c>
      <c r="H339" s="38">
        <f t="shared" si="37"/>
        <v>3</v>
      </c>
      <c r="I339" s="54">
        <f t="shared" si="43"/>
        <v>11</v>
      </c>
      <c r="J339" s="14" t="str">
        <f t="shared" si="40"/>
        <v>Easter</v>
      </c>
      <c r="K339" s="16" t="str">
        <f t="shared" si="38"/>
        <v>3-6</v>
      </c>
      <c r="L339" s="14" t="str">
        <f t="shared" si="41"/>
        <v>Romper Short | 3-6 | Cream</v>
      </c>
      <c r="M339" s="16" t="s">
        <v>3609</v>
      </c>
    </row>
    <row r="340" spans="1:13" ht="25" customHeight="1" x14ac:dyDescent="0.45">
      <c r="A340" s="6">
        <v>46095</v>
      </c>
      <c r="B340" s="3" t="s">
        <v>896</v>
      </c>
      <c r="C340" s="4" t="s">
        <v>573</v>
      </c>
      <c r="D340" s="53" t="str">
        <f t="shared" si="39"/>
        <v>Mauve Taupe</v>
      </c>
      <c r="E340" s="4" t="s">
        <v>510</v>
      </c>
      <c r="F340" s="4" t="s">
        <v>7</v>
      </c>
      <c r="G340" s="4" t="str">
        <f t="shared" si="42"/>
        <v>Romper Short</v>
      </c>
      <c r="H340" s="38">
        <f t="shared" si="37"/>
        <v>3</v>
      </c>
      <c r="I340" s="54">
        <f t="shared" si="43"/>
        <v>11</v>
      </c>
      <c r="J340" s="14" t="str">
        <f t="shared" si="40"/>
        <v>Easter</v>
      </c>
      <c r="K340" s="16" t="str">
        <f t="shared" si="38"/>
        <v>3-6</v>
      </c>
      <c r="L340" s="14" t="str">
        <f t="shared" si="41"/>
        <v>Romper Short | 3-6 | Mauve Taupe</v>
      </c>
      <c r="M340" s="16" t="s">
        <v>3610</v>
      </c>
    </row>
    <row r="341" spans="1:13" ht="25" customHeight="1" x14ac:dyDescent="0.45">
      <c r="A341" s="6">
        <v>46095</v>
      </c>
      <c r="B341" s="3" t="s">
        <v>897</v>
      </c>
      <c r="C341" s="4" t="s">
        <v>559</v>
      </c>
      <c r="D341" s="53" t="str">
        <f t="shared" si="39"/>
        <v xml:space="preserve"> Sage Green</v>
      </c>
      <c r="E341" s="4" t="s">
        <v>479</v>
      </c>
      <c r="F341" s="4" t="s">
        <v>7</v>
      </c>
      <c r="G341" s="4" t="str">
        <f t="shared" si="42"/>
        <v>Romper Longer</v>
      </c>
      <c r="H341" s="38">
        <f t="shared" si="37"/>
        <v>3</v>
      </c>
      <c r="I341" s="54">
        <f t="shared" si="43"/>
        <v>11</v>
      </c>
      <c r="J341" s="14" t="str">
        <f t="shared" si="40"/>
        <v>Easter</v>
      </c>
      <c r="K341" s="16" t="str">
        <f t="shared" si="38"/>
        <v>6-12</v>
      </c>
      <c r="L341" s="14" t="str">
        <f t="shared" si="41"/>
        <v>Romper Longer | 6-12 | Sage Green</v>
      </c>
      <c r="M341" s="16" t="s">
        <v>3610</v>
      </c>
    </row>
    <row r="342" spans="1:13" ht="25" customHeight="1" x14ac:dyDescent="0.45">
      <c r="A342" s="6">
        <v>46095</v>
      </c>
      <c r="B342" s="3" t="s">
        <v>898</v>
      </c>
      <c r="C342" s="4" t="s">
        <v>101</v>
      </c>
      <c r="D342" s="53" t="str">
        <f t="shared" si="39"/>
        <v>Sage Green</v>
      </c>
      <c r="E342" s="4" t="s">
        <v>485</v>
      </c>
      <c r="F342" s="4" t="s">
        <v>7</v>
      </c>
      <c r="G342" s="4" t="str">
        <f t="shared" si="42"/>
        <v>Romper Short</v>
      </c>
      <c r="H342" s="38">
        <f t="shared" si="37"/>
        <v>3</v>
      </c>
      <c r="I342" s="54">
        <f t="shared" si="43"/>
        <v>11</v>
      </c>
      <c r="J342" s="14" t="str">
        <f t="shared" si="40"/>
        <v>Easter</v>
      </c>
      <c r="K342" s="16" t="str">
        <f t="shared" si="38"/>
        <v>3-6</v>
      </c>
      <c r="L342" s="14" t="str">
        <f t="shared" si="41"/>
        <v>Romper Short | 3-6 | Sage Green</v>
      </c>
      <c r="M342" s="16" t="s">
        <v>3611</v>
      </c>
    </row>
    <row r="343" spans="1:13" ht="25" customHeight="1" x14ac:dyDescent="0.45">
      <c r="A343" s="6">
        <v>46095</v>
      </c>
      <c r="B343" s="3" t="s">
        <v>899</v>
      </c>
      <c r="C343" s="4" t="s">
        <v>528</v>
      </c>
      <c r="D343" s="53" t="str">
        <f t="shared" si="39"/>
        <v>Watermelon</v>
      </c>
      <c r="E343" s="4" t="s">
        <v>490</v>
      </c>
      <c r="F343" s="4" t="s">
        <v>7</v>
      </c>
      <c r="G343" s="4" t="str">
        <f t="shared" si="42"/>
        <v>Romper Longer</v>
      </c>
      <c r="H343" s="38">
        <f t="shared" si="37"/>
        <v>3</v>
      </c>
      <c r="I343" s="54">
        <f t="shared" si="43"/>
        <v>11</v>
      </c>
      <c r="J343" s="14" t="str">
        <f t="shared" si="40"/>
        <v>Easter</v>
      </c>
      <c r="K343" s="16" t="str">
        <f t="shared" si="38"/>
        <v>0-3</v>
      </c>
      <c r="L343" s="14" t="str">
        <f t="shared" si="41"/>
        <v>Romper Longer | 0-3 | Watermelon</v>
      </c>
      <c r="M343" s="16" t="s">
        <v>3610</v>
      </c>
    </row>
    <row r="344" spans="1:13" ht="25" customHeight="1" x14ac:dyDescent="0.45">
      <c r="A344" s="6">
        <v>46095</v>
      </c>
      <c r="B344" s="3" t="s">
        <v>900</v>
      </c>
      <c r="C344" s="4" t="s">
        <v>101</v>
      </c>
      <c r="D344" s="53" t="str">
        <f t="shared" si="39"/>
        <v>Sage Green</v>
      </c>
      <c r="E344" s="4" t="s">
        <v>578</v>
      </c>
      <c r="F344" s="4" t="s">
        <v>7</v>
      </c>
      <c r="G344" s="4" t="str">
        <f t="shared" si="42"/>
        <v>Romper Short</v>
      </c>
      <c r="H344" s="38">
        <f t="shared" si="37"/>
        <v>3</v>
      </c>
      <c r="I344" s="54">
        <f t="shared" si="43"/>
        <v>11</v>
      </c>
      <c r="J344" s="14" t="str">
        <f t="shared" si="40"/>
        <v>Easter</v>
      </c>
      <c r="K344" s="16" t="str">
        <f t="shared" si="38"/>
        <v>0-3</v>
      </c>
      <c r="L344" s="14" t="str">
        <f t="shared" si="41"/>
        <v>Romper Short | 0-3 | Sage Green</v>
      </c>
      <c r="M344" s="16" t="s">
        <v>3610</v>
      </c>
    </row>
    <row r="345" spans="1:13" ht="25" customHeight="1" x14ac:dyDescent="0.45">
      <c r="A345" s="6">
        <v>46095</v>
      </c>
      <c r="B345" s="3" t="s">
        <v>901</v>
      </c>
      <c r="C345" s="4" t="s">
        <v>87</v>
      </c>
      <c r="D345" s="53" t="str">
        <f t="shared" si="39"/>
        <v>Cream</v>
      </c>
      <c r="E345" s="4" t="s">
        <v>580</v>
      </c>
      <c r="F345" s="4" t="s">
        <v>7</v>
      </c>
      <c r="G345" s="4" t="str">
        <f t="shared" si="42"/>
        <v>Romper Short</v>
      </c>
      <c r="H345" s="38">
        <f t="shared" si="37"/>
        <v>3</v>
      </c>
      <c r="I345" s="54">
        <f t="shared" si="43"/>
        <v>11</v>
      </c>
      <c r="J345" s="14" t="str">
        <f t="shared" si="40"/>
        <v>Easter</v>
      </c>
      <c r="K345" s="16" t="str">
        <f t="shared" si="38"/>
        <v>0-3</v>
      </c>
      <c r="L345" s="14" t="str">
        <f t="shared" si="41"/>
        <v>Romper Short | 0-3 | Cream</v>
      </c>
      <c r="M345" s="16" t="s">
        <v>3609</v>
      </c>
    </row>
    <row r="346" spans="1:13" ht="25" customHeight="1" x14ac:dyDescent="0.45">
      <c r="A346" s="6">
        <v>46127</v>
      </c>
      <c r="B346" s="3" t="s">
        <v>902</v>
      </c>
      <c r="C346" s="4" t="s">
        <v>87</v>
      </c>
      <c r="D346" s="53" t="str">
        <f t="shared" si="39"/>
        <v>Cream</v>
      </c>
      <c r="E346" s="4" t="s">
        <v>589</v>
      </c>
      <c r="F346" s="4" t="s">
        <v>7</v>
      </c>
      <c r="G346" s="4" t="str">
        <f t="shared" si="42"/>
        <v>Romper Short</v>
      </c>
      <c r="H346" s="38">
        <f t="shared" si="37"/>
        <v>4</v>
      </c>
      <c r="I346" s="54">
        <f t="shared" si="43"/>
        <v>16</v>
      </c>
      <c r="J346" s="14" t="str">
        <f t="shared" si="40"/>
        <v>Easter</v>
      </c>
      <c r="K346" s="16" t="str">
        <f t="shared" si="38"/>
        <v>6-12</v>
      </c>
      <c r="L346" s="14" t="str">
        <f t="shared" si="41"/>
        <v>Romper Short | 6-12 | Cream</v>
      </c>
      <c r="M346" s="16" t="s">
        <v>3611</v>
      </c>
    </row>
    <row r="347" spans="1:13" ht="25" customHeight="1" x14ac:dyDescent="0.45">
      <c r="A347" s="6">
        <v>46127</v>
      </c>
      <c r="B347" s="3" t="s">
        <v>903</v>
      </c>
      <c r="C347" s="4" t="s">
        <v>184</v>
      </c>
      <c r="D347" s="53" t="str">
        <f t="shared" si="39"/>
        <v>Coffee</v>
      </c>
      <c r="E347" s="4" t="s">
        <v>580</v>
      </c>
      <c r="F347" s="4" t="s">
        <v>7</v>
      </c>
      <c r="G347" s="4" t="str">
        <f t="shared" si="42"/>
        <v>Romper Short</v>
      </c>
      <c r="H347" s="38">
        <f t="shared" si="37"/>
        <v>4</v>
      </c>
      <c r="I347" s="54">
        <f t="shared" si="43"/>
        <v>16</v>
      </c>
      <c r="J347" s="14" t="str">
        <f t="shared" si="40"/>
        <v>Easter</v>
      </c>
      <c r="K347" s="16" t="str">
        <f t="shared" si="38"/>
        <v>0-3</v>
      </c>
      <c r="L347" s="14" t="str">
        <f t="shared" si="41"/>
        <v>Romper Short | 0-3 | Coffee</v>
      </c>
      <c r="M347" s="16" t="s">
        <v>3610</v>
      </c>
    </row>
    <row r="348" spans="1:13" ht="25" customHeight="1" x14ac:dyDescent="0.45">
      <c r="A348" s="6">
        <v>46127</v>
      </c>
      <c r="B348" s="3" t="s">
        <v>904</v>
      </c>
      <c r="C348" s="4" t="s">
        <v>87</v>
      </c>
      <c r="D348" s="53" t="str">
        <f t="shared" si="39"/>
        <v>Cream</v>
      </c>
      <c r="E348" s="4" t="s">
        <v>589</v>
      </c>
      <c r="F348" s="4" t="s">
        <v>7</v>
      </c>
      <c r="G348" s="4" t="str">
        <f t="shared" si="42"/>
        <v>Romper Short</v>
      </c>
      <c r="H348" s="38">
        <f t="shared" si="37"/>
        <v>4</v>
      </c>
      <c r="I348" s="54">
        <f t="shared" si="43"/>
        <v>16</v>
      </c>
      <c r="J348" s="14" t="str">
        <f t="shared" si="40"/>
        <v>Easter</v>
      </c>
      <c r="K348" s="16" t="str">
        <f t="shared" si="38"/>
        <v>6-12</v>
      </c>
      <c r="L348" s="14" t="str">
        <f t="shared" si="41"/>
        <v>Romper Short | 6-12 | Cream</v>
      </c>
      <c r="M348" s="16" t="s">
        <v>3611</v>
      </c>
    </row>
    <row r="349" spans="1:13" ht="25" customHeight="1" x14ac:dyDescent="0.45">
      <c r="A349" s="6">
        <v>46127</v>
      </c>
      <c r="B349" s="3" t="s">
        <v>905</v>
      </c>
      <c r="C349" s="4" t="s">
        <v>101</v>
      </c>
      <c r="D349" s="53" t="str">
        <f t="shared" si="39"/>
        <v>Sage Green</v>
      </c>
      <c r="E349" s="4" t="s">
        <v>555</v>
      </c>
      <c r="F349" s="4" t="s">
        <v>7</v>
      </c>
      <c r="G349" s="4" t="str">
        <f t="shared" si="42"/>
        <v>Romper Longer</v>
      </c>
      <c r="H349" s="38">
        <f t="shared" si="37"/>
        <v>4</v>
      </c>
      <c r="I349" s="54">
        <f t="shared" si="43"/>
        <v>16</v>
      </c>
      <c r="J349" s="14" t="str">
        <f t="shared" si="40"/>
        <v>Easter</v>
      </c>
      <c r="K349" s="16" t="str">
        <f t="shared" si="38"/>
        <v>3-6</v>
      </c>
      <c r="L349" s="14" t="str">
        <f t="shared" si="41"/>
        <v>Romper Longer | 3-6 | Sage Green</v>
      </c>
      <c r="M349" s="16" t="s">
        <v>3611</v>
      </c>
    </row>
    <row r="350" spans="1:13" ht="25" customHeight="1" x14ac:dyDescent="0.45">
      <c r="A350" s="6">
        <v>46127</v>
      </c>
      <c r="B350" s="3" t="s">
        <v>906</v>
      </c>
      <c r="C350" s="4" t="s">
        <v>508</v>
      </c>
      <c r="D350" s="53" t="str">
        <f t="shared" si="39"/>
        <v>Dusty Pink</v>
      </c>
      <c r="E350" s="4" t="s">
        <v>555</v>
      </c>
      <c r="F350" s="4" t="s">
        <v>18</v>
      </c>
      <c r="G350" s="4" t="str">
        <f t="shared" si="42"/>
        <v>Romper Longer</v>
      </c>
      <c r="H350" s="38">
        <f t="shared" si="37"/>
        <v>4</v>
      </c>
      <c r="I350" s="54">
        <f t="shared" si="43"/>
        <v>16</v>
      </c>
      <c r="J350" s="14" t="str">
        <f t="shared" si="40"/>
        <v>Easter</v>
      </c>
      <c r="K350" s="16" t="str">
        <f t="shared" si="38"/>
        <v>3-6</v>
      </c>
      <c r="L350" s="14" t="str">
        <f t="shared" si="41"/>
        <v>Romper Longer | 3-6 | Dusty Pink</v>
      </c>
      <c r="M350" s="16" t="s">
        <v>3610</v>
      </c>
    </row>
    <row r="351" spans="1:13" ht="25" customHeight="1" x14ac:dyDescent="0.45">
      <c r="A351" s="6">
        <v>46128</v>
      </c>
      <c r="B351" s="3" t="s">
        <v>907</v>
      </c>
      <c r="C351" s="4" t="s">
        <v>101</v>
      </c>
      <c r="D351" s="53" t="str">
        <f t="shared" si="39"/>
        <v>Sage Green</v>
      </c>
      <c r="E351" s="4" t="s">
        <v>490</v>
      </c>
      <c r="F351" s="4" t="s">
        <v>18</v>
      </c>
      <c r="G351" s="4" t="str">
        <f t="shared" si="42"/>
        <v>Romper Longer</v>
      </c>
      <c r="H351" s="38">
        <f t="shared" si="37"/>
        <v>4</v>
      </c>
      <c r="I351" s="54">
        <f t="shared" si="43"/>
        <v>16</v>
      </c>
      <c r="J351" s="14" t="str">
        <f t="shared" si="40"/>
        <v>Easter</v>
      </c>
      <c r="K351" s="16" t="str">
        <f t="shared" si="38"/>
        <v>0-3</v>
      </c>
      <c r="L351" s="14" t="str">
        <f t="shared" si="41"/>
        <v>Romper Longer | 0-3 | Sage Green</v>
      </c>
      <c r="M351" s="16" t="s">
        <v>3611</v>
      </c>
    </row>
    <row r="352" spans="1:13" ht="25" customHeight="1" x14ac:dyDescent="0.45">
      <c r="A352" s="6">
        <v>46128</v>
      </c>
      <c r="B352" s="3" t="s">
        <v>908</v>
      </c>
      <c r="C352" s="4" t="s">
        <v>470</v>
      </c>
      <c r="D352" s="53" t="str">
        <f t="shared" si="39"/>
        <v>Caldet Blue</v>
      </c>
      <c r="E352" s="4" t="s">
        <v>555</v>
      </c>
      <c r="F352" s="4" t="s">
        <v>13</v>
      </c>
      <c r="G352" s="4" t="str">
        <f t="shared" si="42"/>
        <v>Romper Longer</v>
      </c>
      <c r="H352" s="38">
        <f t="shared" si="37"/>
        <v>4</v>
      </c>
      <c r="I352" s="54">
        <f t="shared" si="43"/>
        <v>16</v>
      </c>
      <c r="J352" s="14" t="str">
        <f t="shared" si="40"/>
        <v>Easter</v>
      </c>
      <c r="K352" s="16" t="str">
        <f t="shared" si="38"/>
        <v>3-6</v>
      </c>
      <c r="L352" s="14" t="str">
        <f t="shared" si="41"/>
        <v>Romper Longer | 3-6 | Caldet Blue</v>
      </c>
      <c r="M352" s="16" t="s">
        <v>3610</v>
      </c>
    </row>
    <row r="353" spans="1:13" ht="25" customHeight="1" x14ac:dyDescent="0.45">
      <c r="A353" s="6">
        <v>46128</v>
      </c>
      <c r="B353" s="3" t="s">
        <v>909</v>
      </c>
      <c r="C353" s="4" t="s">
        <v>87</v>
      </c>
      <c r="D353" s="53" t="str">
        <f t="shared" si="39"/>
        <v>Cream</v>
      </c>
      <c r="E353" s="4" t="s">
        <v>555</v>
      </c>
      <c r="F353" s="4" t="s">
        <v>18</v>
      </c>
      <c r="G353" s="4" t="str">
        <f t="shared" si="42"/>
        <v>Romper Longer</v>
      </c>
      <c r="H353" s="38">
        <f t="shared" si="37"/>
        <v>4</v>
      </c>
      <c r="I353" s="54">
        <f t="shared" si="43"/>
        <v>16</v>
      </c>
      <c r="J353" s="14" t="str">
        <f t="shared" si="40"/>
        <v>Easter</v>
      </c>
      <c r="K353" s="16" t="str">
        <f t="shared" si="38"/>
        <v>3-6</v>
      </c>
      <c r="L353" s="14" t="str">
        <f t="shared" si="41"/>
        <v>Romper Longer | 3-6 | Cream</v>
      </c>
      <c r="M353" s="16" t="s">
        <v>3609</v>
      </c>
    </row>
    <row r="354" spans="1:13" ht="25" customHeight="1" x14ac:dyDescent="0.45">
      <c r="A354" s="6">
        <v>46128</v>
      </c>
      <c r="B354" s="3" t="s">
        <v>910</v>
      </c>
      <c r="C354" s="4" t="s">
        <v>473</v>
      </c>
      <c r="D354" s="53" t="str">
        <f t="shared" si="39"/>
        <v>Salmon</v>
      </c>
      <c r="E354" s="4" t="s">
        <v>555</v>
      </c>
      <c r="F354" s="4" t="s">
        <v>7</v>
      </c>
      <c r="G354" s="4" t="str">
        <f t="shared" si="42"/>
        <v>Romper Longer</v>
      </c>
      <c r="H354" s="38">
        <f t="shared" si="37"/>
        <v>4</v>
      </c>
      <c r="I354" s="54">
        <f t="shared" si="43"/>
        <v>16</v>
      </c>
      <c r="J354" s="14" t="str">
        <f t="shared" si="40"/>
        <v>Easter</v>
      </c>
      <c r="K354" s="16" t="str">
        <f t="shared" si="38"/>
        <v>3-6</v>
      </c>
      <c r="L354" s="14" t="str">
        <f t="shared" si="41"/>
        <v>Romper Longer | 3-6 | Salmon</v>
      </c>
      <c r="M354" s="16" t="s">
        <v>3610</v>
      </c>
    </row>
    <row r="355" spans="1:13" ht="25" customHeight="1" x14ac:dyDescent="0.45">
      <c r="A355" s="6">
        <v>46128</v>
      </c>
      <c r="B355" s="3" t="s">
        <v>911</v>
      </c>
      <c r="C355" s="4" t="s">
        <v>87</v>
      </c>
      <c r="D355" s="53" t="str">
        <f t="shared" si="39"/>
        <v>Cream</v>
      </c>
      <c r="E355" s="4" t="s">
        <v>580</v>
      </c>
      <c r="F355" s="4" t="s">
        <v>7</v>
      </c>
      <c r="G355" s="4" t="str">
        <f t="shared" si="42"/>
        <v>Romper Short</v>
      </c>
      <c r="H355" s="38">
        <f t="shared" si="37"/>
        <v>4</v>
      </c>
      <c r="I355" s="54">
        <f t="shared" si="43"/>
        <v>16</v>
      </c>
      <c r="J355" s="14" t="str">
        <f t="shared" si="40"/>
        <v>Easter</v>
      </c>
      <c r="K355" s="16" t="str">
        <f t="shared" si="38"/>
        <v>0-3</v>
      </c>
      <c r="L355" s="14" t="str">
        <f t="shared" si="41"/>
        <v>Romper Short | 0-3 | Cream</v>
      </c>
      <c r="M355" s="16" t="s">
        <v>3609</v>
      </c>
    </row>
    <row r="356" spans="1:13" ht="25" customHeight="1" x14ac:dyDescent="0.45">
      <c r="A356" s="6">
        <v>46128</v>
      </c>
      <c r="B356" s="3" t="s">
        <v>912</v>
      </c>
      <c r="C356" s="4" t="s">
        <v>488</v>
      </c>
      <c r="D356" s="53" t="str">
        <f t="shared" si="39"/>
        <v xml:space="preserve"> Cream</v>
      </c>
      <c r="E356" s="4" t="s">
        <v>490</v>
      </c>
      <c r="F356" s="4" t="s">
        <v>7</v>
      </c>
      <c r="G356" s="4" t="str">
        <f t="shared" si="42"/>
        <v>Romper Longer</v>
      </c>
      <c r="H356" s="38">
        <f t="shared" si="37"/>
        <v>4</v>
      </c>
      <c r="I356" s="54">
        <f t="shared" si="43"/>
        <v>16</v>
      </c>
      <c r="J356" s="14" t="str">
        <f t="shared" si="40"/>
        <v>Easter</v>
      </c>
      <c r="K356" s="16" t="str">
        <f t="shared" si="38"/>
        <v>0-3</v>
      </c>
      <c r="L356" s="14" t="str">
        <f t="shared" si="41"/>
        <v>Romper Longer | 0-3 | Cream</v>
      </c>
      <c r="M356" s="16" t="s">
        <v>3609</v>
      </c>
    </row>
    <row r="357" spans="1:13" ht="25" customHeight="1" x14ac:dyDescent="0.45">
      <c r="A357" s="6">
        <v>46128</v>
      </c>
      <c r="B357" s="3" t="s">
        <v>853</v>
      </c>
      <c r="C357" s="4" t="s">
        <v>483</v>
      </c>
      <c r="D357" s="53" t="str">
        <f t="shared" si="39"/>
        <v>Forest Green</v>
      </c>
      <c r="E357" s="4" t="s">
        <v>754</v>
      </c>
      <c r="F357" s="4" t="s">
        <v>7</v>
      </c>
      <c r="G357" s="4" t="str">
        <f t="shared" si="42"/>
        <v>Romper Longer</v>
      </c>
      <c r="H357" s="38">
        <f t="shared" si="37"/>
        <v>4</v>
      </c>
      <c r="I357" s="54">
        <f t="shared" si="43"/>
        <v>16</v>
      </c>
      <c r="J357" s="14" t="str">
        <f t="shared" si="40"/>
        <v>Easter</v>
      </c>
      <c r="K357" s="16" t="str">
        <f t="shared" si="38"/>
        <v>6-12</v>
      </c>
      <c r="L357" s="14" t="str">
        <f t="shared" si="41"/>
        <v>Romper Longer | 6-12 | Forest Green</v>
      </c>
      <c r="M357" s="16" t="s">
        <v>3610</v>
      </c>
    </row>
    <row r="358" spans="1:13" ht="25" customHeight="1" x14ac:dyDescent="0.45">
      <c r="A358" s="6">
        <v>46128</v>
      </c>
      <c r="B358" s="3" t="s">
        <v>791</v>
      </c>
      <c r="C358" s="4" t="s">
        <v>470</v>
      </c>
      <c r="D358" s="53" t="str">
        <f t="shared" si="39"/>
        <v>Caldet Blue</v>
      </c>
      <c r="E358" s="4" t="s">
        <v>589</v>
      </c>
      <c r="F358" s="4" t="s">
        <v>7</v>
      </c>
      <c r="G358" s="4" t="str">
        <f t="shared" si="42"/>
        <v>Romper Short</v>
      </c>
      <c r="H358" s="38">
        <f t="shared" si="37"/>
        <v>4</v>
      </c>
      <c r="I358" s="54">
        <f t="shared" si="43"/>
        <v>16</v>
      </c>
      <c r="J358" s="14" t="str">
        <f t="shared" si="40"/>
        <v>Easter</v>
      </c>
      <c r="K358" s="16" t="str">
        <f t="shared" si="38"/>
        <v>6-12</v>
      </c>
      <c r="L358" s="14" t="str">
        <f t="shared" si="41"/>
        <v>Romper Short | 6-12 | Caldet Blue</v>
      </c>
      <c r="M358" s="16" t="s">
        <v>3610</v>
      </c>
    </row>
    <row r="359" spans="1:13" ht="25" customHeight="1" x14ac:dyDescent="0.45">
      <c r="A359" s="6">
        <v>46129</v>
      </c>
      <c r="B359" s="3" t="s">
        <v>913</v>
      </c>
      <c r="C359" s="4" t="s">
        <v>483</v>
      </c>
      <c r="D359" s="53" t="str">
        <f t="shared" si="39"/>
        <v>Forest Green</v>
      </c>
      <c r="E359" s="4" t="s">
        <v>555</v>
      </c>
      <c r="F359" s="4" t="s">
        <v>11</v>
      </c>
      <c r="G359" s="4" t="str">
        <f t="shared" si="42"/>
        <v>Romper Longer</v>
      </c>
      <c r="H359" s="38">
        <f t="shared" si="37"/>
        <v>4</v>
      </c>
      <c r="I359" s="54">
        <f t="shared" si="43"/>
        <v>16</v>
      </c>
      <c r="J359" s="14" t="str">
        <f t="shared" si="40"/>
        <v>Easter</v>
      </c>
      <c r="K359" s="16" t="str">
        <f t="shared" si="38"/>
        <v>3-6</v>
      </c>
      <c r="L359" s="14" t="str">
        <f t="shared" si="41"/>
        <v>Romper Longer | 3-6 | Forest Green</v>
      </c>
      <c r="M359" s="16" t="s">
        <v>3610</v>
      </c>
    </row>
    <row r="360" spans="1:13" ht="25" customHeight="1" x14ac:dyDescent="0.45">
      <c r="A360" s="6">
        <v>46129</v>
      </c>
      <c r="B360" s="3" t="s">
        <v>914</v>
      </c>
      <c r="C360" s="4" t="s">
        <v>470</v>
      </c>
      <c r="D360" s="53" t="str">
        <f t="shared" si="39"/>
        <v>Caldet Blue</v>
      </c>
      <c r="E360" s="4" t="s">
        <v>915</v>
      </c>
      <c r="F360" s="4" t="s">
        <v>18</v>
      </c>
      <c r="G360" s="4" t="str">
        <f t="shared" si="42"/>
        <v>Romper Longer</v>
      </c>
      <c r="H360" s="38">
        <f t="shared" si="37"/>
        <v>4</v>
      </c>
      <c r="I360" s="54">
        <f t="shared" si="43"/>
        <v>16</v>
      </c>
      <c r="J360" s="14" t="str">
        <f t="shared" si="40"/>
        <v>Easter</v>
      </c>
      <c r="K360" s="16" t="str">
        <f t="shared" si="38"/>
        <v>3-6</v>
      </c>
      <c r="L360" s="14" t="str">
        <f t="shared" si="41"/>
        <v>Romper Longer | 3-6 | Caldet Blue</v>
      </c>
      <c r="M360" s="16" t="s">
        <v>3610</v>
      </c>
    </row>
    <row r="361" spans="1:13" ht="25" customHeight="1" x14ac:dyDescent="0.45">
      <c r="A361" s="6">
        <v>46129</v>
      </c>
      <c r="B361" s="3" t="s">
        <v>916</v>
      </c>
      <c r="C361" s="4" t="s">
        <v>87</v>
      </c>
      <c r="D361" s="53" t="str">
        <f t="shared" si="39"/>
        <v>Cream</v>
      </c>
      <c r="E361" s="4" t="s">
        <v>917</v>
      </c>
      <c r="F361" s="4" t="s">
        <v>18</v>
      </c>
      <c r="G361" s="4" t="str">
        <f t="shared" si="42"/>
        <v>Romper Short</v>
      </c>
      <c r="H361" s="38">
        <f t="shared" si="37"/>
        <v>4</v>
      </c>
      <c r="I361" s="54">
        <f t="shared" si="43"/>
        <v>16</v>
      </c>
      <c r="J361" s="14" t="str">
        <f t="shared" si="40"/>
        <v>Easter</v>
      </c>
      <c r="K361" s="16" t="str">
        <f t="shared" si="38"/>
        <v>0-3</v>
      </c>
      <c r="L361" s="14" t="str">
        <f t="shared" si="41"/>
        <v>Romper Short | 0-3 | Cream</v>
      </c>
      <c r="M361" s="16" t="s">
        <v>3609</v>
      </c>
    </row>
    <row r="362" spans="1:13" ht="25" customHeight="1" x14ac:dyDescent="0.45">
      <c r="A362" s="6">
        <v>46129</v>
      </c>
      <c r="B362" s="3" t="s">
        <v>918</v>
      </c>
      <c r="C362" s="4" t="s">
        <v>87</v>
      </c>
      <c r="D362" s="53" t="str">
        <f t="shared" si="39"/>
        <v>Cream</v>
      </c>
      <c r="E362" s="4" t="s">
        <v>675</v>
      </c>
      <c r="F362" s="4" t="s">
        <v>7</v>
      </c>
      <c r="G362" s="4" t="str">
        <f t="shared" si="42"/>
        <v>Romper Longer</v>
      </c>
      <c r="H362" s="38">
        <f t="shared" si="37"/>
        <v>4</v>
      </c>
      <c r="I362" s="54">
        <f t="shared" si="43"/>
        <v>16</v>
      </c>
      <c r="J362" s="14" t="str">
        <f t="shared" si="40"/>
        <v>Easter</v>
      </c>
      <c r="K362" s="16" t="str">
        <f t="shared" si="38"/>
        <v>0-3</v>
      </c>
      <c r="L362" s="14" t="str">
        <f t="shared" si="41"/>
        <v>Romper Longer | 0-3 | Cream</v>
      </c>
      <c r="M362" s="16" t="s">
        <v>3609</v>
      </c>
    </row>
    <row r="363" spans="1:13" ht="25" customHeight="1" x14ac:dyDescent="0.45">
      <c r="A363" s="6">
        <v>46129</v>
      </c>
      <c r="B363" s="3" t="s">
        <v>919</v>
      </c>
      <c r="C363" s="4" t="s">
        <v>184</v>
      </c>
      <c r="D363" s="53" t="str">
        <f t="shared" si="39"/>
        <v>Coffee</v>
      </c>
      <c r="E363" s="4" t="s">
        <v>675</v>
      </c>
      <c r="F363" s="4" t="s">
        <v>7</v>
      </c>
      <c r="G363" s="4" t="str">
        <f t="shared" si="42"/>
        <v>Romper Longer</v>
      </c>
      <c r="H363" s="38">
        <f t="shared" si="37"/>
        <v>4</v>
      </c>
      <c r="I363" s="54">
        <f t="shared" si="43"/>
        <v>16</v>
      </c>
      <c r="J363" s="14" t="str">
        <f t="shared" si="40"/>
        <v>Easter</v>
      </c>
      <c r="K363" s="16" t="str">
        <f t="shared" si="38"/>
        <v>0-3</v>
      </c>
      <c r="L363" s="14" t="str">
        <f t="shared" si="41"/>
        <v>Romper Longer | 0-3 | Coffee</v>
      </c>
      <c r="M363" s="16" t="s">
        <v>3610</v>
      </c>
    </row>
    <row r="364" spans="1:13" ht="25" customHeight="1" x14ac:dyDescent="0.45">
      <c r="A364" s="6">
        <v>46129</v>
      </c>
      <c r="B364" s="3" t="s">
        <v>920</v>
      </c>
      <c r="C364" s="4" t="s">
        <v>101</v>
      </c>
      <c r="D364" s="53" t="str">
        <f t="shared" si="39"/>
        <v>Sage Green</v>
      </c>
      <c r="E364" s="4" t="s">
        <v>555</v>
      </c>
      <c r="F364" s="4" t="s">
        <v>7</v>
      </c>
      <c r="G364" s="4" t="str">
        <f t="shared" si="42"/>
        <v>Romper Longer</v>
      </c>
      <c r="H364" s="38">
        <f t="shared" si="37"/>
        <v>4</v>
      </c>
      <c r="I364" s="54">
        <f t="shared" si="43"/>
        <v>16</v>
      </c>
      <c r="J364" s="14" t="str">
        <f t="shared" si="40"/>
        <v>Easter</v>
      </c>
      <c r="K364" s="16" t="str">
        <f t="shared" si="38"/>
        <v>3-6</v>
      </c>
      <c r="L364" s="14" t="str">
        <f t="shared" si="41"/>
        <v>Romper Longer | 3-6 | Sage Green</v>
      </c>
      <c r="M364" s="16" t="s">
        <v>3611</v>
      </c>
    </row>
    <row r="365" spans="1:13" ht="25" customHeight="1" x14ac:dyDescent="0.45">
      <c r="A365" s="6">
        <v>46129</v>
      </c>
      <c r="B365" s="3" t="s">
        <v>921</v>
      </c>
      <c r="C365" s="4" t="s">
        <v>87</v>
      </c>
      <c r="D365" s="53" t="str">
        <f t="shared" si="39"/>
        <v>Cream</v>
      </c>
      <c r="E365" s="4" t="s">
        <v>490</v>
      </c>
      <c r="F365" s="4" t="s">
        <v>7</v>
      </c>
      <c r="G365" s="4" t="str">
        <f t="shared" si="42"/>
        <v>Romper Longer</v>
      </c>
      <c r="H365" s="38">
        <f t="shared" si="37"/>
        <v>4</v>
      </c>
      <c r="I365" s="54">
        <f t="shared" si="43"/>
        <v>16</v>
      </c>
      <c r="J365" s="14" t="str">
        <f t="shared" si="40"/>
        <v>Easter</v>
      </c>
      <c r="K365" s="16" t="str">
        <f t="shared" si="38"/>
        <v>0-3</v>
      </c>
      <c r="L365" s="14" t="str">
        <f t="shared" si="41"/>
        <v>Romper Longer | 0-3 | Cream</v>
      </c>
      <c r="M365" s="16" t="s">
        <v>3609</v>
      </c>
    </row>
    <row r="366" spans="1:13" ht="25" customHeight="1" x14ac:dyDescent="0.45">
      <c r="A366" s="6">
        <v>46129</v>
      </c>
      <c r="B366" s="3" t="s">
        <v>922</v>
      </c>
      <c r="C366" s="4" t="s">
        <v>114</v>
      </c>
      <c r="D366" s="53" t="str">
        <f t="shared" si="39"/>
        <v>White</v>
      </c>
      <c r="E366" s="4" t="s">
        <v>580</v>
      </c>
      <c r="F366" s="4" t="s">
        <v>7</v>
      </c>
      <c r="G366" s="4" t="str">
        <f t="shared" si="42"/>
        <v>Romper Short</v>
      </c>
      <c r="H366" s="38">
        <f t="shared" si="37"/>
        <v>4</v>
      </c>
      <c r="I366" s="54">
        <f t="shared" si="43"/>
        <v>16</v>
      </c>
      <c r="J366" s="14" t="str">
        <f t="shared" si="40"/>
        <v>Easter</v>
      </c>
      <c r="K366" s="16" t="str">
        <f t="shared" si="38"/>
        <v>0-3</v>
      </c>
      <c r="L366" s="14" t="str">
        <f t="shared" si="41"/>
        <v>Romper Short | 0-3 | White</v>
      </c>
      <c r="M366" s="16" t="s">
        <v>3610</v>
      </c>
    </row>
    <row r="367" spans="1:13" ht="25" customHeight="1" x14ac:dyDescent="0.45">
      <c r="A367" s="6">
        <v>46129</v>
      </c>
      <c r="B367" s="3" t="s">
        <v>923</v>
      </c>
      <c r="C367" s="4" t="s">
        <v>87</v>
      </c>
      <c r="D367" s="53" t="str">
        <f t="shared" si="39"/>
        <v>Cream</v>
      </c>
      <c r="E367" s="4" t="s">
        <v>580</v>
      </c>
      <c r="F367" s="4" t="s">
        <v>7</v>
      </c>
      <c r="G367" s="4" t="str">
        <f t="shared" si="42"/>
        <v>Romper Short</v>
      </c>
      <c r="H367" s="38">
        <f t="shared" si="37"/>
        <v>4</v>
      </c>
      <c r="I367" s="54">
        <f t="shared" si="43"/>
        <v>16</v>
      </c>
      <c r="J367" s="14" t="str">
        <f t="shared" si="40"/>
        <v>Easter</v>
      </c>
      <c r="K367" s="16" t="str">
        <f t="shared" si="38"/>
        <v>0-3</v>
      </c>
      <c r="L367" s="14" t="str">
        <f t="shared" si="41"/>
        <v>Romper Short | 0-3 | Cream</v>
      </c>
      <c r="M367" s="16" t="s">
        <v>3609</v>
      </c>
    </row>
    <row r="368" spans="1:13" ht="25" customHeight="1" x14ac:dyDescent="0.45">
      <c r="A368" s="6">
        <v>46129</v>
      </c>
      <c r="B368" s="3" t="s">
        <v>924</v>
      </c>
      <c r="C368" s="4" t="s">
        <v>508</v>
      </c>
      <c r="D368" s="53" t="str">
        <f t="shared" si="39"/>
        <v>Dusty Pink</v>
      </c>
      <c r="E368" s="4" t="s">
        <v>485</v>
      </c>
      <c r="F368" s="4" t="s">
        <v>7</v>
      </c>
      <c r="G368" s="4" t="str">
        <f t="shared" si="42"/>
        <v>Romper Short</v>
      </c>
      <c r="H368" s="38">
        <f t="shared" si="37"/>
        <v>4</v>
      </c>
      <c r="I368" s="54">
        <f t="shared" si="43"/>
        <v>16</v>
      </c>
      <c r="J368" s="14" t="str">
        <f t="shared" si="40"/>
        <v>Easter</v>
      </c>
      <c r="K368" s="16" t="str">
        <f t="shared" si="38"/>
        <v>3-6</v>
      </c>
      <c r="L368" s="14" t="str">
        <f t="shared" si="41"/>
        <v>Romper Short | 3-6 | Dusty Pink</v>
      </c>
      <c r="M368" s="16" t="s">
        <v>3610</v>
      </c>
    </row>
    <row r="369" spans="1:13" ht="25" customHeight="1" x14ac:dyDescent="0.45">
      <c r="A369" s="6">
        <v>46130</v>
      </c>
      <c r="B369" s="3" t="s">
        <v>925</v>
      </c>
      <c r="C369" s="4" t="s">
        <v>87</v>
      </c>
      <c r="D369" s="53" t="str">
        <f t="shared" si="39"/>
        <v>Cream</v>
      </c>
      <c r="E369" s="4" t="s">
        <v>485</v>
      </c>
      <c r="F369" s="4" t="s">
        <v>40</v>
      </c>
      <c r="G369" s="4" t="str">
        <f t="shared" si="42"/>
        <v>Romper Short</v>
      </c>
      <c r="H369" s="38">
        <f t="shared" si="37"/>
        <v>4</v>
      </c>
      <c r="I369" s="54">
        <f t="shared" si="43"/>
        <v>16</v>
      </c>
      <c r="J369" s="14" t="str">
        <f t="shared" si="40"/>
        <v>Easter</v>
      </c>
      <c r="K369" s="16" t="str">
        <f t="shared" si="38"/>
        <v>3-6</v>
      </c>
      <c r="L369" s="14" t="str">
        <f t="shared" si="41"/>
        <v>Romper Short | 3-6 | Cream</v>
      </c>
      <c r="M369" s="16" t="s">
        <v>3609</v>
      </c>
    </row>
    <row r="370" spans="1:13" ht="25" customHeight="1" x14ac:dyDescent="0.45">
      <c r="A370" s="6">
        <v>46130</v>
      </c>
      <c r="B370" s="3" t="s">
        <v>926</v>
      </c>
      <c r="C370" s="4" t="s">
        <v>184</v>
      </c>
      <c r="D370" s="53" t="str">
        <f t="shared" si="39"/>
        <v>Coffee</v>
      </c>
      <c r="E370" s="4" t="s">
        <v>485</v>
      </c>
      <c r="F370" s="4" t="s">
        <v>13</v>
      </c>
      <c r="G370" s="4" t="str">
        <f t="shared" si="42"/>
        <v>Romper Short</v>
      </c>
      <c r="H370" s="38">
        <f t="shared" si="37"/>
        <v>4</v>
      </c>
      <c r="I370" s="54">
        <f t="shared" si="43"/>
        <v>16</v>
      </c>
      <c r="J370" s="14" t="str">
        <f t="shared" si="40"/>
        <v>Easter</v>
      </c>
      <c r="K370" s="16" t="str">
        <f t="shared" si="38"/>
        <v>3-6</v>
      </c>
      <c r="L370" s="14" t="str">
        <f t="shared" si="41"/>
        <v>Romper Short | 3-6 | Coffee</v>
      </c>
      <c r="M370" s="16" t="s">
        <v>3610</v>
      </c>
    </row>
    <row r="371" spans="1:13" ht="25" customHeight="1" x14ac:dyDescent="0.45">
      <c r="A371" s="6">
        <v>46130</v>
      </c>
      <c r="B371" s="3" t="s">
        <v>927</v>
      </c>
      <c r="C371" s="4" t="s">
        <v>87</v>
      </c>
      <c r="D371" s="53" t="str">
        <f t="shared" si="39"/>
        <v>Cream</v>
      </c>
      <c r="E371" s="4" t="s">
        <v>479</v>
      </c>
      <c r="F371" s="4" t="s">
        <v>19</v>
      </c>
      <c r="G371" s="4" t="str">
        <f t="shared" si="42"/>
        <v>Romper Longer</v>
      </c>
      <c r="H371" s="38">
        <f t="shared" si="37"/>
        <v>4</v>
      </c>
      <c r="I371" s="54">
        <f t="shared" si="43"/>
        <v>16</v>
      </c>
      <c r="J371" s="14" t="str">
        <f t="shared" si="40"/>
        <v>Easter</v>
      </c>
      <c r="K371" s="16" t="str">
        <f t="shared" si="38"/>
        <v>6-12</v>
      </c>
      <c r="L371" s="14" t="str">
        <f t="shared" si="41"/>
        <v>Romper Longer | 6-12 | Cream</v>
      </c>
      <c r="M371" s="16" t="s">
        <v>3611</v>
      </c>
    </row>
    <row r="372" spans="1:13" ht="25" customHeight="1" x14ac:dyDescent="0.45">
      <c r="A372" s="6">
        <v>46130</v>
      </c>
      <c r="B372" s="3" t="s">
        <v>928</v>
      </c>
      <c r="C372" s="4" t="s">
        <v>508</v>
      </c>
      <c r="D372" s="53" t="str">
        <f t="shared" si="39"/>
        <v>Dusty Pink</v>
      </c>
      <c r="E372" s="4" t="s">
        <v>485</v>
      </c>
      <c r="F372" s="4" t="s">
        <v>37</v>
      </c>
      <c r="G372" s="4" t="str">
        <f t="shared" si="42"/>
        <v>Romper Short</v>
      </c>
      <c r="H372" s="38">
        <f t="shared" si="37"/>
        <v>4</v>
      </c>
      <c r="I372" s="54">
        <f t="shared" si="43"/>
        <v>16</v>
      </c>
      <c r="J372" s="14" t="str">
        <f t="shared" si="40"/>
        <v>Easter</v>
      </c>
      <c r="K372" s="16" t="str">
        <f t="shared" si="38"/>
        <v>3-6</v>
      </c>
      <c r="L372" s="14" t="str">
        <f t="shared" si="41"/>
        <v>Romper Short | 3-6 | Dusty Pink</v>
      </c>
      <c r="M372" s="16" t="s">
        <v>3610</v>
      </c>
    </row>
    <row r="373" spans="1:13" ht="25" customHeight="1" x14ac:dyDescent="0.45">
      <c r="A373" s="6">
        <v>46130</v>
      </c>
      <c r="B373" s="3" t="s">
        <v>929</v>
      </c>
      <c r="C373" s="4" t="s">
        <v>101</v>
      </c>
      <c r="D373" s="53" t="str">
        <f t="shared" si="39"/>
        <v>Sage Green</v>
      </c>
      <c r="E373" s="4" t="s">
        <v>490</v>
      </c>
      <c r="F373" s="4" t="s">
        <v>19</v>
      </c>
      <c r="G373" s="4" t="str">
        <f t="shared" si="42"/>
        <v>Romper Longer</v>
      </c>
      <c r="H373" s="38">
        <f t="shared" si="37"/>
        <v>4</v>
      </c>
      <c r="I373" s="54">
        <f t="shared" si="43"/>
        <v>16</v>
      </c>
      <c r="J373" s="14" t="str">
        <f t="shared" si="40"/>
        <v>Easter</v>
      </c>
      <c r="K373" s="16" t="str">
        <f t="shared" si="38"/>
        <v>0-3</v>
      </c>
      <c r="L373" s="14" t="str">
        <f t="shared" si="41"/>
        <v>Romper Longer | 0-3 | Sage Green</v>
      </c>
      <c r="M373" s="16" t="s">
        <v>3611</v>
      </c>
    </row>
    <row r="374" spans="1:13" ht="25" customHeight="1" x14ac:dyDescent="0.45">
      <c r="A374" s="6">
        <v>46130</v>
      </c>
      <c r="B374" s="3" t="s">
        <v>930</v>
      </c>
      <c r="C374" s="4" t="s">
        <v>101</v>
      </c>
      <c r="D374" s="53" t="str">
        <f t="shared" si="39"/>
        <v>Sage Green</v>
      </c>
      <c r="E374" s="4" t="s">
        <v>589</v>
      </c>
      <c r="F374" s="4" t="s">
        <v>7</v>
      </c>
      <c r="G374" s="4" t="str">
        <f t="shared" si="42"/>
        <v>Romper Short</v>
      </c>
      <c r="H374" s="38">
        <f t="shared" si="37"/>
        <v>4</v>
      </c>
      <c r="I374" s="54">
        <f t="shared" si="43"/>
        <v>16</v>
      </c>
      <c r="J374" s="14" t="str">
        <f t="shared" si="40"/>
        <v>Easter</v>
      </c>
      <c r="K374" s="16" t="str">
        <f t="shared" si="38"/>
        <v>6-12</v>
      </c>
      <c r="L374" s="14" t="str">
        <f t="shared" si="41"/>
        <v>Romper Short | 6-12 | Sage Green</v>
      </c>
      <c r="M374" s="16" t="s">
        <v>3610</v>
      </c>
    </row>
    <row r="375" spans="1:13" ht="25" customHeight="1" x14ac:dyDescent="0.45">
      <c r="A375" s="6">
        <v>46130</v>
      </c>
      <c r="B375" s="3" t="s">
        <v>931</v>
      </c>
      <c r="C375" s="4" t="s">
        <v>87</v>
      </c>
      <c r="D375" s="53" t="str">
        <f t="shared" si="39"/>
        <v>Cream</v>
      </c>
      <c r="E375" s="4" t="s">
        <v>575</v>
      </c>
      <c r="F375" s="4" t="s">
        <v>7</v>
      </c>
      <c r="G375" s="4" t="str">
        <f t="shared" si="42"/>
        <v>Romper Longer</v>
      </c>
      <c r="H375" s="38">
        <f t="shared" si="37"/>
        <v>4</v>
      </c>
      <c r="I375" s="54">
        <f t="shared" si="43"/>
        <v>16</v>
      </c>
      <c r="J375" s="14" t="str">
        <f t="shared" si="40"/>
        <v>Easter</v>
      </c>
      <c r="K375" s="16" t="str">
        <f t="shared" si="38"/>
        <v>18-24</v>
      </c>
      <c r="L375" s="14" t="str">
        <f t="shared" si="41"/>
        <v>Romper Longer | 18-24 | Cream</v>
      </c>
      <c r="M375" s="16" t="s">
        <v>3610</v>
      </c>
    </row>
    <row r="376" spans="1:13" ht="25" customHeight="1" x14ac:dyDescent="0.45">
      <c r="A376" s="6">
        <v>46130</v>
      </c>
      <c r="B376" s="3" t="s">
        <v>932</v>
      </c>
      <c r="C376" s="4" t="s">
        <v>87</v>
      </c>
      <c r="D376" s="53" t="str">
        <f t="shared" si="39"/>
        <v>Cream</v>
      </c>
      <c r="E376" s="4" t="s">
        <v>490</v>
      </c>
      <c r="F376" s="4" t="s">
        <v>15</v>
      </c>
      <c r="G376" s="4" t="str">
        <f t="shared" si="42"/>
        <v>Romper Longer</v>
      </c>
      <c r="H376" s="38">
        <f t="shared" si="37"/>
        <v>4</v>
      </c>
      <c r="I376" s="54">
        <f t="shared" si="43"/>
        <v>16</v>
      </c>
      <c r="J376" s="14" t="str">
        <f t="shared" si="40"/>
        <v>Easter</v>
      </c>
      <c r="K376" s="16" t="str">
        <f t="shared" si="38"/>
        <v>0-3</v>
      </c>
      <c r="L376" s="14" t="str">
        <f t="shared" si="41"/>
        <v>Romper Longer | 0-3 | Cream</v>
      </c>
      <c r="M376" s="16" t="s">
        <v>3609</v>
      </c>
    </row>
    <row r="377" spans="1:13" ht="25" customHeight="1" x14ac:dyDescent="0.45">
      <c r="A377" s="6">
        <v>46130</v>
      </c>
      <c r="B377" s="3" t="s">
        <v>933</v>
      </c>
      <c r="C377" s="4" t="s">
        <v>473</v>
      </c>
      <c r="D377" s="53" t="str">
        <f t="shared" si="39"/>
        <v>Salmon</v>
      </c>
      <c r="E377" s="4" t="s">
        <v>555</v>
      </c>
      <c r="F377" s="4" t="s">
        <v>7</v>
      </c>
      <c r="G377" s="4" t="str">
        <f t="shared" si="42"/>
        <v>Romper Longer</v>
      </c>
      <c r="H377" s="38">
        <f t="shared" si="37"/>
        <v>4</v>
      </c>
      <c r="I377" s="54">
        <f t="shared" si="43"/>
        <v>16</v>
      </c>
      <c r="J377" s="14" t="str">
        <f t="shared" si="40"/>
        <v>Easter</v>
      </c>
      <c r="K377" s="16" t="str">
        <f t="shared" si="38"/>
        <v>3-6</v>
      </c>
      <c r="L377" s="14" t="str">
        <f t="shared" si="41"/>
        <v>Romper Longer | 3-6 | Salmon</v>
      </c>
      <c r="M377" s="16" t="s">
        <v>3610</v>
      </c>
    </row>
    <row r="378" spans="1:13" ht="25" customHeight="1" x14ac:dyDescent="0.45">
      <c r="A378" s="6">
        <v>46130</v>
      </c>
      <c r="B378" s="3" t="s">
        <v>934</v>
      </c>
      <c r="C378" s="4" t="s">
        <v>87</v>
      </c>
      <c r="D378" s="53" t="str">
        <f t="shared" si="39"/>
        <v>Cream</v>
      </c>
      <c r="E378" s="4" t="s">
        <v>490</v>
      </c>
      <c r="F378" s="4" t="s">
        <v>7</v>
      </c>
      <c r="G378" s="4" t="str">
        <f t="shared" si="42"/>
        <v>Romper Longer</v>
      </c>
      <c r="H378" s="38">
        <f t="shared" si="37"/>
        <v>4</v>
      </c>
      <c r="I378" s="54">
        <f t="shared" si="43"/>
        <v>16</v>
      </c>
      <c r="J378" s="14" t="str">
        <f t="shared" si="40"/>
        <v>Easter</v>
      </c>
      <c r="K378" s="16" t="str">
        <f t="shared" si="38"/>
        <v>0-3</v>
      </c>
      <c r="L378" s="14" t="str">
        <f t="shared" si="41"/>
        <v>Romper Longer | 0-3 | Cream</v>
      </c>
      <c r="M378" s="16" t="s">
        <v>3609</v>
      </c>
    </row>
    <row r="379" spans="1:13" ht="25" customHeight="1" x14ac:dyDescent="0.45">
      <c r="A379" s="6">
        <v>46130</v>
      </c>
      <c r="B379" s="3" t="s">
        <v>935</v>
      </c>
      <c r="C379" s="4" t="s">
        <v>559</v>
      </c>
      <c r="D379" s="53" t="str">
        <f t="shared" si="39"/>
        <v xml:space="preserve"> Sage Green</v>
      </c>
      <c r="E379" s="4" t="s">
        <v>555</v>
      </c>
      <c r="F379" s="4" t="s">
        <v>7</v>
      </c>
      <c r="G379" s="4" t="str">
        <f t="shared" si="42"/>
        <v>Romper Longer</v>
      </c>
      <c r="H379" s="38">
        <f t="shared" si="37"/>
        <v>4</v>
      </c>
      <c r="I379" s="54">
        <f t="shared" si="43"/>
        <v>16</v>
      </c>
      <c r="J379" s="14" t="str">
        <f t="shared" si="40"/>
        <v>Easter</v>
      </c>
      <c r="K379" s="16" t="str">
        <f t="shared" si="38"/>
        <v>3-6</v>
      </c>
      <c r="L379" s="14" t="str">
        <f t="shared" si="41"/>
        <v>Romper Longer | 3-6 | Sage Green</v>
      </c>
      <c r="M379" s="16" t="s">
        <v>3611</v>
      </c>
    </row>
    <row r="380" spans="1:13" ht="25" customHeight="1" x14ac:dyDescent="0.45">
      <c r="A380" s="6">
        <v>46130</v>
      </c>
      <c r="B380" s="3" t="s">
        <v>936</v>
      </c>
      <c r="C380" s="4" t="s">
        <v>488</v>
      </c>
      <c r="D380" s="53" t="str">
        <f t="shared" si="39"/>
        <v xml:space="preserve"> Cream</v>
      </c>
      <c r="E380" s="4" t="s">
        <v>578</v>
      </c>
      <c r="F380" s="4" t="s">
        <v>18</v>
      </c>
      <c r="G380" s="4" t="str">
        <f t="shared" si="42"/>
        <v>Romper Short</v>
      </c>
      <c r="H380" s="38">
        <f t="shared" si="37"/>
        <v>4</v>
      </c>
      <c r="I380" s="54">
        <f t="shared" si="43"/>
        <v>16</v>
      </c>
      <c r="J380" s="14" t="str">
        <f t="shared" si="40"/>
        <v>Easter</v>
      </c>
      <c r="K380" s="16" t="str">
        <f t="shared" si="38"/>
        <v>0-3</v>
      </c>
      <c r="L380" s="14" t="str">
        <f t="shared" si="41"/>
        <v>Romper Short | 0-3 | Cream</v>
      </c>
      <c r="M380" s="16" t="s">
        <v>3609</v>
      </c>
    </row>
    <row r="381" spans="1:13" ht="25" customHeight="1" x14ac:dyDescent="0.45">
      <c r="A381" s="6">
        <v>46130</v>
      </c>
      <c r="B381" s="3" t="s">
        <v>937</v>
      </c>
      <c r="C381" s="4" t="s">
        <v>87</v>
      </c>
      <c r="D381" s="53" t="str">
        <f t="shared" si="39"/>
        <v>Cream</v>
      </c>
      <c r="E381" s="4" t="s">
        <v>555</v>
      </c>
      <c r="F381" s="4" t="s">
        <v>18</v>
      </c>
      <c r="G381" s="4" t="str">
        <f t="shared" si="42"/>
        <v>Romper Longer</v>
      </c>
      <c r="H381" s="38">
        <f t="shared" si="37"/>
        <v>4</v>
      </c>
      <c r="I381" s="54">
        <f t="shared" si="43"/>
        <v>16</v>
      </c>
      <c r="J381" s="14" t="str">
        <f t="shared" si="40"/>
        <v>Easter</v>
      </c>
      <c r="K381" s="16" t="str">
        <f t="shared" si="38"/>
        <v>3-6</v>
      </c>
      <c r="L381" s="14" t="str">
        <f t="shared" si="41"/>
        <v>Romper Longer | 3-6 | Cream</v>
      </c>
      <c r="M381" s="16" t="s">
        <v>3609</v>
      </c>
    </row>
    <row r="382" spans="1:13" ht="25" customHeight="1" x14ac:dyDescent="0.45">
      <c r="A382" s="6">
        <v>46130</v>
      </c>
      <c r="B382" s="3" t="s">
        <v>938</v>
      </c>
      <c r="C382" s="4" t="s">
        <v>508</v>
      </c>
      <c r="D382" s="53" t="str">
        <f t="shared" si="39"/>
        <v>Dusty Pink</v>
      </c>
      <c r="E382" s="4" t="s">
        <v>580</v>
      </c>
      <c r="F382" s="4" t="s">
        <v>7</v>
      </c>
      <c r="G382" s="4" t="str">
        <f t="shared" si="42"/>
        <v>Romper Short</v>
      </c>
      <c r="H382" s="38">
        <f t="shared" si="37"/>
        <v>4</v>
      </c>
      <c r="I382" s="54">
        <f t="shared" si="43"/>
        <v>16</v>
      </c>
      <c r="J382" s="14" t="str">
        <f t="shared" si="40"/>
        <v>Easter</v>
      </c>
      <c r="K382" s="16" t="str">
        <f t="shared" si="38"/>
        <v>0-3</v>
      </c>
      <c r="L382" s="14" t="str">
        <f t="shared" si="41"/>
        <v>Romper Short | 0-3 | Dusty Pink</v>
      </c>
      <c r="M382" s="16" t="s">
        <v>3610</v>
      </c>
    </row>
    <row r="383" spans="1:13" ht="25" customHeight="1" x14ac:dyDescent="0.45">
      <c r="A383" s="6">
        <v>46130</v>
      </c>
      <c r="B383" s="3" t="s">
        <v>939</v>
      </c>
      <c r="C383" s="4" t="s">
        <v>87</v>
      </c>
      <c r="D383" s="53" t="str">
        <f t="shared" si="39"/>
        <v>Cream</v>
      </c>
      <c r="E383" s="4" t="s">
        <v>479</v>
      </c>
      <c r="F383" s="4" t="s">
        <v>7</v>
      </c>
      <c r="G383" s="4" t="str">
        <f t="shared" si="42"/>
        <v>Romper Longer</v>
      </c>
      <c r="H383" s="38">
        <f t="shared" si="37"/>
        <v>4</v>
      </c>
      <c r="I383" s="54">
        <f t="shared" si="43"/>
        <v>16</v>
      </c>
      <c r="J383" s="14" t="str">
        <f t="shared" si="40"/>
        <v>Easter</v>
      </c>
      <c r="K383" s="16" t="str">
        <f t="shared" si="38"/>
        <v>6-12</v>
      </c>
      <c r="L383" s="14" t="str">
        <f t="shared" si="41"/>
        <v>Romper Longer | 6-12 | Cream</v>
      </c>
      <c r="M383" s="16" t="s">
        <v>3611</v>
      </c>
    </row>
    <row r="384" spans="1:13" ht="25" customHeight="1" x14ac:dyDescent="0.45">
      <c r="A384" s="6">
        <v>46130</v>
      </c>
      <c r="B384" s="3" t="s">
        <v>940</v>
      </c>
      <c r="C384" s="4" t="s">
        <v>508</v>
      </c>
      <c r="D384" s="53" t="str">
        <f t="shared" si="39"/>
        <v>Dusty Pink</v>
      </c>
      <c r="E384" s="4" t="s">
        <v>485</v>
      </c>
      <c r="F384" s="4" t="s">
        <v>13</v>
      </c>
      <c r="G384" s="4" t="str">
        <f t="shared" si="42"/>
        <v>Romper Short</v>
      </c>
      <c r="H384" s="38">
        <f t="shared" si="37"/>
        <v>4</v>
      </c>
      <c r="I384" s="54">
        <f t="shared" si="43"/>
        <v>16</v>
      </c>
      <c r="J384" s="14" t="str">
        <f t="shared" si="40"/>
        <v>Easter</v>
      </c>
      <c r="K384" s="16" t="str">
        <f t="shared" si="38"/>
        <v>3-6</v>
      </c>
      <c r="L384" s="14" t="str">
        <f t="shared" si="41"/>
        <v>Romper Short | 3-6 | Dusty Pink</v>
      </c>
      <c r="M384" s="16" t="s">
        <v>3610</v>
      </c>
    </row>
    <row r="385" spans="1:13" ht="25" customHeight="1" x14ac:dyDescent="0.45">
      <c r="A385" s="6">
        <v>46131</v>
      </c>
      <c r="B385" s="3" t="s">
        <v>941</v>
      </c>
      <c r="C385" s="4" t="s">
        <v>87</v>
      </c>
      <c r="D385" s="53" t="str">
        <f t="shared" si="39"/>
        <v>Cream</v>
      </c>
      <c r="E385" s="4" t="s">
        <v>490</v>
      </c>
      <c r="F385" s="4" t="s">
        <v>18</v>
      </c>
      <c r="G385" s="4" t="str">
        <f t="shared" si="42"/>
        <v>Romper Longer</v>
      </c>
      <c r="H385" s="38">
        <f t="shared" si="37"/>
        <v>4</v>
      </c>
      <c r="I385" s="54">
        <f t="shared" si="43"/>
        <v>17</v>
      </c>
      <c r="J385" s="14" t="str">
        <f t="shared" si="40"/>
        <v>Easter</v>
      </c>
      <c r="K385" s="16" t="str">
        <f t="shared" si="38"/>
        <v>0-3</v>
      </c>
      <c r="L385" s="14" t="str">
        <f t="shared" si="41"/>
        <v>Romper Longer | 0-3 | Cream</v>
      </c>
      <c r="M385" s="16" t="s">
        <v>3609</v>
      </c>
    </row>
    <row r="386" spans="1:13" ht="25" customHeight="1" x14ac:dyDescent="0.45">
      <c r="A386" s="6">
        <v>46131</v>
      </c>
      <c r="B386" s="3" t="s">
        <v>942</v>
      </c>
      <c r="C386" s="4" t="s">
        <v>87</v>
      </c>
      <c r="D386" s="53" t="str">
        <f t="shared" si="39"/>
        <v>Cream</v>
      </c>
      <c r="E386" s="4" t="s">
        <v>555</v>
      </c>
      <c r="F386" s="4" t="s">
        <v>7</v>
      </c>
      <c r="G386" s="4" t="str">
        <f t="shared" si="42"/>
        <v>Romper Longer</v>
      </c>
      <c r="H386" s="38">
        <f t="shared" ref="H386:H449" si="44">MONTH(A386)</f>
        <v>4</v>
      </c>
      <c r="I386" s="54">
        <f t="shared" si="43"/>
        <v>17</v>
      </c>
      <c r="J386" s="14" t="str">
        <f t="shared" si="40"/>
        <v>Easter</v>
      </c>
      <c r="K386" s="16" t="str">
        <f t="shared" ref="K386:K396" si="45">TRIM(LEFT(E386,FIND("(",E386&amp;"(")-2))</f>
        <v>3-6</v>
      </c>
      <c r="L386" s="14" t="str">
        <f t="shared" si="41"/>
        <v>Romper Longer | 3-6 | Cream</v>
      </c>
      <c r="M386" s="16" t="s">
        <v>3609</v>
      </c>
    </row>
    <row r="387" spans="1:13" ht="25" customHeight="1" x14ac:dyDescent="0.45">
      <c r="A387" s="6">
        <v>46131</v>
      </c>
      <c r="B387" s="3" t="s">
        <v>943</v>
      </c>
      <c r="C387" s="4" t="s">
        <v>87</v>
      </c>
      <c r="D387" s="53" t="str">
        <f t="shared" ref="D387:D450" si="46">PROPER(C387)</f>
        <v>Cream</v>
      </c>
      <c r="E387" s="4" t="s">
        <v>479</v>
      </c>
      <c r="F387" s="4" t="s">
        <v>11</v>
      </c>
      <c r="G387" s="4" t="str">
        <f t="shared" si="42"/>
        <v>Romper Longer</v>
      </c>
      <c r="H387" s="38">
        <f t="shared" si="44"/>
        <v>4</v>
      </c>
      <c r="I387" s="54">
        <f t="shared" si="43"/>
        <v>17</v>
      </c>
      <c r="J387" s="14" t="str">
        <f t="shared" ref="J387:J450" si="47">IF(H387=1,"NewYear",
IF(H387=2,"Valentine",
IF(OR(H387=3,H387=4),"Easter",
IF(H387=5,"MothersDay",
IF(H387=6,"FathersDay",
IF(OR(H387=7,H387=8),"Summer",
IF(H387=10,"Halloween",
IF(OR(H387=11,H387=12),"Christmas","Normal"))))))))</f>
        <v>Easter</v>
      </c>
      <c r="K387" s="16" t="str">
        <f t="shared" si="45"/>
        <v>6-12</v>
      </c>
      <c r="L387" s="14" t="str">
        <f t="shared" ref="L387:L450" si="48">TRIM(G387)&amp;" | "&amp;TRIM(K387)&amp;" | "&amp;PROPER(TRIM(D387))</f>
        <v>Romper Longer | 6-12 | Cream</v>
      </c>
      <c r="M387" s="16" t="s">
        <v>3611</v>
      </c>
    </row>
    <row r="388" spans="1:13" ht="25" customHeight="1" x14ac:dyDescent="0.45">
      <c r="A388" s="6">
        <v>46131</v>
      </c>
      <c r="B388" s="3" t="s">
        <v>944</v>
      </c>
      <c r="C388" s="4" t="s">
        <v>87</v>
      </c>
      <c r="D388" s="53" t="str">
        <f t="shared" si="46"/>
        <v>Cream</v>
      </c>
      <c r="E388" s="4" t="s">
        <v>485</v>
      </c>
      <c r="F388" s="4" t="s">
        <v>7</v>
      </c>
      <c r="G388" s="4" t="str">
        <f t="shared" si="42"/>
        <v>Romper Short</v>
      </c>
      <c r="H388" s="38">
        <f t="shared" si="44"/>
        <v>4</v>
      </c>
      <c r="I388" s="54">
        <f t="shared" si="43"/>
        <v>17</v>
      </c>
      <c r="J388" s="14" t="str">
        <f t="shared" si="47"/>
        <v>Easter</v>
      </c>
      <c r="K388" s="16" t="str">
        <f t="shared" si="45"/>
        <v>3-6</v>
      </c>
      <c r="L388" s="14" t="str">
        <f t="shared" si="48"/>
        <v>Romper Short | 3-6 | Cream</v>
      </c>
      <c r="M388" s="16" t="s">
        <v>3609</v>
      </c>
    </row>
    <row r="389" spans="1:13" ht="25" customHeight="1" x14ac:dyDescent="0.45">
      <c r="A389" s="6">
        <v>46131</v>
      </c>
      <c r="B389" s="3" t="s">
        <v>945</v>
      </c>
      <c r="C389" s="4" t="s">
        <v>470</v>
      </c>
      <c r="D389" s="53" t="str">
        <f t="shared" si="46"/>
        <v>Caldet Blue</v>
      </c>
      <c r="E389" s="4" t="s">
        <v>589</v>
      </c>
      <c r="F389" s="4" t="s">
        <v>7</v>
      </c>
      <c r="G389" s="4" t="str">
        <f t="shared" si="42"/>
        <v>Romper Short</v>
      </c>
      <c r="H389" s="38">
        <f t="shared" si="44"/>
        <v>4</v>
      </c>
      <c r="I389" s="54">
        <f t="shared" si="43"/>
        <v>17</v>
      </c>
      <c r="J389" s="14" t="str">
        <f t="shared" si="47"/>
        <v>Easter</v>
      </c>
      <c r="K389" s="16" t="str">
        <f t="shared" si="45"/>
        <v>6-12</v>
      </c>
      <c r="L389" s="14" t="str">
        <f t="shared" si="48"/>
        <v>Romper Short | 6-12 | Caldet Blue</v>
      </c>
      <c r="M389" s="16" t="s">
        <v>3610</v>
      </c>
    </row>
    <row r="390" spans="1:13" ht="25" customHeight="1" x14ac:dyDescent="0.45">
      <c r="A390" s="6">
        <v>46131</v>
      </c>
      <c r="B390" s="3" t="s">
        <v>946</v>
      </c>
      <c r="C390" s="4" t="s">
        <v>470</v>
      </c>
      <c r="D390" s="53" t="str">
        <f t="shared" si="46"/>
        <v>Caldet Blue</v>
      </c>
      <c r="E390" s="4" t="s">
        <v>479</v>
      </c>
      <c r="F390" s="4" t="s">
        <v>7</v>
      </c>
      <c r="G390" s="4" t="str">
        <f t="shared" si="42"/>
        <v>Romper Longer</v>
      </c>
      <c r="H390" s="38">
        <f t="shared" si="44"/>
        <v>4</v>
      </c>
      <c r="I390" s="54">
        <f t="shared" si="43"/>
        <v>17</v>
      </c>
      <c r="J390" s="14" t="str">
        <f t="shared" si="47"/>
        <v>Easter</v>
      </c>
      <c r="K390" s="16" t="str">
        <f t="shared" si="45"/>
        <v>6-12</v>
      </c>
      <c r="L390" s="14" t="str">
        <f t="shared" si="48"/>
        <v>Romper Longer | 6-12 | Caldet Blue</v>
      </c>
      <c r="M390" s="16" t="s">
        <v>3610</v>
      </c>
    </row>
    <row r="391" spans="1:13" ht="25" customHeight="1" x14ac:dyDescent="0.45">
      <c r="A391" s="6">
        <v>46131</v>
      </c>
      <c r="B391" s="3" t="s">
        <v>947</v>
      </c>
      <c r="C391" s="4" t="s">
        <v>114</v>
      </c>
      <c r="D391" s="53" t="str">
        <f t="shared" si="46"/>
        <v>White</v>
      </c>
      <c r="E391" s="4" t="s">
        <v>580</v>
      </c>
      <c r="F391" s="4" t="s">
        <v>7</v>
      </c>
      <c r="G391" s="4" t="str">
        <f t="shared" si="42"/>
        <v>Romper Short</v>
      </c>
      <c r="H391" s="38">
        <f t="shared" si="44"/>
        <v>4</v>
      </c>
      <c r="I391" s="54">
        <f t="shared" si="43"/>
        <v>17</v>
      </c>
      <c r="J391" s="14" t="str">
        <f t="shared" si="47"/>
        <v>Easter</v>
      </c>
      <c r="K391" s="16" t="str">
        <f t="shared" si="45"/>
        <v>0-3</v>
      </c>
      <c r="L391" s="14" t="str">
        <f t="shared" si="48"/>
        <v>Romper Short | 0-3 | White</v>
      </c>
      <c r="M391" s="16" t="s">
        <v>3610</v>
      </c>
    </row>
    <row r="392" spans="1:13" ht="25" customHeight="1" x14ac:dyDescent="0.45">
      <c r="A392" s="6">
        <v>46131</v>
      </c>
      <c r="B392" s="3" t="s">
        <v>948</v>
      </c>
      <c r="C392" s="4" t="s">
        <v>87</v>
      </c>
      <c r="D392" s="53" t="str">
        <f t="shared" si="46"/>
        <v>Cream</v>
      </c>
      <c r="E392" s="4" t="s">
        <v>490</v>
      </c>
      <c r="F392" s="4" t="s">
        <v>7</v>
      </c>
      <c r="G392" s="4" t="str">
        <f t="shared" si="42"/>
        <v>Romper Longer</v>
      </c>
      <c r="H392" s="38">
        <f t="shared" si="44"/>
        <v>4</v>
      </c>
      <c r="I392" s="54">
        <f t="shared" si="43"/>
        <v>17</v>
      </c>
      <c r="J392" s="14" t="str">
        <f t="shared" si="47"/>
        <v>Easter</v>
      </c>
      <c r="K392" s="16" t="str">
        <f t="shared" si="45"/>
        <v>0-3</v>
      </c>
      <c r="L392" s="14" t="str">
        <f t="shared" si="48"/>
        <v>Romper Longer | 0-3 | Cream</v>
      </c>
      <c r="M392" s="16" t="s">
        <v>3609</v>
      </c>
    </row>
    <row r="393" spans="1:13" ht="25" customHeight="1" x14ac:dyDescent="0.45">
      <c r="A393" s="6">
        <v>46132</v>
      </c>
      <c r="B393" s="3" t="s">
        <v>949</v>
      </c>
      <c r="C393" s="4" t="s">
        <v>508</v>
      </c>
      <c r="D393" s="53" t="str">
        <f t="shared" si="46"/>
        <v>Dusty Pink</v>
      </c>
      <c r="E393" s="4" t="s">
        <v>555</v>
      </c>
      <c r="F393" s="4" t="s">
        <v>7</v>
      </c>
      <c r="G393" s="4" t="str">
        <f t="shared" si="42"/>
        <v>Romper Longer</v>
      </c>
      <c r="H393" s="38">
        <f t="shared" si="44"/>
        <v>4</v>
      </c>
      <c r="I393" s="54">
        <f t="shared" si="43"/>
        <v>17</v>
      </c>
      <c r="J393" s="14" t="str">
        <f t="shared" si="47"/>
        <v>Easter</v>
      </c>
      <c r="K393" s="16" t="str">
        <f t="shared" si="45"/>
        <v>3-6</v>
      </c>
      <c r="L393" s="14" t="str">
        <f t="shared" si="48"/>
        <v>Romper Longer | 3-6 | Dusty Pink</v>
      </c>
      <c r="M393" s="16" t="s">
        <v>3610</v>
      </c>
    </row>
    <row r="394" spans="1:13" ht="25" customHeight="1" x14ac:dyDescent="0.45">
      <c r="A394" s="6">
        <v>46132</v>
      </c>
      <c r="B394" s="3" t="s">
        <v>950</v>
      </c>
      <c r="C394" s="4" t="s">
        <v>87</v>
      </c>
      <c r="D394" s="53" t="str">
        <f t="shared" si="46"/>
        <v>Cream</v>
      </c>
      <c r="E394" s="4" t="s">
        <v>555</v>
      </c>
      <c r="F394" s="4" t="s">
        <v>11</v>
      </c>
      <c r="G394" s="4" t="str">
        <f t="shared" si="42"/>
        <v>Romper Longer</v>
      </c>
      <c r="H394" s="38">
        <f t="shared" si="44"/>
        <v>4</v>
      </c>
      <c r="I394" s="54">
        <f t="shared" si="43"/>
        <v>17</v>
      </c>
      <c r="J394" s="14" t="str">
        <f t="shared" si="47"/>
        <v>Easter</v>
      </c>
      <c r="K394" s="16" t="str">
        <f t="shared" si="45"/>
        <v>3-6</v>
      </c>
      <c r="L394" s="14" t="str">
        <f t="shared" si="48"/>
        <v>Romper Longer | 3-6 | Cream</v>
      </c>
      <c r="M394" s="16" t="s">
        <v>3609</v>
      </c>
    </row>
    <row r="395" spans="1:13" ht="25" customHeight="1" x14ac:dyDescent="0.45">
      <c r="A395" s="6">
        <v>46132</v>
      </c>
      <c r="B395" s="3" t="s">
        <v>951</v>
      </c>
      <c r="C395" s="4" t="s">
        <v>101</v>
      </c>
      <c r="D395" s="53" t="str">
        <f t="shared" si="46"/>
        <v>Sage Green</v>
      </c>
      <c r="E395" s="4" t="s">
        <v>555</v>
      </c>
      <c r="F395" s="4" t="s">
        <v>19</v>
      </c>
      <c r="G395" s="4" t="str">
        <f t="shared" si="42"/>
        <v>Romper Longer</v>
      </c>
      <c r="H395" s="38">
        <f t="shared" si="44"/>
        <v>4</v>
      </c>
      <c r="I395" s="54">
        <f t="shared" si="43"/>
        <v>17</v>
      </c>
      <c r="J395" s="14" t="str">
        <f t="shared" si="47"/>
        <v>Easter</v>
      </c>
      <c r="K395" s="16" t="str">
        <f t="shared" si="45"/>
        <v>3-6</v>
      </c>
      <c r="L395" s="14" t="str">
        <f t="shared" si="48"/>
        <v>Romper Longer | 3-6 | Sage Green</v>
      </c>
      <c r="M395" s="16" t="s">
        <v>3611</v>
      </c>
    </row>
    <row r="396" spans="1:13" ht="25" customHeight="1" x14ac:dyDescent="0.45">
      <c r="A396" s="6">
        <v>46132</v>
      </c>
      <c r="B396" s="3" t="s">
        <v>952</v>
      </c>
      <c r="C396" s="4" t="s">
        <v>87</v>
      </c>
      <c r="D396" s="53" t="str">
        <f t="shared" si="46"/>
        <v>Cream</v>
      </c>
      <c r="E396" s="4" t="s">
        <v>580</v>
      </c>
      <c r="F396" s="4" t="s">
        <v>7</v>
      </c>
      <c r="G396" s="4" t="str">
        <f t="shared" si="42"/>
        <v>Romper Short</v>
      </c>
      <c r="H396" s="38">
        <f t="shared" si="44"/>
        <v>4</v>
      </c>
      <c r="I396" s="54">
        <f t="shared" si="43"/>
        <v>17</v>
      </c>
      <c r="J396" s="14" t="str">
        <f t="shared" si="47"/>
        <v>Easter</v>
      </c>
      <c r="K396" s="16" t="str">
        <f t="shared" si="45"/>
        <v>0-3</v>
      </c>
      <c r="L396" s="14" t="str">
        <f t="shared" si="48"/>
        <v>Romper Short | 0-3 | Cream</v>
      </c>
      <c r="M396" s="16" t="s">
        <v>3609</v>
      </c>
    </row>
    <row r="397" spans="1:13" ht="25" customHeight="1" x14ac:dyDescent="0.45">
      <c r="A397" s="6">
        <v>46132</v>
      </c>
      <c r="B397" s="3" t="s">
        <v>953</v>
      </c>
      <c r="C397" s="4" t="s">
        <v>470</v>
      </c>
      <c r="D397" s="53" t="str">
        <f t="shared" si="46"/>
        <v>Caldet Blue</v>
      </c>
      <c r="E397" s="4" t="s">
        <v>954</v>
      </c>
      <c r="F397" s="4" t="s">
        <v>19</v>
      </c>
      <c r="G397" s="4" t="str">
        <f t="shared" si="42"/>
        <v>Romper Short</v>
      </c>
      <c r="H397" s="38">
        <f t="shared" si="44"/>
        <v>4</v>
      </c>
      <c r="I397" s="54">
        <f t="shared" si="43"/>
        <v>17</v>
      </c>
      <c r="J397" s="14" t="str">
        <f t="shared" si="47"/>
        <v>Easter</v>
      </c>
      <c r="K397" s="16" t="str">
        <f>TRIM(LEFT(E397,FIND("(",E397&amp;"(")-7))</f>
        <v>12-18</v>
      </c>
      <c r="L397" s="14" t="str">
        <f t="shared" si="48"/>
        <v>Romper Short | 12-18 | Caldet Blue</v>
      </c>
      <c r="M397" s="16" t="s">
        <v>3610</v>
      </c>
    </row>
    <row r="398" spans="1:13" ht="25" customHeight="1" x14ac:dyDescent="0.45">
      <c r="A398" s="6">
        <v>46133</v>
      </c>
      <c r="B398" s="3" t="s">
        <v>955</v>
      </c>
      <c r="C398" s="4" t="s">
        <v>528</v>
      </c>
      <c r="D398" s="53" t="str">
        <f t="shared" si="46"/>
        <v>Watermelon</v>
      </c>
      <c r="E398" s="4" t="s">
        <v>555</v>
      </c>
      <c r="F398" s="4" t="s">
        <v>11</v>
      </c>
      <c r="G398" s="4" t="str">
        <f t="shared" si="42"/>
        <v>Romper Longer</v>
      </c>
      <c r="H398" s="38">
        <f t="shared" si="44"/>
        <v>4</v>
      </c>
      <c r="I398" s="54">
        <f t="shared" si="43"/>
        <v>17</v>
      </c>
      <c r="J398" s="14" t="str">
        <f t="shared" si="47"/>
        <v>Easter</v>
      </c>
      <c r="K398" s="16" t="str">
        <f t="shared" ref="K398:K461" si="49">TRIM(LEFT(E398,FIND("(",E398&amp;"(")-2))</f>
        <v>3-6</v>
      </c>
      <c r="L398" s="14" t="str">
        <f t="shared" si="48"/>
        <v>Romper Longer | 3-6 | Watermelon</v>
      </c>
      <c r="M398" s="16" t="s">
        <v>3610</v>
      </c>
    </row>
    <row r="399" spans="1:13" ht="25" customHeight="1" x14ac:dyDescent="0.45">
      <c r="A399" s="6">
        <v>46133</v>
      </c>
      <c r="B399" s="3" t="s">
        <v>956</v>
      </c>
      <c r="C399" s="4" t="s">
        <v>114</v>
      </c>
      <c r="D399" s="53" t="str">
        <f t="shared" si="46"/>
        <v>White</v>
      </c>
      <c r="E399" s="4" t="s">
        <v>490</v>
      </c>
      <c r="F399" s="4" t="s">
        <v>11</v>
      </c>
      <c r="G399" s="4" t="str">
        <f t="shared" si="42"/>
        <v>Romper Longer</v>
      </c>
      <c r="H399" s="38">
        <f t="shared" si="44"/>
        <v>4</v>
      </c>
      <c r="I399" s="54">
        <f t="shared" si="43"/>
        <v>17</v>
      </c>
      <c r="J399" s="14" t="str">
        <f t="shared" si="47"/>
        <v>Easter</v>
      </c>
      <c r="K399" s="16" t="str">
        <f t="shared" si="49"/>
        <v>0-3</v>
      </c>
      <c r="L399" s="14" t="str">
        <f t="shared" si="48"/>
        <v>Romper Longer | 0-3 | White</v>
      </c>
      <c r="M399" s="16" t="s">
        <v>3610</v>
      </c>
    </row>
    <row r="400" spans="1:13" ht="25" customHeight="1" x14ac:dyDescent="0.45">
      <c r="A400" s="6">
        <v>46133</v>
      </c>
      <c r="B400" s="3" t="s">
        <v>958</v>
      </c>
      <c r="C400" s="4" t="s">
        <v>87</v>
      </c>
      <c r="D400" s="53" t="str">
        <f t="shared" si="46"/>
        <v>Cream</v>
      </c>
      <c r="E400" s="4" t="s">
        <v>589</v>
      </c>
      <c r="F400" s="4" t="s">
        <v>11</v>
      </c>
      <c r="G400" s="4" t="str">
        <f t="shared" ref="G400:G463" si="50">IF(ISNUMBER(SEARCH("LONG",E400)),"Romper Longer",IF(ISNUMBER(SEARCH("SHORT",E400)),"Romper Short","Bodysuit"))</f>
        <v>Romper Short</v>
      </c>
      <c r="H400" s="38">
        <f t="shared" si="44"/>
        <v>4</v>
      </c>
      <c r="I400" s="54">
        <f t="shared" ref="I400:I463" si="51">WEEKNUM(A400)</f>
        <v>17</v>
      </c>
      <c r="J400" s="14" t="str">
        <f t="shared" si="47"/>
        <v>Easter</v>
      </c>
      <c r="K400" s="16" t="str">
        <f t="shared" si="49"/>
        <v>6-12</v>
      </c>
      <c r="L400" s="14" t="str">
        <f t="shared" si="48"/>
        <v>Romper Short | 6-12 | Cream</v>
      </c>
      <c r="M400" s="16" t="s">
        <v>3611</v>
      </c>
    </row>
    <row r="401" spans="1:13" ht="25" customHeight="1" x14ac:dyDescent="0.45">
      <c r="A401" s="6">
        <v>46133</v>
      </c>
      <c r="B401" s="3" t="s">
        <v>959</v>
      </c>
      <c r="C401" s="4" t="s">
        <v>470</v>
      </c>
      <c r="D401" s="53" t="str">
        <f t="shared" si="46"/>
        <v>Caldet Blue</v>
      </c>
      <c r="E401" s="4" t="s">
        <v>754</v>
      </c>
      <c r="F401" s="4" t="s">
        <v>7</v>
      </c>
      <c r="G401" s="4" t="str">
        <f t="shared" si="50"/>
        <v>Romper Longer</v>
      </c>
      <c r="H401" s="38">
        <f t="shared" si="44"/>
        <v>4</v>
      </c>
      <c r="I401" s="54">
        <f t="shared" si="51"/>
        <v>17</v>
      </c>
      <c r="J401" s="14" t="str">
        <f t="shared" si="47"/>
        <v>Easter</v>
      </c>
      <c r="K401" s="16" t="str">
        <f t="shared" si="49"/>
        <v>6-12</v>
      </c>
      <c r="L401" s="14" t="str">
        <f t="shared" si="48"/>
        <v>Romper Longer | 6-12 | Caldet Blue</v>
      </c>
      <c r="M401" s="16" t="s">
        <v>3610</v>
      </c>
    </row>
    <row r="402" spans="1:13" ht="25" customHeight="1" x14ac:dyDescent="0.45">
      <c r="A402" s="6">
        <v>46133</v>
      </c>
      <c r="B402" s="3" t="s">
        <v>960</v>
      </c>
      <c r="C402" s="4" t="s">
        <v>87</v>
      </c>
      <c r="D402" s="53" t="str">
        <f t="shared" si="46"/>
        <v>Cream</v>
      </c>
      <c r="E402" s="4" t="s">
        <v>589</v>
      </c>
      <c r="F402" s="4" t="s">
        <v>7</v>
      </c>
      <c r="G402" s="4" t="str">
        <f t="shared" si="50"/>
        <v>Romper Short</v>
      </c>
      <c r="H402" s="38">
        <f t="shared" si="44"/>
        <v>4</v>
      </c>
      <c r="I402" s="54">
        <f t="shared" si="51"/>
        <v>17</v>
      </c>
      <c r="J402" s="14" t="str">
        <f t="shared" si="47"/>
        <v>Easter</v>
      </c>
      <c r="K402" s="16" t="str">
        <f t="shared" si="49"/>
        <v>6-12</v>
      </c>
      <c r="L402" s="14" t="str">
        <f t="shared" si="48"/>
        <v>Romper Short | 6-12 | Cream</v>
      </c>
      <c r="M402" s="16" t="s">
        <v>3611</v>
      </c>
    </row>
    <row r="403" spans="1:13" ht="25" customHeight="1" x14ac:dyDescent="0.45">
      <c r="A403" s="6">
        <v>46133</v>
      </c>
      <c r="B403" s="3" t="s">
        <v>961</v>
      </c>
      <c r="C403" s="4" t="s">
        <v>114</v>
      </c>
      <c r="D403" s="53" t="str">
        <f t="shared" si="46"/>
        <v>White</v>
      </c>
      <c r="E403" s="4" t="s">
        <v>555</v>
      </c>
      <c r="F403" s="4" t="s">
        <v>957</v>
      </c>
      <c r="G403" s="4" t="str">
        <f t="shared" si="50"/>
        <v>Romper Longer</v>
      </c>
      <c r="H403" s="38">
        <f t="shared" si="44"/>
        <v>4</v>
      </c>
      <c r="I403" s="54">
        <f t="shared" si="51"/>
        <v>17</v>
      </c>
      <c r="J403" s="14" t="str">
        <f t="shared" si="47"/>
        <v>Easter</v>
      </c>
      <c r="K403" s="16" t="str">
        <f t="shared" si="49"/>
        <v>3-6</v>
      </c>
      <c r="L403" s="14" t="str">
        <f t="shared" si="48"/>
        <v>Romper Longer | 3-6 | White</v>
      </c>
      <c r="M403" s="16" t="s">
        <v>3610</v>
      </c>
    </row>
    <row r="404" spans="1:13" ht="25" customHeight="1" x14ac:dyDescent="0.45">
      <c r="A404" s="6">
        <v>46134</v>
      </c>
      <c r="B404" s="3" t="s">
        <v>962</v>
      </c>
      <c r="C404" s="4" t="s">
        <v>101</v>
      </c>
      <c r="D404" s="53" t="str">
        <f t="shared" si="46"/>
        <v>Sage Green</v>
      </c>
      <c r="E404" s="4" t="s">
        <v>555</v>
      </c>
      <c r="F404" s="4" t="s">
        <v>37</v>
      </c>
      <c r="G404" s="4" t="str">
        <f t="shared" si="50"/>
        <v>Romper Longer</v>
      </c>
      <c r="H404" s="38">
        <f t="shared" si="44"/>
        <v>4</v>
      </c>
      <c r="I404" s="54">
        <f t="shared" si="51"/>
        <v>17</v>
      </c>
      <c r="J404" s="14" t="str">
        <f t="shared" si="47"/>
        <v>Easter</v>
      </c>
      <c r="K404" s="16" t="str">
        <f t="shared" si="49"/>
        <v>3-6</v>
      </c>
      <c r="L404" s="14" t="str">
        <f t="shared" si="48"/>
        <v>Romper Longer | 3-6 | Sage Green</v>
      </c>
      <c r="M404" s="16" t="s">
        <v>3611</v>
      </c>
    </row>
    <row r="405" spans="1:13" ht="25" customHeight="1" x14ac:dyDescent="0.45">
      <c r="A405" s="6">
        <v>46134</v>
      </c>
      <c r="B405" s="3" t="s">
        <v>963</v>
      </c>
      <c r="C405" s="4" t="s">
        <v>87</v>
      </c>
      <c r="D405" s="53" t="str">
        <f t="shared" si="46"/>
        <v>Cream</v>
      </c>
      <c r="E405" s="4" t="s">
        <v>555</v>
      </c>
      <c r="F405" s="4" t="s">
        <v>142</v>
      </c>
      <c r="G405" s="4" t="str">
        <f t="shared" si="50"/>
        <v>Romper Longer</v>
      </c>
      <c r="H405" s="38">
        <f t="shared" si="44"/>
        <v>4</v>
      </c>
      <c r="I405" s="54">
        <f t="shared" si="51"/>
        <v>17</v>
      </c>
      <c r="J405" s="14" t="str">
        <f t="shared" si="47"/>
        <v>Easter</v>
      </c>
      <c r="K405" s="16" t="str">
        <f t="shared" si="49"/>
        <v>3-6</v>
      </c>
      <c r="L405" s="14" t="str">
        <f t="shared" si="48"/>
        <v>Romper Longer | 3-6 | Cream</v>
      </c>
      <c r="M405" s="16" t="s">
        <v>3609</v>
      </c>
    </row>
    <row r="406" spans="1:13" ht="25" customHeight="1" x14ac:dyDescent="0.45">
      <c r="A406" s="6">
        <v>46134</v>
      </c>
      <c r="B406" s="3" t="s">
        <v>964</v>
      </c>
      <c r="C406" s="4" t="s">
        <v>101</v>
      </c>
      <c r="D406" s="53" t="str">
        <f t="shared" si="46"/>
        <v>Sage Green</v>
      </c>
      <c r="E406" s="4" t="s">
        <v>580</v>
      </c>
      <c r="F406" s="4" t="s">
        <v>7</v>
      </c>
      <c r="G406" s="4" t="str">
        <f t="shared" si="50"/>
        <v>Romper Short</v>
      </c>
      <c r="H406" s="38">
        <f t="shared" si="44"/>
        <v>4</v>
      </c>
      <c r="I406" s="54">
        <f t="shared" si="51"/>
        <v>17</v>
      </c>
      <c r="J406" s="14" t="str">
        <f t="shared" si="47"/>
        <v>Easter</v>
      </c>
      <c r="K406" s="16" t="str">
        <f t="shared" si="49"/>
        <v>0-3</v>
      </c>
      <c r="L406" s="14" t="str">
        <f t="shared" si="48"/>
        <v>Romper Short | 0-3 | Sage Green</v>
      </c>
      <c r="M406" s="16" t="s">
        <v>3610</v>
      </c>
    </row>
    <row r="407" spans="1:13" ht="25" customHeight="1" x14ac:dyDescent="0.45">
      <c r="A407" s="6">
        <v>46134</v>
      </c>
      <c r="B407" s="3" t="s">
        <v>965</v>
      </c>
      <c r="C407" s="4" t="s">
        <v>87</v>
      </c>
      <c r="D407" s="53" t="str">
        <f t="shared" si="46"/>
        <v>Cream</v>
      </c>
      <c r="E407" s="4" t="s">
        <v>485</v>
      </c>
      <c r="F407" s="4" t="s">
        <v>11</v>
      </c>
      <c r="G407" s="4" t="str">
        <f t="shared" si="50"/>
        <v>Romper Short</v>
      </c>
      <c r="H407" s="38">
        <f t="shared" si="44"/>
        <v>4</v>
      </c>
      <c r="I407" s="54">
        <f t="shared" si="51"/>
        <v>17</v>
      </c>
      <c r="J407" s="14" t="str">
        <f t="shared" si="47"/>
        <v>Easter</v>
      </c>
      <c r="K407" s="16" t="str">
        <f t="shared" si="49"/>
        <v>3-6</v>
      </c>
      <c r="L407" s="14" t="str">
        <f t="shared" si="48"/>
        <v>Romper Short | 3-6 | Cream</v>
      </c>
      <c r="M407" s="16" t="s">
        <v>3609</v>
      </c>
    </row>
    <row r="408" spans="1:13" ht="25" customHeight="1" x14ac:dyDescent="0.45">
      <c r="A408" s="6">
        <v>46135</v>
      </c>
      <c r="B408" s="3" t="s">
        <v>966</v>
      </c>
      <c r="C408" s="4" t="s">
        <v>87</v>
      </c>
      <c r="D408" s="53" t="str">
        <f t="shared" si="46"/>
        <v>Cream</v>
      </c>
      <c r="E408" s="4" t="s">
        <v>490</v>
      </c>
      <c r="F408" s="4" t="s">
        <v>18</v>
      </c>
      <c r="G408" s="4" t="str">
        <f t="shared" si="50"/>
        <v>Romper Longer</v>
      </c>
      <c r="H408" s="38">
        <f t="shared" si="44"/>
        <v>4</v>
      </c>
      <c r="I408" s="54">
        <f t="shared" si="51"/>
        <v>17</v>
      </c>
      <c r="J408" s="14" t="str">
        <f t="shared" si="47"/>
        <v>Easter</v>
      </c>
      <c r="K408" s="16" t="str">
        <f t="shared" si="49"/>
        <v>0-3</v>
      </c>
      <c r="L408" s="14" t="str">
        <f t="shared" si="48"/>
        <v>Romper Longer | 0-3 | Cream</v>
      </c>
      <c r="M408" s="16" t="s">
        <v>3609</v>
      </c>
    </row>
    <row r="409" spans="1:13" ht="25" customHeight="1" x14ac:dyDescent="0.45">
      <c r="A409" s="6">
        <v>46135</v>
      </c>
      <c r="B409" s="3" t="s">
        <v>967</v>
      </c>
      <c r="C409" s="4" t="s">
        <v>528</v>
      </c>
      <c r="D409" s="53" t="str">
        <f t="shared" si="46"/>
        <v>Watermelon</v>
      </c>
      <c r="E409" s="4" t="s">
        <v>485</v>
      </c>
      <c r="F409" s="4" t="s">
        <v>7</v>
      </c>
      <c r="G409" s="4" t="str">
        <f t="shared" si="50"/>
        <v>Romper Short</v>
      </c>
      <c r="H409" s="38">
        <f t="shared" si="44"/>
        <v>4</v>
      </c>
      <c r="I409" s="54">
        <f t="shared" si="51"/>
        <v>17</v>
      </c>
      <c r="J409" s="14" t="str">
        <f t="shared" si="47"/>
        <v>Easter</v>
      </c>
      <c r="K409" s="16" t="str">
        <f t="shared" si="49"/>
        <v>3-6</v>
      </c>
      <c r="L409" s="14" t="str">
        <f t="shared" si="48"/>
        <v>Romper Short | 3-6 | Watermelon</v>
      </c>
      <c r="M409" s="16" t="s">
        <v>3610</v>
      </c>
    </row>
    <row r="410" spans="1:13" ht="25" customHeight="1" x14ac:dyDescent="0.45">
      <c r="A410" s="6">
        <v>46135</v>
      </c>
      <c r="B410" s="3" t="s">
        <v>968</v>
      </c>
      <c r="C410" s="4" t="s">
        <v>87</v>
      </c>
      <c r="D410" s="53" t="str">
        <f t="shared" si="46"/>
        <v>Cream</v>
      </c>
      <c r="E410" s="4" t="s">
        <v>479</v>
      </c>
      <c r="F410" s="4" t="s">
        <v>19</v>
      </c>
      <c r="G410" s="4" t="str">
        <f t="shared" si="50"/>
        <v>Romper Longer</v>
      </c>
      <c r="H410" s="38">
        <f t="shared" si="44"/>
        <v>4</v>
      </c>
      <c r="I410" s="54">
        <f t="shared" si="51"/>
        <v>17</v>
      </c>
      <c r="J410" s="14" t="str">
        <f t="shared" si="47"/>
        <v>Easter</v>
      </c>
      <c r="K410" s="16" t="str">
        <f t="shared" si="49"/>
        <v>6-12</v>
      </c>
      <c r="L410" s="14" t="str">
        <f t="shared" si="48"/>
        <v>Romper Longer | 6-12 | Cream</v>
      </c>
      <c r="M410" s="16" t="s">
        <v>3611</v>
      </c>
    </row>
    <row r="411" spans="1:13" ht="25" customHeight="1" x14ac:dyDescent="0.45">
      <c r="A411" s="6">
        <v>46135</v>
      </c>
      <c r="B411" s="3" t="s">
        <v>969</v>
      </c>
      <c r="C411" s="4" t="s">
        <v>87</v>
      </c>
      <c r="D411" s="53" t="str">
        <f t="shared" si="46"/>
        <v>Cream</v>
      </c>
      <c r="E411" s="4" t="s">
        <v>490</v>
      </c>
      <c r="F411" s="4" t="s">
        <v>19</v>
      </c>
      <c r="G411" s="4" t="str">
        <f t="shared" si="50"/>
        <v>Romper Longer</v>
      </c>
      <c r="H411" s="38">
        <f t="shared" si="44"/>
        <v>4</v>
      </c>
      <c r="I411" s="54">
        <f t="shared" si="51"/>
        <v>17</v>
      </c>
      <c r="J411" s="14" t="str">
        <f t="shared" si="47"/>
        <v>Easter</v>
      </c>
      <c r="K411" s="16" t="str">
        <f t="shared" si="49"/>
        <v>0-3</v>
      </c>
      <c r="L411" s="14" t="str">
        <f t="shared" si="48"/>
        <v>Romper Longer | 0-3 | Cream</v>
      </c>
      <c r="M411" s="16" t="s">
        <v>3609</v>
      </c>
    </row>
    <row r="412" spans="1:13" ht="25" customHeight="1" x14ac:dyDescent="0.45">
      <c r="A412" s="6">
        <v>46135</v>
      </c>
      <c r="B412" s="3" t="s">
        <v>970</v>
      </c>
      <c r="C412" s="4" t="s">
        <v>184</v>
      </c>
      <c r="D412" s="53" t="str">
        <f t="shared" si="46"/>
        <v>Coffee</v>
      </c>
      <c r="E412" s="4" t="s">
        <v>490</v>
      </c>
      <c r="F412" s="4" t="s">
        <v>19</v>
      </c>
      <c r="G412" s="4" t="str">
        <f t="shared" si="50"/>
        <v>Romper Longer</v>
      </c>
      <c r="H412" s="38">
        <f t="shared" si="44"/>
        <v>4</v>
      </c>
      <c r="I412" s="54">
        <f t="shared" si="51"/>
        <v>17</v>
      </c>
      <c r="J412" s="14" t="str">
        <f t="shared" si="47"/>
        <v>Easter</v>
      </c>
      <c r="K412" s="16" t="str">
        <f t="shared" si="49"/>
        <v>0-3</v>
      </c>
      <c r="L412" s="14" t="str">
        <f t="shared" si="48"/>
        <v>Romper Longer | 0-3 | Coffee</v>
      </c>
      <c r="M412" s="16" t="s">
        <v>3610</v>
      </c>
    </row>
    <row r="413" spans="1:13" ht="25" customHeight="1" x14ac:dyDescent="0.45">
      <c r="A413" s="6">
        <v>46135</v>
      </c>
      <c r="B413" s="3" t="s">
        <v>971</v>
      </c>
      <c r="C413" s="4" t="s">
        <v>114</v>
      </c>
      <c r="D413" s="53" t="str">
        <f t="shared" si="46"/>
        <v>White</v>
      </c>
      <c r="E413" s="4" t="s">
        <v>596</v>
      </c>
      <c r="F413" s="4" t="s">
        <v>19</v>
      </c>
      <c r="G413" s="4" t="str">
        <f t="shared" si="50"/>
        <v>Romper Longer</v>
      </c>
      <c r="H413" s="38">
        <f t="shared" si="44"/>
        <v>4</v>
      </c>
      <c r="I413" s="54">
        <f t="shared" si="51"/>
        <v>17</v>
      </c>
      <c r="J413" s="14" t="str">
        <f t="shared" si="47"/>
        <v>Easter</v>
      </c>
      <c r="K413" s="16" t="str">
        <f t="shared" si="49"/>
        <v>12-18</v>
      </c>
      <c r="L413" s="14" t="str">
        <f t="shared" si="48"/>
        <v>Romper Longer | 12-18 | White</v>
      </c>
      <c r="M413" s="16" t="s">
        <v>3610</v>
      </c>
    </row>
    <row r="414" spans="1:13" ht="25" customHeight="1" x14ac:dyDescent="0.45">
      <c r="A414" s="6">
        <v>46135</v>
      </c>
      <c r="B414" s="3" t="s">
        <v>972</v>
      </c>
      <c r="C414" s="4" t="s">
        <v>87</v>
      </c>
      <c r="D414" s="53" t="str">
        <f t="shared" si="46"/>
        <v>Cream</v>
      </c>
      <c r="E414" s="4" t="s">
        <v>580</v>
      </c>
      <c r="F414" s="4" t="s">
        <v>7</v>
      </c>
      <c r="G414" s="4" t="str">
        <f t="shared" si="50"/>
        <v>Romper Short</v>
      </c>
      <c r="H414" s="38">
        <f t="shared" si="44"/>
        <v>4</v>
      </c>
      <c r="I414" s="54">
        <f t="shared" si="51"/>
        <v>17</v>
      </c>
      <c r="J414" s="14" t="str">
        <f t="shared" si="47"/>
        <v>Easter</v>
      </c>
      <c r="K414" s="16" t="str">
        <f t="shared" si="49"/>
        <v>0-3</v>
      </c>
      <c r="L414" s="14" t="str">
        <f t="shared" si="48"/>
        <v>Romper Short | 0-3 | Cream</v>
      </c>
      <c r="M414" s="16" t="s">
        <v>3609</v>
      </c>
    </row>
    <row r="415" spans="1:13" ht="25" customHeight="1" x14ac:dyDescent="0.45">
      <c r="A415" s="6">
        <v>46135</v>
      </c>
      <c r="B415" s="3" t="s">
        <v>973</v>
      </c>
      <c r="C415" s="4" t="s">
        <v>508</v>
      </c>
      <c r="D415" s="53" t="str">
        <f t="shared" si="46"/>
        <v>Dusty Pink</v>
      </c>
      <c r="E415" s="4" t="s">
        <v>555</v>
      </c>
      <c r="F415" s="4" t="s">
        <v>19</v>
      </c>
      <c r="G415" s="4" t="str">
        <f t="shared" si="50"/>
        <v>Romper Longer</v>
      </c>
      <c r="H415" s="38">
        <f t="shared" si="44"/>
        <v>4</v>
      </c>
      <c r="I415" s="54">
        <f t="shared" si="51"/>
        <v>17</v>
      </c>
      <c r="J415" s="14" t="str">
        <f t="shared" si="47"/>
        <v>Easter</v>
      </c>
      <c r="K415" s="16" t="str">
        <f t="shared" si="49"/>
        <v>3-6</v>
      </c>
      <c r="L415" s="14" t="str">
        <f t="shared" si="48"/>
        <v>Romper Longer | 3-6 | Dusty Pink</v>
      </c>
      <c r="M415" s="16" t="s">
        <v>3610</v>
      </c>
    </row>
    <row r="416" spans="1:13" ht="25" customHeight="1" x14ac:dyDescent="0.45">
      <c r="A416" s="6">
        <v>46135</v>
      </c>
      <c r="B416" s="3" t="s">
        <v>974</v>
      </c>
      <c r="C416" s="4" t="s">
        <v>87</v>
      </c>
      <c r="D416" s="53" t="str">
        <f t="shared" si="46"/>
        <v>Cream</v>
      </c>
      <c r="E416" s="4" t="s">
        <v>479</v>
      </c>
      <c r="F416" s="4" t="s">
        <v>7</v>
      </c>
      <c r="G416" s="4" t="str">
        <f t="shared" si="50"/>
        <v>Romper Longer</v>
      </c>
      <c r="H416" s="38">
        <f t="shared" si="44"/>
        <v>4</v>
      </c>
      <c r="I416" s="54">
        <f t="shared" si="51"/>
        <v>17</v>
      </c>
      <c r="J416" s="14" t="str">
        <f t="shared" si="47"/>
        <v>Easter</v>
      </c>
      <c r="K416" s="16" t="str">
        <f t="shared" si="49"/>
        <v>6-12</v>
      </c>
      <c r="L416" s="14" t="str">
        <f t="shared" si="48"/>
        <v>Romper Longer | 6-12 | Cream</v>
      </c>
      <c r="M416" s="16" t="s">
        <v>3611</v>
      </c>
    </row>
    <row r="417" spans="1:13" ht="25" customHeight="1" x14ac:dyDescent="0.45">
      <c r="A417" s="6">
        <v>46135</v>
      </c>
      <c r="B417" s="3" t="s">
        <v>975</v>
      </c>
      <c r="C417" s="4" t="s">
        <v>101</v>
      </c>
      <c r="D417" s="53" t="str">
        <f t="shared" si="46"/>
        <v>Sage Green</v>
      </c>
      <c r="E417" s="4" t="s">
        <v>479</v>
      </c>
      <c r="F417" s="4" t="s">
        <v>7</v>
      </c>
      <c r="G417" s="4" t="str">
        <f t="shared" si="50"/>
        <v>Romper Longer</v>
      </c>
      <c r="H417" s="38">
        <f t="shared" si="44"/>
        <v>4</v>
      </c>
      <c r="I417" s="54">
        <f t="shared" si="51"/>
        <v>17</v>
      </c>
      <c r="J417" s="14" t="str">
        <f t="shared" si="47"/>
        <v>Easter</v>
      </c>
      <c r="K417" s="16" t="str">
        <f t="shared" si="49"/>
        <v>6-12</v>
      </c>
      <c r="L417" s="14" t="str">
        <f t="shared" si="48"/>
        <v>Romper Longer | 6-12 | Sage Green</v>
      </c>
      <c r="M417" s="16" t="s">
        <v>3610</v>
      </c>
    </row>
    <row r="418" spans="1:13" ht="25" customHeight="1" x14ac:dyDescent="0.45">
      <c r="A418" s="6">
        <v>46136</v>
      </c>
      <c r="B418" s="3" t="s">
        <v>976</v>
      </c>
      <c r="C418" s="4" t="s">
        <v>483</v>
      </c>
      <c r="D418" s="53" t="str">
        <f t="shared" si="46"/>
        <v>Forest Green</v>
      </c>
      <c r="E418" s="4" t="s">
        <v>490</v>
      </c>
      <c r="F418" s="4" t="s">
        <v>13</v>
      </c>
      <c r="G418" s="4" t="str">
        <f t="shared" si="50"/>
        <v>Romper Longer</v>
      </c>
      <c r="H418" s="38">
        <f t="shared" si="44"/>
        <v>4</v>
      </c>
      <c r="I418" s="54">
        <f t="shared" si="51"/>
        <v>17</v>
      </c>
      <c r="J418" s="14" t="str">
        <f t="shared" si="47"/>
        <v>Easter</v>
      </c>
      <c r="K418" s="16" t="str">
        <f t="shared" si="49"/>
        <v>0-3</v>
      </c>
      <c r="L418" s="14" t="str">
        <f t="shared" si="48"/>
        <v>Romper Longer | 0-3 | Forest Green</v>
      </c>
      <c r="M418" s="16" t="s">
        <v>3610</v>
      </c>
    </row>
    <row r="419" spans="1:13" ht="25" customHeight="1" x14ac:dyDescent="0.45">
      <c r="A419" s="6">
        <v>46136</v>
      </c>
      <c r="B419" s="3" t="s">
        <v>977</v>
      </c>
      <c r="C419" s="4" t="s">
        <v>473</v>
      </c>
      <c r="D419" s="53" t="str">
        <f t="shared" si="46"/>
        <v>Salmon</v>
      </c>
      <c r="E419" s="4" t="s">
        <v>555</v>
      </c>
      <c r="F419" s="4" t="s">
        <v>7</v>
      </c>
      <c r="G419" s="4" t="str">
        <f t="shared" si="50"/>
        <v>Romper Longer</v>
      </c>
      <c r="H419" s="38">
        <f t="shared" si="44"/>
        <v>4</v>
      </c>
      <c r="I419" s="54">
        <f t="shared" si="51"/>
        <v>17</v>
      </c>
      <c r="J419" s="14" t="str">
        <f t="shared" si="47"/>
        <v>Easter</v>
      </c>
      <c r="K419" s="16" t="str">
        <f t="shared" si="49"/>
        <v>3-6</v>
      </c>
      <c r="L419" s="14" t="str">
        <f t="shared" si="48"/>
        <v>Romper Longer | 3-6 | Salmon</v>
      </c>
      <c r="M419" s="16" t="s">
        <v>3610</v>
      </c>
    </row>
    <row r="420" spans="1:13" ht="25" customHeight="1" x14ac:dyDescent="0.45">
      <c r="A420" s="6">
        <v>46136</v>
      </c>
      <c r="B420" s="3" t="s">
        <v>978</v>
      </c>
      <c r="C420" s="4" t="s">
        <v>87</v>
      </c>
      <c r="D420" s="53" t="str">
        <f t="shared" si="46"/>
        <v>Cream</v>
      </c>
      <c r="E420" s="4" t="s">
        <v>596</v>
      </c>
      <c r="F420" s="4" t="s">
        <v>19</v>
      </c>
      <c r="G420" s="4" t="str">
        <f t="shared" si="50"/>
        <v>Romper Longer</v>
      </c>
      <c r="H420" s="38">
        <f t="shared" si="44"/>
        <v>4</v>
      </c>
      <c r="I420" s="54">
        <f t="shared" si="51"/>
        <v>17</v>
      </c>
      <c r="J420" s="14" t="str">
        <f t="shared" si="47"/>
        <v>Easter</v>
      </c>
      <c r="K420" s="16" t="str">
        <f t="shared" si="49"/>
        <v>12-18</v>
      </c>
      <c r="L420" s="14" t="str">
        <f t="shared" si="48"/>
        <v>Romper Longer | 12-18 | Cream</v>
      </c>
      <c r="M420" s="16" t="s">
        <v>3610</v>
      </c>
    </row>
    <row r="421" spans="1:13" ht="25" customHeight="1" x14ac:dyDescent="0.45">
      <c r="A421" s="6">
        <v>46136</v>
      </c>
      <c r="B421" s="3" t="s">
        <v>979</v>
      </c>
      <c r="C421" s="4" t="s">
        <v>508</v>
      </c>
      <c r="D421" s="53" t="str">
        <f t="shared" si="46"/>
        <v>Dusty Pink</v>
      </c>
      <c r="E421" s="4" t="s">
        <v>555</v>
      </c>
      <c r="F421" s="4" t="s">
        <v>7</v>
      </c>
      <c r="G421" s="4" t="str">
        <f t="shared" si="50"/>
        <v>Romper Longer</v>
      </c>
      <c r="H421" s="38">
        <f t="shared" si="44"/>
        <v>4</v>
      </c>
      <c r="I421" s="54">
        <f t="shared" si="51"/>
        <v>17</v>
      </c>
      <c r="J421" s="14" t="str">
        <f t="shared" si="47"/>
        <v>Easter</v>
      </c>
      <c r="K421" s="16" t="str">
        <f t="shared" si="49"/>
        <v>3-6</v>
      </c>
      <c r="L421" s="14" t="str">
        <f t="shared" si="48"/>
        <v>Romper Longer | 3-6 | Dusty Pink</v>
      </c>
      <c r="M421" s="16" t="s">
        <v>3610</v>
      </c>
    </row>
    <row r="422" spans="1:13" ht="25" customHeight="1" x14ac:dyDescent="0.45">
      <c r="A422" s="6">
        <v>46136</v>
      </c>
      <c r="B422" s="3" t="s">
        <v>980</v>
      </c>
      <c r="C422" s="4" t="s">
        <v>508</v>
      </c>
      <c r="D422" s="53" t="str">
        <f t="shared" si="46"/>
        <v>Dusty Pink</v>
      </c>
      <c r="E422" s="4" t="s">
        <v>555</v>
      </c>
      <c r="F422" s="4" t="s">
        <v>7</v>
      </c>
      <c r="G422" s="4" t="str">
        <f t="shared" si="50"/>
        <v>Romper Longer</v>
      </c>
      <c r="H422" s="38">
        <f t="shared" si="44"/>
        <v>4</v>
      </c>
      <c r="I422" s="54">
        <f t="shared" si="51"/>
        <v>17</v>
      </c>
      <c r="J422" s="14" t="str">
        <f t="shared" si="47"/>
        <v>Easter</v>
      </c>
      <c r="K422" s="16" t="str">
        <f t="shared" si="49"/>
        <v>3-6</v>
      </c>
      <c r="L422" s="14" t="str">
        <f t="shared" si="48"/>
        <v>Romper Longer | 3-6 | Dusty Pink</v>
      </c>
      <c r="M422" s="16" t="s">
        <v>3610</v>
      </c>
    </row>
    <row r="423" spans="1:13" ht="25" customHeight="1" x14ac:dyDescent="0.45">
      <c r="A423" s="6">
        <v>46137</v>
      </c>
      <c r="B423" s="3" t="s">
        <v>981</v>
      </c>
      <c r="C423" s="4" t="s">
        <v>87</v>
      </c>
      <c r="D423" s="53" t="str">
        <f t="shared" si="46"/>
        <v>Cream</v>
      </c>
      <c r="E423" s="4" t="s">
        <v>490</v>
      </c>
      <c r="F423" s="4" t="s">
        <v>11</v>
      </c>
      <c r="G423" s="4" t="str">
        <f t="shared" si="50"/>
        <v>Romper Longer</v>
      </c>
      <c r="H423" s="38">
        <f t="shared" si="44"/>
        <v>4</v>
      </c>
      <c r="I423" s="54">
        <f t="shared" si="51"/>
        <v>17</v>
      </c>
      <c r="J423" s="14" t="str">
        <f t="shared" si="47"/>
        <v>Easter</v>
      </c>
      <c r="K423" s="16" t="str">
        <f t="shared" si="49"/>
        <v>0-3</v>
      </c>
      <c r="L423" s="14" t="str">
        <f t="shared" si="48"/>
        <v>Romper Longer | 0-3 | Cream</v>
      </c>
      <c r="M423" s="16" t="s">
        <v>3609</v>
      </c>
    </row>
    <row r="424" spans="1:13" ht="25" customHeight="1" x14ac:dyDescent="0.45">
      <c r="A424" s="6">
        <v>46137</v>
      </c>
      <c r="B424" s="3" t="s">
        <v>982</v>
      </c>
      <c r="C424" s="4" t="s">
        <v>114</v>
      </c>
      <c r="D424" s="53" t="str">
        <f t="shared" si="46"/>
        <v>White</v>
      </c>
      <c r="E424" s="4" t="s">
        <v>479</v>
      </c>
      <c r="F424" s="4" t="s">
        <v>11</v>
      </c>
      <c r="G424" s="4" t="str">
        <f t="shared" si="50"/>
        <v>Romper Longer</v>
      </c>
      <c r="H424" s="38">
        <f t="shared" si="44"/>
        <v>4</v>
      </c>
      <c r="I424" s="54">
        <f t="shared" si="51"/>
        <v>17</v>
      </c>
      <c r="J424" s="14" t="str">
        <f t="shared" si="47"/>
        <v>Easter</v>
      </c>
      <c r="K424" s="16" t="str">
        <f t="shared" si="49"/>
        <v>6-12</v>
      </c>
      <c r="L424" s="14" t="str">
        <f t="shared" si="48"/>
        <v>Romper Longer | 6-12 | White</v>
      </c>
      <c r="M424" s="16" t="s">
        <v>3610</v>
      </c>
    </row>
    <row r="425" spans="1:13" ht="25" customHeight="1" x14ac:dyDescent="0.45">
      <c r="A425" s="6">
        <v>46137</v>
      </c>
      <c r="B425" s="3" t="s">
        <v>983</v>
      </c>
      <c r="C425" s="4" t="s">
        <v>101</v>
      </c>
      <c r="D425" s="53" t="str">
        <f t="shared" si="46"/>
        <v>Sage Green</v>
      </c>
      <c r="E425" s="4" t="s">
        <v>596</v>
      </c>
      <c r="F425" s="4" t="s">
        <v>7</v>
      </c>
      <c r="G425" s="4" t="str">
        <f t="shared" si="50"/>
        <v>Romper Longer</v>
      </c>
      <c r="H425" s="38">
        <f t="shared" si="44"/>
        <v>4</v>
      </c>
      <c r="I425" s="54">
        <f t="shared" si="51"/>
        <v>17</v>
      </c>
      <c r="J425" s="14" t="str">
        <f t="shared" si="47"/>
        <v>Easter</v>
      </c>
      <c r="K425" s="16" t="str">
        <f t="shared" si="49"/>
        <v>12-18</v>
      </c>
      <c r="L425" s="14" t="str">
        <f t="shared" si="48"/>
        <v>Romper Longer | 12-18 | Sage Green</v>
      </c>
      <c r="M425" s="16" t="s">
        <v>3610</v>
      </c>
    </row>
    <row r="426" spans="1:13" ht="25" customHeight="1" x14ac:dyDescent="0.45">
      <c r="A426" s="6">
        <v>46137</v>
      </c>
      <c r="B426" s="3" t="s">
        <v>984</v>
      </c>
      <c r="C426" s="4" t="s">
        <v>87</v>
      </c>
      <c r="D426" s="53" t="str">
        <f t="shared" si="46"/>
        <v>Cream</v>
      </c>
      <c r="E426" s="4" t="s">
        <v>485</v>
      </c>
      <c r="F426" s="4" t="s">
        <v>13</v>
      </c>
      <c r="G426" s="4" t="str">
        <f t="shared" si="50"/>
        <v>Romper Short</v>
      </c>
      <c r="H426" s="38">
        <f t="shared" si="44"/>
        <v>4</v>
      </c>
      <c r="I426" s="54">
        <f t="shared" si="51"/>
        <v>17</v>
      </c>
      <c r="J426" s="14" t="str">
        <f t="shared" si="47"/>
        <v>Easter</v>
      </c>
      <c r="K426" s="16" t="str">
        <f t="shared" si="49"/>
        <v>3-6</v>
      </c>
      <c r="L426" s="14" t="str">
        <f t="shared" si="48"/>
        <v>Romper Short | 3-6 | Cream</v>
      </c>
      <c r="M426" s="16" t="s">
        <v>3609</v>
      </c>
    </row>
    <row r="427" spans="1:13" ht="25" customHeight="1" x14ac:dyDescent="0.45">
      <c r="A427" s="6">
        <v>46137</v>
      </c>
      <c r="B427" s="3" t="s">
        <v>985</v>
      </c>
      <c r="C427" s="4" t="s">
        <v>87</v>
      </c>
      <c r="D427" s="53" t="str">
        <f t="shared" si="46"/>
        <v>Cream</v>
      </c>
      <c r="E427" s="4" t="s">
        <v>555</v>
      </c>
      <c r="F427" s="4" t="s">
        <v>846</v>
      </c>
      <c r="G427" s="4" t="str">
        <f t="shared" si="50"/>
        <v>Romper Longer</v>
      </c>
      <c r="H427" s="38">
        <f t="shared" si="44"/>
        <v>4</v>
      </c>
      <c r="I427" s="54">
        <f t="shared" si="51"/>
        <v>17</v>
      </c>
      <c r="J427" s="14" t="str">
        <f t="shared" si="47"/>
        <v>Easter</v>
      </c>
      <c r="K427" s="16" t="str">
        <f t="shared" si="49"/>
        <v>3-6</v>
      </c>
      <c r="L427" s="14" t="str">
        <f t="shared" si="48"/>
        <v>Romper Longer | 3-6 | Cream</v>
      </c>
      <c r="M427" s="16" t="s">
        <v>3609</v>
      </c>
    </row>
    <row r="428" spans="1:13" ht="25" customHeight="1" x14ac:dyDescent="0.45">
      <c r="A428" s="6">
        <v>46137</v>
      </c>
      <c r="B428" s="3" t="s">
        <v>986</v>
      </c>
      <c r="C428" s="4" t="s">
        <v>87</v>
      </c>
      <c r="D428" s="53" t="str">
        <f t="shared" si="46"/>
        <v>Cream</v>
      </c>
      <c r="E428" s="4" t="s">
        <v>485</v>
      </c>
      <c r="F428" s="4" t="s">
        <v>11</v>
      </c>
      <c r="G428" s="4" t="str">
        <f t="shared" si="50"/>
        <v>Romper Short</v>
      </c>
      <c r="H428" s="38">
        <f t="shared" si="44"/>
        <v>4</v>
      </c>
      <c r="I428" s="54">
        <f t="shared" si="51"/>
        <v>17</v>
      </c>
      <c r="J428" s="14" t="str">
        <f t="shared" si="47"/>
        <v>Easter</v>
      </c>
      <c r="K428" s="16" t="str">
        <f t="shared" si="49"/>
        <v>3-6</v>
      </c>
      <c r="L428" s="14" t="str">
        <f t="shared" si="48"/>
        <v>Romper Short | 3-6 | Cream</v>
      </c>
      <c r="M428" s="16" t="s">
        <v>3609</v>
      </c>
    </row>
    <row r="429" spans="1:13" ht="25" customHeight="1" x14ac:dyDescent="0.45">
      <c r="A429" s="6">
        <v>46137</v>
      </c>
      <c r="B429" s="3" t="s">
        <v>987</v>
      </c>
      <c r="C429" s="4" t="s">
        <v>101</v>
      </c>
      <c r="D429" s="53" t="str">
        <f t="shared" si="46"/>
        <v>Sage Green</v>
      </c>
      <c r="E429" s="4" t="s">
        <v>485</v>
      </c>
      <c r="F429" s="4" t="s">
        <v>7</v>
      </c>
      <c r="G429" s="4" t="str">
        <f t="shared" si="50"/>
        <v>Romper Short</v>
      </c>
      <c r="H429" s="38">
        <f t="shared" si="44"/>
        <v>4</v>
      </c>
      <c r="I429" s="54">
        <f t="shared" si="51"/>
        <v>17</v>
      </c>
      <c r="J429" s="14" t="str">
        <f t="shared" si="47"/>
        <v>Easter</v>
      </c>
      <c r="K429" s="16" t="str">
        <f t="shared" si="49"/>
        <v>3-6</v>
      </c>
      <c r="L429" s="14" t="str">
        <f t="shared" si="48"/>
        <v>Romper Short | 3-6 | Sage Green</v>
      </c>
      <c r="M429" s="16" t="s">
        <v>3611</v>
      </c>
    </row>
    <row r="430" spans="1:13" ht="25" customHeight="1" x14ac:dyDescent="0.45">
      <c r="A430" s="6">
        <v>46137</v>
      </c>
      <c r="B430" s="3" t="s">
        <v>988</v>
      </c>
      <c r="C430" s="4" t="s">
        <v>470</v>
      </c>
      <c r="D430" s="53" t="str">
        <f t="shared" si="46"/>
        <v>Caldet Blue</v>
      </c>
      <c r="E430" s="4" t="s">
        <v>555</v>
      </c>
      <c r="F430" s="4" t="s">
        <v>7</v>
      </c>
      <c r="G430" s="4" t="str">
        <f t="shared" si="50"/>
        <v>Romper Longer</v>
      </c>
      <c r="H430" s="38">
        <f t="shared" si="44"/>
        <v>4</v>
      </c>
      <c r="I430" s="54">
        <f t="shared" si="51"/>
        <v>17</v>
      </c>
      <c r="J430" s="14" t="str">
        <f t="shared" si="47"/>
        <v>Easter</v>
      </c>
      <c r="K430" s="16" t="str">
        <f t="shared" si="49"/>
        <v>3-6</v>
      </c>
      <c r="L430" s="14" t="str">
        <f t="shared" si="48"/>
        <v>Romper Longer | 3-6 | Caldet Blue</v>
      </c>
      <c r="M430" s="16" t="s">
        <v>3610</v>
      </c>
    </row>
    <row r="431" spans="1:13" ht="25" customHeight="1" x14ac:dyDescent="0.45">
      <c r="A431" s="6">
        <v>46137</v>
      </c>
      <c r="B431" s="3" t="s">
        <v>989</v>
      </c>
      <c r="C431" s="4" t="s">
        <v>101</v>
      </c>
      <c r="D431" s="53" t="str">
        <f t="shared" si="46"/>
        <v>Sage Green</v>
      </c>
      <c r="E431" s="4" t="s">
        <v>475</v>
      </c>
      <c r="F431" s="4" t="s">
        <v>7</v>
      </c>
      <c r="G431" s="4" t="str">
        <f t="shared" si="50"/>
        <v>Romper Short</v>
      </c>
      <c r="H431" s="38">
        <f t="shared" si="44"/>
        <v>4</v>
      </c>
      <c r="I431" s="54">
        <f t="shared" si="51"/>
        <v>17</v>
      </c>
      <c r="J431" s="14" t="str">
        <f t="shared" si="47"/>
        <v>Easter</v>
      </c>
      <c r="K431" s="16" t="str">
        <f t="shared" si="49"/>
        <v>12-18</v>
      </c>
      <c r="L431" s="14" t="str">
        <f t="shared" si="48"/>
        <v>Romper Short | 12-18 | Sage Green</v>
      </c>
      <c r="M431" s="16" t="s">
        <v>3610</v>
      </c>
    </row>
    <row r="432" spans="1:13" ht="25" customHeight="1" x14ac:dyDescent="0.45">
      <c r="A432" s="6">
        <v>46137</v>
      </c>
      <c r="B432" s="3" t="s">
        <v>990</v>
      </c>
      <c r="C432" s="4" t="s">
        <v>101</v>
      </c>
      <c r="D432" s="53" t="str">
        <f t="shared" si="46"/>
        <v>Sage Green</v>
      </c>
      <c r="E432" s="4" t="s">
        <v>580</v>
      </c>
      <c r="F432" s="4" t="s">
        <v>19</v>
      </c>
      <c r="G432" s="4" t="str">
        <f t="shared" si="50"/>
        <v>Romper Short</v>
      </c>
      <c r="H432" s="38">
        <f t="shared" si="44"/>
        <v>4</v>
      </c>
      <c r="I432" s="54">
        <f t="shared" si="51"/>
        <v>17</v>
      </c>
      <c r="J432" s="14" t="str">
        <f t="shared" si="47"/>
        <v>Easter</v>
      </c>
      <c r="K432" s="16" t="str">
        <f t="shared" si="49"/>
        <v>0-3</v>
      </c>
      <c r="L432" s="14" t="str">
        <f t="shared" si="48"/>
        <v>Romper Short | 0-3 | Sage Green</v>
      </c>
      <c r="M432" s="16" t="s">
        <v>3610</v>
      </c>
    </row>
    <row r="433" spans="1:13" ht="25" customHeight="1" x14ac:dyDescent="0.45">
      <c r="A433" s="6">
        <v>46137</v>
      </c>
      <c r="B433" s="3" t="s">
        <v>985</v>
      </c>
      <c r="C433" s="4" t="s">
        <v>87</v>
      </c>
      <c r="D433" s="53" t="str">
        <f t="shared" si="46"/>
        <v>Cream</v>
      </c>
      <c r="E433" s="4" t="s">
        <v>485</v>
      </c>
      <c r="F433" s="4" t="s">
        <v>7</v>
      </c>
      <c r="G433" s="4" t="str">
        <f t="shared" si="50"/>
        <v>Romper Short</v>
      </c>
      <c r="H433" s="38">
        <f t="shared" si="44"/>
        <v>4</v>
      </c>
      <c r="I433" s="54">
        <f t="shared" si="51"/>
        <v>17</v>
      </c>
      <c r="J433" s="14" t="str">
        <f t="shared" si="47"/>
        <v>Easter</v>
      </c>
      <c r="K433" s="16" t="str">
        <f t="shared" si="49"/>
        <v>3-6</v>
      </c>
      <c r="L433" s="14" t="str">
        <f t="shared" si="48"/>
        <v>Romper Short | 3-6 | Cream</v>
      </c>
      <c r="M433" s="16" t="s">
        <v>3609</v>
      </c>
    </row>
    <row r="434" spans="1:13" ht="25" customHeight="1" x14ac:dyDescent="0.45">
      <c r="A434" s="6">
        <v>46138</v>
      </c>
      <c r="B434" s="3" t="s">
        <v>990</v>
      </c>
      <c r="C434" s="4" t="s">
        <v>184</v>
      </c>
      <c r="D434" s="53" t="str">
        <f t="shared" si="46"/>
        <v>Coffee</v>
      </c>
      <c r="E434" s="4" t="s">
        <v>589</v>
      </c>
      <c r="F434" s="4" t="s">
        <v>7</v>
      </c>
      <c r="G434" s="4" t="str">
        <f t="shared" si="50"/>
        <v>Romper Short</v>
      </c>
      <c r="H434" s="38">
        <f t="shared" si="44"/>
        <v>4</v>
      </c>
      <c r="I434" s="54">
        <f t="shared" si="51"/>
        <v>18</v>
      </c>
      <c r="J434" s="14" t="str">
        <f t="shared" si="47"/>
        <v>Easter</v>
      </c>
      <c r="K434" s="16" t="str">
        <f t="shared" si="49"/>
        <v>6-12</v>
      </c>
      <c r="L434" s="14" t="str">
        <f t="shared" si="48"/>
        <v>Romper Short | 6-12 | Coffee</v>
      </c>
      <c r="M434" s="16" t="s">
        <v>3610</v>
      </c>
    </row>
    <row r="435" spans="1:13" ht="25" customHeight="1" x14ac:dyDescent="0.45">
      <c r="A435" s="6">
        <v>46138</v>
      </c>
      <c r="B435" s="3" t="s">
        <v>991</v>
      </c>
      <c r="C435" s="4" t="s">
        <v>508</v>
      </c>
      <c r="D435" s="53" t="str">
        <f t="shared" si="46"/>
        <v>Dusty Pink</v>
      </c>
      <c r="E435" s="4" t="s">
        <v>555</v>
      </c>
      <c r="F435" s="4" t="s">
        <v>7</v>
      </c>
      <c r="G435" s="4" t="str">
        <f t="shared" si="50"/>
        <v>Romper Longer</v>
      </c>
      <c r="H435" s="38">
        <f t="shared" si="44"/>
        <v>4</v>
      </c>
      <c r="I435" s="54">
        <f t="shared" si="51"/>
        <v>18</v>
      </c>
      <c r="J435" s="14" t="str">
        <f t="shared" si="47"/>
        <v>Easter</v>
      </c>
      <c r="K435" s="16" t="str">
        <f t="shared" si="49"/>
        <v>3-6</v>
      </c>
      <c r="L435" s="14" t="str">
        <f t="shared" si="48"/>
        <v>Romper Longer | 3-6 | Dusty Pink</v>
      </c>
      <c r="M435" s="16" t="s">
        <v>3610</v>
      </c>
    </row>
    <row r="436" spans="1:13" ht="25" customHeight="1" x14ac:dyDescent="0.45">
      <c r="A436" s="6">
        <v>46138</v>
      </c>
      <c r="B436" s="3" t="s">
        <v>990</v>
      </c>
      <c r="C436" s="4" t="s">
        <v>483</v>
      </c>
      <c r="D436" s="53" t="str">
        <f t="shared" si="46"/>
        <v>Forest Green</v>
      </c>
      <c r="E436" s="4" t="s">
        <v>485</v>
      </c>
      <c r="F436" s="4" t="s">
        <v>7</v>
      </c>
      <c r="G436" s="4" t="str">
        <f t="shared" si="50"/>
        <v>Romper Short</v>
      </c>
      <c r="H436" s="38">
        <f t="shared" si="44"/>
        <v>4</v>
      </c>
      <c r="I436" s="54">
        <f t="shared" si="51"/>
        <v>18</v>
      </c>
      <c r="J436" s="14" t="str">
        <f t="shared" si="47"/>
        <v>Easter</v>
      </c>
      <c r="K436" s="16" t="str">
        <f t="shared" si="49"/>
        <v>3-6</v>
      </c>
      <c r="L436" s="14" t="str">
        <f t="shared" si="48"/>
        <v>Romper Short | 3-6 | Forest Green</v>
      </c>
      <c r="M436" s="16" t="s">
        <v>3610</v>
      </c>
    </row>
    <row r="437" spans="1:13" ht="25" customHeight="1" x14ac:dyDescent="0.45">
      <c r="A437" s="6">
        <v>46138</v>
      </c>
      <c r="B437" s="3" t="s">
        <v>990</v>
      </c>
      <c r="C437" s="4" t="s">
        <v>101</v>
      </c>
      <c r="D437" s="53" t="str">
        <f t="shared" si="46"/>
        <v>Sage Green</v>
      </c>
      <c r="E437" s="4" t="s">
        <v>589</v>
      </c>
      <c r="F437" s="4" t="s">
        <v>7</v>
      </c>
      <c r="G437" s="4" t="str">
        <f t="shared" si="50"/>
        <v>Romper Short</v>
      </c>
      <c r="H437" s="38">
        <f t="shared" si="44"/>
        <v>4</v>
      </c>
      <c r="I437" s="54">
        <f t="shared" si="51"/>
        <v>18</v>
      </c>
      <c r="J437" s="14" t="str">
        <f t="shared" si="47"/>
        <v>Easter</v>
      </c>
      <c r="K437" s="16" t="str">
        <f t="shared" si="49"/>
        <v>6-12</v>
      </c>
      <c r="L437" s="14" t="str">
        <f t="shared" si="48"/>
        <v>Romper Short | 6-12 | Sage Green</v>
      </c>
      <c r="M437" s="16" t="s">
        <v>3610</v>
      </c>
    </row>
    <row r="438" spans="1:13" ht="25" customHeight="1" x14ac:dyDescent="0.45">
      <c r="A438" s="6">
        <v>46138</v>
      </c>
      <c r="B438" s="3" t="s">
        <v>992</v>
      </c>
      <c r="C438" s="4" t="s">
        <v>508</v>
      </c>
      <c r="D438" s="53" t="str">
        <f t="shared" si="46"/>
        <v>Dusty Pink</v>
      </c>
      <c r="E438" s="4" t="s">
        <v>479</v>
      </c>
      <c r="F438" s="4" t="s">
        <v>7</v>
      </c>
      <c r="G438" s="4" t="str">
        <f t="shared" si="50"/>
        <v>Romper Longer</v>
      </c>
      <c r="H438" s="38">
        <f t="shared" si="44"/>
        <v>4</v>
      </c>
      <c r="I438" s="54">
        <f t="shared" si="51"/>
        <v>18</v>
      </c>
      <c r="J438" s="14" t="str">
        <f t="shared" si="47"/>
        <v>Easter</v>
      </c>
      <c r="K438" s="16" t="str">
        <f t="shared" si="49"/>
        <v>6-12</v>
      </c>
      <c r="L438" s="14" t="str">
        <f t="shared" si="48"/>
        <v>Romper Longer | 6-12 | Dusty Pink</v>
      </c>
      <c r="M438" s="16" t="s">
        <v>3610</v>
      </c>
    </row>
    <row r="439" spans="1:13" ht="25" customHeight="1" x14ac:dyDescent="0.45">
      <c r="A439" s="6">
        <v>46138</v>
      </c>
      <c r="B439" s="3" t="s">
        <v>974</v>
      </c>
      <c r="C439" s="4" t="s">
        <v>87</v>
      </c>
      <c r="D439" s="53" t="str">
        <f t="shared" si="46"/>
        <v>Cream</v>
      </c>
      <c r="E439" s="4" t="s">
        <v>479</v>
      </c>
      <c r="F439" s="4" t="s">
        <v>7</v>
      </c>
      <c r="G439" s="4" t="str">
        <f t="shared" si="50"/>
        <v>Romper Longer</v>
      </c>
      <c r="H439" s="38">
        <f t="shared" si="44"/>
        <v>4</v>
      </c>
      <c r="I439" s="54">
        <f t="shared" si="51"/>
        <v>18</v>
      </c>
      <c r="J439" s="14" t="str">
        <f t="shared" si="47"/>
        <v>Easter</v>
      </c>
      <c r="K439" s="16" t="str">
        <f t="shared" si="49"/>
        <v>6-12</v>
      </c>
      <c r="L439" s="14" t="str">
        <f t="shared" si="48"/>
        <v>Romper Longer | 6-12 | Cream</v>
      </c>
      <c r="M439" s="16" t="s">
        <v>3611</v>
      </c>
    </row>
    <row r="440" spans="1:13" ht="25" customHeight="1" x14ac:dyDescent="0.45">
      <c r="A440" s="6">
        <v>46139</v>
      </c>
      <c r="B440" s="3" t="s">
        <v>993</v>
      </c>
      <c r="C440" s="4" t="s">
        <v>520</v>
      </c>
      <c r="D440" s="53" t="str">
        <f t="shared" si="46"/>
        <v xml:space="preserve"> Caldet Blue</v>
      </c>
      <c r="E440" s="4" t="s">
        <v>580</v>
      </c>
      <c r="F440" s="4" t="s">
        <v>7</v>
      </c>
      <c r="G440" s="4" t="str">
        <f t="shared" si="50"/>
        <v>Romper Short</v>
      </c>
      <c r="H440" s="38">
        <f t="shared" si="44"/>
        <v>4</v>
      </c>
      <c r="I440" s="54">
        <f t="shared" si="51"/>
        <v>18</v>
      </c>
      <c r="J440" s="14" t="str">
        <f t="shared" si="47"/>
        <v>Easter</v>
      </c>
      <c r="K440" s="16" t="str">
        <f t="shared" si="49"/>
        <v>0-3</v>
      </c>
      <c r="L440" s="14" t="str">
        <f t="shared" si="48"/>
        <v>Romper Short | 0-3 | Caldet Blue</v>
      </c>
      <c r="M440" s="16" t="s">
        <v>3610</v>
      </c>
    </row>
    <row r="441" spans="1:13" ht="25" customHeight="1" x14ac:dyDescent="0.45">
      <c r="A441" s="6">
        <v>46139</v>
      </c>
      <c r="B441" s="3" t="s">
        <v>994</v>
      </c>
      <c r="C441" s="4" t="s">
        <v>101</v>
      </c>
      <c r="D441" s="53" t="str">
        <f t="shared" si="46"/>
        <v>Sage Green</v>
      </c>
      <c r="E441" s="4" t="s">
        <v>485</v>
      </c>
      <c r="F441" s="4" t="s">
        <v>16</v>
      </c>
      <c r="G441" s="4" t="str">
        <f t="shared" si="50"/>
        <v>Romper Short</v>
      </c>
      <c r="H441" s="38">
        <f t="shared" si="44"/>
        <v>4</v>
      </c>
      <c r="I441" s="54">
        <f t="shared" si="51"/>
        <v>18</v>
      </c>
      <c r="J441" s="14" t="str">
        <f t="shared" si="47"/>
        <v>Easter</v>
      </c>
      <c r="K441" s="16" t="str">
        <f t="shared" si="49"/>
        <v>3-6</v>
      </c>
      <c r="L441" s="14" t="str">
        <f t="shared" si="48"/>
        <v>Romper Short | 3-6 | Sage Green</v>
      </c>
      <c r="M441" s="16" t="s">
        <v>3611</v>
      </c>
    </row>
    <row r="442" spans="1:13" ht="25" customHeight="1" x14ac:dyDescent="0.45">
      <c r="A442" s="6">
        <v>46139</v>
      </c>
      <c r="B442" s="3" t="s">
        <v>995</v>
      </c>
      <c r="C442" s="4" t="s">
        <v>488</v>
      </c>
      <c r="D442" s="53" t="str">
        <f t="shared" si="46"/>
        <v xml:space="preserve"> Cream</v>
      </c>
      <c r="E442" s="4" t="s">
        <v>479</v>
      </c>
      <c r="F442" s="4" t="s">
        <v>11</v>
      </c>
      <c r="G442" s="4" t="str">
        <f t="shared" si="50"/>
        <v>Romper Longer</v>
      </c>
      <c r="H442" s="38">
        <f t="shared" si="44"/>
        <v>4</v>
      </c>
      <c r="I442" s="54">
        <f t="shared" si="51"/>
        <v>18</v>
      </c>
      <c r="J442" s="14" t="str">
        <f t="shared" si="47"/>
        <v>Easter</v>
      </c>
      <c r="K442" s="16" t="str">
        <f t="shared" si="49"/>
        <v>6-12</v>
      </c>
      <c r="L442" s="14" t="str">
        <f t="shared" si="48"/>
        <v>Romper Longer | 6-12 | Cream</v>
      </c>
      <c r="M442" s="16" t="s">
        <v>3611</v>
      </c>
    </row>
    <row r="443" spans="1:13" ht="25" customHeight="1" x14ac:dyDescent="0.45">
      <c r="A443" s="6">
        <v>46139</v>
      </c>
      <c r="B443" s="3" t="s">
        <v>996</v>
      </c>
      <c r="C443" s="4" t="s">
        <v>87</v>
      </c>
      <c r="D443" s="53" t="str">
        <f t="shared" si="46"/>
        <v>Cream</v>
      </c>
      <c r="E443" s="4" t="s">
        <v>490</v>
      </c>
      <c r="F443" s="4" t="s">
        <v>7</v>
      </c>
      <c r="G443" s="4" t="str">
        <f t="shared" si="50"/>
        <v>Romper Longer</v>
      </c>
      <c r="H443" s="38">
        <f t="shared" si="44"/>
        <v>4</v>
      </c>
      <c r="I443" s="54">
        <f t="shared" si="51"/>
        <v>18</v>
      </c>
      <c r="J443" s="14" t="str">
        <f t="shared" si="47"/>
        <v>Easter</v>
      </c>
      <c r="K443" s="16" t="str">
        <f t="shared" si="49"/>
        <v>0-3</v>
      </c>
      <c r="L443" s="14" t="str">
        <f t="shared" si="48"/>
        <v>Romper Longer | 0-3 | Cream</v>
      </c>
      <c r="M443" s="16" t="s">
        <v>3609</v>
      </c>
    </row>
    <row r="444" spans="1:13" ht="25" customHeight="1" x14ac:dyDescent="0.45">
      <c r="A444" s="6">
        <v>46139</v>
      </c>
      <c r="B444" s="3" t="s">
        <v>997</v>
      </c>
      <c r="C444" s="4" t="s">
        <v>508</v>
      </c>
      <c r="D444" s="53" t="str">
        <f t="shared" si="46"/>
        <v>Dusty Pink</v>
      </c>
      <c r="E444" s="4" t="s">
        <v>490</v>
      </c>
      <c r="F444" s="4" t="s">
        <v>7</v>
      </c>
      <c r="G444" s="4" t="str">
        <f t="shared" si="50"/>
        <v>Romper Longer</v>
      </c>
      <c r="H444" s="38">
        <f t="shared" si="44"/>
        <v>4</v>
      </c>
      <c r="I444" s="54">
        <f t="shared" si="51"/>
        <v>18</v>
      </c>
      <c r="J444" s="14" t="str">
        <f t="shared" si="47"/>
        <v>Easter</v>
      </c>
      <c r="K444" s="16" t="str">
        <f t="shared" si="49"/>
        <v>0-3</v>
      </c>
      <c r="L444" s="14" t="str">
        <f t="shared" si="48"/>
        <v>Romper Longer | 0-3 | Dusty Pink</v>
      </c>
      <c r="M444" s="16" t="s">
        <v>3610</v>
      </c>
    </row>
    <row r="445" spans="1:13" ht="25" customHeight="1" x14ac:dyDescent="0.45">
      <c r="A445" s="6">
        <v>46139</v>
      </c>
      <c r="B445" s="3" t="s">
        <v>998</v>
      </c>
      <c r="C445" s="4" t="s">
        <v>87</v>
      </c>
      <c r="D445" s="53" t="str">
        <f t="shared" si="46"/>
        <v>Cream</v>
      </c>
      <c r="E445" s="4" t="s">
        <v>479</v>
      </c>
      <c r="F445" s="4" t="s">
        <v>13</v>
      </c>
      <c r="G445" s="4" t="str">
        <f t="shared" si="50"/>
        <v>Romper Longer</v>
      </c>
      <c r="H445" s="38">
        <f t="shared" si="44"/>
        <v>4</v>
      </c>
      <c r="I445" s="54">
        <f t="shared" si="51"/>
        <v>18</v>
      </c>
      <c r="J445" s="14" t="str">
        <f t="shared" si="47"/>
        <v>Easter</v>
      </c>
      <c r="K445" s="16" t="str">
        <f t="shared" si="49"/>
        <v>6-12</v>
      </c>
      <c r="L445" s="14" t="str">
        <f t="shared" si="48"/>
        <v>Romper Longer | 6-12 | Cream</v>
      </c>
      <c r="M445" s="16" t="s">
        <v>3611</v>
      </c>
    </row>
    <row r="446" spans="1:13" ht="25" customHeight="1" x14ac:dyDescent="0.45">
      <c r="A446" s="6">
        <v>46140</v>
      </c>
      <c r="B446" s="3" t="s">
        <v>999</v>
      </c>
      <c r="C446" s="4" t="s">
        <v>87</v>
      </c>
      <c r="D446" s="53" t="str">
        <f t="shared" si="46"/>
        <v>Cream</v>
      </c>
      <c r="E446" s="4" t="s">
        <v>475</v>
      </c>
      <c r="F446" s="4" t="s">
        <v>7</v>
      </c>
      <c r="G446" s="4" t="str">
        <f t="shared" si="50"/>
        <v>Romper Short</v>
      </c>
      <c r="H446" s="38">
        <f t="shared" si="44"/>
        <v>4</v>
      </c>
      <c r="I446" s="54">
        <f t="shared" si="51"/>
        <v>18</v>
      </c>
      <c r="J446" s="14" t="str">
        <f t="shared" si="47"/>
        <v>Easter</v>
      </c>
      <c r="K446" s="16" t="str">
        <f t="shared" si="49"/>
        <v>12-18</v>
      </c>
      <c r="L446" s="14" t="str">
        <f t="shared" si="48"/>
        <v>Romper Short | 12-18 | Cream</v>
      </c>
      <c r="M446" s="16" t="s">
        <v>3610</v>
      </c>
    </row>
    <row r="447" spans="1:13" ht="25" customHeight="1" x14ac:dyDescent="0.45">
      <c r="A447" s="6">
        <v>46140</v>
      </c>
      <c r="B447" s="3" t="s">
        <v>999</v>
      </c>
      <c r="C447" s="4" t="s">
        <v>87</v>
      </c>
      <c r="D447" s="53" t="str">
        <f t="shared" si="46"/>
        <v>Cream</v>
      </c>
      <c r="E447" s="4" t="s">
        <v>589</v>
      </c>
      <c r="F447" s="4" t="s">
        <v>7</v>
      </c>
      <c r="G447" s="4" t="str">
        <f t="shared" si="50"/>
        <v>Romper Short</v>
      </c>
      <c r="H447" s="38">
        <f t="shared" si="44"/>
        <v>4</v>
      </c>
      <c r="I447" s="54">
        <f t="shared" si="51"/>
        <v>18</v>
      </c>
      <c r="J447" s="14" t="str">
        <f t="shared" si="47"/>
        <v>Easter</v>
      </c>
      <c r="K447" s="16" t="str">
        <f t="shared" si="49"/>
        <v>6-12</v>
      </c>
      <c r="L447" s="14" t="str">
        <f t="shared" si="48"/>
        <v>Romper Short | 6-12 | Cream</v>
      </c>
      <c r="M447" s="16" t="s">
        <v>3611</v>
      </c>
    </row>
    <row r="448" spans="1:13" ht="25" customHeight="1" x14ac:dyDescent="0.45">
      <c r="A448" s="6">
        <v>46140</v>
      </c>
      <c r="B448" s="3" t="s">
        <v>999</v>
      </c>
      <c r="C448" s="4" t="s">
        <v>87</v>
      </c>
      <c r="D448" s="53" t="str">
        <f t="shared" si="46"/>
        <v>Cream</v>
      </c>
      <c r="E448" s="4" t="s">
        <v>589</v>
      </c>
      <c r="F448" s="4" t="s">
        <v>7</v>
      </c>
      <c r="G448" s="4" t="str">
        <f t="shared" si="50"/>
        <v>Romper Short</v>
      </c>
      <c r="H448" s="38">
        <f t="shared" si="44"/>
        <v>4</v>
      </c>
      <c r="I448" s="54">
        <f t="shared" si="51"/>
        <v>18</v>
      </c>
      <c r="J448" s="14" t="str">
        <f t="shared" si="47"/>
        <v>Easter</v>
      </c>
      <c r="K448" s="16" t="str">
        <f t="shared" si="49"/>
        <v>6-12</v>
      </c>
      <c r="L448" s="14" t="str">
        <f t="shared" si="48"/>
        <v>Romper Short | 6-12 | Cream</v>
      </c>
      <c r="M448" s="16" t="s">
        <v>3611</v>
      </c>
    </row>
    <row r="449" spans="1:13" ht="25" customHeight="1" x14ac:dyDescent="0.45">
      <c r="A449" s="6">
        <v>46140</v>
      </c>
      <c r="B449" s="3" t="s">
        <v>1000</v>
      </c>
      <c r="C449" s="4" t="s">
        <v>483</v>
      </c>
      <c r="D449" s="53" t="str">
        <f t="shared" si="46"/>
        <v>Forest Green</v>
      </c>
      <c r="E449" s="4" t="s">
        <v>589</v>
      </c>
      <c r="F449" s="4" t="s">
        <v>7</v>
      </c>
      <c r="G449" s="4" t="str">
        <f t="shared" si="50"/>
        <v>Romper Short</v>
      </c>
      <c r="H449" s="38">
        <f t="shared" si="44"/>
        <v>4</v>
      </c>
      <c r="I449" s="54">
        <f t="shared" si="51"/>
        <v>18</v>
      </c>
      <c r="J449" s="14" t="str">
        <f t="shared" si="47"/>
        <v>Easter</v>
      </c>
      <c r="K449" s="16" t="str">
        <f t="shared" si="49"/>
        <v>6-12</v>
      </c>
      <c r="L449" s="14" t="str">
        <f t="shared" si="48"/>
        <v>Romper Short | 6-12 | Forest Green</v>
      </c>
      <c r="M449" s="16" t="s">
        <v>3610</v>
      </c>
    </row>
    <row r="450" spans="1:13" ht="25" customHeight="1" x14ac:dyDescent="0.45">
      <c r="A450" s="6">
        <v>46140</v>
      </c>
      <c r="B450" s="3" t="s">
        <v>1001</v>
      </c>
      <c r="C450" s="4" t="s">
        <v>470</v>
      </c>
      <c r="D450" s="53" t="str">
        <f t="shared" si="46"/>
        <v>Caldet Blue</v>
      </c>
      <c r="E450" s="4" t="s">
        <v>555</v>
      </c>
      <c r="F450" s="4" t="s">
        <v>7</v>
      </c>
      <c r="G450" s="4" t="str">
        <f t="shared" si="50"/>
        <v>Romper Longer</v>
      </c>
      <c r="H450" s="38">
        <f t="shared" ref="H450:H513" si="52">MONTH(A450)</f>
        <v>4</v>
      </c>
      <c r="I450" s="54">
        <f t="shared" si="51"/>
        <v>18</v>
      </c>
      <c r="J450" s="14" t="str">
        <f t="shared" si="47"/>
        <v>Easter</v>
      </c>
      <c r="K450" s="16" t="str">
        <f t="shared" si="49"/>
        <v>3-6</v>
      </c>
      <c r="L450" s="14" t="str">
        <f t="shared" si="48"/>
        <v>Romper Longer | 3-6 | Caldet Blue</v>
      </c>
      <c r="M450" s="16" t="s">
        <v>3610</v>
      </c>
    </row>
    <row r="451" spans="1:13" ht="25" customHeight="1" x14ac:dyDescent="0.45">
      <c r="A451" s="6">
        <v>46140</v>
      </c>
      <c r="B451" s="3" t="s">
        <v>1002</v>
      </c>
      <c r="C451" s="4" t="s">
        <v>508</v>
      </c>
      <c r="D451" s="53" t="str">
        <f t="shared" ref="D451:D514" si="53">PROPER(C451)</f>
        <v>Dusty Pink</v>
      </c>
      <c r="E451" s="4" t="s">
        <v>510</v>
      </c>
      <c r="F451" s="4" t="s">
        <v>7</v>
      </c>
      <c r="G451" s="4" t="str">
        <f t="shared" si="50"/>
        <v>Romper Short</v>
      </c>
      <c r="H451" s="38">
        <f t="shared" si="52"/>
        <v>4</v>
      </c>
      <c r="I451" s="54">
        <f t="shared" si="51"/>
        <v>18</v>
      </c>
      <c r="J451" s="14" t="str">
        <f t="shared" ref="J451:J514" si="54">IF(H451=1,"NewYear",
IF(H451=2,"Valentine",
IF(OR(H451=3,H451=4),"Easter",
IF(H451=5,"MothersDay",
IF(H451=6,"FathersDay",
IF(OR(H451=7,H451=8),"Summer",
IF(H451=10,"Halloween",
IF(OR(H451=11,H451=12),"Christmas","Normal"))))))))</f>
        <v>Easter</v>
      </c>
      <c r="K451" s="16" t="str">
        <f t="shared" si="49"/>
        <v>3-6</v>
      </c>
      <c r="L451" s="14" t="str">
        <f t="shared" ref="L451:L514" si="55">TRIM(G451)&amp;" | "&amp;TRIM(K451)&amp;" | "&amp;PROPER(TRIM(D451))</f>
        <v>Romper Short | 3-6 | Dusty Pink</v>
      </c>
      <c r="M451" s="16" t="s">
        <v>3610</v>
      </c>
    </row>
    <row r="452" spans="1:13" ht="25" customHeight="1" x14ac:dyDescent="0.45">
      <c r="A452" s="6">
        <v>46140</v>
      </c>
      <c r="B452" s="3" t="s">
        <v>1003</v>
      </c>
      <c r="C452" s="4" t="s">
        <v>87</v>
      </c>
      <c r="D452" s="53" t="str">
        <f t="shared" si="53"/>
        <v>Cream</v>
      </c>
      <c r="E452" s="4" t="s">
        <v>479</v>
      </c>
      <c r="F452" s="4" t="s">
        <v>7</v>
      </c>
      <c r="G452" s="4" t="str">
        <f t="shared" si="50"/>
        <v>Romper Longer</v>
      </c>
      <c r="H452" s="38">
        <f t="shared" si="52"/>
        <v>4</v>
      </c>
      <c r="I452" s="54">
        <f t="shared" si="51"/>
        <v>18</v>
      </c>
      <c r="J452" s="14" t="str">
        <f t="shared" si="54"/>
        <v>Easter</v>
      </c>
      <c r="K452" s="16" t="str">
        <f t="shared" si="49"/>
        <v>6-12</v>
      </c>
      <c r="L452" s="14" t="str">
        <f t="shared" si="55"/>
        <v>Romper Longer | 6-12 | Cream</v>
      </c>
      <c r="M452" s="16" t="s">
        <v>3611</v>
      </c>
    </row>
    <row r="453" spans="1:13" ht="25" customHeight="1" x14ac:dyDescent="0.45">
      <c r="A453" s="6">
        <v>46140</v>
      </c>
      <c r="B453" s="3" t="s">
        <v>1004</v>
      </c>
      <c r="C453" s="4" t="s">
        <v>184</v>
      </c>
      <c r="D453" s="53" t="str">
        <f t="shared" si="53"/>
        <v>Coffee</v>
      </c>
      <c r="E453" s="4" t="s">
        <v>490</v>
      </c>
      <c r="F453" s="4" t="s">
        <v>7</v>
      </c>
      <c r="G453" s="4" t="str">
        <f t="shared" si="50"/>
        <v>Romper Longer</v>
      </c>
      <c r="H453" s="38">
        <f t="shared" si="52"/>
        <v>4</v>
      </c>
      <c r="I453" s="54">
        <f t="shared" si="51"/>
        <v>18</v>
      </c>
      <c r="J453" s="14" t="str">
        <f t="shared" si="54"/>
        <v>Easter</v>
      </c>
      <c r="K453" s="16" t="str">
        <f t="shared" si="49"/>
        <v>0-3</v>
      </c>
      <c r="L453" s="14" t="str">
        <f t="shared" si="55"/>
        <v>Romper Longer | 0-3 | Coffee</v>
      </c>
      <c r="M453" s="16" t="s">
        <v>3610</v>
      </c>
    </row>
    <row r="454" spans="1:13" ht="25" customHeight="1" x14ac:dyDescent="0.45">
      <c r="A454" s="6">
        <v>46141</v>
      </c>
      <c r="B454" s="3" t="s">
        <v>1005</v>
      </c>
      <c r="C454" s="4" t="s">
        <v>87</v>
      </c>
      <c r="D454" s="53" t="str">
        <f t="shared" si="53"/>
        <v>Cream</v>
      </c>
      <c r="E454" s="4" t="s">
        <v>490</v>
      </c>
      <c r="F454" s="4" t="s">
        <v>18</v>
      </c>
      <c r="G454" s="4" t="str">
        <f t="shared" si="50"/>
        <v>Romper Longer</v>
      </c>
      <c r="H454" s="38">
        <f t="shared" si="52"/>
        <v>4</v>
      </c>
      <c r="I454" s="54">
        <f t="shared" si="51"/>
        <v>18</v>
      </c>
      <c r="J454" s="14" t="str">
        <f t="shared" si="54"/>
        <v>Easter</v>
      </c>
      <c r="K454" s="16" t="str">
        <f t="shared" si="49"/>
        <v>0-3</v>
      </c>
      <c r="L454" s="14" t="str">
        <f t="shared" si="55"/>
        <v>Romper Longer | 0-3 | Cream</v>
      </c>
      <c r="M454" s="16" t="s">
        <v>3609</v>
      </c>
    </row>
    <row r="455" spans="1:13" ht="25" customHeight="1" x14ac:dyDescent="0.45">
      <c r="A455" s="6">
        <v>46141</v>
      </c>
      <c r="B455" s="3" t="s">
        <v>1006</v>
      </c>
      <c r="C455" s="4" t="s">
        <v>101</v>
      </c>
      <c r="D455" s="53" t="str">
        <f t="shared" si="53"/>
        <v>Sage Green</v>
      </c>
      <c r="E455" s="4" t="s">
        <v>485</v>
      </c>
      <c r="F455" s="4" t="s">
        <v>13</v>
      </c>
      <c r="G455" s="4" t="str">
        <f t="shared" si="50"/>
        <v>Romper Short</v>
      </c>
      <c r="H455" s="38">
        <f t="shared" si="52"/>
        <v>4</v>
      </c>
      <c r="I455" s="54">
        <f t="shared" si="51"/>
        <v>18</v>
      </c>
      <c r="J455" s="14" t="str">
        <f t="shared" si="54"/>
        <v>Easter</v>
      </c>
      <c r="K455" s="16" t="str">
        <f t="shared" si="49"/>
        <v>3-6</v>
      </c>
      <c r="L455" s="14" t="str">
        <f t="shared" si="55"/>
        <v>Romper Short | 3-6 | Sage Green</v>
      </c>
      <c r="M455" s="16" t="s">
        <v>3611</v>
      </c>
    </row>
    <row r="456" spans="1:13" ht="25" customHeight="1" x14ac:dyDescent="0.45">
      <c r="A456" s="6">
        <v>46141</v>
      </c>
      <c r="B456" s="3" t="s">
        <v>1007</v>
      </c>
      <c r="C456" s="4" t="s">
        <v>87</v>
      </c>
      <c r="D456" s="53" t="str">
        <f t="shared" si="53"/>
        <v>Cream</v>
      </c>
      <c r="E456" s="4" t="s">
        <v>580</v>
      </c>
      <c r="F456" s="4" t="s">
        <v>37</v>
      </c>
      <c r="G456" s="4" t="str">
        <f t="shared" si="50"/>
        <v>Romper Short</v>
      </c>
      <c r="H456" s="38">
        <f t="shared" si="52"/>
        <v>4</v>
      </c>
      <c r="I456" s="54">
        <f t="shared" si="51"/>
        <v>18</v>
      </c>
      <c r="J456" s="14" t="str">
        <f t="shared" si="54"/>
        <v>Easter</v>
      </c>
      <c r="K456" s="16" t="str">
        <f t="shared" si="49"/>
        <v>0-3</v>
      </c>
      <c r="L456" s="14" t="str">
        <f t="shared" si="55"/>
        <v>Romper Short | 0-3 | Cream</v>
      </c>
      <c r="M456" s="16" t="s">
        <v>3609</v>
      </c>
    </row>
    <row r="457" spans="1:13" ht="25" customHeight="1" x14ac:dyDescent="0.45">
      <c r="A457" s="6">
        <v>46141</v>
      </c>
      <c r="B457" s="3" t="s">
        <v>1008</v>
      </c>
      <c r="C457" s="4" t="s">
        <v>87</v>
      </c>
      <c r="D457" s="53" t="str">
        <f t="shared" si="53"/>
        <v>Cream</v>
      </c>
      <c r="E457" s="4" t="s">
        <v>589</v>
      </c>
      <c r="F457" s="4" t="s">
        <v>11</v>
      </c>
      <c r="G457" s="4" t="str">
        <f t="shared" si="50"/>
        <v>Romper Short</v>
      </c>
      <c r="H457" s="38">
        <f t="shared" si="52"/>
        <v>4</v>
      </c>
      <c r="I457" s="54">
        <f t="shared" si="51"/>
        <v>18</v>
      </c>
      <c r="J457" s="14" t="str">
        <f t="shared" si="54"/>
        <v>Easter</v>
      </c>
      <c r="K457" s="16" t="str">
        <f t="shared" si="49"/>
        <v>6-12</v>
      </c>
      <c r="L457" s="14" t="str">
        <f t="shared" si="55"/>
        <v>Romper Short | 6-12 | Cream</v>
      </c>
      <c r="M457" s="16" t="s">
        <v>3611</v>
      </c>
    </row>
    <row r="458" spans="1:13" ht="25" customHeight="1" x14ac:dyDescent="0.45">
      <c r="A458" s="6">
        <v>46141</v>
      </c>
      <c r="B458" s="3" t="s">
        <v>1009</v>
      </c>
      <c r="C458" s="4" t="s">
        <v>483</v>
      </c>
      <c r="D458" s="53" t="str">
        <f t="shared" si="53"/>
        <v>Forest Green</v>
      </c>
      <c r="E458" s="4" t="s">
        <v>490</v>
      </c>
      <c r="F458" s="4" t="s">
        <v>7</v>
      </c>
      <c r="G458" s="4" t="str">
        <f t="shared" si="50"/>
        <v>Romper Longer</v>
      </c>
      <c r="H458" s="38">
        <f t="shared" si="52"/>
        <v>4</v>
      </c>
      <c r="I458" s="54">
        <f t="shared" si="51"/>
        <v>18</v>
      </c>
      <c r="J458" s="14" t="str">
        <f t="shared" si="54"/>
        <v>Easter</v>
      </c>
      <c r="K458" s="16" t="str">
        <f t="shared" si="49"/>
        <v>0-3</v>
      </c>
      <c r="L458" s="14" t="str">
        <f t="shared" si="55"/>
        <v>Romper Longer | 0-3 | Forest Green</v>
      </c>
      <c r="M458" s="16" t="s">
        <v>3610</v>
      </c>
    </row>
    <row r="459" spans="1:13" ht="25" customHeight="1" x14ac:dyDescent="0.45">
      <c r="A459" s="6">
        <v>46141</v>
      </c>
      <c r="B459" s="3" t="s">
        <v>1010</v>
      </c>
      <c r="C459" s="4" t="s">
        <v>532</v>
      </c>
      <c r="D459" s="53" t="str">
        <f t="shared" si="53"/>
        <v xml:space="preserve"> Dusty Pink</v>
      </c>
      <c r="E459" s="4" t="s">
        <v>596</v>
      </c>
      <c r="F459" s="4" t="s">
        <v>7</v>
      </c>
      <c r="G459" s="4" t="str">
        <f t="shared" si="50"/>
        <v>Romper Longer</v>
      </c>
      <c r="H459" s="38">
        <f t="shared" si="52"/>
        <v>4</v>
      </c>
      <c r="I459" s="54">
        <f t="shared" si="51"/>
        <v>18</v>
      </c>
      <c r="J459" s="14" t="str">
        <f t="shared" si="54"/>
        <v>Easter</v>
      </c>
      <c r="K459" s="16" t="str">
        <f t="shared" si="49"/>
        <v>12-18</v>
      </c>
      <c r="L459" s="14" t="str">
        <f t="shared" si="55"/>
        <v>Romper Longer | 12-18 | Dusty Pink</v>
      </c>
      <c r="M459" s="16" t="s">
        <v>3610</v>
      </c>
    </row>
    <row r="460" spans="1:13" ht="25" customHeight="1" x14ac:dyDescent="0.45">
      <c r="A460" s="6">
        <v>46141</v>
      </c>
      <c r="B460" s="3" t="s">
        <v>1011</v>
      </c>
      <c r="C460" s="4" t="s">
        <v>87</v>
      </c>
      <c r="D460" s="53" t="str">
        <f t="shared" si="53"/>
        <v>Cream</v>
      </c>
      <c r="E460" s="4" t="s">
        <v>485</v>
      </c>
      <c r="F460" s="4" t="s">
        <v>19</v>
      </c>
      <c r="G460" s="4" t="str">
        <f t="shared" si="50"/>
        <v>Romper Short</v>
      </c>
      <c r="H460" s="38">
        <f t="shared" si="52"/>
        <v>4</v>
      </c>
      <c r="I460" s="54">
        <f t="shared" si="51"/>
        <v>18</v>
      </c>
      <c r="J460" s="14" t="str">
        <f t="shared" si="54"/>
        <v>Easter</v>
      </c>
      <c r="K460" s="16" t="str">
        <f t="shared" si="49"/>
        <v>3-6</v>
      </c>
      <c r="L460" s="14" t="str">
        <f t="shared" si="55"/>
        <v>Romper Short | 3-6 | Cream</v>
      </c>
      <c r="M460" s="16" t="s">
        <v>3609</v>
      </c>
    </row>
    <row r="461" spans="1:13" ht="25" customHeight="1" x14ac:dyDescent="0.45">
      <c r="A461" s="6">
        <v>46141</v>
      </c>
      <c r="B461" s="3" t="s">
        <v>1012</v>
      </c>
      <c r="C461" s="4" t="s">
        <v>184</v>
      </c>
      <c r="D461" s="53" t="str">
        <f t="shared" si="53"/>
        <v>Coffee</v>
      </c>
      <c r="E461" s="4" t="s">
        <v>490</v>
      </c>
      <c r="F461" s="4" t="s">
        <v>7</v>
      </c>
      <c r="G461" s="4" t="str">
        <f t="shared" si="50"/>
        <v>Romper Longer</v>
      </c>
      <c r="H461" s="38">
        <f t="shared" si="52"/>
        <v>4</v>
      </c>
      <c r="I461" s="54">
        <f t="shared" si="51"/>
        <v>18</v>
      </c>
      <c r="J461" s="14" t="str">
        <f t="shared" si="54"/>
        <v>Easter</v>
      </c>
      <c r="K461" s="16" t="str">
        <f t="shared" si="49"/>
        <v>0-3</v>
      </c>
      <c r="L461" s="14" t="str">
        <f t="shared" si="55"/>
        <v>Romper Longer | 0-3 | Coffee</v>
      </c>
      <c r="M461" s="16" t="s">
        <v>3610</v>
      </c>
    </row>
    <row r="462" spans="1:13" ht="25" customHeight="1" x14ac:dyDescent="0.45">
      <c r="A462" s="6">
        <v>46141</v>
      </c>
      <c r="B462" s="3" t="s">
        <v>1013</v>
      </c>
      <c r="C462" s="4" t="s">
        <v>184</v>
      </c>
      <c r="D462" s="53" t="str">
        <f t="shared" si="53"/>
        <v>Coffee</v>
      </c>
      <c r="E462" s="4" t="s">
        <v>510</v>
      </c>
      <c r="F462" s="4" t="s">
        <v>7</v>
      </c>
      <c r="G462" s="4" t="str">
        <f t="shared" si="50"/>
        <v>Romper Short</v>
      </c>
      <c r="H462" s="38">
        <f t="shared" si="52"/>
        <v>4</v>
      </c>
      <c r="I462" s="54">
        <f t="shared" si="51"/>
        <v>18</v>
      </c>
      <c r="J462" s="14" t="str">
        <f t="shared" si="54"/>
        <v>Easter</v>
      </c>
      <c r="K462" s="16" t="str">
        <f t="shared" ref="K462:K525" si="56">TRIM(LEFT(E462,FIND("(",E462&amp;"(")-2))</f>
        <v>3-6</v>
      </c>
      <c r="L462" s="14" t="str">
        <f t="shared" si="55"/>
        <v>Romper Short | 3-6 | Coffee</v>
      </c>
      <c r="M462" s="16" t="s">
        <v>3610</v>
      </c>
    </row>
    <row r="463" spans="1:13" ht="25" customHeight="1" x14ac:dyDescent="0.45">
      <c r="A463" s="6">
        <v>46141</v>
      </c>
      <c r="B463" s="3" t="s">
        <v>1014</v>
      </c>
      <c r="C463" s="4" t="s">
        <v>528</v>
      </c>
      <c r="D463" s="53" t="str">
        <f t="shared" si="53"/>
        <v>Watermelon</v>
      </c>
      <c r="E463" s="4" t="s">
        <v>555</v>
      </c>
      <c r="F463" s="4" t="s">
        <v>7</v>
      </c>
      <c r="G463" s="4" t="str">
        <f t="shared" si="50"/>
        <v>Romper Longer</v>
      </c>
      <c r="H463" s="38">
        <f t="shared" si="52"/>
        <v>4</v>
      </c>
      <c r="I463" s="54">
        <f t="shared" si="51"/>
        <v>18</v>
      </c>
      <c r="J463" s="14" t="str">
        <f t="shared" si="54"/>
        <v>Easter</v>
      </c>
      <c r="K463" s="16" t="str">
        <f t="shared" si="56"/>
        <v>3-6</v>
      </c>
      <c r="L463" s="14" t="str">
        <f t="shared" si="55"/>
        <v>Romper Longer | 3-6 | Watermelon</v>
      </c>
      <c r="M463" s="16" t="s">
        <v>3610</v>
      </c>
    </row>
    <row r="464" spans="1:13" ht="25" customHeight="1" x14ac:dyDescent="0.45">
      <c r="A464" s="6">
        <v>46141</v>
      </c>
      <c r="B464" s="3" t="s">
        <v>1015</v>
      </c>
      <c r="C464" s="4" t="s">
        <v>508</v>
      </c>
      <c r="D464" s="53" t="str">
        <f t="shared" si="53"/>
        <v>Dusty Pink</v>
      </c>
      <c r="E464" s="4" t="s">
        <v>580</v>
      </c>
      <c r="F464" s="4" t="s">
        <v>7</v>
      </c>
      <c r="G464" s="4" t="str">
        <f t="shared" ref="G464:G527" si="57">IF(ISNUMBER(SEARCH("LONG",E464)),"Romper Longer",IF(ISNUMBER(SEARCH("SHORT",E464)),"Romper Short","Bodysuit"))</f>
        <v>Romper Short</v>
      </c>
      <c r="H464" s="38">
        <f t="shared" si="52"/>
        <v>4</v>
      </c>
      <c r="I464" s="54">
        <f t="shared" ref="I464:I487" si="58">WEEKNUM(A464)</f>
        <v>18</v>
      </c>
      <c r="J464" s="14" t="str">
        <f t="shared" si="54"/>
        <v>Easter</v>
      </c>
      <c r="K464" s="16" t="str">
        <f t="shared" si="56"/>
        <v>0-3</v>
      </c>
      <c r="L464" s="14" t="str">
        <f t="shared" si="55"/>
        <v>Romper Short | 0-3 | Dusty Pink</v>
      </c>
      <c r="M464" s="16" t="s">
        <v>3610</v>
      </c>
    </row>
    <row r="465" spans="1:13" ht="25" customHeight="1" x14ac:dyDescent="0.45">
      <c r="A465" s="6">
        <v>46141</v>
      </c>
      <c r="B465" s="3" t="s">
        <v>1016</v>
      </c>
      <c r="C465" s="4" t="s">
        <v>87</v>
      </c>
      <c r="D465" s="53" t="str">
        <f t="shared" si="53"/>
        <v>Cream</v>
      </c>
      <c r="E465" s="4" t="s">
        <v>490</v>
      </c>
      <c r="F465" s="4" t="s">
        <v>69</v>
      </c>
      <c r="G465" s="4" t="str">
        <f t="shared" si="57"/>
        <v>Romper Longer</v>
      </c>
      <c r="H465" s="38">
        <f t="shared" si="52"/>
        <v>4</v>
      </c>
      <c r="I465" s="54">
        <f t="shared" si="58"/>
        <v>18</v>
      </c>
      <c r="J465" s="14" t="str">
        <f t="shared" si="54"/>
        <v>Easter</v>
      </c>
      <c r="K465" s="16" t="str">
        <f t="shared" si="56"/>
        <v>0-3</v>
      </c>
      <c r="L465" s="14" t="str">
        <f t="shared" si="55"/>
        <v>Romper Longer | 0-3 | Cream</v>
      </c>
      <c r="M465" s="16" t="s">
        <v>3609</v>
      </c>
    </row>
    <row r="466" spans="1:13" ht="25" customHeight="1" x14ac:dyDescent="0.45">
      <c r="A466" s="6">
        <v>46141</v>
      </c>
      <c r="B466" s="3" t="s">
        <v>1017</v>
      </c>
      <c r="C466" s="4" t="s">
        <v>101</v>
      </c>
      <c r="D466" s="53" t="str">
        <f t="shared" si="53"/>
        <v>Sage Green</v>
      </c>
      <c r="E466" s="4" t="s">
        <v>555</v>
      </c>
      <c r="F466" s="4" t="s">
        <v>7</v>
      </c>
      <c r="G466" s="4" t="str">
        <f t="shared" si="57"/>
        <v>Romper Longer</v>
      </c>
      <c r="H466" s="38">
        <f t="shared" si="52"/>
        <v>4</v>
      </c>
      <c r="I466" s="54">
        <f t="shared" si="58"/>
        <v>18</v>
      </c>
      <c r="J466" s="14" t="str">
        <f t="shared" si="54"/>
        <v>Easter</v>
      </c>
      <c r="K466" s="16" t="str">
        <f t="shared" si="56"/>
        <v>3-6</v>
      </c>
      <c r="L466" s="14" t="str">
        <f t="shared" si="55"/>
        <v>Romper Longer | 3-6 | Sage Green</v>
      </c>
      <c r="M466" s="16" t="s">
        <v>3611</v>
      </c>
    </row>
    <row r="467" spans="1:13" ht="25" customHeight="1" x14ac:dyDescent="0.45">
      <c r="A467" s="6">
        <v>46143</v>
      </c>
      <c r="B467" s="3" t="s">
        <v>1018</v>
      </c>
      <c r="C467" s="4" t="s">
        <v>101</v>
      </c>
      <c r="D467" s="53" t="str">
        <f t="shared" si="53"/>
        <v>Sage Green</v>
      </c>
      <c r="E467" s="4" t="s">
        <v>580</v>
      </c>
      <c r="F467" s="4" t="s">
        <v>7</v>
      </c>
      <c r="G467" s="4" t="str">
        <f t="shared" si="57"/>
        <v>Romper Short</v>
      </c>
      <c r="H467" s="38">
        <f t="shared" si="52"/>
        <v>5</v>
      </c>
      <c r="I467" s="54">
        <f t="shared" si="58"/>
        <v>18</v>
      </c>
      <c r="J467" s="14" t="str">
        <f t="shared" si="54"/>
        <v>MothersDay</v>
      </c>
      <c r="K467" s="16" t="str">
        <f t="shared" si="56"/>
        <v>0-3</v>
      </c>
      <c r="L467" s="14" t="str">
        <f t="shared" si="55"/>
        <v>Romper Short | 0-3 | Sage Green</v>
      </c>
      <c r="M467" s="16" t="s">
        <v>3610</v>
      </c>
    </row>
    <row r="468" spans="1:13" ht="25" customHeight="1" x14ac:dyDescent="0.45">
      <c r="A468" s="6">
        <v>46143</v>
      </c>
      <c r="B468" s="3" t="s">
        <v>1019</v>
      </c>
      <c r="C468" s="4" t="s">
        <v>184</v>
      </c>
      <c r="D468" s="53" t="str">
        <f t="shared" si="53"/>
        <v>Coffee</v>
      </c>
      <c r="E468" s="4" t="s">
        <v>485</v>
      </c>
      <c r="F468" s="4" t="s">
        <v>7</v>
      </c>
      <c r="G468" s="4" t="str">
        <f t="shared" si="57"/>
        <v>Romper Short</v>
      </c>
      <c r="H468" s="38">
        <f t="shared" si="52"/>
        <v>5</v>
      </c>
      <c r="I468" s="54">
        <f t="shared" si="58"/>
        <v>18</v>
      </c>
      <c r="J468" s="14" t="str">
        <f t="shared" si="54"/>
        <v>MothersDay</v>
      </c>
      <c r="K468" s="16" t="str">
        <f t="shared" si="56"/>
        <v>3-6</v>
      </c>
      <c r="L468" s="14" t="str">
        <f t="shared" si="55"/>
        <v>Romper Short | 3-6 | Coffee</v>
      </c>
      <c r="M468" s="16" t="s">
        <v>3610</v>
      </c>
    </row>
    <row r="469" spans="1:13" ht="25" customHeight="1" x14ac:dyDescent="0.45">
      <c r="A469" s="6">
        <v>46143</v>
      </c>
      <c r="B469" s="3" t="s">
        <v>1020</v>
      </c>
      <c r="C469" s="4" t="s">
        <v>470</v>
      </c>
      <c r="D469" s="53" t="str">
        <f t="shared" si="53"/>
        <v>Caldet Blue</v>
      </c>
      <c r="E469" s="4" t="s">
        <v>580</v>
      </c>
      <c r="F469" s="4" t="s">
        <v>11</v>
      </c>
      <c r="G469" s="4" t="str">
        <f t="shared" si="57"/>
        <v>Romper Short</v>
      </c>
      <c r="H469" s="38">
        <f t="shared" si="52"/>
        <v>5</v>
      </c>
      <c r="I469" s="54">
        <f t="shared" si="58"/>
        <v>18</v>
      </c>
      <c r="J469" s="14" t="str">
        <f t="shared" si="54"/>
        <v>MothersDay</v>
      </c>
      <c r="K469" s="16" t="str">
        <f t="shared" si="56"/>
        <v>0-3</v>
      </c>
      <c r="L469" s="14" t="str">
        <f t="shared" si="55"/>
        <v>Romper Short | 0-3 | Caldet Blue</v>
      </c>
      <c r="M469" s="16" t="s">
        <v>3610</v>
      </c>
    </row>
    <row r="470" spans="1:13" ht="25" customHeight="1" x14ac:dyDescent="0.45">
      <c r="A470" s="6">
        <v>46143</v>
      </c>
      <c r="B470" s="3" t="s">
        <v>1021</v>
      </c>
      <c r="C470" s="4" t="s">
        <v>87</v>
      </c>
      <c r="D470" s="53" t="str">
        <f t="shared" si="53"/>
        <v>Cream</v>
      </c>
      <c r="E470" s="4" t="s">
        <v>490</v>
      </c>
      <c r="F470" s="4" t="s">
        <v>7</v>
      </c>
      <c r="G470" s="4" t="str">
        <f t="shared" si="57"/>
        <v>Romper Longer</v>
      </c>
      <c r="H470" s="38">
        <f t="shared" si="52"/>
        <v>5</v>
      </c>
      <c r="I470" s="54">
        <f t="shared" si="58"/>
        <v>18</v>
      </c>
      <c r="J470" s="14" t="str">
        <f t="shared" si="54"/>
        <v>MothersDay</v>
      </c>
      <c r="K470" s="16" t="str">
        <f t="shared" si="56"/>
        <v>0-3</v>
      </c>
      <c r="L470" s="14" t="str">
        <f t="shared" si="55"/>
        <v>Romper Longer | 0-3 | Cream</v>
      </c>
      <c r="M470" s="16" t="s">
        <v>3609</v>
      </c>
    </row>
    <row r="471" spans="1:13" ht="25" customHeight="1" x14ac:dyDescent="0.45">
      <c r="A471" s="6">
        <v>46143</v>
      </c>
      <c r="B471" s="3" t="s">
        <v>1022</v>
      </c>
      <c r="C471" s="4" t="s">
        <v>87</v>
      </c>
      <c r="D471" s="53" t="str">
        <f t="shared" si="53"/>
        <v>Cream</v>
      </c>
      <c r="E471" s="4" t="s">
        <v>490</v>
      </c>
      <c r="F471" s="4" t="s">
        <v>7</v>
      </c>
      <c r="G471" s="4" t="str">
        <f t="shared" si="57"/>
        <v>Romper Longer</v>
      </c>
      <c r="H471" s="38">
        <f t="shared" si="52"/>
        <v>5</v>
      </c>
      <c r="I471" s="54">
        <f t="shared" si="58"/>
        <v>18</v>
      </c>
      <c r="J471" s="14" t="str">
        <f t="shared" si="54"/>
        <v>MothersDay</v>
      </c>
      <c r="K471" s="16" t="str">
        <f t="shared" si="56"/>
        <v>0-3</v>
      </c>
      <c r="L471" s="14" t="str">
        <f t="shared" si="55"/>
        <v>Romper Longer | 0-3 | Cream</v>
      </c>
      <c r="M471" s="16" t="s">
        <v>3609</v>
      </c>
    </row>
    <row r="472" spans="1:13" ht="25" customHeight="1" x14ac:dyDescent="0.45">
      <c r="A472" s="6">
        <v>46143</v>
      </c>
      <c r="B472" s="3" t="s">
        <v>1023</v>
      </c>
      <c r="C472" s="4" t="s">
        <v>101</v>
      </c>
      <c r="D472" s="53" t="str">
        <f t="shared" si="53"/>
        <v>Sage Green</v>
      </c>
      <c r="E472" s="4" t="s">
        <v>580</v>
      </c>
      <c r="F472" s="4" t="s">
        <v>7</v>
      </c>
      <c r="G472" s="4" t="str">
        <f t="shared" si="57"/>
        <v>Romper Short</v>
      </c>
      <c r="H472" s="38">
        <f t="shared" si="52"/>
        <v>5</v>
      </c>
      <c r="I472" s="54">
        <f t="shared" si="58"/>
        <v>18</v>
      </c>
      <c r="J472" s="14" t="str">
        <f t="shared" si="54"/>
        <v>MothersDay</v>
      </c>
      <c r="K472" s="16" t="str">
        <f t="shared" si="56"/>
        <v>0-3</v>
      </c>
      <c r="L472" s="14" t="str">
        <f t="shared" si="55"/>
        <v>Romper Short | 0-3 | Sage Green</v>
      </c>
      <c r="M472" s="16" t="s">
        <v>3610</v>
      </c>
    </row>
    <row r="473" spans="1:13" ht="25" customHeight="1" x14ac:dyDescent="0.45">
      <c r="A473" s="6">
        <v>46143</v>
      </c>
      <c r="B473" s="3" t="s">
        <v>1024</v>
      </c>
      <c r="C473" s="4" t="s">
        <v>87</v>
      </c>
      <c r="D473" s="53" t="str">
        <f t="shared" si="53"/>
        <v>Cream</v>
      </c>
      <c r="E473" s="4" t="s">
        <v>580</v>
      </c>
      <c r="F473" s="4" t="s">
        <v>7</v>
      </c>
      <c r="G473" s="4" t="str">
        <f t="shared" si="57"/>
        <v>Romper Short</v>
      </c>
      <c r="H473" s="38">
        <f t="shared" si="52"/>
        <v>5</v>
      </c>
      <c r="I473" s="54">
        <f t="shared" si="58"/>
        <v>18</v>
      </c>
      <c r="J473" s="14" t="str">
        <f t="shared" si="54"/>
        <v>MothersDay</v>
      </c>
      <c r="K473" s="16" t="str">
        <f t="shared" si="56"/>
        <v>0-3</v>
      </c>
      <c r="L473" s="14" t="str">
        <f t="shared" si="55"/>
        <v>Romper Short | 0-3 | Cream</v>
      </c>
      <c r="M473" s="16" t="s">
        <v>3609</v>
      </c>
    </row>
    <row r="474" spans="1:13" ht="25" customHeight="1" x14ac:dyDescent="0.45">
      <c r="A474" s="6">
        <v>46143</v>
      </c>
      <c r="B474" s="3" t="s">
        <v>1025</v>
      </c>
      <c r="C474" s="4" t="s">
        <v>87</v>
      </c>
      <c r="D474" s="53" t="str">
        <f t="shared" si="53"/>
        <v>Cream</v>
      </c>
      <c r="E474" s="4" t="s">
        <v>490</v>
      </c>
      <c r="F474" s="4" t="s">
        <v>7</v>
      </c>
      <c r="G474" s="4" t="str">
        <f t="shared" si="57"/>
        <v>Romper Longer</v>
      </c>
      <c r="H474" s="38">
        <f t="shared" si="52"/>
        <v>5</v>
      </c>
      <c r="I474" s="54">
        <f t="shared" si="58"/>
        <v>18</v>
      </c>
      <c r="J474" s="14" t="str">
        <f t="shared" si="54"/>
        <v>MothersDay</v>
      </c>
      <c r="K474" s="16" t="str">
        <f t="shared" si="56"/>
        <v>0-3</v>
      </c>
      <c r="L474" s="14" t="str">
        <f t="shared" si="55"/>
        <v>Romper Longer | 0-3 | Cream</v>
      </c>
      <c r="M474" s="16" t="s">
        <v>3609</v>
      </c>
    </row>
    <row r="475" spans="1:13" ht="25" customHeight="1" x14ac:dyDescent="0.45">
      <c r="A475" s="6">
        <v>46143</v>
      </c>
      <c r="B475" s="3" t="s">
        <v>1026</v>
      </c>
      <c r="C475" s="4" t="s">
        <v>508</v>
      </c>
      <c r="D475" s="53" t="str">
        <f t="shared" si="53"/>
        <v>Dusty Pink</v>
      </c>
      <c r="E475" s="4" t="s">
        <v>490</v>
      </c>
      <c r="F475" s="4" t="s">
        <v>18</v>
      </c>
      <c r="G475" s="4" t="str">
        <f t="shared" si="57"/>
        <v>Romper Longer</v>
      </c>
      <c r="H475" s="38">
        <f t="shared" si="52"/>
        <v>5</v>
      </c>
      <c r="I475" s="54">
        <f t="shared" si="58"/>
        <v>18</v>
      </c>
      <c r="J475" s="14" t="str">
        <f t="shared" si="54"/>
        <v>MothersDay</v>
      </c>
      <c r="K475" s="16" t="str">
        <f t="shared" si="56"/>
        <v>0-3</v>
      </c>
      <c r="L475" s="14" t="str">
        <f t="shared" si="55"/>
        <v>Romper Longer | 0-3 | Dusty Pink</v>
      </c>
      <c r="M475" s="16" t="s">
        <v>3610</v>
      </c>
    </row>
    <row r="476" spans="1:13" ht="25" customHeight="1" x14ac:dyDescent="0.45">
      <c r="A476" s="6">
        <v>46143</v>
      </c>
      <c r="B476" s="3" t="s">
        <v>1027</v>
      </c>
      <c r="C476" s="4" t="s">
        <v>184</v>
      </c>
      <c r="D476" s="53" t="str">
        <f t="shared" si="53"/>
        <v>Coffee</v>
      </c>
      <c r="E476" s="4" t="s">
        <v>490</v>
      </c>
      <c r="F476" s="4" t="s">
        <v>7</v>
      </c>
      <c r="G476" s="4" t="str">
        <f t="shared" si="57"/>
        <v>Romper Longer</v>
      </c>
      <c r="H476" s="38">
        <f t="shared" si="52"/>
        <v>5</v>
      </c>
      <c r="I476" s="54">
        <f t="shared" si="58"/>
        <v>18</v>
      </c>
      <c r="J476" s="14" t="str">
        <f t="shared" si="54"/>
        <v>MothersDay</v>
      </c>
      <c r="K476" s="16" t="str">
        <f t="shared" si="56"/>
        <v>0-3</v>
      </c>
      <c r="L476" s="14" t="str">
        <f t="shared" si="55"/>
        <v>Romper Longer | 0-3 | Coffee</v>
      </c>
      <c r="M476" s="16" t="s">
        <v>3610</v>
      </c>
    </row>
    <row r="477" spans="1:13" ht="25" customHeight="1" x14ac:dyDescent="0.45">
      <c r="A477" s="6">
        <v>46144</v>
      </c>
      <c r="B477" s="3" t="s">
        <v>1028</v>
      </c>
      <c r="C477" s="4" t="s">
        <v>87</v>
      </c>
      <c r="D477" s="53" t="str">
        <f t="shared" si="53"/>
        <v>Cream</v>
      </c>
      <c r="E477" s="4" t="s">
        <v>490</v>
      </c>
      <c r="F477" s="4" t="s">
        <v>7</v>
      </c>
      <c r="G477" s="4" t="str">
        <f t="shared" si="57"/>
        <v>Romper Longer</v>
      </c>
      <c r="H477" s="38">
        <f t="shared" si="52"/>
        <v>5</v>
      </c>
      <c r="I477" s="54">
        <f t="shared" si="58"/>
        <v>18</v>
      </c>
      <c r="J477" s="14" t="str">
        <f t="shared" si="54"/>
        <v>MothersDay</v>
      </c>
      <c r="K477" s="16" t="str">
        <f t="shared" si="56"/>
        <v>0-3</v>
      </c>
      <c r="L477" s="14" t="str">
        <f t="shared" si="55"/>
        <v>Romper Longer | 0-3 | Cream</v>
      </c>
      <c r="M477" s="16" t="s">
        <v>3609</v>
      </c>
    </row>
    <row r="478" spans="1:13" ht="25" customHeight="1" x14ac:dyDescent="0.45">
      <c r="A478" s="6">
        <v>46144</v>
      </c>
      <c r="B478" s="3" t="s">
        <v>1029</v>
      </c>
      <c r="C478" s="4" t="s">
        <v>101</v>
      </c>
      <c r="D478" s="53" t="str">
        <f t="shared" si="53"/>
        <v>Sage Green</v>
      </c>
      <c r="E478" s="4" t="s">
        <v>555</v>
      </c>
      <c r="F478" s="4" t="s">
        <v>19</v>
      </c>
      <c r="G478" s="4" t="str">
        <f t="shared" si="57"/>
        <v>Romper Longer</v>
      </c>
      <c r="H478" s="38">
        <f t="shared" si="52"/>
        <v>5</v>
      </c>
      <c r="I478" s="54">
        <f t="shared" si="58"/>
        <v>18</v>
      </c>
      <c r="J478" s="14" t="str">
        <f t="shared" si="54"/>
        <v>MothersDay</v>
      </c>
      <c r="K478" s="16" t="str">
        <f t="shared" si="56"/>
        <v>3-6</v>
      </c>
      <c r="L478" s="14" t="str">
        <f t="shared" si="55"/>
        <v>Romper Longer | 3-6 | Sage Green</v>
      </c>
      <c r="M478" s="16" t="s">
        <v>3611</v>
      </c>
    </row>
    <row r="479" spans="1:13" ht="25" customHeight="1" x14ac:dyDescent="0.45">
      <c r="A479" s="6">
        <v>46144</v>
      </c>
      <c r="B479" s="3" t="s">
        <v>1030</v>
      </c>
      <c r="C479" s="4" t="s">
        <v>87</v>
      </c>
      <c r="D479" s="53" t="str">
        <f t="shared" si="53"/>
        <v>Cream</v>
      </c>
      <c r="E479" s="4" t="s">
        <v>555</v>
      </c>
      <c r="F479" s="4" t="s">
        <v>19</v>
      </c>
      <c r="G479" s="4" t="str">
        <f t="shared" si="57"/>
        <v>Romper Longer</v>
      </c>
      <c r="H479" s="38">
        <f t="shared" si="52"/>
        <v>5</v>
      </c>
      <c r="I479" s="54">
        <f t="shared" si="58"/>
        <v>18</v>
      </c>
      <c r="J479" s="14" t="str">
        <f t="shared" si="54"/>
        <v>MothersDay</v>
      </c>
      <c r="K479" s="16" t="str">
        <f t="shared" si="56"/>
        <v>3-6</v>
      </c>
      <c r="L479" s="14" t="str">
        <f t="shared" si="55"/>
        <v>Romper Longer | 3-6 | Cream</v>
      </c>
      <c r="M479" s="16" t="s">
        <v>3609</v>
      </c>
    </row>
    <row r="480" spans="1:13" ht="25" customHeight="1" x14ac:dyDescent="0.45">
      <c r="A480" s="6">
        <v>46144</v>
      </c>
      <c r="B480" s="3" t="s">
        <v>1031</v>
      </c>
      <c r="C480" s="4" t="s">
        <v>101</v>
      </c>
      <c r="D480" s="53" t="str">
        <f t="shared" si="53"/>
        <v>Sage Green</v>
      </c>
      <c r="E480" s="4" t="s">
        <v>490</v>
      </c>
      <c r="F480" s="4" t="s">
        <v>7</v>
      </c>
      <c r="G480" s="4" t="str">
        <f t="shared" si="57"/>
        <v>Romper Longer</v>
      </c>
      <c r="H480" s="38">
        <f t="shared" si="52"/>
        <v>5</v>
      </c>
      <c r="I480" s="54">
        <f t="shared" si="58"/>
        <v>18</v>
      </c>
      <c r="J480" s="14" t="str">
        <f t="shared" si="54"/>
        <v>MothersDay</v>
      </c>
      <c r="K480" s="16" t="str">
        <f t="shared" si="56"/>
        <v>0-3</v>
      </c>
      <c r="L480" s="14" t="str">
        <f t="shared" si="55"/>
        <v>Romper Longer | 0-3 | Sage Green</v>
      </c>
      <c r="M480" s="16" t="s">
        <v>3611</v>
      </c>
    </row>
    <row r="481" spans="1:13" ht="25" customHeight="1" x14ac:dyDescent="0.45">
      <c r="A481" s="6">
        <v>46144</v>
      </c>
      <c r="B481" s="3" t="s">
        <v>1032</v>
      </c>
      <c r="C481" s="4" t="s">
        <v>470</v>
      </c>
      <c r="D481" s="53" t="str">
        <f t="shared" si="53"/>
        <v>Caldet Blue</v>
      </c>
      <c r="E481" s="4" t="s">
        <v>589</v>
      </c>
      <c r="F481" s="4" t="s">
        <v>7</v>
      </c>
      <c r="G481" s="4" t="str">
        <f t="shared" si="57"/>
        <v>Romper Short</v>
      </c>
      <c r="H481" s="38">
        <f t="shared" si="52"/>
        <v>5</v>
      </c>
      <c r="I481" s="54">
        <f t="shared" si="58"/>
        <v>18</v>
      </c>
      <c r="J481" s="14" t="str">
        <f t="shared" si="54"/>
        <v>MothersDay</v>
      </c>
      <c r="K481" s="16" t="str">
        <f t="shared" si="56"/>
        <v>6-12</v>
      </c>
      <c r="L481" s="14" t="str">
        <f t="shared" si="55"/>
        <v>Romper Short | 6-12 | Caldet Blue</v>
      </c>
      <c r="M481" s="16" t="s">
        <v>3610</v>
      </c>
    </row>
    <row r="482" spans="1:13" ht="25" customHeight="1" x14ac:dyDescent="0.45">
      <c r="A482" s="6">
        <v>46144</v>
      </c>
      <c r="B482" s="3" t="s">
        <v>1033</v>
      </c>
      <c r="C482" s="4" t="s">
        <v>101</v>
      </c>
      <c r="D482" s="53" t="str">
        <f t="shared" si="53"/>
        <v>Sage Green</v>
      </c>
      <c r="E482" s="4" t="s">
        <v>485</v>
      </c>
      <c r="F482" s="4" t="s">
        <v>7</v>
      </c>
      <c r="G482" s="4" t="str">
        <f t="shared" si="57"/>
        <v>Romper Short</v>
      </c>
      <c r="H482" s="38">
        <f t="shared" si="52"/>
        <v>5</v>
      </c>
      <c r="I482" s="54">
        <f t="shared" si="58"/>
        <v>18</v>
      </c>
      <c r="J482" s="14" t="str">
        <f t="shared" si="54"/>
        <v>MothersDay</v>
      </c>
      <c r="K482" s="16" t="str">
        <f t="shared" si="56"/>
        <v>3-6</v>
      </c>
      <c r="L482" s="14" t="str">
        <f t="shared" si="55"/>
        <v>Romper Short | 3-6 | Sage Green</v>
      </c>
      <c r="M482" s="16" t="s">
        <v>3611</v>
      </c>
    </row>
    <row r="483" spans="1:13" ht="25" customHeight="1" x14ac:dyDescent="0.45">
      <c r="A483" s="6">
        <v>46145</v>
      </c>
      <c r="B483" s="3" t="s">
        <v>1034</v>
      </c>
      <c r="C483" s="4" t="s">
        <v>87</v>
      </c>
      <c r="D483" s="53" t="str">
        <f t="shared" si="53"/>
        <v>Cream</v>
      </c>
      <c r="E483" s="4" t="s">
        <v>589</v>
      </c>
      <c r="F483" s="4" t="s">
        <v>18</v>
      </c>
      <c r="G483" s="4" t="str">
        <f t="shared" si="57"/>
        <v>Romper Short</v>
      </c>
      <c r="H483" s="38">
        <f t="shared" si="52"/>
        <v>5</v>
      </c>
      <c r="I483" s="54">
        <f t="shared" si="58"/>
        <v>19</v>
      </c>
      <c r="J483" s="14" t="str">
        <f t="shared" si="54"/>
        <v>MothersDay</v>
      </c>
      <c r="K483" s="16" t="str">
        <f t="shared" si="56"/>
        <v>6-12</v>
      </c>
      <c r="L483" s="14" t="str">
        <f t="shared" si="55"/>
        <v>Romper Short | 6-12 | Cream</v>
      </c>
      <c r="M483" s="16" t="s">
        <v>3611</v>
      </c>
    </row>
    <row r="484" spans="1:13" ht="25" customHeight="1" x14ac:dyDescent="0.45">
      <c r="A484" s="6">
        <v>46145</v>
      </c>
      <c r="B484" s="3" t="s">
        <v>1035</v>
      </c>
      <c r="C484" s="4" t="s">
        <v>87</v>
      </c>
      <c r="D484" s="53" t="str">
        <f t="shared" si="53"/>
        <v>Cream</v>
      </c>
      <c r="E484" s="4" t="s">
        <v>490</v>
      </c>
      <c r="F484" s="4" t="s">
        <v>7</v>
      </c>
      <c r="G484" s="4" t="str">
        <f t="shared" si="57"/>
        <v>Romper Longer</v>
      </c>
      <c r="H484" s="38">
        <f t="shared" si="52"/>
        <v>5</v>
      </c>
      <c r="I484" s="54">
        <f t="shared" si="58"/>
        <v>19</v>
      </c>
      <c r="J484" s="14" t="str">
        <f t="shared" si="54"/>
        <v>MothersDay</v>
      </c>
      <c r="K484" s="16" t="str">
        <f t="shared" si="56"/>
        <v>0-3</v>
      </c>
      <c r="L484" s="14" t="str">
        <f t="shared" si="55"/>
        <v>Romper Longer | 0-3 | Cream</v>
      </c>
      <c r="M484" s="16" t="s">
        <v>3609</v>
      </c>
    </row>
    <row r="485" spans="1:13" ht="25" customHeight="1" x14ac:dyDescent="0.45">
      <c r="A485" s="6">
        <v>46145</v>
      </c>
      <c r="B485" s="3" t="s">
        <v>1035</v>
      </c>
      <c r="C485" s="4" t="s">
        <v>87</v>
      </c>
      <c r="D485" s="53" t="str">
        <f t="shared" si="53"/>
        <v>Cream</v>
      </c>
      <c r="E485" s="4" t="s">
        <v>490</v>
      </c>
      <c r="F485" s="4" t="s">
        <v>7</v>
      </c>
      <c r="G485" s="4" t="str">
        <f t="shared" si="57"/>
        <v>Romper Longer</v>
      </c>
      <c r="H485" s="38">
        <f t="shared" si="52"/>
        <v>5</v>
      </c>
      <c r="I485" s="54">
        <f t="shared" si="58"/>
        <v>19</v>
      </c>
      <c r="J485" s="14" t="str">
        <f t="shared" si="54"/>
        <v>MothersDay</v>
      </c>
      <c r="K485" s="16" t="str">
        <f t="shared" si="56"/>
        <v>0-3</v>
      </c>
      <c r="L485" s="14" t="str">
        <f t="shared" si="55"/>
        <v>Romper Longer | 0-3 | Cream</v>
      </c>
      <c r="M485" s="16" t="s">
        <v>3609</v>
      </c>
    </row>
    <row r="486" spans="1:13" ht="25" customHeight="1" x14ac:dyDescent="0.45">
      <c r="A486" s="6">
        <v>46145</v>
      </c>
      <c r="B486" s="3" t="s">
        <v>1036</v>
      </c>
      <c r="C486" s="4" t="s">
        <v>101</v>
      </c>
      <c r="D486" s="53" t="str">
        <f t="shared" si="53"/>
        <v>Sage Green</v>
      </c>
      <c r="E486" s="4" t="s">
        <v>490</v>
      </c>
      <c r="F486" s="4" t="s">
        <v>7</v>
      </c>
      <c r="G486" s="4" t="str">
        <f t="shared" si="57"/>
        <v>Romper Longer</v>
      </c>
      <c r="H486" s="38">
        <f t="shared" si="52"/>
        <v>5</v>
      </c>
      <c r="I486" s="54">
        <f t="shared" si="58"/>
        <v>19</v>
      </c>
      <c r="J486" s="14" t="str">
        <f t="shared" si="54"/>
        <v>MothersDay</v>
      </c>
      <c r="K486" s="16" t="str">
        <f t="shared" si="56"/>
        <v>0-3</v>
      </c>
      <c r="L486" s="14" t="str">
        <f t="shared" si="55"/>
        <v>Romper Longer | 0-3 | Sage Green</v>
      </c>
      <c r="M486" s="16" t="s">
        <v>3611</v>
      </c>
    </row>
    <row r="487" spans="1:13" ht="25" customHeight="1" x14ac:dyDescent="0.45">
      <c r="A487" s="6">
        <v>46145</v>
      </c>
      <c r="B487" s="3" t="s">
        <v>1037</v>
      </c>
      <c r="C487" s="4" t="s">
        <v>528</v>
      </c>
      <c r="D487" s="53" t="str">
        <f t="shared" si="53"/>
        <v>Watermelon</v>
      </c>
      <c r="E487" s="4" t="s">
        <v>589</v>
      </c>
      <c r="F487" s="4" t="s">
        <v>7</v>
      </c>
      <c r="G487" s="4" t="str">
        <f t="shared" si="57"/>
        <v>Romper Short</v>
      </c>
      <c r="H487" s="38">
        <f t="shared" si="52"/>
        <v>5</v>
      </c>
      <c r="I487" s="54">
        <f t="shared" si="58"/>
        <v>19</v>
      </c>
      <c r="J487" s="14" t="str">
        <f t="shared" si="54"/>
        <v>MothersDay</v>
      </c>
      <c r="K487" s="16" t="str">
        <f t="shared" si="56"/>
        <v>6-12</v>
      </c>
      <c r="L487" s="14" t="str">
        <f t="shared" si="55"/>
        <v>Romper Short | 6-12 | Watermelon</v>
      </c>
      <c r="M487" s="16" t="s">
        <v>3610</v>
      </c>
    </row>
    <row r="488" spans="1:13" ht="25" customHeight="1" x14ac:dyDescent="0.45">
      <c r="A488" s="6">
        <v>46145</v>
      </c>
      <c r="B488" s="3" t="s">
        <v>1038</v>
      </c>
      <c r="C488" s="4" t="s">
        <v>473</v>
      </c>
      <c r="D488" s="53" t="str">
        <f t="shared" si="53"/>
        <v>Salmon</v>
      </c>
      <c r="E488" s="4" t="s">
        <v>479</v>
      </c>
      <c r="F488" s="4" t="s">
        <v>7</v>
      </c>
      <c r="G488" s="4" t="str">
        <f t="shared" si="57"/>
        <v>Romper Longer</v>
      </c>
      <c r="H488" s="38">
        <f t="shared" si="52"/>
        <v>5</v>
      </c>
      <c r="I488" s="54">
        <f>WEEKNUM(A488)</f>
        <v>19</v>
      </c>
      <c r="J488" s="14" t="str">
        <f t="shared" si="54"/>
        <v>MothersDay</v>
      </c>
      <c r="K488" s="16" t="str">
        <f t="shared" si="56"/>
        <v>6-12</v>
      </c>
      <c r="L488" s="14" t="str">
        <f t="shared" si="55"/>
        <v>Romper Longer | 6-12 | Salmon</v>
      </c>
      <c r="M488" s="16" t="s">
        <v>3610</v>
      </c>
    </row>
    <row r="489" spans="1:13" ht="25" customHeight="1" x14ac:dyDescent="0.45">
      <c r="A489" s="6">
        <v>46145</v>
      </c>
      <c r="B489" s="3" t="s">
        <v>1039</v>
      </c>
      <c r="C489" s="4" t="s">
        <v>87</v>
      </c>
      <c r="D489" s="53" t="str">
        <f t="shared" si="53"/>
        <v>Cream</v>
      </c>
      <c r="E489" s="4" t="s">
        <v>479</v>
      </c>
      <c r="F489" s="4" t="s">
        <v>7</v>
      </c>
      <c r="G489" s="4" t="str">
        <f t="shared" si="57"/>
        <v>Romper Longer</v>
      </c>
      <c r="H489" s="38">
        <f t="shared" si="52"/>
        <v>5</v>
      </c>
      <c r="I489" s="54">
        <f>WEEKNUM(A489)</f>
        <v>19</v>
      </c>
      <c r="J489" s="14" t="str">
        <f t="shared" si="54"/>
        <v>MothersDay</v>
      </c>
      <c r="K489" s="16" t="str">
        <f t="shared" si="56"/>
        <v>6-12</v>
      </c>
      <c r="L489" s="14" t="str">
        <f t="shared" si="55"/>
        <v>Romper Longer | 6-12 | Cream</v>
      </c>
      <c r="M489" s="16" t="s">
        <v>3611</v>
      </c>
    </row>
    <row r="490" spans="1:13" ht="25" customHeight="1" x14ac:dyDescent="0.45">
      <c r="A490" s="6">
        <v>46145</v>
      </c>
      <c r="B490" s="3" t="s">
        <v>1040</v>
      </c>
      <c r="C490" s="4" t="s">
        <v>114</v>
      </c>
      <c r="D490" s="53" t="str">
        <f t="shared" si="53"/>
        <v>White</v>
      </c>
      <c r="E490" s="4" t="s">
        <v>490</v>
      </c>
      <c r="F490" s="4" t="s">
        <v>7</v>
      </c>
      <c r="G490" s="4" t="str">
        <f t="shared" si="57"/>
        <v>Romper Longer</v>
      </c>
      <c r="H490" s="38">
        <f t="shared" si="52"/>
        <v>5</v>
      </c>
      <c r="I490" s="54">
        <f t="shared" ref="I490:I553" si="59">WEEKNUM(A490)</f>
        <v>19</v>
      </c>
      <c r="J490" s="14" t="str">
        <f t="shared" si="54"/>
        <v>MothersDay</v>
      </c>
      <c r="K490" s="16" t="str">
        <f t="shared" si="56"/>
        <v>0-3</v>
      </c>
      <c r="L490" s="14" t="str">
        <f t="shared" si="55"/>
        <v>Romper Longer | 0-3 | White</v>
      </c>
      <c r="M490" s="16" t="s">
        <v>3610</v>
      </c>
    </row>
    <row r="491" spans="1:13" ht="25" customHeight="1" x14ac:dyDescent="0.45">
      <c r="A491" s="6">
        <v>46146</v>
      </c>
      <c r="B491" s="3" t="s">
        <v>1041</v>
      </c>
      <c r="C491" s="4" t="s">
        <v>473</v>
      </c>
      <c r="D491" s="53" t="str">
        <f t="shared" si="53"/>
        <v>Salmon</v>
      </c>
      <c r="E491" s="4" t="s">
        <v>485</v>
      </c>
      <c r="F491" s="4" t="s">
        <v>16</v>
      </c>
      <c r="G491" s="4" t="str">
        <f t="shared" si="57"/>
        <v>Romper Short</v>
      </c>
      <c r="H491" s="38">
        <f t="shared" si="52"/>
        <v>5</v>
      </c>
      <c r="I491" s="54">
        <f t="shared" si="59"/>
        <v>19</v>
      </c>
      <c r="J491" s="14" t="str">
        <f t="shared" si="54"/>
        <v>MothersDay</v>
      </c>
      <c r="K491" s="16" t="str">
        <f t="shared" si="56"/>
        <v>3-6</v>
      </c>
      <c r="L491" s="14" t="str">
        <f t="shared" si="55"/>
        <v>Romper Short | 3-6 | Salmon</v>
      </c>
      <c r="M491" s="16" t="s">
        <v>3610</v>
      </c>
    </row>
    <row r="492" spans="1:13" ht="25" customHeight="1" x14ac:dyDescent="0.45">
      <c r="A492" s="6">
        <v>46146</v>
      </c>
      <c r="B492" s="3" t="s">
        <v>1042</v>
      </c>
      <c r="C492" s="4" t="s">
        <v>87</v>
      </c>
      <c r="D492" s="53" t="str">
        <f t="shared" si="53"/>
        <v>Cream</v>
      </c>
      <c r="E492" s="4" t="s">
        <v>510</v>
      </c>
      <c r="F492" s="4" t="s">
        <v>16</v>
      </c>
      <c r="G492" s="4" t="str">
        <f t="shared" si="57"/>
        <v>Romper Short</v>
      </c>
      <c r="H492" s="38">
        <f t="shared" si="52"/>
        <v>5</v>
      </c>
      <c r="I492" s="54">
        <f t="shared" si="59"/>
        <v>19</v>
      </c>
      <c r="J492" s="14" t="str">
        <f t="shared" si="54"/>
        <v>MothersDay</v>
      </c>
      <c r="K492" s="16" t="str">
        <f t="shared" si="56"/>
        <v>3-6</v>
      </c>
      <c r="L492" s="14" t="str">
        <f t="shared" si="55"/>
        <v>Romper Short | 3-6 | Cream</v>
      </c>
      <c r="M492" s="16" t="s">
        <v>3609</v>
      </c>
    </row>
    <row r="493" spans="1:13" ht="25" customHeight="1" x14ac:dyDescent="0.45">
      <c r="A493" s="6">
        <v>46146</v>
      </c>
      <c r="B493" s="3" t="s">
        <v>1043</v>
      </c>
      <c r="C493" s="4" t="s">
        <v>559</v>
      </c>
      <c r="D493" s="53" t="str">
        <f t="shared" si="53"/>
        <v xml:space="preserve"> Sage Green</v>
      </c>
      <c r="E493" s="4" t="s">
        <v>490</v>
      </c>
      <c r="F493" s="4" t="s">
        <v>7</v>
      </c>
      <c r="G493" s="4" t="str">
        <f t="shared" si="57"/>
        <v>Romper Longer</v>
      </c>
      <c r="H493" s="38">
        <f t="shared" si="52"/>
        <v>5</v>
      </c>
      <c r="I493" s="54">
        <f t="shared" si="59"/>
        <v>19</v>
      </c>
      <c r="J493" s="14" t="str">
        <f t="shared" si="54"/>
        <v>MothersDay</v>
      </c>
      <c r="K493" s="16" t="str">
        <f t="shared" si="56"/>
        <v>0-3</v>
      </c>
      <c r="L493" s="14" t="str">
        <f t="shared" si="55"/>
        <v>Romper Longer | 0-3 | Sage Green</v>
      </c>
      <c r="M493" s="16" t="s">
        <v>3611</v>
      </c>
    </row>
    <row r="494" spans="1:13" ht="25" customHeight="1" x14ac:dyDescent="0.45">
      <c r="A494" s="6">
        <v>46146</v>
      </c>
      <c r="B494" s="3" t="s">
        <v>1043</v>
      </c>
      <c r="C494" s="4" t="s">
        <v>538</v>
      </c>
      <c r="D494" s="53" t="str">
        <f t="shared" si="53"/>
        <v xml:space="preserve"> Forest Green</v>
      </c>
      <c r="E494" s="4" t="s">
        <v>485</v>
      </c>
      <c r="F494" s="4" t="s">
        <v>7</v>
      </c>
      <c r="G494" s="4" t="str">
        <f t="shared" si="57"/>
        <v>Romper Short</v>
      </c>
      <c r="H494" s="38">
        <f t="shared" si="52"/>
        <v>5</v>
      </c>
      <c r="I494" s="54">
        <f t="shared" si="59"/>
        <v>19</v>
      </c>
      <c r="J494" s="14" t="str">
        <f t="shared" si="54"/>
        <v>MothersDay</v>
      </c>
      <c r="K494" s="16" t="str">
        <f t="shared" si="56"/>
        <v>3-6</v>
      </c>
      <c r="L494" s="14" t="str">
        <f t="shared" si="55"/>
        <v>Romper Short | 3-6 | Forest Green</v>
      </c>
      <c r="M494" s="16" t="s">
        <v>3610</v>
      </c>
    </row>
    <row r="495" spans="1:13" ht="25" customHeight="1" x14ac:dyDescent="0.45">
      <c r="A495" s="6">
        <v>46147</v>
      </c>
      <c r="B495" s="3" t="s">
        <v>916</v>
      </c>
      <c r="C495" s="4" t="s">
        <v>87</v>
      </c>
      <c r="D495" s="53" t="str">
        <f t="shared" si="53"/>
        <v>Cream</v>
      </c>
      <c r="E495" s="4" t="s">
        <v>917</v>
      </c>
      <c r="F495" s="4" t="s">
        <v>18</v>
      </c>
      <c r="G495" s="4" t="str">
        <f t="shared" si="57"/>
        <v>Romper Short</v>
      </c>
      <c r="H495" s="38">
        <f t="shared" si="52"/>
        <v>5</v>
      </c>
      <c r="I495" s="54">
        <f t="shared" si="59"/>
        <v>19</v>
      </c>
      <c r="J495" s="14" t="str">
        <f t="shared" si="54"/>
        <v>MothersDay</v>
      </c>
      <c r="K495" s="16" t="str">
        <f t="shared" si="56"/>
        <v>0-3</v>
      </c>
      <c r="L495" s="14" t="str">
        <f t="shared" si="55"/>
        <v>Romper Short | 0-3 | Cream</v>
      </c>
      <c r="M495" s="16" t="s">
        <v>3609</v>
      </c>
    </row>
    <row r="496" spans="1:13" ht="25" customHeight="1" x14ac:dyDescent="0.45">
      <c r="A496" s="6">
        <v>46147</v>
      </c>
      <c r="B496" s="3" t="s">
        <v>1044</v>
      </c>
      <c r="C496" s="4" t="s">
        <v>87</v>
      </c>
      <c r="D496" s="53" t="str">
        <f t="shared" si="53"/>
        <v>Cream</v>
      </c>
      <c r="E496" s="4" t="s">
        <v>485</v>
      </c>
      <c r="F496" s="4" t="s">
        <v>18</v>
      </c>
      <c r="G496" s="4" t="str">
        <f t="shared" si="57"/>
        <v>Romper Short</v>
      </c>
      <c r="H496" s="38">
        <f t="shared" si="52"/>
        <v>5</v>
      </c>
      <c r="I496" s="54">
        <f t="shared" si="59"/>
        <v>19</v>
      </c>
      <c r="J496" s="14" t="str">
        <f t="shared" si="54"/>
        <v>MothersDay</v>
      </c>
      <c r="K496" s="16" t="str">
        <f t="shared" si="56"/>
        <v>3-6</v>
      </c>
      <c r="L496" s="14" t="str">
        <f t="shared" si="55"/>
        <v>Romper Short | 3-6 | Cream</v>
      </c>
      <c r="M496" s="16" t="s">
        <v>3609</v>
      </c>
    </row>
    <row r="497" spans="1:13" ht="25" customHeight="1" x14ac:dyDescent="0.45">
      <c r="A497" s="6">
        <v>46147</v>
      </c>
      <c r="B497" s="3" t="s">
        <v>1045</v>
      </c>
      <c r="C497" s="4" t="s">
        <v>87</v>
      </c>
      <c r="D497" s="53" t="str">
        <f t="shared" si="53"/>
        <v>Cream</v>
      </c>
      <c r="E497" s="4" t="s">
        <v>555</v>
      </c>
      <c r="F497" s="4" t="s">
        <v>7</v>
      </c>
      <c r="G497" s="4" t="str">
        <f t="shared" si="57"/>
        <v>Romper Longer</v>
      </c>
      <c r="H497" s="38">
        <f t="shared" si="52"/>
        <v>5</v>
      </c>
      <c r="I497" s="54">
        <f t="shared" si="59"/>
        <v>19</v>
      </c>
      <c r="J497" s="14" t="str">
        <f t="shared" si="54"/>
        <v>MothersDay</v>
      </c>
      <c r="K497" s="16" t="str">
        <f t="shared" si="56"/>
        <v>3-6</v>
      </c>
      <c r="L497" s="14" t="str">
        <f t="shared" si="55"/>
        <v>Romper Longer | 3-6 | Cream</v>
      </c>
      <c r="M497" s="16" t="s">
        <v>3609</v>
      </c>
    </row>
    <row r="498" spans="1:13" ht="25" customHeight="1" x14ac:dyDescent="0.45">
      <c r="A498" s="6">
        <v>46147</v>
      </c>
      <c r="B498" s="3" t="s">
        <v>1046</v>
      </c>
      <c r="C498" s="4" t="s">
        <v>87</v>
      </c>
      <c r="D498" s="53" t="str">
        <f t="shared" si="53"/>
        <v>Cream</v>
      </c>
      <c r="E498" s="4" t="s">
        <v>479</v>
      </c>
      <c r="F498" s="4" t="s">
        <v>19</v>
      </c>
      <c r="G498" s="4" t="str">
        <f t="shared" si="57"/>
        <v>Romper Longer</v>
      </c>
      <c r="H498" s="38">
        <f t="shared" si="52"/>
        <v>5</v>
      </c>
      <c r="I498" s="54">
        <f t="shared" si="59"/>
        <v>19</v>
      </c>
      <c r="J498" s="14" t="str">
        <f t="shared" si="54"/>
        <v>MothersDay</v>
      </c>
      <c r="K498" s="16" t="str">
        <f t="shared" si="56"/>
        <v>6-12</v>
      </c>
      <c r="L498" s="14" t="str">
        <f t="shared" si="55"/>
        <v>Romper Longer | 6-12 | Cream</v>
      </c>
      <c r="M498" s="16" t="s">
        <v>3611</v>
      </c>
    </row>
    <row r="499" spans="1:13" ht="25" customHeight="1" x14ac:dyDescent="0.45">
      <c r="A499" s="6">
        <v>46148</v>
      </c>
      <c r="B499" s="3" t="s">
        <v>1047</v>
      </c>
      <c r="C499" s="4" t="s">
        <v>87</v>
      </c>
      <c r="D499" s="53" t="str">
        <f t="shared" si="53"/>
        <v>Cream</v>
      </c>
      <c r="E499" s="4" t="s">
        <v>485</v>
      </c>
      <c r="F499" s="4" t="s">
        <v>11</v>
      </c>
      <c r="G499" s="4" t="str">
        <f t="shared" si="57"/>
        <v>Romper Short</v>
      </c>
      <c r="H499" s="38">
        <f t="shared" si="52"/>
        <v>5</v>
      </c>
      <c r="I499" s="54">
        <f t="shared" si="59"/>
        <v>19</v>
      </c>
      <c r="J499" s="14" t="str">
        <f t="shared" si="54"/>
        <v>MothersDay</v>
      </c>
      <c r="K499" s="16" t="str">
        <f t="shared" si="56"/>
        <v>3-6</v>
      </c>
      <c r="L499" s="14" t="str">
        <f t="shared" si="55"/>
        <v>Romper Short | 3-6 | Cream</v>
      </c>
      <c r="M499" s="16" t="s">
        <v>3609</v>
      </c>
    </row>
    <row r="500" spans="1:13" ht="25" customHeight="1" x14ac:dyDescent="0.45">
      <c r="A500" s="6">
        <v>46148</v>
      </c>
      <c r="B500" s="3" t="s">
        <v>1048</v>
      </c>
      <c r="C500" s="4" t="s">
        <v>87</v>
      </c>
      <c r="D500" s="53" t="str">
        <f t="shared" si="53"/>
        <v>Cream</v>
      </c>
      <c r="E500" s="4" t="s">
        <v>658</v>
      </c>
      <c r="F500" s="4" t="s">
        <v>11</v>
      </c>
      <c r="G500" s="4" t="str">
        <f t="shared" si="57"/>
        <v>Romper Longer</v>
      </c>
      <c r="H500" s="38">
        <f t="shared" si="52"/>
        <v>5</v>
      </c>
      <c r="I500" s="54">
        <f t="shared" si="59"/>
        <v>19</v>
      </c>
      <c r="J500" s="14" t="str">
        <f t="shared" si="54"/>
        <v>MothersDay</v>
      </c>
      <c r="K500" s="16" t="str">
        <f t="shared" si="56"/>
        <v>3-6</v>
      </c>
      <c r="L500" s="14" t="str">
        <f t="shared" si="55"/>
        <v>Romper Longer | 3-6 | Cream</v>
      </c>
      <c r="M500" s="16" t="s">
        <v>3609</v>
      </c>
    </row>
    <row r="501" spans="1:13" ht="25" customHeight="1" x14ac:dyDescent="0.45">
      <c r="A501" s="6">
        <v>46148</v>
      </c>
      <c r="B501" s="3" t="s">
        <v>1049</v>
      </c>
      <c r="C501" s="4" t="s">
        <v>470</v>
      </c>
      <c r="D501" s="53" t="str">
        <f t="shared" si="53"/>
        <v>Caldet Blue</v>
      </c>
      <c r="E501" s="4" t="s">
        <v>555</v>
      </c>
      <c r="F501" s="4" t="s">
        <v>11</v>
      </c>
      <c r="G501" s="4" t="str">
        <f t="shared" si="57"/>
        <v>Romper Longer</v>
      </c>
      <c r="H501" s="38">
        <f t="shared" si="52"/>
        <v>5</v>
      </c>
      <c r="I501" s="54">
        <f t="shared" si="59"/>
        <v>19</v>
      </c>
      <c r="J501" s="14" t="str">
        <f t="shared" si="54"/>
        <v>MothersDay</v>
      </c>
      <c r="K501" s="16" t="str">
        <f t="shared" si="56"/>
        <v>3-6</v>
      </c>
      <c r="L501" s="14" t="str">
        <f t="shared" si="55"/>
        <v>Romper Longer | 3-6 | Caldet Blue</v>
      </c>
      <c r="M501" s="16" t="s">
        <v>3610</v>
      </c>
    </row>
    <row r="502" spans="1:13" ht="25" customHeight="1" x14ac:dyDescent="0.45">
      <c r="A502" s="6">
        <v>46148</v>
      </c>
      <c r="B502" s="3" t="s">
        <v>1050</v>
      </c>
      <c r="C502" s="4" t="s">
        <v>87</v>
      </c>
      <c r="D502" s="53" t="str">
        <f t="shared" si="53"/>
        <v>Cream</v>
      </c>
      <c r="E502" s="4" t="s">
        <v>580</v>
      </c>
      <c r="F502" s="4" t="s">
        <v>18</v>
      </c>
      <c r="G502" s="4" t="str">
        <f t="shared" si="57"/>
        <v>Romper Short</v>
      </c>
      <c r="H502" s="38">
        <f t="shared" si="52"/>
        <v>5</v>
      </c>
      <c r="I502" s="54">
        <f t="shared" si="59"/>
        <v>19</v>
      </c>
      <c r="J502" s="14" t="str">
        <f t="shared" si="54"/>
        <v>MothersDay</v>
      </c>
      <c r="K502" s="16" t="str">
        <f t="shared" si="56"/>
        <v>0-3</v>
      </c>
      <c r="L502" s="14" t="str">
        <f t="shared" si="55"/>
        <v>Romper Short | 0-3 | Cream</v>
      </c>
      <c r="M502" s="16" t="s">
        <v>3609</v>
      </c>
    </row>
    <row r="503" spans="1:13" ht="25" customHeight="1" x14ac:dyDescent="0.45">
      <c r="A503" s="6">
        <v>46148</v>
      </c>
      <c r="B503" s="3" t="s">
        <v>1051</v>
      </c>
      <c r="C503" s="4" t="s">
        <v>87</v>
      </c>
      <c r="D503" s="53" t="str">
        <f t="shared" si="53"/>
        <v>Cream</v>
      </c>
      <c r="E503" s="4" t="s">
        <v>485</v>
      </c>
      <c r="F503" s="4" t="s">
        <v>7</v>
      </c>
      <c r="G503" s="4" t="str">
        <f t="shared" si="57"/>
        <v>Romper Short</v>
      </c>
      <c r="H503" s="38">
        <f t="shared" si="52"/>
        <v>5</v>
      </c>
      <c r="I503" s="54">
        <f t="shared" si="59"/>
        <v>19</v>
      </c>
      <c r="J503" s="14" t="str">
        <f t="shared" si="54"/>
        <v>MothersDay</v>
      </c>
      <c r="K503" s="16" t="str">
        <f t="shared" si="56"/>
        <v>3-6</v>
      </c>
      <c r="L503" s="14" t="str">
        <f t="shared" si="55"/>
        <v>Romper Short | 3-6 | Cream</v>
      </c>
      <c r="M503" s="16" t="s">
        <v>3609</v>
      </c>
    </row>
    <row r="504" spans="1:13" ht="25" customHeight="1" x14ac:dyDescent="0.45">
      <c r="A504" s="6">
        <v>46148</v>
      </c>
      <c r="B504" s="3" t="s">
        <v>1052</v>
      </c>
      <c r="C504" s="4" t="s">
        <v>184</v>
      </c>
      <c r="D504" s="53" t="str">
        <f t="shared" si="53"/>
        <v>Coffee</v>
      </c>
      <c r="E504" s="4" t="s">
        <v>555</v>
      </c>
      <c r="F504" s="4" t="s">
        <v>7</v>
      </c>
      <c r="G504" s="4" t="str">
        <f t="shared" si="57"/>
        <v>Romper Longer</v>
      </c>
      <c r="H504" s="38">
        <f t="shared" si="52"/>
        <v>5</v>
      </c>
      <c r="I504" s="54">
        <f t="shared" si="59"/>
        <v>19</v>
      </c>
      <c r="J504" s="14" t="str">
        <f t="shared" si="54"/>
        <v>MothersDay</v>
      </c>
      <c r="K504" s="16" t="str">
        <f t="shared" si="56"/>
        <v>3-6</v>
      </c>
      <c r="L504" s="14" t="str">
        <f t="shared" si="55"/>
        <v>Romper Longer | 3-6 | Coffee</v>
      </c>
      <c r="M504" s="16" t="s">
        <v>3610</v>
      </c>
    </row>
    <row r="505" spans="1:13" ht="25" customHeight="1" x14ac:dyDescent="0.45">
      <c r="A505" s="6">
        <v>46148</v>
      </c>
      <c r="B505" s="3" t="s">
        <v>1053</v>
      </c>
      <c r="C505" s="4" t="s">
        <v>87</v>
      </c>
      <c r="D505" s="53" t="str">
        <f t="shared" si="53"/>
        <v>Cream</v>
      </c>
      <c r="E505" s="4" t="s">
        <v>555</v>
      </c>
      <c r="F505" s="4" t="s">
        <v>7</v>
      </c>
      <c r="G505" s="4" t="str">
        <f t="shared" si="57"/>
        <v>Romper Longer</v>
      </c>
      <c r="H505" s="38">
        <f t="shared" si="52"/>
        <v>5</v>
      </c>
      <c r="I505" s="54">
        <f t="shared" si="59"/>
        <v>19</v>
      </c>
      <c r="J505" s="14" t="str">
        <f t="shared" si="54"/>
        <v>MothersDay</v>
      </c>
      <c r="K505" s="16" t="str">
        <f t="shared" si="56"/>
        <v>3-6</v>
      </c>
      <c r="L505" s="14" t="str">
        <f t="shared" si="55"/>
        <v>Romper Longer | 3-6 | Cream</v>
      </c>
      <c r="M505" s="16" t="s">
        <v>3609</v>
      </c>
    </row>
    <row r="506" spans="1:13" ht="25" customHeight="1" x14ac:dyDescent="0.45">
      <c r="A506" s="6">
        <v>46148</v>
      </c>
      <c r="B506" s="3" t="s">
        <v>1054</v>
      </c>
      <c r="C506" s="4" t="s">
        <v>87</v>
      </c>
      <c r="D506" s="53" t="str">
        <f t="shared" si="53"/>
        <v>Cream</v>
      </c>
      <c r="E506" s="4" t="s">
        <v>555</v>
      </c>
      <c r="F506" s="4" t="s">
        <v>11</v>
      </c>
      <c r="G506" s="4" t="str">
        <f t="shared" si="57"/>
        <v>Romper Longer</v>
      </c>
      <c r="H506" s="38">
        <f t="shared" si="52"/>
        <v>5</v>
      </c>
      <c r="I506" s="54">
        <f t="shared" si="59"/>
        <v>19</v>
      </c>
      <c r="J506" s="14" t="str">
        <f t="shared" si="54"/>
        <v>MothersDay</v>
      </c>
      <c r="K506" s="16" t="str">
        <f t="shared" si="56"/>
        <v>3-6</v>
      </c>
      <c r="L506" s="14" t="str">
        <f t="shared" si="55"/>
        <v>Romper Longer | 3-6 | Cream</v>
      </c>
      <c r="M506" s="16" t="s">
        <v>3609</v>
      </c>
    </row>
    <row r="507" spans="1:13" ht="25" customHeight="1" x14ac:dyDescent="0.45">
      <c r="A507" s="6">
        <v>46148</v>
      </c>
      <c r="B507" s="3" t="s">
        <v>1055</v>
      </c>
      <c r="C507" s="4" t="s">
        <v>528</v>
      </c>
      <c r="D507" s="53" t="str">
        <f t="shared" si="53"/>
        <v>Watermelon</v>
      </c>
      <c r="E507" s="4" t="s">
        <v>555</v>
      </c>
      <c r="F507" s="4" t="s">
        <v>11</v>
      </c>
      <c r="G507" s="4" t="str">
        <f t="shared" si="57"/>
        <v>Romper Longer</v>
      </c>
      <c r="H507" s="38">
        <f t="shared" si="52"/>
        <v>5</v>
      </c>
      <c r="I507" s="54">
        <f t="shared" si="59"/>
        <v>19</v>
      </c>
      <c r="J507" s="14" t="str">
        <f t="shared" si="54"/>
        <v>MothersDay</v>
      </c>
      <c r="K507" s="16" t="str">
        <f t="shared" si="56"/>
        <v>3-6</v>
      </c>
      <c r="L507" s="14" t="str">
        <f t="shared" si="55"/>
        <v>Romper Longer | 3-6 | Watermelon</v>
      </c>
      <c r="M507" s="16" t="s">
        <v>3610</v>
      </c>
    </row>
    <row r="508" spans="1:13" ht="25" customHeight="1" x14ac:dyDescent="0.45">
      <c r="A508" s="11">
        <v>46149</v>
      </c>
      <c r="B508" s="3" t="s">
        <v>1056</v>
      </c>
      <c r="C508" s="4" t="s">
        <v>87</v>
      </c>
      <c r="D508" s="53" t="str">
        <f t="shared" si="53"/>
        <v>Cream</v>
      </c>
      <c r="E508" s="4" t="s">
        <v>479</v>
      </c>
      <c r="F508" s="4" t="s">
        <v>13</v>
      </c>
      <c r="G508" s="4" t="str">
        <f t="shared" si="57"/>
        <v>Romper Longer</v>
      </c>
      <c r="H508" s="38">
        <f t="shared" si="52"/>
        <v>5</v>
      </c>
      <c r="I508" s="54">
        <f t="shared" si="59"/>
        <v>19</v>
      </c>
      <c r="J508" s="14" t="str">
        <f t="shared" si="54"/>
        <v>MothersDay</v>
      </c>
      <c r="K508" s="16" t="str">
        <f t="shared" si="56"/>
        <v>6-12</v>
      </c>
      <c r="L508" s="14" t="str">
        <f t="shared" si="55"/>
        <v>Romper Longer | 6-12 | Cream</v>
      </c>
      <c r="M508" s="16" t="s">
        <v>3611</v>
      </c>
    </row>
    <row r="509" spans="1:13" ht="25" customHeight="1" x14ac:dyDescent="0.45">
      <c r="A509" s="11">
        <v>46149</v>
      </c>
      <c r="B509" s="3" t="s">
        <v>1057</v>
      </c>
      <c r="C509" s="4" t="s">
        <v>87</v>
      </c>
      <c r="D509" s="53" t="str">
        <f t="shared" si="53"/>
        <v>Cream</v>
      </c>
      <c r="E509" s="4" t="s">
        <v>555</v>
      </c>
      <c r="F509" s="4" t="s">
        <v>826</v>
      </c>
      <c r="G509" s="4" t="str">
        <f t="shared" si="57"/>
        <v>Romper Longer</v>
      </c>
      <c r="H509" s="38">
        <f t="shared" si="52"/>
        <v>5</v>
      </c>
      <c r="I509" s="54">
        <f t="shared" si="59"/>
        <v>19</v>
      </c>
      <c r="J509" s="14" t="str">
        <f t="shared" si="54"/>
        <v>MothersDay</v>
      </c>
      <c r="K509" s="16" t="str">
        <f t="shared" si="56"/>
        <v>3-6</v>
      </c>
      <c r="L509" s="14" t="str">
        <f t="shared" si="55"/>
        <v>Romper Longer | 3-6 | Cream</v>
      </c>
      <c r="M509" s="16" t="s">
        <v>3609</v>
      </c>
    </row>
    <row r="510" spans="1:13" ht="25" customHeight="1" x14ac:dyDescent="0.45">
      <c r="A510" s="11">
        <v>46149</v>
      </c>
      <c r="B510" s="3" t="s">
        <v>1058</v>
      </c>
      <c r="C510" s="4" t="s">
        <v>184</v>
      </c>
      <c r="D510" s="53" t="str">
        <f t="shared" si="53"/>
        <v>Coffee</v>
      </c>
      <c r="E510" s="4" t="s">
        <v>555</v>
      </c>
      <c r="F510" s="4" t="s">
        <v>7</v>
      </c>
      <c r="G510" s="4" t="str">
        <f t="shared" si="57"/>
        <v>Romper Longer</v>
      </c>
      <c r="H510" s="38">
        <f t="shared" si="52"/>
        <v>5</v>
      </c>
      <c r="I510" s="54">
        <f t="shared" si="59"/>
        <v>19</v>
      </c>
      <c r="J510" s="14" t="str">
        <f t="shared" si="54"/>
        <v>MothersDay</v>
      </c>
      <c r="K510" s="16" t="str">
        <f t="shared" si="56"/>
        <v>3-6</v>
      </c>
      <c r="L510" s="14" t="str">
        <f t="shared" si="55"/>
        <v>Romper Longer | 3-6 | Coffee</v>
      </c>
      <c r="M510" s="16" t="s">
        <v>3610</v>
      </c>
    </row>
    <row r="511" spans="1:13" ht="25" customHeight="1" x14ac:dyDescent="0.45">
      <c r="A511" s="11">
        <v>46149</v>
      </c>
      <c r="B511" s="3" t="s">
        <v>1059</v>
      </c>
      <c r="C511" s="4" t="s">
        <v>508</v>
      </c>
      <c r="D511" s="53" t="str">
        <f t="shared" si="53"/>
        <v>Dusty Pink</v>
      </c>
      <c r="E511" s="4" t="s">
        <v>589</v>
      </c>
      <c r="F511" s="4" t="s">
        <v>7</v>
      </c>
      <c r="G511" s="4" t="str">
        <f t="shared" si="57"/>
        <v>Romper Short</v>
      </c>
      <c r="H511" s="38">
        <f t="shared" si="52"/>
        <v>5</v>
      </c>
      <c r="I511" s="54">
        <f t="shared" si="59"/>
        <v>19</v>
      </c>
      <c r="J511" s="14" t="str">
        <f t="shared" si="54"/>
        <v>MothersDay</v>
      </c>
      <c r="K511" s="16" t="str">
        <f t="shared" si="56"/>
        <v>6-12</v>
      </c>
      <c r="L511" s="14" t="str">
        <f t="shared" si="55"/>
        <v>Romper Short | 6-12 | Dusty Pink</v>
      </c>
      <c r="M511" s="16" t="s">
        <v>3610</v>
      </c>
    </row>
    <row r="512" spans="1:13" ht="25" customHeight="1" x14ac:dyDescent="0.45">
      <c r="A512" s="11">
        <v>46149</v>
      </c>
      <c r="B512" s="3" t="s">
        <v>1059</v>
      </c>
      <c r="C512" s="4" t="s">
        <v>473</v>
      </c>
      <c r="D512" s="53" t="str">
        <f t="shared" si="53"/>
        <v>Salmon</v>
      </c>
      <c r="E512" s="4" t="s">
        <v>485</v>
      </c>
      <c r="F512" s="4" t="s">
        <v>7</v>
      </c>
      <c r="G512" s="4" t="str">
        <f t="shared" si="57"/>
        <v>Romper Short</v>
      </c>
      <c r="H512" s="38">
        <f t="shared" si="52"/>
        <v>5</v>
      </c>
      <c r="I512" s="54">
        <f t="shared" si="59"/>
        <v>19</v>
      </c>
      <c r="J512" s="14" t="str">
        <f t="shared" si="54"/>
        <v>MothersDay</v>
      </c>
      <c r="K512" s="16" t="str">
        <f t="shared" si="56"/>
        <v>3-6</v>
      </c>
      <c r="L512" s="14" t="str">
        <f t="shared" si="55"/>
        <v>Romper Short | 3-6 | Salmon</v>
      </c>
      <c r="M512" s="16" t="s">
        <v>3610</v>
      </c>
    </row>
    <row r="513" spans="1:13" ht="25" customHeight="1" x14ac:dyDescent="0.45">
      <c r="A513" s="11">
        <v>46149</v>
      </c>
      <c r="B513" s="3" t="s">
        <v>1060</v>
      </c>
      <c r="C513" s="4" t="s">
        <v>101</v>
      </c>
      <c r="D513" s="53" t="str">
        <f t="shared" si="53"/>
        <v>Sage Green</v>
      </c>
      <c r="E513" s="4" t="s">
        <v>580</v>
      </c>
      <c r="F513" s="4" t="s">
        <v>7</v>
      </c>
      <c r="G513" s="4" t="str">
        <f t="shared" si="57"/>
        <v>Romper Short</v>
      </c>
      <c r="H513" s="38">
        <f t="shared" si="52"/>
        <v>5</v>
      </c>
      <c r="I513" s="54">
        <f t="shared" si="59"/>
        <v>19</v>
      </c>
      <c r="J513" s="14" t="str">
        <f t="shared" si="54"/>
        <v>MothersDay</v>
      </c>
      <c r="K513" s="16" t="str">
        <f t="shared" si="56"/>
        <v>0-3</v>
      </c>
      <c r="L513" s="14" t="str">
        <f t="shared" si="55"/>
        <v>Romper Short | 0-3 | Sage Green</v>
      </c>
      <c r="M513" s="16" t="s">
        <v>3610</v>
      </c>
    </row>
    <row r="514" spans="1:13" ht="25" customHeight="1" x14ac:dyDescent="0.45">
      <c r="A514" s="6">
        <v>46150</v>
      </c>
      <c r="B514" s="3" t="s">
        <v>1061</v>
      </c>
      <c r="C514" s="4" t="s">
        <v>87</v>
      </c>
      <c r="D514" s="53" t="str">
        <f t="shared" si="53"/>
        <v>Cream</v>
      </c>
      <c r="E514" s="4" t="s">
        <v>485</v>
      </c>
      <c r="F514" s="4" t="s">
        <v>15</v>
      </c>
      <c r="G514" s="4" t="str">
        <f t="shared" si="57"/>
        <v>Romper Short</v>
      </c>
      <c r="H514" s="38">
        <f t="shared" ref="H514:H577" si="60">MONTH(A514)</f>
        <v>5</v>
      </c>
      <c r="I514" s="54">
        <f t="shared" si="59"/>
        <v>19</v>
      </c>
      <c r="J514" s="14" t="str">
        <f t="shared" si="54"/>
        <v>MothersDay</v>
      </c>
      <c r="K514" s="16" t="str">
        <f t="shared" si="56"/>
        <v>3-6</v>
      </c>
      <c r="L514" s="14" t="str">
        <f t="shared" si="55"/>
        <v>Romper Short | 3-6 | Cream</v>
      </c>
      <c r="M514" s="16" t="s">
        <v>3609</v>
      </c>
    </row>
    <row r="515" spans="1:13" ht="25" customHeight="1" x14ac:dyDescent="0.45">
      <c r="A515" s="6">
        <v>46150</v>
      </c>
      <c r="B515" s="3" t="s">
        <v>1062</v>
      </c>
      <c r="C515" s="4" t="s">
        <v>470</v>
      </c>
      <c r="D515" s="53" t="str">
        <f t="shared" ref="D515:D578" si="61">PROPER(C515)</f>
        <v>Caldet Blue</v>
      </c>
      <c r="E515" s="4" t="s">
        <v>485</v>
      </c>
      <c r="F515" s="4" t="s">
        <v>15</v>
      </c>
      <c r="G515" s="4" t="str">
        <f t="shared" si="57"/>
        <v>Romper Short</v>
      </c>
      <c r="H515" s="38">
        <f t="shared" si="60"/>
        <v>5</v>
      </c>
      <c r="I515" s="54">
        <f t="shared" si="59"/>
        <v>19</v>
      </c>
      <c r="J515" s="14" t="str">
        <f t="shared" ref="J515:J578" si="62">IF(H515=1,"NewYear",
IF(H515=2,"Valentine",
IF(OR(H515=3,H515=4),"Easter",
IF(H515=5,"MothersDay",
IF(H515=6,"FathersDay",
IF(OR(H515=7,H515=8),"Summer",
IF(H515=10,"Halloween",
IF(OR(H515=11,H515=12),"Christmas","Normal"))))))))</f>
        <v>MothersDay</v>
      </c>
      <c r="K515" s="16" t="str">
        <f t="shared" si="56"/>
        <v>3-6</v>
      </c>
      <c r="L515" s="14" t="str">
        <f t="shared" ref="L515:L578" si="63">TRIM(G515)&amp;" | "&amp;TRIM(K515)&amp;" | "&amp;PROPER(TRIM(D515))</f>
        <v>Romper Short | 3-6 | Caldet Blue</v>
      </c>
      <c r="M515" s="16" t="s">
        <v>3610</v>
      </c>
    </row>
    <row r="516" spans="1:13" ht="25" customHeight="1" x14ac:dyDescent="0.45">
      <c r="A516" s="6">
        <v>46150</v>
      </c>
      <c r="B516" s="3" t="s">
        <v>1063</v>
      </c>
      <c r="C516" s="4" t="s">
        <v>87</v>
      </c>
      <c r="D516" s="53" t="str">
        <f t="shared" si="61"/>
        <v>Cream</v>
      </c>
      <c r="E516" s="4" t="s">
        <v>485</v>
      </c>
      <c r="F516" s="4" t="s">
        <v>7</v>
      </c>
      <c r="G516" s="4" t="str">
        <f t="shared" si="57"/>
        <v>Romper Short</v>
      </c>
      <c r="H516" s="38">
        <f t="shared" si="60"/>
        <v>5</v>
      </c>
      <c r="I516" s="54">
        <f t="shared" si="59"/>
        <v>19</v>
      </c>
      <c r="J516" s="14" t="str">
        <f t="shared" si="62"/>
        <v>MothersDay</v>
      </c>
      <c r="K516" s="16" t="str">
        <f t="shared" si="56"/>
        <v>3-6</v>
      </c>
      <c r="L516" s="14" t="str">
        <f t="shared" si="63"/>
        <v>Romper Short | 3-6 | Cream</v>
      </c>
      <c r="M516" s="16" t="s">
        <v>3609</v>
      </c>
    </row>
    <row r="517" spans="1:13" ht="25" customHeight="1" x14ac:dyDescent="0.45">
      <c r="A517" s="6">
        <v>46151</v>
      </c>
      <c r="B517" s="3" t="s">
        <v>1064</v>
      </c>
      <c r="C517" s="4" t="s">
        <v>87</v>
      </c>
      <c r="D517" s="53" t="str">
        <f t="shared" si="61"/>
        <v>Cream</v>
      </c>
      <c r="E517" s="4" t="s">
        <v>555</v>
      </c>
      <c r="F517" s="4" t="s">
        <v>7</v>
      </c>
      <c r="G517" s="4" t="str">
        <f t="shared" si="57"/>
        <v>Romper Longer</v>
      </c>
      <c r="H517" s="38">
        <f t="shared" si="60"/>
        <v>5</v>
      </c>
      <c r="I517" s="54">
        <f t="shared" si="59"/>
        <v>19</v>
      </c>
      <c r="J517" s="14" t="str">
        <f t="shared" si="62"/>
        <v>MothersDay</v>
      </c>
      <c r="K517" s="16" t="str">
        <f t="shared" si="56"/>
        <v>3-6</v>
      </c>
      <c r="L517" s="14" t="str">
        <f t="shared" si="63"/>
        <v>Romper Longer | 3-6 | Cream</v>
      </c>
      <c r="M517" s="16" t="s">
        <v>3609</v>
      </c>
    </row>
    <row r="518" spans="1:13" ht="25" customHeight="1" x14ac:dyDescent="0.45">
      <c r="A518" s="6">
        <v>46151</v>
      </c>
      <c r="B518" s="3" t="s">
        <v>1065</v>
      </c>
      <c r="C518" s="4" t="s">
        <v>483</v>
      </c>
      <c r="D518" s="53" t="str">
        <f t="shared" si="61"/>
        <v>Forest Green</v>
      </c>
      <c r="E518" s="4" t="s">
        <v>658</v>
      </c>
      <c r="F518" s="4" t="s">
        <v>19</v>
      </c>
      <c r="G518" s="4" t="str">
        <f t="shared" si="57"/>
        <v>Romper Longer</v>
      </c>
      <c r="H518" s="38">
        <f t="shared" si="60"/>
        <v>5</v>
      </c>
      <c r="I518" s="54">
        <f t="shared" si="59"/>
        <v>19</v>
      </c>
      <c r="J518" s="14" t="str">
        <f t="shared" si="62"/>
        <v>MothersDay</v>
      </c>
      <c r="K518" s="16" t="str">
        <f t="shared" si="56"/>
        <v>3-6</v>
      </c>
      <c r="L518" s="14" t="str">
        <f t="shared" si="63"/>
        <v>Romper Longer | 3-6 | Forest Green</v>
      </c>
      <c r="M518" s="16" t="s">
        <v>3610</v>
      </c>
    </row>
    <row r="519" spans="1:13" ht="25" customHeight="1" x14ac:dyDescent="0.45">
      <c r="A519" s="6">
        <v>46151</v>
      </c>
      <c r="B519" s="3" t="s">
        <v>1066</v>
      </c>
      <c r="C519" s="4" t="s">
        <v>87</v>
      </c>
      <c r="D519" s="53" t="str">
        <f t="shared" si="61"/>
        <v>Cream</v>
      </c>
      <c r="E519" s="4" t="s">
        <v>718</v>
      </c>
      <c r="F519" s="4" t="s">
        <v>13</v>
      </c>
      <c r="G519" s="4" t="str">
        <f t="shared" si="57"/>
        <v>Romper Longer</v>
      </c>
      <c r="H519" s="38">
        <f t="shared" si="60"/>
        <v>5</v>
      </c>
      <c r="I519" s="54">
        <f t="shared" si="59"/>
        <v>19</v>
      </c>
      <c r="J519" s="14" t="str">
        <f t="shared" si="62"/>
        <v>MothersDay</v>
      </c>
      <c r="K519" s="16" t="str">
        <f t="shared" si="56"/>
        <v>0-3</v>
      </c>
      <c r="L519" s="14" t="str">
        <f t="shared" si="63"/>
        <v>Romper Longer | 0-3 | Cream</v>
      </c>
      <c r="M519" s="16" t="s">
        <v>3609</v>
      </c>
    </row>
    <row r="520" spans="1:13" ht="25" customHeight="1" x14ac:dyDescent="0.45">
      <c r="A520" s="6">
        <v>46151</v>
      </c>
      <c r="B520" s="3" t="s">
        <v>1067</v>
      </c>
      <c r="C520" s="4" t="s">
        <v>87</v>
      </c>
      <c r="D520" s="53" t="str">
        <f t="shared" si="61"/>
        <v>Cream</v>
      </c>
      <c r="E520" s="4" t="s">
        <v>490</v>
      </c>
      <c r="F520" s="4" t="s">
        <v>7</v>
      </c>
      <c r="G520" s="4" t="str">
        <f t="shared" si="57"/>
        <v>Romper Longer</v>
      </c>
      <c r="H520" s="38">
        <f t="shared" si="60"/>
        <v>5</v>
      </c>
      <c r="I520" s="54">
        <f t="shared" si="59"/>
        <v>19</v>
      </c>
      <c r="J520" s="14" t="str">
        <f t="shared" si="62"/>
        <v>MothersDay</v>
      </c>
      <c r="K520" s="16" t="str">
        <f t="shared" si="56"/>
        <v>0-3</v>
      </c>
      <c r="L520" s="14" t="str">
        <f t="shared" si="63"/>
        <v>Romper Longer | 0-3 | Cream</v>
      </c>
      <c r="M520" s="16" t="s">
        <v>3609</v>
      </c>
    </row>
    <row r="521" spans="1:13" ht="25" customHeight="1" x14ac:dyDescent="0.45">
      <c r="A521" s="6">
        <v>46151</v>
      </c>
      <c r="B521" s="3" t="s">
        <v>1068</v>
      </c>
      <c r="C521" s="4" t="s">
        <v>101</v>
      </c>
      <c r="D521" s="53" t="str">
        <f t="shared" si="61"/>
        <v>Sage Green</v>
      </c>
      <c r="E521" s="4" t="s">
        <v>485</v>
      </c>
      <c r="F521" s="4" t="s">
        <v>37</v>
      </c>
      <c r="G521" s="4" t="str">
        <f t="shared" si="57"/>
        <v>Romper Short</v>
      </c>
      <c r="H521" s="38">
        <f t="shared" si="60"/>
        <v>5</v>
      </c>
      <c r="I521" s="54">
        <f t="shared" si="59"/>
        <v>19</v>
      </c>
      <c r="J521" s="14" t="str">
        <f t="shared" si="62"/>
        <v>MothersDay</v>
      </c>
      <c r="K521" s="16" t="str">
        <f t="shared" si="56"/>
        <v>3-6</v>
      </c>
      <c r="L521" s="14" t="str">
        <f t="shared" si="63"/>
        <v>Romper Short | 3-6 | Sage Green</v>
      </c>
      <c r="M521" s="16" t="s">
        <v>3611</v>
      </c>
    </row>
    <row r="522" spans="1:13" ht="25" customHeight="1" x14ac:dyDescent="0.45">
      <c r="A522" s="6">
        <v>46151</v>
      </c>
      <c r="B522" s="3" t="s">
        <v>1069</v>
      </c>
      <c r="C522" s="4" t="s">
        <v>87</v>
      </c>
      <c r="D522" s="53" t="str">
        <f t="shared" si="61"/>
        <v>Cream</v>
      </c>
      <c r="E522" s="4" t="s">
        <v>490</v>
      </c>
      <c r="F522" s="4" t="s">
        <v>7</v>
      </c>
      <c r="G522" s="4" t="str">
        <f t="shared" si="57"/>
        <v>Romper Longer</v>
      </c>
      <c r="H522" s="38">
        <f t="shared" si="60"/>
        <v>5</v>
      </c>
      <c r="I522" s="54">
        <f t="shared" si="59"/>
        <v>19</v>
      </c>
      <c r="J522" s="14" t="str">
        <f t="shared" si="62"/>
        <v>MothersDay</v>
      </c>
      <c r="K522" s="16" t="str">
        <f t="shared" si="56"/>
        <v>0-3</v>
      </c>
      <c r="L522" s="14" t="str">
        <f t="shared" si="63"/>
        <v>Romper Longer | 0-3 | Cream</v>
      </c>
      <c r="M522" s="16" t="s">
        <v>3609</v>
      </c>
    </row>
    <row r="523" spans="1:13" ht="25" customHeight="1" x14ac:dyDescent="0.45">
      <c r="A523" s="6">
        <v>46151</v>
      </c>
      <c r="B523" s="3" t="s">
        <v>1070</v>
      </c>
      <c r="C523" s="4" t="s">
        <v>508</v>
      </c>
      <c r="D523" s="53" t="str">
        <f t="shared" si="61"/>
        <v>Dusty Pink</v>
      </c>
      <c r="E523" s="4" t="s">
        <v>580</v>
      </c>
      <c r="F523" s="4" t="s">
        <v>7</v>
      </c>
      <c r="G523" s="4" t="str">
        <f t="shared" si="57"/>
        <v>Romper Short</v>
      </c>
      <c r="H523" s="38">
        <f t="shared" si="60"/>
        <v>5</v>
      </c>
      <c r="I523" s="54">
        <f t="shared" si="59"/>
        <v>19</v>
      </c>
      <c r="J523" s="14" t="str">
        <f t="shared" si="62"/>
        <v>MothersDay</v>
      </c>
      <c r="K523" s="16" t="str">
        <f t="shared" si="56"/>
        <v>0-3</v>
      </c>
      <c r="L523" s="14" t="str">
        <f t="shared" si="63"/>
        <v>Romper Short | 0-3 | Dusty Pink</v>
      </c>
      <c r="M523" s="16" t="s">
        <v>3610</v>
      </c>
    </row>
    <row r="524" spans="1:13" ht="25" customHeight="1" x14ac:dyDescent="0.45">
      <c r="A524" s="6">
        <v>46151</v>
      </c>
      <c r="B524" s="3" t="s">
        <v>1071</v>
      </c>
      <c r="C524" s="4" t="s">
        <v>87</v>
      </c>
      <c r="D524" s="53" t="str">
        <f t="shared" si="61"/>
        <v>Cream</v>
      </c>
      <c r="E524" s="4" t="s">
        <v>555</v>
      </c>
      <c r="F524" s="4" t="s">
        <v>13</v>
      </c>
      <c r="G524" s="4" t="str">
        <f t="shared" si="57"/>
        <v>Romper Longer</v>
      </c>
      <c r="H524" s="38">
        <f t="shared" si="60"/>
        <v>5</v>
      </c>
      <c r="I524" s="54">
        <f t="shared" si="59"/>
        <v>19</v>
      </c>
      <c r="J524" s="14" t="str">
        <f t="shared" si="62"/>
        <v>MothersDay</v>
      </c>
      <c r="K524" s="16" t="str">
        <f t="shared" si="56"/>
        <v>3-6</v>
      </c>
      <c r="L524" s="14" t="str">
        <f t="shared" si="63"/>
        <v>Romper Longer | 3-6 | Cream</v>
      </c>
      <c r="M524" s="16" t="s">
        <v>3609</v>
      </c>
    </row>
    <row r="525" spans="1:13" ht="25" customHeight="1" x14ac:dyDescent="0.45">
      <c r="A525" s="6">
        <v>46151</v>
      </c>
      <c r="B525" s="3" t="s">
        <v>1072</v>
      </c>
      <c r="C525" s="4" t="s">
        <v>508</v>
      </c>
      <c r="D525" s="53" t="str">
        <f t="shared" si="61"/>
        <v>Dusty Pink</v>
      </c>
      <c r="E525" s="4" t="s">
        <v>580</v>
      </c>
      <c r="F525" s="4" t="s">
        <v>7</v>
      </c>
      <c r="G525" s="4" t="str">
        <f t="shared" si="57"/>
        <v>Romper Short</v>
      </c>
      <c r="H525" s="38">
        <f t="shared" si="60"/>
        <v>5</v>
      </c>
      <c r="I525" s="54">
        <f t="shared" si="59"/>
        <v>19</v>
      </c>
      <c r="J525" s="14" t="str">
        <f t="shared" si="62"/>
        <v>MothersDay</v>
      </c>
      <c r="K525" s="16" t="str">
        <f t="shared" si="56"/>
        <v>0-3</v>
      </c>
      <c r="L525" s="14" t="str">
        <f t="shared" si="63"/>
        <v>Romper Short | 0-3 | Dusty Pink</v>
      </c>
      <c r="M525" s="16" t="s">
        <v>3610</v>
      </c>
    </row>
    <row r="526" spans="1:13" ht="25" customHeight="1" x14ac:dyDescent="0.45">
      <c r="A526" s="6">
        <v>46151</v>
      </c>
      <c r="B526" s="3" t="s">
        <v>1073</v>
      </c>
      <c r="C526" s="4" t="s">
        <v>483</v>
      </c>
      <c r="D526" s="53" t="str">
        <f t="shared" si="61"/>
        <v>Forest Green</v>
      </c>
      <c r="E526" s="4" t="s">
        <v>555</v>
      </c>
      <c r="F526" s="4" t="s">
        <v>7</v>
      </c>
      <c r="G526" s="4" t="str">
        <f t="shared" si="57"/>
        <v>Romper Longer</v>
      </c>
      <c r="H526" s="38">
        <f t="shared" si="60"/>
        <v>5</v>
      </c>
      <c r="I526" s="54">
        <f t="shared" si="59"/>
        <v>19</v>
      </c>
      <c r="J526" s="14" t="str">
        <f t="shared" si="62"/>
        <v>MothersDay</v>
      </c>
      <c r="K526" s="16" t="str">
        <f t="shared" ref="K526:K589" si="64">TRIM(LEFT(E526,FIND("(",E526&amp;"(")-2))</f>
        <v>3-6</v>
      </c>
      <c r="L526" s="14" t="str">
        <f t="shared" si="63"/>
        <v>Romper Longer | 3-6 | Forest Green</v>
      </c>
      <c r="M526" s="16" t="s">
        <v>3610</v>
      </c>
    </row>
    <row r="527" spans="1:13" ht="25" customHeight="1" x14ac:dyDescent="0.45">
      <c r="A527" s="6">
        <v>46152</v>
      </c>
      <c r="B527" s="3" t="s">
        <v>1074</v>
      </c>
      <c r="C527" s="4" t="s">
        <v>87</v>
      </c>
      <c r="D527" s="53" t="str">
        <f t="shared" si="61"/>
        <v>Cream</v>
      </c>
      <c r="E527" s="4" t="s">
        <v>580</v>
      </c>
      <c r="F527" s="4" t="s">
        <v>7</v>
      </c>
      <c r="G527" s="4" t="str">
        <f t="shared" si="57"/>
        <v>Romper Short</v>
      </c>
      <c r="H527" s="38">
        <f t="shared" si="60"/>
        <v>5</v>
      </c>
      <c r="I527" s="54">
        <f t="shared" si="59"/>
        <v>20</v>
      </c>
      <c r="J527" s="14" t="str">
        <f t="shared" si="62"/>
        <v>MothersDay</v>
      </c>
      <c r="K527" s="16" t="str">
        <f t="shared" si="64"/>
        <v>0-3</v>
      </c>
      <c r="L527" s="14" t="str">
        <f t="shared" si="63"/>
        <v>Romper Short | 0-3 | Cream</v>
      </c>
      <c r="M527" s="16" t="s">
        <v>3609</v>
      </c>
    </row>
    <row r="528" spans="1:13" ht="25" customHeight="1" x14ac:dyDescent="0.45">
      <c r="A528" s="6">
        <v>46152</v>
      </c>
      <c r="B528" s="3" t="s">
        <v>1075</v>
      </c>
      <c r="C528" s="4" t="s">
        <v>114</v>
      </c>
      <c r="D528" s="53" t="str">
        <f t="shared" si="61"/>
        <v>White</v>
      </c>
      <c r="E528" s="4" t="s">
        <v>555</v>
      </c>
      <c r="F528" s="4" t="s">
        <v>7</v>
      </c>
      <c r="G528" s="4" t="str">
        <f t="shared" ref="G528:G591" si="65">IF(ISNUMBER(SEARCH("LONG",E528)),"Romper Longer",IF(ISNUMBER(SEARCH("SHORT",E528)),"Romper Short","Bodysuit"))</f>
        <v>Romper Longer</v>
      </c>
      <c r="H528" s="38">
        <f t="shared" si="60"/>
        <v>5</v>
      </c>
      <c r="I528" s="54">
        <f t="shared" si="59"/>
        <v>20</v>
      </c>
      <c r="J528" s="14" t="str">
        <f t="shared" si="62"/>
        <v>MothersDay</v>
      </c>
      <c r="K528" s="16" t="str">
        <f t="shared" si="64"/>
        <v>3-6</v>
      </c>
      <c r="L528" s="14" t="str">
        <f t="shared" si="63"/>
        <v>Romper Longer | 3-6 | White</v>
      </c>
      <c r="M528" s="16" t="s">
        <v>3610</v>
      </c>
    </row>
    <row r="529" spans="1:13" ht="25" customHeight="1" x14ac:dyDescent="0.45">
      <c r="A529" s="6">
        <v>46152</v>
      </c>
      <c r="B529" s="3" t="s">
        <v>1076</v>
      </c>
      <c r="C529" s="4" t="s">
        <v>87</v>
      </c>
      <c r="D529" s="53" t="str">
        <f t="shared" si="61"/>
        <v>Cream</v>
      </c>
      <c r="E529" s="4" t="s">
        <v>485</v>
      </c>
      <c r="F529" s="4" t="s">
        <v>7</v>
      </c>
      <c r="G529" s="4" t="str">
        <f t="shared" si="65"/>
        <v>Romper Short</v>
      </c>
      <c r="H529" s="38">
        <f t="shared" si="60"/>
        <v>5</v>
      </c>
      <c r="I529" s="54">
        <f t="shared" si="59"/>
        <v>20</v>
      </c>
      <c r="J529" s="14" t="str">
        <f t="shared" si="62"/>
        <v>MothersDay</v>
      </c>
      <c r="K529" s="16" t="str">
        <f t="shared" si="64"/>
        <v>3-6</v>
      </c>
      <c r="L529" s="14" t="str">
        <f t="shared" si="63"/>
        <v>Romper Short | 3-6 | Cream</v>
      </c>
      <c r="M529" s="16" t="s">
        <v>3609</v>
      </c>
    </row>
    <row r="530" spans="1:13" ht="25" customHeight="1" x14ac:dyDescent="0.45">
      <c r="A530" s="6">
        <v>46152</v>
      </c>
      <c r="B530" s="3" t="s">
        <v>1077</v>
      </c>
      <c r="C530" s="4" t="s">
        <v>87</v>
      </c>
      <c r="D530" s="53" t="str">
        <f t="shared" si="61"/>
        <v>Cream</v>
      </c>
      <c r="E530" s="4" t="s">
        <v>490</v>
      </c>
      <c r="F530" s="4" t="s">
        <v>7</v>
      </c>
      <c r="G530" s="4" t="str">
        <f t="shared" si="65"/>
        <v>Romper Longer</v>
      </c>
      <c r="H530" s="38">
        <f t="shared" si="60"/>
        <v>5</v>
      </c>
      <c r="I530" s="54">
        <f t="shared" si="59"/>
        <v>20</v>
      </c>
      <c r="J530" s="14" t="str">
        <f t="shared" si="62"/>
        <v>MothersDay</v>
      </c>
      <c r="K530" s="16" t="str">
        <f t="shared" si="64"/>
        <v>0-3</v>
      </c>
      <c r="L530" s="14" t="str">
        <f t="shared" si="63"/>
        <v>Romper Longer | 0-3 | Cream</v>
      </c>
      <c r="M530" s="16" t="s">
        <v>3609</v>
      </c>
    </row>
    <row r="531" spans="1:13" ht="25" customHeight="1" x14ac:dyDescent="0.45">
      <c r="A531" s="6">
        <v>46152</v>
      </c>
      <c r="B531" s="3" t="s">
        <v>1078</v>
      </c>
      <c r="C531" s="4" t="s">
        <v>87</v>
      </c>
      <c r="D531" s="53" t="str">
        <f t="shared" si="61"/>
        <v>Cream</v>
      </c>
      <c r="E531" s="4" t="s">
        <v>490</v>
      </c>
      <c r="F531" s="4" t="s">
        <v>7</v>
      </c>
      <c r="G531" s="4" t="str">
        <f t="shared" si="65"/>
        <v>Romper Longer</v>
      </c>
      <c r="H531" s="38">
        <f t="shared" si="60"/>
        <v>5</v>
      </c>
      <c r="I531" s="54">
        <f t="shared" si="59"/>
        <v>20</v>
      </c>
      <c r="J531" s="14" t="str">
        <f t="shared" si="62"/>
        <v>MothersDay</v>
      </c>
      <c r="K531" s="16" t="str">
        <f t="shared" si="64"/>
        <v>0-3</v>
      </c>
      <c r="L531" s="14" t="str">
        <f t="shared" si="63"/>
        <v>Romper Longer | 0-3 | Cream</v>
      </c>
      <c r="M531" s="16" t="s">
        <v>3609</v>
      </c>
    </row>
    <row r="532" spans="1:13" ht="25" customHeight="1" x14ac:dyDescent="0.45">
      <c r="A532" s="6">
        <v>46152</v>
      </c>
      <c r="B532" s="3" t="s">
        <v>1079</v>
      </c>
      <c r="C532" s="4" t="s">
        <v>87</v>
      </c>
      <c r="D532" s="53" t="str">
        <f t="shared" si="61"/>
        <v>Cream</v>
      </c>
      <c r="E532" s="4" t="s">
        <v>555</v>
      </c>
      <c r="F532" s="4" t="s">
        <v>11</v>
      </c>
      <c r="G532" s="4" t="str">
        <f t="shared" si="65"/>
        <v>Romper Longer</v>
      </c>
      <c r="H532" s="38">
        <f t="shared" si="60"/>
        <v>5</v>
      </c>
      <c r="I532" s="54">
        <f t="shared" si="59"/>
        <v>20</v>
      </c>
      <c r="J532" s="14" t="str">
        <f t="shared" si="62"/>
        <v>MothersDay</v>
      </c>
      <c r="K532" s="16" t="str">
        <f t="shared" si="64"/>
        <v>3-6</v>
      </c>
      <c r="L532" s="14" t="str">
        <f t="shared" si="63"/>
        <v>Romper Longer | 3-6 | Cream</v>
      </c>
      <c r="M532" s="16" t="s">
        <v>3609</v>
      </c>
    </row>
    <row r="533" spans="1:13" ht="25" customHeight="1" x14ac:dyDescent="0.45">
      <c r="A533" s="6">
        <v>46153</v>
      </c>
      <c r="B533" s="3" t="s">
        <v>1080</v>
      </c>
      <c r="C533" s="4" t="s">
        <v>538</v>
      </c>
      <c r="D533" s="53" t="str">
        <f t="shared" si="61"/>
        <v xml:space="preserve"> Forest Green</v>
      </c>
      <c r="E533" s="4" t="s">
        <v>479</v>
      </c>
      <c r="F533" s="4" t="s">
        <v>11</v>
      </c>
      <c r="G533" s="4" t="str">
        <f t="shared" si="65"/>
        <v>Romper Longer</v>
      </c>
      <c r="H533" s="38">
        <f t="shared" si="60"/>
        <v>5</v>
      </c>
      <c r="I533" s="54">
        <f t="shared" si="59"/>
        <v>20</v>
      </c>
      <c r="J533" s="14" t="str">
        <f t="shared" si="62"/>
        <v>MothersDay</v>
      </c>
      <c r="K533" s="16" t="str">
        <f t="shared" si="64"/>
        <v>6-12</v>
      </c>
      <c r="L533" s="14" t="str">
        <f t="shared" si="63"/>
        <v>Romper Longer | 6-12 | Forest Green</v>
      </c>
      <c r="M533" s="16" t="s">
        <v>3610</v>
      </c>
    </row>
    <row r="534" spans="1:13" ht="25" customHeight="1" x14ac:dyDescent="0.45">
      <c r="A534" s="6">
        <v>46153</v>
      </c>
      <c r="B534" s="3" t="s">
        <v>1081</v>
      </c>
      <c r="C534" s="4" t="s">
        <v>87</v>
      </c>
      <c r="D534" s="53" t="str">
        <f t="shared" si="61"/>
        <v>Cream</v>
      </c>
      <c r="E534" s="4" t="s">
        <v>490</v>
      </c>
      <c r="F534" s="4" t="s">
        <v>7</v>
      </c>
      <c r="G534" s="4" t="str">
        <f t="shared" si="65"/>
        <v>Romper Longer</v>
      </c>
      <c r="H534" s="38">
        <f t="shared" si="60"/>
        <v>5</v>
      </c>
      <c r="I534" s="54">
        <f t="shared" si="59"/>
        <v>20</v>
      </c>
      <c r="J534" s="14" t="str">
        <f t="shared" si="62"/>
        <v>MothersDay</v>
      </c>
      <c r="K534" s="16" t="str">
        <f t="shared" si="64"/>
        <v>0-3</v>
      </c>
      <c r="L534" s="14" t="str">
        <f t="shared" si="63"/>
        <v>Romper Longer | 0-3 | Cream</v>
      </c>
      <c r="M534" s="16" t="s">
        <v>3609</v>
      </c>
    </row>
    <row r="535" spans="1:13" ht="25" customHeight="1" x14ac:dyDescent="0.45">
      <c r="A535" s="6">
        <v>46153</v>
      </c>
      <c r="B535" s="3" t="s">
        <v>1082</v>
      </c>
      <c r="C535" s="4" t="s">
        <v>184</v>
      </c>
      <c r="D535" s="53" t="str">
        <f t="shared" si="61"/>
        <v>Coffee</v>
      </c>
      <c r="E535" s="4" t="s">
        <v>490</v>
      </c>
      <c r="F535" s="4" t="s">
        <v>7</v>
      </c>
      <c r="G535" s="4" t="str">
        <f t="shared" si="65"/>
        <v>Romper Longer</v>
      </c>
      <c r="H535" s="38">
        <f t="shared" si="60"/>
        <v>5</v>
      </c>
      <c r="I535" s="54">
        <f t="shared" si="59"/>
        <v>20</v>
      </c>
      <c r="J535" s="14" t="str">
        <f t="shared" si="62"/>
        <v>MothersDay</v>
      </c>
      <c r="K535" s="16" t="str">
        <f t="shared" si="64"/>
        <v>0-3</v>
      </c>
      <c r="L535" s="14" t="str">
        <f t="shared" si="63"/>
        <v>Romper Longer | 0-3 | Coffee</v>
      </c>
      <c r="M535" s="16" t="s">
        <v>3610</v>
      </c>
    </row>
    <row r="536" spans="1:13" ht="25" customHeight="1" x14ac:dyDescent="0.45">
      <c r="A536" s="6">
        <v>46153</v>
      </c>
      <c r="B536" s="3" t="s">
        <v>1083</v>
      </c>
      <c r="C536" s="4" t="s">
        <v>87</v>
      </c>
      <c r="D536" s="53" t="str">
        <f t="shared" si="61"/>
        <v>Cream</v>
      </c>
      <c r="E536" s="4" t="s">
        <v>658</v>
      </c>
      <c r="F536" s="4" t="s">
        <v>11</v>
      </c>
      <c r="G536" s="4" t="str">
        <f t="shared" si="65"/>
        <v>Romper Longer</v>
      </c>
      <c r="H536" s="38">
        <f t="shared" si="60"/>
        <v>5</v>
      </c>
      <c r="I536" s="54">
        <f t="shared" si="59"/>
        <v>20</v>
      </c>
      <c r="J536" s="14" t="str">
        <f t="shared" si="62"/>
        <v>MothersDay</v>
      </c>
      <c r="K536" s="16" t="str">
        <f t="shared" si="64"/>
        <v>3-6</v>
      </c>
      <c r="L536" s="14" t="str">
        <f t="shared" si="63"/>
        <v>Romper Longer | 3-6 | Cream</v>
      </c>
      <c r="M536" s="16" t="s">
        <v>3609</v>
      </c>
    </row>
    <row r="537" spans="1:13" ht="25" customHeight="1" x14ac:dyDescent="0.45">
      <c r="A537" s="6">
        <v>46153</v>
      </c>
      <c r="B537" s="3" t="s">
        <v>1084</v>
      </c>
      <c r="C537" s="4" t="s">
        <v>508</v>
      </c>
      <c r="D537" s="53" t="str">
        <f t="shared" si="61"/>
        <v>Dusty Pink</v>
      </c>
      <c r="E537" s="4" t="s">
        <v>578</v>
      </c>
      <c r="F537" s="4" t="s">
        <v>7</v>
      </c>
      <c r="G537" s="4" t="str">
        <f t="shared" si="65"/>
        <v>Romper Short</v>
      </c>
      <c r="H537" s="38">
        <f t="shared" si="60"/>
        <v>5</v>
      </c>
      <c r="I537" s="54">
        <f t="shared" si="59"/>
        <v>20</v>
      </c>
      <c r="J537" s="14" t="str">
        <f t="shared" si="62"/>
        <v>MothersDay</v>
      </c>
      <c r="K537" s="16" t="str">
        <f t="shared" si="64"/>
        <v>0-3</v>
      </c>
      <c r="L537" s="14" t="str">
        <f t="shared" si="63"/>
        <v>Romper Short | 0-3 | Dusty Pink</v>
      </c>
      <c r="M537" s="16" t="s">
        <v>3610</v>
      </c>
    </row>
    <row r="538" spans="1:13" ht="25" customHeight="1" x14ac:dyDescent="0.45">
      <c r="A538" s="6">
        <v>46153</v>
      </c>
      <c r="B538" s="3" t="s">
        <v>1085</v>
      </c>
      <c r="C538" s="4" t="s">
        <v>101</v>
      </c>
      <c r="D538" s="53" t="str">
        <f t="shared" si="61"/>
        <v>Sage Green</v>
      </c>
      <c r="E538" s="4" t="s">
        <v>479</v>
      </c>
      <c r="F538" s="4" t="s">
        <v>19</v>
      </c>
      <c r="G538" s="4" t="str">
        <f t="shared" si="65"/>
        <v>Romper Longer</v>
      </c>
      <c r="H538" s="38">
        <f t="shared" si="60"/>
        <v>5</v>
      </c>
      <c r="I538" s="54">
        <f t="shared" si="59"/>
        <v>20</v>
      </c>
      <c r="J538" s="14" t="str">
        <f t="shared" si="62"/>
        <v>MothersDay</v>
      </c>
      <c r="K538" s="16" t="str">
        <f t="shared" si="64"/>
        <v>6-12</v>
      </c>
      <c r="L538" s="14" t="str">
        <f t="shared" si="63"/>
        <v>Romper Longer | 6-12 | Sage Green</v>
      </c>
      <c r="M538" s="16" t="s">
        <v>3610</v>
      </c>
    </row>
    <row r="539" spans="1:13" ht="25" customHeight="1" x14ac:dyDescent="0.45">
      <c r="A539" s="6">
        <v>46154</v>
      </c>
      <c r="B539" s="3" t="s">
        <v>1086</v>
      </c>
      <c r="C539" s="4" t="s">
        <v>470</v>
      </c>
      <c r="D539" s="53" t="str">
        <f t="shared" si="61"/>
        <v>Caldet Blue</v>
      </c>
      <c r="E539" s="4" t="s">
        <v>479</v>
      </c>
      <c r="F539" s="4" t="s">
        <v>11</v>
      </c>
      <c r="G539" s="4" t="str">
        <f t="shared" si="65"/>
        <v>Romper Longer</v>
      </c>
      <c r="H539" s="38">
        <f t="shared" si="60"/>
        <v>5</v>
      </c>
      <c r="I539" s="54">
        <f t="shared" si="59"/>
        <v>20</v>
      </c>
      <c r="J539" s="14" t="str">
        <f t="shared" si="62"/>
        <v>MothersDay</v>
      </c>
      <c r="K539" s="16" t="str">
        <f t="shared" si="64"/>
        <v>6-12</v>
      </c>
      <c r="L539" s="14" t="str">
        <f t="shared" si="63"/>
        <v>Romper Longer | 6-12 | Caldet Blue</v>
      </c>
      <c r="M539" s="16" t="s">
        <v>3610</v>
      </c>
    </row>
    <row r="540" spans="1:13" ht="25" customHeight="1" x14ac:dyDescent="0.45">
      <c r="A540" s="6">
        <v>46154</v>
      </c>
      <c r="B540" s="3" t="s">
        <v>1087</v>
      </c>
      <c r="C540" s="4" t="s">
        <v>101</v>
      </c>
      <c r="D540" s="53" t="str">
        <f t="shared" si="61"/>
        <v>Sage Green</v>
      </c>
      <c r="E540" s="4" t="s">
        <v>580</v>
      </c>
      <c r="F540" s="4" t="s">
        <v>37</v>
      </c>
      <c r="G540" s="4" t="str">
        <f t="shared" si="65"/>
        <v>Romper Short</v>
      </c>
      <c r="H540" s="38">
        <f t="shared" si="60"/>
        <v>5</v>
      </c>
      <c r="I540" s="54">
        <f t="shared" si="59"/>
        <v>20</v>
      </c>
      <c r="J540" s="14" t="str">
        <f t="shared" si="62"/>
        <v>MothersDay</v>
      </c>
      <c r="K540" s="16" t="str">
        <f t="shared" si="64"/>
        <v>0-3</v>
      </c>
      <c r="L540" s="14" t="str">
        <f t="shared" si="63"/>
        <v>Romper Short | 0-3 | Sage Green</v>
      </c>
      <c r="M540" s="16" t="s">
        <v>3610</v>
      </c>
    </row>
    <row r="541" spans="1:13" ht="25" customHeight="1" x14ac:dyDescent="0.45">
      <c r="A541" s="6">
        <v>46154</v>
      </c>
      <c r="B541" s="3" t="s">
        <v>1088</v>
      </c>
      <c r="C541" s="4" t="s">
        <v>101</v>
      </c>
      <c r="D541" s="53" t="str">
        <f t="shared" si="61"/>
        <v>Sage Green</v>
      </c>
      <c r="E541" s="4" t="s">
        <v>555</v>
      </c>
      <c r="F541" s="4" t="s">
        <v>37</v>
      </c>
      <c r="G541" s="4" t="str">
        <f t="shared" si="65"/>
        <v>Romper Longer</v>
      </c>
      <c r="H541" s="38">
        <f t="shared" si="60"/>
        <v>5</v>
      </c>
      <c r="I541" s="54">
        <f t="shared" si="59"/>
        <v>20</v>
      </c>
      <c r="J541" s="14" t="str">
        <f t="shared" si="62"/>
        <v>MothersDay</v>
      </c>
      <c r="K541" s="16" t="str">
        <f t="shared" si="64"/>
        <v>3-6</v>
      </c>
      <c r="L541" s="14" t="str">
        <f t="shared" si="63"/>
        <v>Romper Longer | 3-6 | Sage Green</v>
      </c>
      <c r="M541" s="16" t="s">
        <v>3611</v>
      </c>
    </row>
    <row r="542" spans="1:13" ht="25" customHeight="1" x14ac:dyDescent="0.45">
      <c r="A542" s="6">
        <v>46154</v>
      </c>
      <c r="B542" s="3" t="s">
        <v>1089</v>
      </c>
      <c r="C542" s="4" t="s">
        <v>470</v>
      </c>
      <c r="D542" s="53" t="str">
        <f t="shared" si="61"/>
        <v>Caldet Blue</v>
      </c>
      <c r="E542" s="4" t="s">
        <v>485</v>
      </c>
      <c r="F542" s="4" t="s">
        <v>11</v>
      </c>
      <c r="G542" s="4" t="str">
        <f t="shared" si="65"/>
        <v>Romper Short</v>
      </c>
      <c r="H542" s="38">
        <f t="shared" si="60"/>
        <v>5</v>
      </c>
      <c r="I542" s="54">
        <f t="shared" si="59"/>
        <v>20</v>
      </c>
      <c r="J542" s="14" t="str">
        <f t="shared" si="62"/>
        <v>MothersDay</v>
      </c>
      <c r="K542" s="16" t="str">
        <f t="shared" si="64"/>
        <v>3-6</v>
      </c>
      <c r="L542" s="14" t="str">
        <f t="shared" si="63"/>
        <v>Romper Short | 3-6 | Caldet Blue</v>
      </c>
      <c r="M542" s="16" t="s">
        <v>3610</v>
      </c>
    </row>
    <row r="543" spans="1:13" ht="25" customHeight="1" x14ac:dyDescent="0.45">
      <c r="A543" s="6">
        <v>46154</v>
      </c>
      <c r="B543" s="3" t="s">
        <v>1090</v>
      </c>
      <c r="C543" s="4" t="s">
        <v>473</v>
      </c>
      <c r="D543" s="53" t="str">
        <f t="shared" si="61"/>
        <v>Salmon</v>
      </c>
      <c r="E543" s="4" t="s">
        <v>479</v>
      </c>
      <c r="F543" s="4" t="s">
        <v>15</v>
      </c>
      <c r="G543" s="4" t="str">
        <f t="shared" si="65"/>
        <v>Romper Longer</v>
      </c>
      <c r="H543" s="38">
        <f t="shared" si="60"/>
        <v>5</v>
      </c>
      <c r="I543" s="54">
        <f t="shared" si="59"/>
        <v>20</v>
      </c>
      <c r="J543" s="14" t="str">
        <f t="shared" si="62"/>
        <v>MothersDay</v>
      </c>
      <c r="K543" s="16" t="str">
        <f t="shared" si="64"/>
        <v>6-12</v>
      </c>
      <c r="L543" s="14" t="str">
        <f t="shared" si="63"/>
        <v>Romper Longer | 6-12 | Salmon</v>
      </c>
      <c r="M543" s="16" t="s">
        <v>3610</v>
      </c>
    </row>
    <row r="544" spans="1:13" ht="25" customHeight="1" x14ac:dyDescent="0.45">
      <c r="A544" s="6">
        <v>46154</v>
      </c>
      <c r="B544" s="3" t="s">
        <v>1091</v>
      </c>
      <c r="C544" s="4" t="s">
        <v>87</v>
      </c>
      <c r="D544" s="53" t="str">
        <f t="shared" si="61"/>
        <v>Cream</v>
      </c>
      <c r="E544" s="4" t="s">
        <v>555</v>
      </c>
      <c r="F544" s="4" t="s">
        <v>19</v>
      </c>
      <c r="G544" s="4" t="str">
        <f t="shared" si="65"/>
        <v>Romper Longer</v>
      </c>
      <c r="H544" s="38">
        <f t="shared" si="60"/>
        <v>5</v>
      </c>
      <c r="I544" s="54">
        <f t="shared" si="59"/>
        <v>20</v>
      </c>
      <c r="J544" s="14" t="str">
        <f t="shared" si="62"/>
        <v>MothersDay</v>
      </c>
      <c r="K544" s="16" t="str">
        <f t="shared" si="64"/>
        <v>3-6</v>
      </c>
      <c r="L544" s="14" t="str">
        <f t="shared" si="63"/>
        <v>Romper Longer | 3-6 | Cream</v>
      </c>
      <c r="M544" s="16" t="s">
        <v>3609</v>
      </c>
    </row>
    <row r="545" spans="1:13" ht="25" customHeight="1" x14ac:dyDescent="0.45">
      <c r="A545" s="6">
        <v>46155</v>
      </c>
      <c r="B545" s="3" t="s">
        <v>1092</v>
      </c>
      <c r="C545" s="4" t="s">
        <v>101</v>
      </c>
      <c r="D545" s="53" t="str">
        <f t="shared" si="61"/>
        <v>Sage Green</v>
      </c>
      <c r="E545" s="4" t="s">
        <v>555</v>
      </c>
      <c r="F545" s="4" t="s">
        <v>11</v>
      </c>
      <c r="G545" s="4" t="str">
        <f t="shared" si="65"/>
        <v>Romper Longer</v>
      </c>
      <c r="H545" s="38">
        <f t="shared" si="60"/>
        <v>5</v>
      </c>
      <c r="I545" s="54">
        <f t="shared" si="59"/>
        <v>20</v>
      </c>
      <c r="J545" s="14" t="str">
        <f t="shared" si="62"/>
        <v>MothersDay</v>
      </c>
      <c r="K545" s="16" t="str">
        <f t="shared" si="64"/>
        <v>3-6</v>
      </c>
      <c r="L545" s="14" t="str">
        <f t="shared" si="63"/>
        <v>Romper Longer | 3-6 | Sage Green</v>
      </c>
      <c r="M545" s="16" t="s">
        <v>3611</v>
      </c>
    </row>
    <row r="546" spans="1:13" ht="25" customHeight="1" x14ac:dyDescent="0.45">
      <c r="A546" s="6">
        <v>46155</v>
      </c>
      <c r="B546" s="3" t="s">
        <v>1093</v>
      </c>
      <c r="C546" s="4" t="s">
        <v>101</v>
      </c>
      <c r="D546" s="53" t="str">
        <f t="shared" si="61"/>
        <v>Sage Green</v>
      </c>
      <c r="E546" s="4" t="s">
        <v>479</v>
      </c>
      <c r="F546" s="4" t="s">
        <v>11</v>
      </c>
      <c r="G546" s="4" t="str">
        <f t="shared" si="65"/>
        <v>Romper Longer</v>
      </c>
      <c r="H546" s="38">
        <f t="shared" si="60"/>
        <v>5</v>
      </c>
      <c r="I546" s="54">
        <f t="shared" si="59"/>
        <v>20</v>
      </c>
      <c r="J546" s="14" t="str">
        <f t="shared" si="62"/>
        <v>MothersDay</v>
      </c>
      <c r="K546" s="16" t="str">
        <f t="shared" si="64"/>
        <v>6-12</v>
      </c>
      <c r="L546" s="14" t="str">
        <f t="shared" si="63"/>
        <v>Romper Longer | 6-12 | Sage Green</v>
      </c>
      <c r="M546" s="16" t="s">
        <v>3610</v>
      </c>
    </row>
    <row r="547" spans="1:13" ht="25" customHeight="1" x14ac:dyDescent="0.45">
      <c r="A547" s="6">
        <v>46155</v>
      </c>
      <c r="B547" s="3" t="s">
        <v>1094</v>
      </c>
      <c r="C547" s="4" t="s">
        <v>573</v>
      </c>
      <c r="D547" s="53" t="str">
        <f t="shared" si="61"/>
        <v>Mauve Taupe</v>
      </c>
      <c r="E547" s="4" t="s">
        <v>580</v>
      </c>
      <c r="F547" s="4" t="s">
        <v>16</v>
      </c>
      <c r="G547" s="4" t="str">
        <f t="shared" si="65"/>
        <v>Romper Short</v>
      </c>
      <c r="H547" s="38">
        <f t="shared" si="60"/>
        <v>5</v>
      </c>
      <c r="I547" s="54">
        <f t="shared" si="59"/>
        <v>20</v>
      </c>
      <c r="J547" s="14" t="str">
        <f t="shared" si="62"/>
        <v>MothersDay</v>
      </c>
      <c r="K547" s="16" t="str">
        <f t="shared" si="64"/>
        <v>0-3</v>
      </c>
      <c r="L547" s="14" t="str">
        <f t="shared" si="63"/>
        <v>Romper Short | 0-3 | Mauve Taupe</v>
      </c>
      <c r="M547" s="16" t="s">
        <v>3610</v>
      </c>
    </row>
    <row r="548" spans="1:13" ht="25" customHeight="1" x14ac:dyDescent="0.45">
      <c r="A548" s="6">
        <v>46155</v>
      </c>
      <c r="B548" s="3" t="s">
        <v>1095</v>
      </c>
      <c r="C548" s="4" t="s">
        <v>87</v>
      </c>
      <c r="D548" s="53" t="str">
        <f t="shared" si="61"/>
        <v>Cream</v>
      </c>
      <c r="E548" s="4" t="s">
        <v>580</v>
      </c>
      <c r="F548" s="4" t="s">
        <v>7</v>
      </c>
      <c r="G548" s="4" t="str">
        <f t="shared" si="65"/>
        <v>Romper Short</v>
      </c>
      <c r="H548" s="38">
        <f t="shared" si="60"/>
        <v>5</v>
      </c>
      <c r="I548" s="54">
        <f t="shared" si="59"/>
        <v>20</v>
      </c>
      <c r="J548" s="14" t="str">
        <f t="shared" si="62"/>
        <v>MothersDay</v>
      </c>
      <c r="K548" s="16" t="str">
        <f t="shared" si="64"/>
        <v>0-3</v>
      </c>
      <c r="L548" s="14" t="str">
        <f t="shared" si="63"/>
        <v>Romper Short | 0-3 | Cream</v>
      </c>
      <c r="M548" s="16" t="s">
        <v>3609</v>
      </c>
    </row>
    <row r="549" spans="1:13" ht="25" customHeight="1" x14ac:dyDescent="0.45">
      <c r="A549" s="6">
        <v>46155</v>
      </c>
      <c r="B549" s="3" t="s">
        <v>1096</v>
      </c>
      <c r="C549" s="4" t="s">
        <v>87</v>
      </c>
      <c r="D549" s="53" t="str">
        <f t="shared" si="61"/>
        <v>Cream</v>
      </c>
      <c r="E549" s="4" t="s">
        <v>580</v>
      </c>
      <c r="F549" s="4" t="s">
        <v>7</v>
      </c>
      <c r="G549" s="4" t="str">
        <f t="shared" si="65"/>
        <v>Romper Short</v>
      </c>
      <c r="H549" s="38">
        <f t="shared" si="60"/>
        <v>5</v>
      </c>
      <c r="I549" s="54">
        <f t="shared" si="59"/>
        <v>20</v>
      </c>
      <c r="J549" s="14" t="str">
        <f t="shared" si="62"/>
        <v>MothersDay</v>
      </c>
      <c r="K549" s="16" t="str">
        <f t="shared" si="64"/>
        <v>0-3</v>
      </c>
      <c r="L549" s="14" t="str">
        <f t="shared" si="63"/>
        <v>Romper Short | 0-3 | Cream</v>
      </c>
      <c r="M549" s="16" t="s">
        <v>3609</v>
      </c>
    </row>
    <row r="550" spans="1:13" ht="25" customHeight="1" x14ac:dyDescent="0.45">
      <c r="A550" s="6">
        <v>46155</v>
      </c>
      <c r="B550" s="3" t="s">
        <v>1097</v>
      </c>
      <c r="C550" s="4" t="s">
        <v>87</v>
      </c>
      <c r="D550" s="53" t="str">
        <f t="shared" si="61"/>
        <v>Cream</v>
      </c>
      <c r="E550" s="4" t="s">
        <v>718</v>
      </c>
      <c r="F550" s="4" t="s">
        <v>11</v>
      </c>
      <c r="G550" s="4" t="str">
        <f t="shared" si="65"/>
        <v>Romper Longer</v>
      </c>
      <c r="H550" s="38">
        <f t="shared" si="60"/>
        <v>5</v>
      </c>
      <c r="I550" s="54">
        <f t="shared" si="59"/>
        <v>20</v>
      </c>
      <c r="J550" s="14" t="str">
        <f t="shared" si="62"/>
        <v>MothersDay</v>
      </c>
      <c r="K550" s="16" t="str">
        <f t="shared" si="64"/>
        <v>0-3</v>
      </c>
      <c r="L550" s="14" t="str">
        <f t="shared" si="63"/>
        <v>Romper Longer | 0-3 | Cream</v>
      </c>
      <c r="M550" s="16" t="s">
        <v>3609</v>
      </c>
    </row>
    <row r="551" spans="1:13" ht="25" customHeight="1" x14ac:dyDescent="0.45">
      <c r="A551" s="6">
        <v>46155</v>
      </c>
      <c r="B551" s="3" t="s">
        <v>1098</v>
      </c>
      <c r="C551" s="4" t="s">
        <v>101</v>
      </c>
      <c r="D551" s="53" t="str">
        <f t="shared" si="61"/>
        <v>Sage Green</v>
      </c>
      <c r="E551" s="4" t="s">
        <v>580</v>
      </c>
      <c r="F551" s="4" t="s">
        <v>7</v>
      </c>
      <c r="G551" s="4" t="str">
        <f t="shared" si="65"/>
        <v>Romper Short</v>
      </c>
      <c r="H551" s="38">
        <f t="shared" si="60"/>
        <v>5</v>
      </c>
      <c r="I551" s="54">
        <f t="shared" si="59"/>
        <v>20</v>
      </c>
      <c r="J551" s="14" t="str">
        <f t="shared" si="62"/>
        <v>MothersDay</v>
      </c>
      <c r="K551" s="16" t="str">
        <f t="shared" si="64"/>
        <v>0-3</v>
      </c>
      <c r="L551" s="14" t="str">
        <f t="shared" si="63"/>
        <v>Romper Short | 0-3 | Sage Green</v>
      </c>
      <c r="M551" s="16" t="s">
        <v>3610</v>
      </c>
    </row>
    <row r="552" spans="1:13" ht="25" customHeight="1" x14ac:dyDescent="0.45">
      <c r="A552" s="6">
        <v>46155</v>
      </c>
      <c r="B552" s="3" t="s">
        <v>1099</v>
      </c>
      <c r="C552" s="4" t="s">
        <v>87</v>
      </c>
      <c r="D552" s="53" t="str">
        <f t="shared" si="61"/>
        <v>Cream</v>
      </c>
      <c r="E552" s="4" t="s">
        <v>490</v>
      </c>
      <c r="F552" s="4" t="s">
        <v>7</v>
      </c>
      <c r="G552" s="4" t="str">
        <f t="shared" si="65"/>
        <v>Romper Longer</v>
      </c>
      <c r="H552" s="38">
        <f t="shared" si="60"/>
        <v>5</v>
      </c>
      <c r="I552" s="54">
        <f t="shared" si="59"/>
        <v>20</v>
      </c>
      <c r="J552" s="14" t="str">
        <f t="shared" si="62"/>
        <v>MothersDay</v>
      </c>
      <c r="K552" s="16" t="str">
        <f t="shared" si="64"/>
        <v>0-3</v>
      </c>
      <c r="L552" s="14" t="str">
        <f t="shared" si="63"/>
        <v>Romper Longer | 0-3 | Cream</v>
      </c>
      <c r="M552" s="16" t="s">
        <v>3609</v>
      </c>
    </row>
    <row r="553" spans="1:13" ht="25" customHeight="1" x14ac:dyDescent="0.45">
      <c r="A553" s="6">
        <v>46156</v>
      </c>
      <c r="B553" s="3" t="s">
        <v>1100</v>
      </c>
      <c r="C553" s="4" t="s">
        <v>87</v>
      </c>
      <c r="D553" s="53" t="str">
        <f t="shared" si="61"/>
        <v>Cream</v>
      </c>
      <c r="E553" s="4" t="s">
        <v>479</v>
      </c>
      <c r="F553" s="4" t="s">
        <v>7</v>
      </c>
      <c r="G553" s="4" t="str">
        <f t="shared" si="65"/>
        <v>Romper Longer</v>
      </c>
      <c r="H553" s="38">
        <f t="shared" si="60"/>
        <v>5</v>
      </c>
      <c r="I553" s="54">
        <f t="shared" si="59"/>
        <v>20</v>
      </c>
      <c r="J553" s="14" t="str">
        <f t="shared" si="62"/>
        <v>MothersDay</v>
      </c>
      <c r="K553" s="16" t="str">
        <f t="shared" si="64"/>
        <v>6-12</v>
      </c>
      <c r="L553" s="14" t="str">
        <f t="shared" si="63"/>
        <v>Romper Longer | 6-12 | Cream</v>
      </c>
      <c r="M553" s="16" t="s">
        <v>3611</v>
      </c>
    </row>
    <row r="554" spans="1:13" ht="25" customHeight="1" x14ac:dyDescent="0.45">
      <c r="A554" s="6">
        <v>46156</v>
      </c>
      <c r="B554" s="3" t="s">
        <v>1101</v>
      </c>
      <c r="C554" s="4" t="s">
        <v>538</v>
      </c>
      <c r="D554" s="53" t="str">
        <f t="shared" si="61"/>
        <v xml:space="preserve"> Forest Green</v>
      </c>
      <c r="E554" s="4" t="s">
        <v>485</v>
      </c>
      <c r="F554" s="4" t="s">
        <v>7</v>
      </c>
      <c r="G554" s="4" t="str">
        <f t="shared" si="65"/>
        <v>Romper Short</v>
      </c>
      <c r="H554" s="38">
        <f t="shared" si="60"/>
        <v>5</v>
      </c>
      <c r="I554" s="54">
        <f t="shared" ref="I554:I617" si="66">WEEKNUM(A554)</f>
        <v>20</v>
      </c>
      <c r="J554" s="14" t="str">
        <f t="shared" si="62"/>
        <v>MothersDay</v>
      </c>
      <c r="K554" s="16" t="str">
        <f t="shared" si="64"/>
        <v>3-6</v>
      </c>
      <c r="L554" s="14" t="str">
        <f t="shared" si="63"/>
        <v>Romper Short | 3-6 | Forest Green</v>
      </c>
      <c r="M554" s="16" t="s">
        <v>3610</v>
      </c>
    </row>
    <row r="555" spans="1:13" ht="25" customHeight="1" x14ac:dyDescent="0.45">
      <c r="A555" s="6">
        <v>46156</v>
      </c>
      <c r="B555" s="3" t="s">
        <v>1102</v>
      </c>
      <c r="C555" s="4" t="s">
        <v>559</v>
      </c>
      <c r="D555" s="53" t="str">
        <f t="shared" si="61"/>
        <v xml:space="preserve"> Sage Green</v>
      </c>
      <c r="E555" s="4" t="s">
        <v>490</v>
      </c>
      <c r="F555" s="4" t="s">
        <v>7</v>
      </c>
      <c r="G555" s="4" t="str">
        <f t="shared" si="65"/>
        <v>Romper Longer</v>
      </c>
      <c r="H555" s="38">
        <f t="shared" si="60"/>
        <v>5</v>
      </c>
      <c r="I555" s="54">
        <f t="shared" si="66"/>
        <v>20</v>
      </c>
      <c r="J555" s="14" t="str">
        <f t="shared" si="62"/>
        <v>MothersDay</v>
      </c>
      <c r="K555" s="16" t="str">
        <f t="shared" si="64"/>
        <v>0-3</v>
      </c>
      <c r="L555" s="14" t="str">
        <f t="shared" si="63"/>
        <v>Romper Longer | 0-3 | Sage Green</v>
      </c>
      <c r="M555" s="16" t="s">
        <v>3611</v>
      </c>
    </row>
    <row r="556" spans="1:13" ht="25" customHeight="1" x14ac:dyDescent="0.45">
      <c r="A556" s="6">
        <v>46156</v>
      </c>
      <c r="B556" s="3" t="s">
        <v>1103</v>
      </c>
      <c r="C556" s="4" t="s">
        <v>559</v>
      </c>
      <c r="D556" s="53" t="str">
        <f t="shared" si="61"/>
        <v xml:space="preserve"> Sage Green</v>
      </c>
      <c r="E556" s="4" t="s">
        <v>580</v>
      </c>
      <c r="F556" s="4" t="s">
        <v>7</v>
      </c>
      <c r="G556" s="4" t="str">
        <f t="shared" si="65"/>
        <v>Romper Short</v>
      </c>
      <c r="H556" s="38">
        <f t="shared" si="60"/>
        <v>5</v>
      </c>
      <c r="I556" s="54">
        <f t="shared" si="66"/>
        <v>20</v>
      </c>
      <c r="J556" s="14" t="str">
        <f t="shared" si="62"/>
        <v>MothersDay</v>
      </c>
      <c r="K556" s="16" t="str">
        <f t="shared" si="64"/>
        <v>0-3</v>
      </c>
      <c r="L556" s="14" t="str">
        <f t="shared" si="63"/>
        <v>Romper Short | 0-3 | Sage Green</v>
      </c>
      <c r="M556" s="16" t="s">
        <v>3610</v>
      </c>
    </row>
    <row r="557" spans="1:13" ht="25" customHeight="1" x14ac:dyDescent="0.45">
      <c r="A557" s="6">
        <v>46156</v>
      </c>
      <c r="B557" s="3" t="s">
        <v>1104</v>
      </c>
      <c r="C557" s="4" t="s">
        <v>87</v>
      </c>
      <c r="D557" s="53" t="str">
        <f t="shared" si="61"/>
        <v>Cream</v>
      </c>
      <c r="E557" s="4" t="s">
        <v>490</v>
      </c>
      <c r="F557" s="4" t="s">
        <v>7</v>
      </c>
      <c r="G557" s="4" t="str">
        <f t="shared" si="65"/>
        <v>Romper Longer</v>
      </c>
      <c r="H557" s="38">
        <f t="shared" si="60"/>
        <v>5</v>
      </c>
      <c r="I557" s="54">
        <f t="shared" si="66"/>
        <v>20</v>
      </c>
      <c r="J557" s="14" t="str">
        <f t="shared" si="62"/>
        <v>MothersDay</v>
      </c>
      <c r="K557" s="16" t="str">
        <f t="shared" si="64"/>
        <v>0-3</v>
      </c>
      <c r="L557" s="14" t="str">
        <f t="shared" si="63"/>
        <v>Romper Longer | 0-3 | Cream</v>
      </c>
      <c r="M557" s="16" t="s">
        <v>3609</v>
      </c>
    </row>
    <row r="558" spans="1:13" ht="25" customHeight="1" x14ac:dyDescent="0.45">
      <c r="A558" s="6">
        <v>46156</v>
      </c>
      <c r="B558" s="3" t="s">
        <v>1105</v>
      </c>
      <c r="C558" s="4" t="s">
        <v>87</v>
      </c>
      <c r="D558" s="53" t="str">
        <f t="shared" si="61"/>
        <v>Cream</v>
      </c>
      <c r="E558" s="4" t="s">
        <v>555</v>
      </c>
      <c r="F558" s="4" t="s">
        <v>19</v>
      </c>
      <c r="G558" s="4" t="str">
        <f t="shared" si="65"/>
        <v>Romper Longer</v>
      </c>
      <c r="H558" s="38">
        <f t="shared" si="60"/>
        <v>5</v>
      </c>
      <c r="I558" s="54">
        <f t="shared" si="66"/>
        <v>20</v>
      </c>
      <c r="J558" s="14" t="str">
        <f t="shared" si="62"/>
        <v>MothersDay</v>
      </c>
      <c r="K558" s="16" t="str">
        <f t="shared" si="64"/>
        <v>3-6</v>
      </c>
      <c r="L558" s="14" t="str">
        <f t="shared" si="63"/>
        <v>Romper Longer | 3-6 | Cream</v>
      </c>
      <c r="M558" s="16" t="s">
        <v>3609</v>
      </c>
    </row>
    <row r="559" spans="1:13" ht="25" customHeight="1" x14ac:dyDescent="0.45">
      <c r="A559" s="6">
        <v>46156</v>
      </c>
      <c r="B559" s="3" t="s">
        <v>1106</v>
      </c>
      <c r="C559" s="4" t="s">
        <v>508</v>
      </c>
      <c r="D559" s="53" t="str">
        <f t="shared" si="61"/>
        <v>Dusty Pink</v>
      </c>
      <c r="E559" s="4" t="s">
        <v>1107</v>
      </c>
      <c r="F559" s="4" t="s">
        <v>7</v>
      </c>
      <c r="G559" s="4" t="str">
        <f t="shared" si="65"/>
        <v>Romper Longer</v>
      </c>
      <c r="H559" s="38">
        <f t="shared" si="60"/>
        <v>5</v>
      </c>
      <c r="I559" s="54">
        <f t="shared" si="66"/>
        <v>20</v>
      </c>
      <c r="J559" s="14" t="str">
        <f t="shared" si="62"/>
        <v>MothersDay</v>
      </c>
      <c r="K559" s="16" t="str">
        <f t="shared" si="64"/>
        <v>1 6-12</v>
      </c>
      <c r="L559" s="14" t="str">
        <f t="shared" si="63"/>
        <v>Romper Longer | 1 6-12 | Dusty Pink</v>
      </c>
      <c r="M559" s="16" t="s">
        <v>3610</v>
      </c>
    </row>
    <row r="560" spans="1:13" ht="25" customHeight="1" x14ac:dyDescent="0.45">
      <c r="A560" s="6">
        <v>46156</v>
      </c>
      <c r="B560" s="3" t="s">
        <v>1108</v>
      </c>
      <c r="C560" s="4" t="s">
        <v>184</v>
      </c>
      <c r="D560" s="53" t="str">
        <f t="shared" si="61"/>
        <v>Coffee</v>
      </c>
      <c r="E560" s="4" t="s">
        <v>490</v>
      </c>
      <c r="F560" s="4" t="s">
        <v>7</v>
      </c>
      <c r="G560" s="4" t="str">
        <f t="shared" si="65"/>
        <v>Romper Longer</v>
      </c>
      <c r="H560" s="38">
        <f t="shared" si="60"/>
        <v>5</v>
      </c>
      <c r="I560" s="54">
        <f t="shared" si="66"/>
        <v>20</v>
      </c>
      <c r="J560" s="14" t="str">
        <f t="shared" si="62"/>
        <v>MothersDay</v>
      </c>
      <c r="K560" s="16" t="str">
        <f t="shared" si="64"/>
        <v>0-3</v>
      </c>
      <c r="L560" s="14" t="str">
        <f t="shared" si="63"/>
        <v>Romper Longer | 0-3 | Coffee</v>
      </c>
      <c r="M560" s="16" t="s">
        <v>3610</v>
      </c>
    </row>
    <row r="561" spans="1:13" ht="25" customHeight="1" x14ac:dyDescent="0.45">
      <c r="A561" s="6">
        <v>46157</v>
      </c>
      <c r="B561" s="3" t="s">
        <v>1109</v>
      </c>
      <c r="C561" s="4" t="s">
        <v>114</v>
      </c>
      <c r="D561" s="53" t="str">
        <f t="shared" si="61"/>
        <v>White</v>
      </c>
      <c r="E561" s="4" t="s">
        <v>584</v>
      </c>
      <c r="F561" s="4" t="s">
        <v>7</v>
      </c>
      <c r="G561" s="4" t="str">
        <f t="shared" si="65"/>
        <v>Romper Short</v>
      </c>
      <c r="H561" s="38">
        <f t="shared" si="60"/>
        <v>5</v>
      </c>
      <c r="I561" s="54">
        <f t="shared" si="66"/>
        <v>20</v>
      </c>
      <c r="J561" s="14" t="str">
        <f t="shared" si="62"/>
        <v>MothersDay</v>
      </c>
      <c r="K561" s="16" t="str">
        <f t="shared" si="64"/>
        <v>18-24</v>
      </c>
      <c r="L561" s="14" t="str">
        <f t="shared" si="63"/>
        <v>Romper Short | 18-24 | White</v>
      </c>
      <c r="M561" s="16" t="s">
        <v>3610</v>
      </c>
    </row>
    <row r="562" spans="1:13" ht="25" customHeight="1" x14ac:dyDescent="0.45">
      <c r="A562" s="6">
        <v>46158</v>
      </c>
      <c r="B562" s="3" t="s">
        <v>1110</v>
      </c>
      <c r="C562" s="4" t="s">
        <v>101</v>
      </c>
      <c r="D562" s="53" t="str">
        <f t="shared" si="61"/>
        <v>Sage Green</v>
      </c>
      <c r="E562" s="4" t="s">
        <v>589</v>
      </c>
      <c r="F562" s="4" t="s">
        <v>7</v>
      </c>
      <c r="G562" s="4" t="str">
        <f t="shared" si="65"/>
        <v>Romper Short</v>
      </c>
      <c r="H562" s="38">
        <f t="shared" si="60"/>
        <v>5</v>
      </c>
      <c r="I562" s="54">
        <f t="shared" si="66"/>
        <v>20</v>
      </c>
      <c r="J562" s="14" t="str">
        <f t="shared" si="62"/>
        <v>MothersDay</v>
      </c>
      <c r="K562" s="16" t="str">
        <f t="shared" si="64"/>
        <v>6-12</v>
      </c>
      <c r="L562" s="14" t="str">
        <f t="shared" si="63"/>
        <v>Romper Short | 6-12 | Sage Green</v>
      </c>
      <c r="M562" s="16" t="s">
        <v>3610</v>
      </c>
    </row>
    <row r="563" spans="1:13" ht="25" customHeight="1" x14ac:dyDescent="0.45">
      <c r="A563" s="6">
        <v>46158</v>
      </c>
      <c r="B563" s="3" t="s">
        <v>1111</v>
      </c>
      <c r="C563" s="4" t="s">
        <v>87</v>
      </c>
      <c r="D563" s="53" t="str">
        <f t="shared" si="61"/>
        <v>Cream</v>
      </c>
      <c r="E563" s="4" t="s">
        <v>718</v>
      </c>
      <c r="F563" s="4" t="s">
        <v>19</v>
      </c>
      <c r="G563" s="4" t="str">
        <f t="shared" si="65"/>
        <v>Romper Longer</v>
      </c>
      <c r="H563" s="38">
        <f t="shared" si="60"/>
        <v>5</v>
      </c>
      <c r="I563" s="54">
        <f t="shared" si="66"/>
        <v>20</v>
      </c>
      <c r="J563" s="14" t="str">
        <f t="shared" si="62"/>
        <v>MothersDay</v>
      </c>
      <c r="K563" s="16" t="str">
        <f t="shared" si="64"/>
        <v>0-3</v>
      </c>
      <c r="L563" s="14" t="str">
        <f t="shared" si="63"/>
        <v>Romper Longer | 0-3 | Cream</v>
      </c>
      <c r="M563" s="16" t="s">
        <v>3609</v>
      </c>
    </row>
    <row r="564" spans="1:13" ht="25" customHeight="1" x14ac:dyDescent="0.45">
      <c r="A564" s="6">
        <v>46159</v>
      </c>
      <c r="B564" s="3" t="s">
        <v>1112</v>
      </c>
      <c r="C564" s="4" t="s">
        <v>508</v>
      </c>
      <c r="D564" s="53" t="str">
        <f t="shared" si="61"/>
        <v>Dusty Pink</v>
      </c>
      <c r="E564" s="4" t="s">
        <v>754</v>
      </c>
      <c r="F564" s="4" t="s">
        <v>19</v>
      </c>
      <c r="G564" s="4" t="str">
        <f t="shared" si="65"/>
        <v>Romper Longer</v>
      </c>
      <c r="H564" s="38">
        <f t="shared" si="60"/>
        <v>5</v>
      </c>
      <c r="I564" s="54">
        <f t="shared" si="66"/>
        <v>21</v>
      </c>
      <c r="J564" s="14" t="str">
        <f t="shared" si="62"/>
        <v>MothersDay</v>
      </c>
      <c r="K564" s="16" t="str">
        <f t="shared" si="64"/>
        <v>6-12</v>
      </c>
      <c r="L564" s="14" t="str">
        <f t="shared" si="63"/>
        <v>Romper Longer | 6-12 | Dusty Pink</v>
      </c>
      <c r="M564" s="16" t="s">
        <v>3610</v>
      </c>
    </row>
    <row r="565" spans="1:13" ht="25" customHeight="1" x14ac:dyDescent="0.45">
      <c r="A565" s="6">
        <v>46159</v>
      </c>
      <c r="B565" s="3" t="s">
        <v>1113</v>
      </c>
      <c r="C565" s="4" t="s">
        <v>528</v>
      </c>
      <c r="D565" s="53" t="str">
        <f t="shared" si="61"/>
        <v>Watermelon</v>
      </c>
      <c r="E565" s="4" t="s">
        <v>596</v>
      </c>
      <c r="F565" s="4" t="s">
        <v>7</v>
      </c>
      <c r="G565" s="4" t="str">
        <f t="shared" si="65"/>
        <v>Romper Longer</v>
      </c>
      <c r="H565" s="38">
        <f t="shared" si="60"/>
        <v>5</v>
      </c>
      <c r="I565" s="54">
        <f t="shared" si="66"/>
        <v>21</v>
      </c>
      <c r="J565" s="14" t="str">
        <f t="shared" si="62"/>
        <v>MothersDay</v>
      </c>
      <c r="K565" s="16" t="str">
        <f t="shared" si="64"/>
        <v>12-18</v>
      </c>
      <c r="L565" s="14" t="str">
        <f t="shared" si="63"/>
        <v>Romper Longer | 12-18 | Watermelon</v>
      </c>
      <c r="M565" s="16" t="s">
        <v>3610</v>
      </c>
    </row>
    <row r="566" spans="1:13" ht="25" customHeight="1" x14ac:dyDescent="0.45">
      <c r="A566" s="6">
        <v>46159</v>
      </c>
      <c r="B566" s="3" t="s">
        <v>1114</v>
      </c>
      <c r="C566" s="4" t="s">
        <v>87</v>
      </c>
      <c r="D566" s="53" t="str">
        <f t="shared" si="61"/>
        <v>Cream</v>
      </c>
      <c r="E566" s="4" t="s">
        <v>485</v>
      </c>
      <c r="F566" s="4" t="s">
        <v>7</v>
      </c>
      <c r="G566" s="4" t="str">
        <f t="shared" si="65"/>
        <v>Romper Short</v>
      </c>
      <c r="H566" s="38">
        <f t="shared" si="60"/>
        <v>5</v>
      </c>
      <c r="I566" s="54">
        <f t="shared" si="66"/>
        <v>21</v>
      </c>
      <c r="J566" s="14" t="str">
        <f t="shared" si="62"/>
        <v>MothersDay</v>
      </c>
      <c r="K566" s="16" t="str">
        <f t="shared" si="64"/>
        <v>3-6</v>
      </c>
      <c r="L566" s="14" t="str">
        <f t="shared" si="63"/>
        <v>Romper Short | 3-6 | Cream</v>
      </c>
      <c r="M566" s="16" t="s">
        <v>3609</v>
      </c>
    </row>
    <row r="567" spans="1:13" ht="25" customHeight="1" x14ac:dyDescent="0.45">
      <c r="A567" s="6">
        <v>46159</v>
      </c>
      <c r="B567" s="3" t="s">
        <v>1115</v>
      </c>
      <c r="C567" s="4" t="s">
        <v>87</v>
      </c>
      <c r="D567" s="53" t="str">
        <f t="shared" si="61"/>
        <v>Cream</v>
      </c>
      <c r="E567" s="4" t="s">
        <v>555</v>
      </c>
      <c r="F567" s="4" t="s">
        <v>7</v>
      </c>
      <c r="G567" s="4" t="str">
        <f t="shared" si="65"/>
        <v>Romper Longer</v>
      </c>
      <c r="H567" s="38">
        <f t="shared" si="60"/>
        <v>5</v>
      </c>
      <c r="I567" s="54">
        <f t="shared" si="66"/>
        <v>21</v>
      </c>
      <c r="J567" s="14" t="str">
        <f t="shared" si="62"/>
        <v>MothersDay</v>
      </c>
      <c r="K567" s="16" t="str">
        <f t="shared" si="64"/>
        <v>3-6</v>
      </c>
      <c r="L567" s="14" t="str">
        <f t="shared" si="63"/>
        <v>Romper Longer | 3-6 | Cream</v>
      </c>
      <c r="M567" s="16" t="s">
        <v>3609</v>
      </c>
    </row>
    <row r="568" spans="1:13" ht="25" customHeight="1" x14ac:dyDescent="0.45">
      <c r="A568" s="6">
        <v>46160</v>
      </c>
      <c r="B568" s="3" t="s">
        <v>1116</v>
      </c>
      <c r="C568" s="4" t="s">
        <v>87</v>
      </c>
      <c r="D568" s="53" t="str">
        <f t="shared" si="61"/>
        <v>Cream</v>
      </c>
      <c r="E568" s="4" t="s">
        <v>490</v>
      </c>
      <c r="F568" s="4" t="s">
        <v>7</v>
      </c>
      <c r="G568" s="4" t="str">
        <f t="shared" si="65"/>
        <v>Romper Longer</v>
      </c>
      <c r="H568" s="38">
        <f t="shared" si="60"/>
        <v>5</v>
      </c>
      <c r="I568" s="54">
        <f t="shared" si="66"/>
        <v>21</v>
      </c>
      <c r="J568" s="14" t="str">
        <f t="shared" si="62"/>
        <v>MothersDay</v>
      </c>
      <c r="K568" s="16" t="str">
        <f t="shared" si="64"/>
        <v>0-3</v>
      </c>
      <c r="L568" s="14" t="str">
        <f t="shared" si="63"/>
        <v>Romper Longer | 0-3 | Cream</v>
      </c>
      <c r="M568" s="16" t="s">
        <v>3609</v>
      </c>
    </row>
    <row r="569" spans="1:13" ht="25" customHeight="1" x14ac:dyDescent="0.45">
      <c r="A569" s="6">
        <v>46160</v>
      </c>
      <c r="B569" s="3" t="s">
        <v>1117</v>
      </c>
      <c r="C569" s="4" t="s">
        <v>87</v>
      </c>
      <c r="D569" s="53" t="str">
        <f t="shared" si="61"/>
        <v>Cream</v>
      </c>
      <c r="E569" s="4" t="s">
        <v>490</v>
      </c>
      <c r="F569" s="4" t="s">
        <v>7</v>
      </c>
      <c r="G569" s="4" t="str">
        <f t="shared" si="65"/>
        <v>Romper Longer</v>
      </c>
      <c r="H569" s="38">
        <f t="shared" si="60"/>
        <v>5</v>
      </c>
      <c r="I569" s="54">
        <f t="shared" si="66"/>
        <v>21</v>
      </c>
      <c r="J569" s="14" t="str">
        <f t="shared" si="62"/>
        <v>MothersDay</v>
      </c>
      <c r="K569" s="16" t="str">
        <f t="shared" si="64"/>
        <v>0-3</v>
      </c>
      <c r="L569" s="14" t="str">
        <f t="shared" si="63"/>
        <v>Romper Longer | 0-3 | Cream</v>
      </c>
      <c r="M569" s="16" t="s">
        <v>3609</v>
      </c>
    </row>
    <row r="570" spans="1:13" ht="25" customHeight="1" x14ac:dyDescent="0.45">
      <c r="A570" s="6">
        <v>46160</v>
      </c>
      <c r="B570" s="3" t="s">
        <v>1118</v>
      </c>
      <c r="C570" s="4" t="s">
        <v>470</v>
      </c>
      <c r="D570" s="53" t="str">
        <f t="shared" si="61"/>
        <v>Caldet Blue</v>
      </c>
      <c r="E570" s="4" t="s">
        <v>589</v>
      </c>
      <c r="F570" s="4" t="s">
        <v>15</v>
      </c>
      <c r="G570" s="4" t="str">
        <f t="shared" si="65"/>
        <v>Romper Short</v>
      </c>
      <c r="H570" s="38">
        <f t="shared" si="60"/>
        <v>5</v>
      </c>
      <c r="I570" s="54">
        <f t="shared" si="66"/>
        <v>21</v>
      </c>
      <c r="J570" s="14" t="str">
        <f t="shared" si="62"/>
        <v>MothersDay</v>
      </c>
      <c r="K570" s="16" t="str">
        <f t="shared" si="64"/>
        <v>6-12</v>
      </c>
      <c r="L570" s="14" t="str">
        <f t="shared" si="63"/>
        <v>Romper Short | 6-12 | Caldet Blue</v>
      </c>
      <c r="M570" s="16" t="s">
        <v>3610</v>
      </c>
    </row>
    <row r="571" spans="1:13" ht="25" customHeight="1" x14ac:dyDescent="0.45">
      <c r="A571" s="6">
        <v>46160</v>
      </c>
      <c r="B571" s="3" t="s">
        <v>1119</v>
      </c>
      <c r="C571" s="4" t="s">
        <v>87</v>
      </c>
      <c r="D571" s="53" t="str">
        <f t="shared" si="61"/>
        <v>Cream</v>
      </c>
      <c r="E571" s="4" t="s">
        <v>479</v>
      </c>
      <c r="F571" s="4" t="s">
        <v>15</v>
      </c>
      <c r="G571" s="4" t="str">
        <f t="shared" si="65"/>
        <v>Romper Longer</v>
      </c>
      <c r="H571" s="38">
        <f t="shared" si="60"/>
        <v>5</v>
      </c>
      <c r="I571" s="54">
        <f t="shared" si="66"/>
        <v>21</v>
      </c>
      <c r="J571" s="14" t="str">
        <f t="shared" si="62"/>
        <v>MothersDay</v>
      </c>
      <c r="K571" s="16" t="str">
        <f t="shared" si="64"/>
        <v>6-12</v>
      </c>
      <c r="L571" s="14" t="str">
        <f t="shared" si="63"/>
        <v>Romper Longer | 6-12 | Cream</v>
      </c>
      <c r="M571" s="16" t="s">
        <v>3611</v>
      </c>
    </row>
    <row r="572" spans="1:13" ht="25" customHeight="1" x14ac:dyDescent="0.45">
      <c r="A572" s="6">
        <v>46160</v>
      </c>
      <c r="B572" s="3" t="s">
        <v>1120</v>
      </c>
      <c r="C572" s="4" t="s">
        <v>483</v>
      </c>
      <c r="D572" s="53" t="str">
        <f t="shared" si="61"/>
        <v>Forest Green</v>
      </c>
      <c r="E572" s="4" t="s">
        <v>596</v>
      </c>
      <c r="F572" s="4" t="s">
        <v>16</v>
      </c>
      <c r="G572" s="4" t="str">
        <f t="shared" si="65"/>
        <v>Romper Longer</v>
      </c>
      <c r="H572" s="38">
        <f t="shared" si="60"/>
        <v>5</v>
      </c>
      <c r="I572" s="54">
        <f t="shared" si="66"/>
        <v>21</v>
      </c>
      <c r="J572" s="14" t="str">
        <f t="shared" si="62"/>
        <v>MothersDay</v>
      </c>
      <c r="K572" s="16" t="str">
        <f t="shared" si="64"/>
        <v>12-18</v>
      </c>
      <c r="L572" s="14" t="str">
        <f t="shared" si="63"/>
        <v>Romper Longer | 12-18 | Forest Green</v>
      </c>
      <c r="M572" s="16" t="s">
        <v>3610</v>
      </c>
    </row>
    <row r="573" spans="1:13" ht="25" customHeight="1" x14ac:dyDescent="0.45">
      <c r="A573" s="6">
        <v>46160</v>
      </c>
      <c r="B573" s="3" t="s">
        <v>1121</v>
      </c>
      <c r="C573" s="4" t="s">
        <v>87</v>
      </c>
      <c r="D573" s="53" t="str">
        <f t="shared" si="61"/>
        <v>Cream</v>
      </c>
      <c r="E573" s="4" t="s">
        <v>475</v>
      </c>
      <c r="F573" s="4" t="s">
        <v>7</v>
      </c>
      <c r="G573" s="4" t="str">
        <f t="shared" si="65"/>
        <v>Romper Short</v>
      </c>
      <c r="H573" s="38">
        <f t="shared" si="60"/>
        <v>5</v>
      </c>
      <c r="I573" s="54">
        <f t="shared" si="66"/>
        <v>21</v>
      </c>
      <c r="J573" s="14" t="str">
        <f t="shared" si="62"/>
        <v>MothersDay</v>
      </c>
      <c r="K573" s="16" t="str">
        <f t="shared" si="64"/>
        <v>12-18</v>
      </c>
      <c r="L573" s="14" t="str">
        <f t="shared" si="63"/>
        <v>Romper Short | 12-18 | Cream</v>
      </c>
      <c r="M573" s="16" t="s">
        <v>3610</v>
      </c>
    </row>
    <row r="574" spans="1:13" ht="25" customHeight="1" x14ac:dyDescent="0.45">
      <c r="A574" s="6">
        <v>46160</v>
      </c>
      <c r="B574" s="3" t="s">
        <v>1122</v>
      </c>
      <c r="C574" s="4" t="s">
        <v>87</v>
      </c>
      <c r="D574" s="53" t="str">
        <f t="shared" si="61"/>
        <v>Cream</v>
      </c>
      <c r="E574" s="4" t="s">
        <v>485</v>
      </c>
      <c r="F574" s="4" t="s">
        <v>14</v>
      </c>
      <c r="G574" s="4" t="str">
        <f t="shared" si="65"/>
        <v>Romper Short</v>
      </c>
      <c r="H574" s="38">
        <f t="shared" si="60"/>
        <v>5</v>
      </c>
      <c r="I574" s="54">
        <f t="shared" si="66"/>
        <v>21</v>
      </c>
      <c r="J574" s="14" t="str">
        <f t="shared" si="62"/>
        <v>MothersDay</v>
      </c>
      <c r="K574" s="16" t="str">
        <f t="shared" si="64"/>
        <v>3-6</v>
      </c>
      <c r="L574" s="14" t="str">
        <f t="shared" si="63"/>
        <v>Romper Short | 3-6 | Cream</v>
      </c>
      <c r="M574" s="16" t="s">
        <v>3609</v>
      </c>
    </row>
    <row r="575" spans="1:13" ht="25" customHeight="1" x14ac:dyDescent="0.45">
      <c r="A575" s="6">
        <v>46160</v>
      </c>
      <c r="B575" s="3" t="s">
        <v>1123</v>
      </c>
      <c r="C575" s="4" t="s">
        <v>87</v>
      </c>
      <c r="D575" s="53" t="str">
        <f t="shared" si="61"/>
        <v>Cream</v>
      </c>
      <c r="E575" s="4" t="s">
        <v>490</v>
      </c>
      <c r="F575" s="4" t="s">
        <v>19</v>
      </c>
      <c r="G575" s="4" t="str">
        <f t="shared" si="65"/>
        <v>Romper Longer</v>
      </c>
      <c r="H575" s="38">
        <f t="shared" si="60"/>
        <v>5</v>
      </c>
      <c r="I575" s="54">
        <f t="shared" si="66"/>
        <v>21</v>
      </c>
      <c r="J575" s="14" t="str">
        <f t="shared" si="62"/>
        <v>MothersDay</v>
      </c>
      <c r="K575" s="16" t="str">
        <f t="shared" si="64"/>
        <v>0-3</v>
      </c>
      <c r="L575" s="14" t="str">
        <f t="shared" si="63"/>
        <v>Romper Longer | 0-3 | Cream</v>
      </c>
      <c r="M575" s="16" t="s">
        <v>3609</v>
      </c>
    </row>
    <row r="576" spans="1:13" ht="25" customHeight="1" x14ac:dyDescent="0.45">
      <c r="A576" s="6">
        <v>46160</v>
      </c>
      <c r="B576" s="3" t="s">
        <v>1124</v>
      </c>
      <c r="C576" s="4" t="s">
        <v>508</v>
      </c>
      <c r="D576" s="53" t="str">
        <f t="shared" si="61"/>
        <v>Dusty Pink</v>
      </c>
      <c r="E576" s="4" t="s">
        <v>589</v>
      </c>
      <c r="F576" s="4" t="s">
        <v>7</v>
      </c>
      <c r="G576" s="4" t="str">
        <f t="shared" si="65"/>
        <v>Romper Short</v>
      </c>
      <c r="H576" s="38">
        <f t="shared" si="60"/>
        <v>5</v>
      </c>
      <c r="I576" s="54">
        <f t="shared" si="66"/>
        <v>21</v>
      </c>
      <c r="J576" s="14" t="str">
        <f t="shared" si="62"/>
        <v>MothersDay</v>
      </c>
      <c r="K576" s="16" t="str">
        <f t="shared" si="64"/>
        <v>6-12</v>
      </c>
      <c r="L576" s="14" t="str">
        <f t="shared" si="63"/>
        <v>Romper Short | 6-12 | Dusty Pink</v>
      </c>
      <c r="M576" s="16" t="s">
        <v>3610</v>
      </c>
    </row>
    <row r="577" spans="1:13" ht="25" customHeight="1" x14ac:dyDescent="0.45">
      <c r="A577" s="6">
        <v>46161</v>
      </c>
      <c r="B577" s="3" t="s">
        <v>1125</v>
      </c>
      <c r="C577" s="4" t="s">
        <v>101</v>
      </c>
      <c r="D577" s="53" t="str">
        <f t="shared" si="61"/>
        <v>Sage Green</v>
      </c>
      <c r="E577" s="4" t="s">
        <v>490</v>
      </c>
      <c r="F577" s="4" t="s">
        <v>7</v>
      </c>
      <c r="G577" s="4" t="str">
        <f t="shared" si="65"/>
        <v>Romper Longer</v>
      </c>
      <c r="H577" s="38">
        <f t="shared" si="60"/>
        <v>5</v>
      </c>
      <c r="I577" s="54">
        <f t="shared" si="66"/>
        <v>21</v>
      </c>
      <c r="J577" s="14" t="str">
        <f t="shared" si="62"/>
        <v>MothersDay</v>
      </c>
      <c r="K577" s="16" t="str">
        <f t="shared" si="64"/>
        <v>0-3</v>
      </c>
      <c r="L577" s="14" t="str">
        <f t="shared" si="63"/>
        <v>Romper Longer | 0-3 | Sage Green</v>
      </c>
      <c r="M577" s="16" t="s">
        <v>3611</v>
      </c>
    </row>
    <row r="578" spans="1:13" ht="25" customHeight="1" x14ac:dyDescent="0.45">
      <c r="A578" s="6">
        <v>46161</v>
      </c>
      <c r="B578" s="3" t="s">
        <v>1126</v>
      </c>
      <c r="C578" s="4" t="s">
        <v>87</v>
      </c>
      <c r="D578" s="53" t="str">
        <f t="shared" si="61"/>
        <v>Cream</v>
      </c>
      <c r="E578" s="4" t="s">
        <v>580</v>
      </c>
      <c r="F578" s="4" t="s">
        <v>14</v>
      </c>
      <c r="G578" s="4" t="str">
        <f t="shared" si="65"/>
        <v>Romper Short</v>
      </c>
      <c r="H578" s="38">
        <f t="shared" ref="H578:H641" si="67">MONTH(A578)</f>
        <v>5</v>
      </c>
      <c r="I578" s="54">
        <f t="shared" si="66"/>
        <v>21</v>
      </c>
      <c r="J578" s="14" t="str">
        <f t="shared" si="62"/>
        <v>MothersDay</v>
      </c>
      <c r="K578" s="16" t="str">
        <f t="shared" si="64"/>
        <v>0-3</v>
      </c>
      <c r="L578" s="14" t="str">
        <f t="shared" si="63"/>
        <v>Romper Short | 0-3 | Cream</v>
      </c>
      <c r="M578" s="16" t="s">
        <v>3609</v>
      </c>
    </row>
    <row r="579" spans="1:13" ht="25" customHeight="1" x14ac:dyDescent="0.45">
      <c r="A579" s="6">
        <v>46161</v>
      </c>
      <c r="B579" s="3" t="s">
        <v>1127</v>
      </c>
      <c r="C579" s="4" t="s">
        <v>483</v>
      </c>
      <c r="D579" s="53" t="str">
        <f t="shared" ref="D579:D642" si="68">PROPER(C579)</f>
        <v>Forest Green</v>
      </c>
      <c r="E579" s="4" t="s">
        <v>485</v>
      </c>
      <c r="F579" s="4" t="s">
        <v>13</v>
      </c>
      <c r="G579" s="4" t="str">
        <f t="shared" si="65"/>
        <v>Romper Short</v>
      </c>
      <c r="H579" s="38">
        <f t="shared" si="67"/>
        <v>5</v>
      </c>
      <c r="I579" s="54">
        <f t="shared" si="66"/>
        <v>21</v>
      </c>
      <c r="J579" s="14" t="str">
        <f t="shared" ref="J579:J642" si="69">IF(H579=1,"NewYear",
IF(H579=2,"Valentine",
IF(OR(H579=3,H579=4),"Easter",
IF(H579=5,"MothersDay",
IF(H579=6,"FathersDay",
IF(OR(H579=7,H579=8),"Summer",
IF(H579=10,"Halloween",
IF(OR(H579=11,H579=12),"Christmas","Normal"))))))))</f>
        <v>MothersDay</v>
      </c>
      <c r="K579" s="16" t="str">
        <f t="shared" si="64"/>
        <v>3-6</v>
      </c>
      <c r="L579" s="14" t="str">
        <f t="shared" ref="L579:L642" si="70">TRIM(G579)&amp;" | "&amp;TRIM(K579)&amp;" | "&amp;PROPER(TRIM(D579))</f>
        <v>Romper Short | 3-6 | Forest Green</v>
      </c>
      <c r="M579" s="16" t="s">
        <v>3610</v>
      </c>
    </row>
    <row r="580" spans="1:13" ht="25" customHeight="1" x14ac:dyDescent="0.45">
      <c r="A580" s="6">
        <v>46161</v>
      </c>
      <c r="B580" s="3" t="s">
        <v>1128</v>
      </c>
      <c r="C580" s="4" t="s">
        <v>483</v>
      </c>
      <c r="D580" s="53" t="str">
        <f t="shared" si="68"/>
        <v>Forest Green</v>
      </c>
      <c r="E580" s="4" t="s">
        <v>485</v>
      </c>
      <c r="F580" s="4" t="s">
        <v>13</v>
      </c>
      <c r="G580" s="4" t="str">
        <f t="shared" si="65"/>
        <v>Romper Short</v>
      </c>
      <c r="H580" s="38">
        <f t="shared" si="67"/>
        <v>5</v>
      </c>
      <c r="I580" s="54">
        <f t="shared" si="66"/>
        <v>21</v>
      </c>
      <c r="J580" s="14" t="str">
        <f t="shared" si="69"/>
        <v>MothersDay</v>
      </c>
      <c r="K580" s="16" t="str">
        <f t="shared" si="64"/>
        <v>3-6</v>
      </c>
      <c r="L580" s="14" t="str">
        <f t="shared" si="70"/>
        <v>Romper Short | 3-6 | Forest Green</v>
      </c>
      <c r="M580" s="16" t="s">
        <v>3610</v>
      </c>
    </row>
    <row r="581" spans="1:13" ht="25" customHeight="1" x14ac:dyDescent="0.45">
      <c r="A581" s="6">
        <v>46162</v>
      </c>
      <c r="B581" s="3" t="s">
        <v>1129</v>
      </c>
      <c r="C581" s="4" t="s">
        <v>87</v>
      </c>
      <c r="D581" s="53" t="str">
        <f t="shared" si="68"/>
        <v>Cream</v>
      </c>
      <c r="E581" s="4" t="s">
        <v>475</v>
      </c>
      <c r="F581" s="4" t="s">
        <v>15</v>
      </c>
      <c r="G581" s="4" t="str">
        <f t="shared" si="65"/>
        <v>Romper Short</v>
      </c>
      <c r="H581" s="38">
        <f t="shared" si="67"/>
        <v>5</v>
      </c>
      <c r="I581" s="54">
        <f t="shared" si="66"/>
        <v>21</v>
      </c>
      <c r="J581" s="14" t="str">
        <f t="shared" si="69"/>
        <v>MothersDay</v>
      </c>
      <c r="K581" s="16" t="str">
        <f t="shared" si="64"/>
        <v>12-18</v>
      </c>
      <c r="L581" s="14" t="str">
        <f t="shared" si="70"/>
        <v>Romper Short | 12-18 | Cream</v>
      </c>
      <c r="M581" s="16" t="s">
        <v>3610</v>
      </c>
    </row>
    <row r="582" spans="1:13" ht="25" customHeight="1" x14ac:dyDescent="0.45">
      <c r="A582" s="6">
        <v>46162</v>
      </c>
      <c r="B582" s="3" t="s">
        <v>1130</v>
      </c>
      <c r="C582" s="4" t="s">
        <v>87</v>
      </c>
      <c r="D582" s="53" t="str">
        <f t="shared" si="68"/>
        <v>Cream</v>
      </c>
      <c r="E582" s="4" t="s">
        <v>589</v>
      </c>
      <c r="F582" s="4" t="s">
        <v>7</v>
      </c>
      <c r="G582" s="4" t="str">
        <f t="shared" si="65"/>
        <v>Romper Short</v>
      </c>
      <c r="H582" s="38">
        <f t="shared" si="67"/>
        <v>5</v>
      </c>
      <c r="I582" s="54">
        <f t="shared" si="66"/>
        <v>21</v>
      </c>
      <c r="J582" s="14" t="str">
        <f t="shared" si="69"/>
        <v>MothersDay</v>
      </c>
      <c r="K582" s="16" t="str">
        <f t="shared" si="64"/>
        <v>6-12</v>
      </c>
      <c r="L582" s="14" t="str">
        <f t="shared" si="70"/>
        <v>Romper Short | 6-12 | Cream</v>
      </c>
      <c r="M582" s="16" t="s">
        <v>3611</v>
      </c>
    </row>
    <row r="583" spans="1:13" ht="25" customHeight="1" x14ac:dyDescent="0.45">
      <c r="A583" s="6">
        <v>46162</v>
      </c>
      <c r="B583" s="3" t="s">
        <v>1131</v>
      </c>
      <c r="C583" s="4" t="s">
        <v>87</v>
      </c>
      <c r="D583" s="53" t="str">
        <f t="shared" si="68"/>
        <v>Cream</v>
      </c>
      <c r="E583" s="4" t="s">
        <v>490</v>
      </c>
      <c r="F583" s="4" t="s">
        <v>19</v>
      </c>
      <c r="G583" s="4" t="str">
        <f t="shared" si="65"/>
        <v>Romper Longer</v>
      </c>
      <c r="H583" s="38">
        <f t="shared" si="67"/>
        <v>5</v>
      </c>
      <c r="I583" s="54">
        <f t="shared" si="66"/>
        <v>21</v>
      </c>
      <c r="J583" s="14" t="str">
        <f t="shared" si="69"/>
        <v>MothersDay</v>
      </c>
      <c r="K583" s="16" t="str">
        <f t="shared" si="64"/>
        <v>0-3</v>
      </c>
      <c r="L583" s="14" t="str">
        <f t="shared" si="70"/>
        <v>Romper Longer | 0-3 | Cream</v>
      </c>
      <c r="M583" s="16" t="s">
        <v>3609</v>
      </c>
    </row>
    <row r="584" spans="1:13" ht="25" customHeight="1" x14ac:dyDescent="0.45">
      <c r="A584" s="6">
        <v>46162</v>
      </c>
      <c r="B584" s="4" t="s">
        <v>1320</v>
      </c>
      <c r="C584" s="4" t="s">
        <v>184</v>
      </c>
      <c r="D584" s="53" t="str">
        <f t="shared" si="68"/>
        <v>Coffee</v>
      </c>
      <c r="E584" s="4" t="s">
        <v>596</v>
      </c>
      <c r="F584" s="4" t="s">
        <v>7</v>
      </c>
      <c r="G584" s="4" t="str">
        <f t="shared" si="65"/>
        <v>Romper Longer</v>
      </c>
      <c r="H584" s="38">
        <f t="shared" si="67"/>
        <v>5</v>
      </c>
      <c r="I584" s="54">
        <f t="shared" si="66"/>
        <v>21</v>
      </c>
      <c r="J584" s="14" t="str">
        <f t="shared" si="69"/>
        <v>MothersDay</v>
      </c>
      <c r="K584" s="16" t="str">
        <f t="shared" si="64"/>
        <v>12-18</v>
      </c>
      <c r="L584" s="14" t="str">
        <f t="shared" si="70"/>
        <v>Romper Longer | 12-18 | Coffee</v>
      </c>
      <c r="M584" s="16" t="s">
        <v>3610</v>
      </c>
    </row>
    <row r="585" spans="1:13" ht="25" customHeight="1" x14ac:dyDescent="0.45">
      <c r="A585" s="6">
        <v>46163</v>
      </c>
      <c r="B585" s="3" t="s">
        <v>1132</v>
      </c>
      <c r="C585" s="4" t="s">
        <v>101</v>
      </c>
      <c r="D585" s="53" t="str">
        <f t="shared" si="68"/>
        <v>Sage Green</v>
      </c>
      <c r="E585" s="4" t="s">
        <v>490</v>
      </c>
      <c r="F585" s="4" t="s">
        <v>16</v>
      </c>
      <c r="G585" s="4" t="str">
        <f t="shared" si="65"/>
        <v>Romper Longer</v>
      </c>
      <c r="H585" s="38">
        <f t="shared" si="67"/>
        <v>5</v>
      </c>
      <c r="I585" s="54">
        <f t="shared" si="66"/>
        <v>21</v>
      </c>
      <c r="J585" s="14" t="str">
        <f t="shared" si="69"/>
        <v>MothersDay</v>
      </c>
      <c r="K585" s="16" t="str">
        <f t="shared" si="64"/>
        <v>0-3</v>
      </c>
      <c r="L585" s="14" t="str">
        <f t="shared" si="70"/>
        <v>Romper Longer | 0-3 | Sage Green</v>
      </c>
      <c r="M585" s="16" t="s">
        <v>3611</v>
      </c>
    </row>
    <row r="586" spans="1:13" ht="25" customHeight="1" x14ac:dyDescent="0.45">
      <c r="A586" s="6">
        <v>46163</v>
      </c>
      <c r="B586" s="3" t="s">
        <v>1133</v>
      </c>
      <c r="C586" s="4" t="s">
        <v>528</v>
      </c>
      <c r="D586" s="53" t="str">
        <f t="shared" si="68"/>
        <v>Watermelon</v>
      </c>
      <c r="E586" s="4" t="s">
        <v>490</v>
      </c>
      <c r="F586" s="4" t="s">
        <v>13</v>
      </c>
      <c r="G586" s="4" t="str">
        <f t="shared" si="65"/>
        <v>Romper Longer</v>
      </c>
      <c r="H586" s="38">
        <f t="shared" si="67"/>
        <v>5</v>
      </c>
      <c r="I586" s="54">
        <f t="shared" si="66"/>
        <v>21</v>
      </c>
      <c r="J586" s="14" t="str">
        <f t="shared" si="69"/>
        <v>MothersDay</v>
      </c>
      <c r="K586" s="16" t="str">
        <f t="shared" si="64"/>
        <v>0-3</v>
      </c>
      <c r="L586" s="14" t="str">
        <f t="shared" si="70"/>
        <v>Romper Longer | 0-3 | Watermelon</v>
      </c>
      <c r="M586" s="16" t="s">
        <v>3610</v>
      </c>
    </row>
    <row r="587" spans="1:13" ht="25" customHeight="1" x14ac:dyDescent="0.45">
      <c r="A587" s="6">
        <v>46163</v>
      </c>
      <c r="B587" s="3" t="s">
        <v>1134</v>
      </c>
      <c r="C587" s="4" t="s">
        <v>101</v>
      </c>
      <c r="D587" s="53" t="str">
        <f t="shared" si="68"/>
        <v>Sage Green</v>
      </c>
      <c r="E587" s="4" t="s">
        <v>485</v>
      </c>
      <c r="F587" s="4" t="s">
        <v>7</v>
      </c>
      <c r="G587" s="4" t="str">
        <f t="shared" si="65"/>
        <v>Romper Short</v>
      </c>
      <c r="H587" s="38">
        <f t="shared" si="67"/>
        <v>5</v>
      </c>
      <c r="I587" s="54">
        <f t="shared" si="66"/>
        <v>21</v>
      </c>
      <c r="J587" s="14" t="str">
        <f t="shared" si="69"/>
        <v>MothersDay</v>
      </c>
      <c r="K587" s="16" t="str">
        <f t="shared" si="64"/>
        <v>3-6</v>
      </c>
      <c r="L587" s="14" t="str">
        <f t="shared" si="70"/>
        <v>Romper Short | 3-6 | Sage Green</v>
      </c>
      <c r="M587" s="16" t="s">
        <v>3611</v>
      </c>
    </row>
    <row r="588" spans="1:13" ht="25" customHeight="1" x14ac:dyDescent="0.45">
      <c r="A588" s="6">
        <v>46163</v>
      </c>
      <c r="B588" s="3" t="s">
        <v>1135</v>
      </c>
      <c r="C588" s="4" t="s">
        <v>87</v>
      </c>
      <c r="D588" s="53" t="str">
        <f t="shared" si="68"/>
        <v>Cream</v>
      </c>
      <c r="E588" s="4" t="s">
        <v>580</v>
      </c>
      <c r="F588" s="4" t="s">
        <v>7</v>
      </c>
      <c r="G588" s="4" t="str">
        <f t="shared" si="65"/>
        <v>Romper Short</v>
      </c>
      <c r="H588" s="38">
        <f t="shared" si="67"/>
        <v>5</v>
      </c>
      <c r="I588" s="54">
        <f t="shared" si="66"/>
        <v>21</v>
      </c>
      <c r="J588" s="14" t="str">
        <f t="shared" si="69"/>
        <v>MothersDay</v>
      </c>
      <c r="K588" s="16" t="str">
        <f t="shared" si="64"/>
        <v>0-3</v>
      </c>
      <c r="L588" s="14" t="str">
        <f t="shared" si="70"/>
        <v>Romper Short | 0-3 | Cream</v>
      </c>
      <c r="M588" s="16" t="s">
        <v>3609</v>
      </c>
    </row>
    <row r="589" spans="1:13" ht="25" customHeight="1" x14ac:dyDescent="0.45">
      <c r="A589" s="6">
        <v>46163</v>
      </c>
      <c r="B589" s="3" t="s">
        <v>1136</v>
      </c>
      <c r="C589" s="4" t="s">
        <v>87</v>
      </c>
      <c r="D589" s="53" t="str">
        <f t="shared" si="68"/>
        <v>Cream</v>
      </c>
      <c r="E589" s="4" t="s">
        <v>490</v>
      </c>
      <c r="F589" s="4" t="s">
        <v>13</v>
      </c>
      <c r="G589" s="4" t="str">
        <f t="shared" si="65"/>
        <v>Romper Longer</v>
      </c>
      <c r="H589" s="38">
        <f t="shared" si="67"/>
        <v>5</v>
      </c>
      <c r="I589" s="54">
        <f t="shared" si="66"/>
        <v>21</v>
      </c>
      <c r="J589" s="14" t="str">
        <f t="shared" si="69"/>
        <v>MothersDay</v>
      </c>
      <c r="K589" s="16" t="str">
        <f t="shared" si="64"/>
        <v>0-3</v>
      </c>
      <c r="L589" s="14" t="str">
        <f t="shared" si="70"/>
        <v>Romper Longer | 0-3 | Cream</v>
      </c>
      <c r="M589" s="16" t="s">
        <v>3609</v>
      </c>
    </row>
    <row r="590" spans="1:13" ht="25" customHeight="1" x14ac:dyDescent="0.45">
      <c r="A590" s="6">
        <v>46164</v>
      </c>
      <c r="B590" s="3" t="s">
        <v>1137</v>
      </c>
      <c r="C590" s="4" t="s">
        <v>87</v>
      </c>
      <c r="D590" s="53" t="str">
        <f t="shared" si="68"/>
        <v>Cream</v>
      </c>
      <c r="E590" s="4" t="s">
        <v>555</v>
      </c>
      <c r="F590" s="4" t="s">
        <v>7</v>
      </c>
      <c r="G590" s="4" t="str">
        <f t="shared" si="65"/>
        <v>Romper Longer</v>
      </c>
      <c r="H590" s="38">
        <f t="shared" si="67"/>
        <v>5</v>
      </c>
      <c r="I590" s="54">
        <f t="shared" si="66"/>
        <v>21</v>
      </c>
      <c r="J590" s="14" t="str">
        <f t="shared" si="69"/>
        <v>MothersDay</v>
      </c>
      <c r="K590" s="16" t="str">
        <f t="shared" ref="K590:K653" si="71">TRIM(LEFT(E590,FIND("(",E590&amp;"(")-2))</f>
        <v>3-6</v>
      </c>
      <c r="L590" s="14" t="str">
        <f t="shared" si="70"/>
        <v>Romper Longer | 3-6 | Cream</v>
      </c>
      <c r="M590" s="16" t="s">
        <v>3609</v>
      </c>
    </row>
    <row r="591" spans="1:13" ht="25" customHeight="1" x14ac:dyDescent="0.45">
      <c r="A591" s="6">
        <v>46164</v>
      </c>
      <c r="B591" s="3" t="s">
        <v>1138</v>
      </c>
      <c r="C591" s="4" t="s">
        <v>528</v>
      </c>
      <c r="D591" s="53" t="str">
        <f t="shared" si="68"/>
        <v>Watermelon</v>
      </c>
      <c r="E591" s="4" t="s">
        <v>479</v>
      </c>
      <c r="F591" s="4" t="s">
        <v>7</v>
      </c>
      <c r="G591" s="4" t="str">
        <f t="shared" si="65"/>
        <v>Romper Longer</v>
      </c>
      <c r="H591" s="38">
        <f t="shared" si="67"/>
        <v>5</v>
      </c>
      <c r="I591" s="54">
        <f t="shared" si="66"/>
        <v>21</v>
      </c>
      <c r="J591" s="14" t="str">
        <f t="shared" si="69"/>
        <v>MothersDay</v>
      </c>
      <c r="K591" s="16" t="str">
        <f t="shared" si="71"/>
        <v>6-12</v>
      </c>
      <c r="L591" s="14" t="str">
        <f t="shared" si="70"/>
        <v>Romper Longer | 6-12 | Watermelon</v>
      </c>
      <c r="M591" s="16" t="s">
        <v>3610</v>
      </c>
    </row>
    <row r="592" spans="1:13" ht="25" customHeight="1" x14ac:dyDescent="0.45">
      <c r="A592" s="6">
        <v>46164</v>
      </c>
      <c r="B592" s="3" t="s">
        <v>1139</v>
      </c>
      <c r="C592" s="4" t="s">
        <v>184</v>
      </c>
      <c r="D592" s="53" t="str">
        <f t="shared" si="68"/>
        <v>Coffee</v>
      </c>
      <c r="E592" s="4" t="s">
        <v>575</v>
      </c>
      <c r="F592" s="4" t="s">
        <v>252</v>
      </c>
      <c r="G592" s="4" t="str">
        <f t="shared" ref="G592:G655" si="72">IF(ISNUMBER(SEARCH("LONG",E592)),"Romper Longer",IF(ISNUMBER(SEARCH("SHORT",E592)),"Romper Short","Bodysuit"))</f>
        <v>Romper Longer</v>
      </c>
      <c r="H592" s="38">
        <f t="shared" si="67"/>
        <v>5</v>
      </c>
      <c r="I592" s="54">
        <f t="shared" si="66"/>
        <v>21</v>
      </c>
      <c r="J592" s="14" t="str">
        <f t="shared" si="69"/>
        <v>MothersDay</v>
      </c>
      <c r="K592" s="16" t="str">
        <f t="shared" si="71"/>
        <v>18-24</v>
      </c>
      <c r="L592" s="14" t="str">
        <f t="shared" si="70"/>
        <v>Romper Longer | 18-24 | Coffee</v>
      </c>
      <c r="M592" s="16" t="s">
        <v>3610</v>
      </c>
    </row>
    <row r="593" spans="1:13" ht="25" customHeight="1" x14ac:dyDescent="0.45">
      <c r="A593" s="6">
        <v>46164</v>
      </c>
      <c r="B593" s="3" t="s">
        <v>1140</v>
      </c>
      <c r="C593" s="4" t="s">
        <v>87</v>
      </c>
      <c r="D593" s="53" t="str">
        <f t="shared" si="68"/>
        <v>Cream</v>
      </c>
      <c r="E593" s="4" t="s">
        <v>555</v>
      </c>
      <c r="F593" s="4" t="s">
        <v>7</v>
      </c>
      <c r="G593" s="4" t="str">
        <f t="shared" si="72"/>
        <v>Romper Longer</v>
      </c>
      <c r="H593" s="38">
        <f t="shared" si="67"/>
        <v>5</v>
      </c>
      <c r="I593" s="54">
        <f t="shared" si="66"/>
        <v>21</v>
      </c>
      <c r="J593" s="14" t="str">
        <f t="shared" si="69"/>
        <v>MothersDay</v>
      </c>
      <c r="K593" s="16" t="str">
        <f t="shared" si="71"/>
        <v>3-6</v>
      </c>
      <c r="L593" s="14" t="str">
        <f t="shared" si="70"/>
        <v>Romper Longer | 3-6 | Cream</v>
      </c>
      <c r="M593" s="16" t="s">
        <v>3609</v>
      </c>
    </row>
    <row r="594" spans="1:13" ht="25" customHeight="1" x14ac:dyDescent="0.45">
      <c r="A594" s="6">
        <v>46164</v>
      </c>
      <c r="B594" s="3" t="s">
        <v>1141</v>
      </c>
      <c r="C594" s="4" t="s">
        <v>87</v>
      </c>
      <c r="D594" s="53" t="str">
        <f t="shared" si="68"/>
        <v>Cream</v>
      </c>
      <c r="E594" s="4" t="s">
        <v>485</v>
      </c>
      <c r="F594" s="4" t="s">
        <v>7</v>
      </c>
      <c r="G594" s="4" t="str">
        <f t="shared" si="72"/>
        <v>Romper Short</v>
      </c>
      <c r="H594" s="38">
        <f t="shared" si="67"/>
        <v>5</v>
      </c>
      <c r="I594" s="54">
        <f t="shared" si="66"/>
        <v>21</v>
      </c>
      <c r="J594" s="14" t="str">
        <f t="shared" si="69"/>
        <v>MothersDay</v>
      </c>
      <c r="K594" s="16" t="str">
        <f t="shared" si="71"/>
        <v>3-6</v>
      </c>
      <c r="L594" s="14" t="str">
        <f t="shared" si="70"/>
        <v>Romper Short | 3-6 | Cream</v>
      </c>
      <c r="M594" s="16" t="s">
        <v>3609</v>
      </c>
    </row>
    <row r="595" spans="1:13" ht="25" customHeight="1" x14ac:dyDescent="0.45">
      <c r="A595" s="6">
        <v>46164</v>
      </c>
      <c r="B595" s="3" t="s">
        <v>1142</v>
      </c>
      <c r="C595" s="4" t="s">
        <v>87</v>
      </c>
      <c r="D595" s="53" t="str">
        <f t="shared" si="68"/>
        <v>Cream</v>
      </c>
      <c r="E595" s="4" t="s">
        <v>490</v>
      </c>
      <c r="F595" s="4" t="s">
        <v>15</v>
      </c>
      <c r="G595" s="4" t="str">
        <f t="shared" si="72"/>
        <v>Romper Longer</v>
      </c>
      <c r="H595" s="38">
        <f t="shared" si="67"/>
        <v>5</v>
      </c>
      <c r="I595" s="54">
        <f t="shared" si="66"/>
        <v>21</v>
      </c>
      <c r="J595" s="14" t="str">
        <f t="shared" si="69"/>
        <v>MothersDay</v>
      </c>
      <c r="K595" s="16" t="str">
        <f t="shared" si="71"/>
        <v>0-3</v>
      </c>
      <c r="L595" s="14" t="str">
        <f t="shared" si="70"/>
        <v>Romper Longer | 0-3 | Cream</v>
      </c>
      <c r="M595" s="16" t="s">
        <v>3609</v>
      </c>
    </row>
    <row r="596" spans="1:13" ht="25" customHeight="1" x14ac:dyDescent="0.45">
      <c r="A596" s="6">
        <v>46164</v>
      </c>
      <c r="B596" s="3" t="s">
        <v>1143</v>
      </c>
      <c r="C596" s="4" t="s">
        <v>483</v>
      </c>
      <c r="D596" s="53" t="str">
        <f t="shared" si="68"/>
        <v>Forest Green</v>
      </c>
      <c r="E596" s="4" t="s">
        <v>555</v>
      </c>
      <c r="F596" s="4" t="s">
        <v>7</v>
      </c>
      <c r="G596" s="4" t="str">
        <f t="shared" si="72"/>
        <v>Romper Longer</v>
      </c>
      <c r="H596" s="38">
        <f t="shared" si="67"/>
        <v>5</v>
      </c>
      <c r="I596" s="54">
        <f t="shared" si="66"/>
        <v>21</v>
      </c>
      <c r="J596" s="14" t="str">
        <f t="shared" si="69"/>
        <v>MothersDay</v>
      </c>
      <c r="K596" s="16" t="str">
        <f t="shared" si="71"/>
        <v>3-6</v>
      </c>
      <c r="L596" s="14" t="str">
        <f t="shared" si="70"/>
        <v>Romper Longer | 3-6 | Forest Green</v>
      </c>
      <c r="M596" s="16" t="s">
        <v>3610</v>
      </c>
    </row>
    <row r="597" spans="1:13" ht="25" customHeight="1" x14ac:dyDescent="0.45">
      <c r="A597" s="6">
        <v>46164</v>
      </c>
      <c r="B597" s="3" t="s">
        <v>1144</v>
      </c>
      <c r="C597" s="4" t="s">
        <v>101</v>
      </c>
      <c r="D597" s="53" t="str">
        <f t="shared" si="68"/>
        <v>Sage Green</v>
      </c>
      <c r="E597" s="4" t="s">
        <v>555</v>
      </c>
      <c r="F597" s="4" t="s">
        <v>7</v>
      </c>
      <c r="G597" s="4" t="str">
        <f t="shared" si="72"/>
        <v>Romper Longer</v>
      </c>
      <c r="H597" s="38">
        <f t="shared" si="67"/>
        <v>5</v>
      </c>
      <c r="I597" s="54">
        <f t="shared" si="66"/>
        <v>21</v>
      </c>
      <c r="J597" s="14" t="str">
        <f t="shared" si="69"/>
        <v>MothersDay</v>
      </c>
      <c r="K597" s="16" t="str">
        <f t="shared" si="71"/>
        <v>3-6</v>
      </c>
      <c r="L597" s="14" t="str">
        <f t="shared" si="70"/>
        <v>Romper Longer | 3-6 | Sage Green</v>
      </c>
      <c r="M597" s="16" t="s">
        <v>3611</v>
      </c>
    </row>
    <row r="598" spans="1:13" ht="25" customHeight="1" x14ac:dyDescent="0.45">
      <c r="A598" s="6">
        <v>46165</v>
      </c>
      <c r="B598" s="3" t="s">
        <v>1145</v>
      </c>
      <c r="C598" s="4" t="s">
        <v>101</v>
      </c>
      <c r="D598" s="53" t="str">
        <f t="shared" si="68"/>
        <v>Sage Green</v>
      </c>
      <c r="E598" s="4" t="s">
        <v>475</v>
      </c>
      <c r="F598" s="4" t="s">
        <v>18</v>
      </c>
      <c r="G598" s="4" t="str">
        <f t="shared" si="72"/>
        <v>Romper Short</v>
      </c>
      <c r="H598" s="38">
        <f t="shared" si="67"/>
        <v>5</v>
      </c>
      <c r="I598" s="54">
        <f t="shared" si="66"/>
        <v>21</v>
      </c>
      <c r="J598" s="14" t="str">
        <f t="shared" si="69"/>
        <v>MothersDay</v>
      </c>
      <c r="K598" s="16" t="str">
        <f t="shared" si="71"/>
        <v>12-18</v>
      </c>
      <c r="L598" s="14" t="str">
        <f t="shared" si="70"/>
        <v>Romper Short | 12-18 | Sage Green</v>
      </c>
      <c r="M598" s="16" t="s">
        <v>3610</v>
      </c>
    </row>
    <row r="599" spans="1:13" ht="25" customHeight="1" x14ac:dyDescent="0.45">
      <c r="A599" s="6">
        <v>46165</v>
      </c>
      <c r="B599" s="3" t="s">
        <v>1146</v>
      </c>
      <c r="C599" s="4" t="s">
        <v>101</v>
      </c>
      <c r="D599" s="53" t="str">
        <f t="shared" si="68"/>
        <v>Sage Green</v>
      </c>
      <c r="E599" s="4" t="s">
        <v>490</v>
      </c>
      <c r="F599" s="4" t="s">
        <v>18</v>
      </c>
      <c r="G599" s="4" t="str">
        <f t="shared" si="72"/>
        <v>Romper Longer</v>
      </c>
      <c r="H599" s="38">
        <f t="shared" si="67"/>
        <v>5</v>
      </c>
      <c r="I599" s="54">
        <f t="shared" si="66"/>
        <v>21</v>
      </c>
      <c r="J599" s="14" t="str">
        <f t="shared" si="69"/>
        <v>MothersDay</v>
      </c>
      <c r="K599" s="16" t="str">
        <f t="shared" si="71"/>
        <v>0-3</v>
      </c>
      <c r="L599" s="14" t="str">
        <f t="shared" si="70"/>
        <v>Romper Longer | 0-3 | Sage Green</v>
      </c>
      <c r="M599" s="16" t="s">
        <v>3611</v>
      </c>
    </row>
    <row r="600" spans="1:13" ht="25" customHeight="1" x14ac:dyDescent="0.45">
      <c r="A600" s="6">
        <v>46165</v>
      </c>
      <c r="B600" s="3" t="s">
        <v>1147</v>
      </c>
      <c r="C600" s="4" t="s">
        <v>101</v>
      </c>
      <c r="D600" s="53" t="str">
        <f t="shared" si="68"/>
        <v>Sage Green</v>
      </c>
      <c r="E600" s="4" t="s">
        <v>479</v>
      </c>
      <c r="F600" s="4" t="s">
        <v>7</v>
      </c>
      <c r="G600" s="4" t="str">
        <f t="shared" si="72"/>
        <v>Romper Longer</v>
      </c>
      <c r="H600" s="38">
        <f t="shared" si="67"/>
        <v>5</v>
      </c>
      <c r="I600" s="54">
        <f t="shared" si="66"/>
        <v>21</v>
      </c>
      <c r="J600" s="14" t="str">
        <f t="shared" si="69"/>
        <v>MothersDay</v>
      </c>
      <c r="K600" s="16" t="str">
        <f t="shared" si="71"/>
        <v>6-12</v>
      </c>
      <c r="L600" s="14" t="str">
        <f t="shared" si="70"/>
        <v>Romper Longer | 6-12 | Sage Green</v>
      </c>
      <c r="M600" s="16" t="s">
        <v>3610</v>
      </c>
    </row>
    <row r="601" spans="1:13" ht="25" customHeight="1" x14ac:dyDescent="0.45">
      <c r="A601" s="6">
        <v>46165</v>
      </c>
      <c r="B601" s="3" t="s">
        <v>1148</v>
      </c>
      <c r="C601" s="4" t="s">
        <v>470</v>
      </c>
      <c r="D601" s="53" t="str">
        <f t="shared" si="68"/>
        <v>Caldet Blue</v>
      </c>
      <c r="E601" s="4" t="s">
        <v>475</v>
      </c>
      <c r="F601" s="4" t="s">
        <v>7</v>
      </c>
      <c r="G601" s="4" t="str">
        <f t="shared" si="72"/>
        <v>Romper Short</v>
      </c>
      <c r="H601" s="38">
        <f t="shared" si="67"/>
        <v>5</v>
      </c>
      <c r="I601" s="54">
        <f t="shared" si="66"/>
        <v>21</v>
      </c>
      <c r="J601" s="14" t="str">
        <f t="shared" si="69"/>
        <v>MothersDay</v>
      </c>
      <c r="K601" s="16" t="str">
        <f t="shared" si="71"/>
        <v>12-18</v>
      </c>
      <c r="L601" s="14" t="str">
        <f t="shared" si="70"/>
        <v>Romper Short | 12-18 | Caldet Blue</v>
      </c>
      <c r="M601" s="16" t="s">
        <v>3610</v>
      </c>
    </row>
    <row r="602" spans="1:13" ht="25" customHeight="1" x14ac:dyDescent="0.45">
      <c r="A602" s="6">
        <v>46165</v>
      </c>
      <c r="B602" s="3" t="s">
        <v>1149</v>
      </c>
      <c r="C602" s="4" t="s">
        <v>538</v>
      </c>
      <c r="D602" s="53" t="str">
        <f t="shared" si="68"/>
        <v xml:space="preserve"> Forest Green</v>
      </c>
      <c r="E602" s="4" t="s">
        <v>1150</v>
      </c>
      <c r="F602" s="4" t="s">
        <v>7</v>
      </c>
      <c r="G602" s="4" t="str">
        <f t="shared" si="72"/>
        <v>Romper Short</v>
      </c>
      <c r="H602" s="38">
        <f t="shared" si="67"/>
        <v>5</v>
      </c>
      <c r="I602" s="54">
        <f t="shared" si="66"/>
        <v>21</v>
      </c>
      <c r="J602" s="14" t="str">
        <f t="shared" si="69"/>
        <v>MothersDay</v>
      </c>
      <c r="K602" s="16" t="str">
        <f t="shared" si="71"/>
        <v>12-18</v>
      </c>
      <c r="L602" s="14" t="str">
        <f t="shared" si="70"/>
        <v>Romper Short | 12-18 | Forest Green</v>
      </c>
      <c r="M602" s="16" t="s">
        <v>3610</v>
      </c>
    </row>
    <row r="603" spans="1:13" ht="25" customHeight="1" x14ac:dyDescent="0.45">
      <c r="A603" s="6">
        <v>46165</v>
      </c>
      <c r="B603" s="3" t="s">
        <v>1151</v>
      </c>
      <c r="C603" s="4" t="s">
        <v>493</v>
      </c>
      <c r="D603" s="53" t="str">
        <f t="shared" si="68"/>
        <v>Texas Orange</v>
      </c>
      <c r="E603" s="4" t="s">
        <v>475</v>
      </c>
      <c r="F603" s="4" t="s">
        <v>7</v>
      </c>
      <c r="G603" s="4" t="str">
        <f t="shared" si="72"/>
        <v>Romper Short</v>
      </c>
      <c r="H603" s="38">
        <f t="shared" si="67"/>
        <v>5</v>
      </c>
      <c r="I603" s="54">
        <f t="shared" si="66"/>
        <v>21</v>
      </c>
      <c r="J603" s="14" t="str">
        <f t="shared" si="69"/>
        <v>MothersDay</v>
      </c>
      <c r="K603" s="16" t="str">
        <f t="shared" si="71"/>
        <v>12-18</v>
      </c>
      <c r="L603" s="14" t="str">
        <f t="shared" si="70"/>
        <v>Romper Short | 12-18 | Texas Orange</v>
      </c>
      <c r="M603" s="16" t="s">
        <v>3610</v>
      </c>
    </row>
    <row r="604" spans="1:13" ht="25" customHeight="1" x14ac:dyDescent="0.45">
      <c r="A604" s="6">
        <v>46165</v>
      </c>
      <c r="B604" s="3" t="s">
        <v>1152</v>
      </c>
      <c r="C604" s="4" t="s">
        <v>508</v>
      </c>
      <c r="D604" s="53" t="str">
        <f t="shared" si="68"/>
        <v>Dusty Pink</v>
      </c>
      <c r="E604" s="4" t="s">
        <v>479</v>
      </c>
      <c r="F604" s="4" t="s">
        <v>7</v>
      </c>
      <c r="G604" s="4" t="str">
        <f t="shared" si="72"/>
        <v>Romper Longer</v>
      </c>
      <c r="H604" s="38">
        <f t="shared" si="67"/>
        <v>5</v>
      </c>
      <c r="I604" s="54">
        <f t="shared" si="66"/>
        <v>21</v>
      </c>
      <c r="J604" s="14" t="str">
        <f t="shared" si="69"/>
        <v>MothersDay</v>
      </c>
      <c r="K604" s="16" t="str">
        <f t="shared" si="71"/>
        <v>6-12</v>
      </c>
      <c r="L604" s="14" t="str">
        <f t="shared" si="70"/>
        <v>Romper Longer | 6-12 | Dusty Pink</v>
      </c>
      <c r="M604" s="16" t="s">
        <v>3610</v>
      </c>
    </row>
    <row r="605" spans="1:13" ht="25" customHeight="1" x14ac:dyDescent="0.45">
      <c r="A605" s="6">
        <v>46165</v>
      </c>
      <c r="B605" s="3" t="s">
        <v>1153</v>
      </c>
      <c r="C605" s="4" t="s">
        <v>101</v>
      </c>
      <c r="D605" s="53" t="str">
        <f t="shared" si="68"/>
        <v>Sage Green</v>
      </c>
      <c r="E605" s="4" t="s">
        <v>555</v>
      </c>
      <c r="F605" s="4" t="s">
        <v>7</v>
      </c>
      <c r="G605" s="4" t="str">
        <f t="shared" si="72"/>
        <v>Romper Longer</v>
      </c>
      <c r="H605" s="38">
        <f t="shared" si="67"/>
        <v>5</v>
      </c>
      <c r="I605" s="54">
        <f t="shared" si="66"/>
        <v>21</v>
      </c>
      <c r="J605" s="14" t="str">
        <f t="shared" si="69"/>
        <v>MothersDay</v>
      </c>
      <c r="K605" s="16" t="str">
        <f t="shared" si="71"/>
        <v>3-6</v>
      </c>
      <c r="L605" s="14" t="str">
        <f t="shared" si="70"/>
        <v>Romper Longer | 3-6 | Sage Green</v>
      </c>
      <c r="M605" s="16" t="s">
        <v>3611</v>
      </c>
    </row>
    <row r="606" spans="1:13" ht="25" customHeight="1" x14ac:dyDescent="0.45">
      <c r="A606" s="6">
        <v>46166</v>
      </c>
      <c r="B606" s="3" t="s">
        <v>1154</v>
      </c>
      <c r="C606" s="4" t="s">
        <v>559</v>
      </c>
      <c r="D606" s="53" t="str">
        <f t="shared" si="68"/>
        <v xml:space="preserve"> Sage Green</v>
      </c>
      <c r="E606" s="4" t="s">
        <v>485</v>
      </c>
      <c r="F606" s="4" t="s">
        <v>7</v>
      </c>
      <c r="G606" s="4" t="str">
        <f t="shared" si="72"/>
        <v>Romper Short</v>
      </c>
      <c r="H606" s="38">
        <f t="shared" si="67"/>
        <v>5</v>
      </c>
      <c r="I606" s="54">
        <f t="shared" si="66"/>
        <v>22</v>
      </c>
      <c r="J606" s="14" t="str">
        <f t="shared" si="69"/>
        <v>MothersDay</v>
      </c>
      <c r="K606" s="16" t="str">
        <f t="shared" si="71"/>
        <v>3-6</v>
      </c>
      <c r="L606" s="14" t="str">
        <f t="shared" si="70"/>
        <v>Romper Short | 3-6 | Sage Green</v>
      </c>
      <c r="M606" s="16" t="s">
        <v>3611</v>
      </c>
    </row>
    <row r="607" spans="1:13" ht="25" customHeight="1" x14ac:dyDescent="0.45">
      <c r="A607" s="6">
        <v>46166</v>
      </c>
      <c r="B607" s="3" t="s">
        <v>1155</v>
      </c>
      <c r="C607" s="4" t="s">
        <v>473</v>
      </c>
      <c r="D607" s="53" t="str">
        <f t="shared" si="68"/>
        <v>Salmon</v>
      </c>
      <c r="E607" s="4" t="s">
        <v>485</v>
      </c>
      <c r="F607" s="4" t="s">
        <v>19</v>
      </c>
      <c r="G607" s="4" t="str">
        <f t="shared" si="72"/>
        <v>Romper Short</v>
      </c>
      <c r="H607" s="38">
        <f t="shared" si="67"/>
        <v>5</v>
      </c>
      <c r="I607" s="54">
        <f t="shared" si="66"/>
        <v>22</v>
      </c>
      <c r="J607" s="14" t="str">
        <f t="shared" si="69"/>
        <v>MothersDay</v>
      </c>
      <c r="K607" s="16" t="str">
        <f t="shared" si="71"/>
        <v>3-6</v>
      </c>
      <c r="L607" s="14" t="str">
        <f t="shared" si="70"/>
        <v>Romper Short | 3-6 | Salmon</v>
      </c>
      <c r="M607" s="16" t="s">
        <v>3610</v>
      </c>
    </row>
    <row r="608" spans="1:13" ht="25" customHeight="1" x14ac:dyDescent="0.45">
      <c r="A608" s="6">
        <v>46166</v>
      </c>
      <c r="B608" s="3" t="s">
        <v>1156</v>
      </c>
      <c r="C608" s="4" t="s">
        <v>184</v>
      </c>
      <c r="D608" s="53" t="str">
        <f t="shared" si="68"/>
        <v>Coffee</v>
      </c>
      <c r="E608" s="4" t="s">
        <v>490</v>
      </c>
      <c r="F608" s="4" t="s">
        <v>7</v>
      </c>
      <c r="G608" s="4" t="str">
        <f t="shared" si="72"/>
        <v>Romper Longer</v>
      </c>
      <c r="H608" s="38">
        <f t="shared" si="67"/>
        <v>5</v>
      </c>
      <c r="I608" s="54">
        <f t="shared" si="66"/>
        <v>22</v>
      </c>
      <c r="J608" s="14" t="str">
        <f t="shared" si="69"/>
        <v>MothersDay</v>
      </c>
      <c r="K608" s="16" t="str">
        <f t="shared" si="71"/>
        <v>0-3</v>
      </c>
      <c r="L608" s="14" t="str">
        <f t="shared" si="70"/>
        <v>Romper Longer | 0-3 | Coffee</v>
      </c>
      <c r="M608" s="16" t="s">
        <v>3610</v>
      </c>
    </row>
    <row r="609" spans="1:13" ht="25" customHeight="1" x14ac:dyDescent="0.45">
      <c r="A609" s="6">
        <v>46167</v>
      </c>
      <c r="B609" s="3" t="s">
        <v>1157</v>
      </c>
      <c r="C609" s="4" t="s">
        <v>114</v>
      </c>
      <c r="D609" s="53" t="str">
        <f t="shared" si="68"/>
        <v>White</v>
      </c>
      <c r="E609" s="4" t="s">
        <v>485</v>
      </c>
      <c r="F609" s="4" t="s">
        <v>7</v>
      </c>
      <c r="G609" s="4" t="str">
        <f t="shared" si="72"/>
        <v>Romper Short</v>
      </c>
      <c r="H609" s="38">
        <f t="shared" si="67"/>
        <v>5</v>
      </c>
      <c r="I609" s="54">
        <f t="shared" si="66"/>
        <v>22</v>
      </c>
      <c r="J609" s="14" t="str">
        <f t="shared" si="69"/>
        <v>MothersDay</v>
      </c>
      <c r="K609" s="16" t="str">
        <f t="shared" si="71"/>
        <v>3-6</v>
      </c>
      <c r="L609" s="14" t="str">
        <f t="shared" si="70"/>
        <v>Romper Short | 3-6 | White</v>
      </c>
      <c r="M609" s="16" t="s">
        <v>3610</v>
      </c>
    </row>
    <row r="610" spans="1:13" ht="25" customHeight="1" x14ac:dyDescent="0.45">
      <c r="A610" s="6">
        <v>46167</v>
      </c>
      <c r="B610" s="3" t="s">
        <v>1158</v>
      </c>
      <c r="C610" s="4" t="s">
        <v>87</v>
      </c>
      <c r="D610" s="53" t="str">
        <f t="shared" si="68"/>
        <v>Cream</v>
      </c>
      <c r="E610" s="4" t="s">
        <v>580</v>
      </c>
      <c r="F610" s="4" t="s">
        <v>7</v>
      </c>
      <c r="G610" s="4" t="str">
        <f t="shared" si="72"/>
        <v>Romper Short</v>
      </c>
      <c r="H610" s="38">
        <f t="shared" si="67"/>
        <v>5</v>
      </c>
      <c r="I610" s="54">
        <f t="shared" si="66"/>
        <v>22</v>
      </c>
      <c r="J610" s="14" t="str">
        <f t="shared" si="69"/>
        <v>MothersDay</v>
      </c>
      <c r="K610" s="16" t="str">
        <f t="shared" si="71"/>
        <v>0-3</v>
      </c>
      <c r="L610" s="14" t="str">
        <f t="shared" si="70"/>
        <v>Romper Short | 0-3 | Cream</v>
      </c>
      <c r="M610" s="16" t="s">
        <v>3609</v>
      </c>
    </row>
    <row r="611" spans="1:13" ht="25" customHeight="1" x14ac:dyDescent="0.45">
      <c r="A611" s="6">
        <v>46167</v>
      </c>
      <c r="B611" s="3" t="s">
        <v>1159</v>
      </c>
      <c r="C611" s="4" t="s">
        <v>101</v>
      </c>
      <c r="D611" s="53" t="str">
        <f t="shared" si="68"/>
        <v>Sage Green</v>
      </c>
      <c r="E611" s="4" t="s">
        <v>490</v>
      </c>
      <c r="F611" s="4" t="s">
        <v>18</v>
      </c>
      <c r="G611" s="4" t="str">
        <f t="shared" si="72"/>
        <v>Romper Longer</v>
      </c>
      <c r="H611" s="38">
        <f t="shared" si="67"/>
        <v>5</v>
      </c>
      <c r="I611" s="54">
        <f t="shared" si="66"/>
        <v>22</v>
      </c>
      <c r="J611" s="14" t="str">
        <f t="shared" si="69"/>
        <v>MothersDay</v>
      </c>
      <c r="K611" s="16" t="str">
        <f t="shared" si="71"/>
        <v>0-3</v>
      </c>
      <c r="L611" s="14" t="str">
        <f t="shared" si="70"/>
        <v>Romper Longer | 0-3 | Sage Green</v>
      </c>
      <c r="M611" s="16" t="s">
        <v>3611</v>
      </c>
    </row>
    <row r="612" spans="1:13" ht="25" customHeight="1" x14ac:dyDescent="0.45">
      <c r="A612" s="6">
        <v>46167</v>
      </c>
      <c r="B612" s="3" t="s">
        <v>1159</v>
      </c>
      <c r="C612" s="4" t="s">
        <v>470</v>
      </c>
      <c r="D612" s="53" t="str">
        <f t="shared" si="68"/>
        <v>Caldet Blue</v>
      </c>
      <c r="E612" s="4" t="s">
        <v>490</v>
      </c>
      <c r="F612" s="4" t="s">
        <v>18</v>
      </c>
      <c r="G612" s="4" t="str">
        <f t="shared" si="72"/>
        <v>Romper Longer</v>
      </c>
      <c r="H612" s="38">
        <f t="shared" si="67"/>
        <v>5</v>
      </c>
      <c r="I612" s="54">
        <f t="shared" si="66"/>
        <v>22</v>
      </c>
      <c r="J612" s="14" t="str">
        <f t="shared" si="69"/>
        <v>MothersDay</v>
      </c>
      <c r="K612" s="16" t="str">
        <f t="shared" si="71"/>
        <v>0-3</v>
      </c>
      <c r="L612" s="14" t="str">
        <f t="shared" si="70"/>
        <v>Romper Longer | 0-3 | Caldet Blue</v>
      </c>
      <c r="M612" s="16" t="s">
        <v>3610</v>
      </c>
    </row>
    <row r="613" spans="1:13" ht="25" customHeight="1" x14ac:dyDescent="0.45">
      <c r="A613" s="6">
        <v>46167</v>
      </c>
      <c r="B613" s="3" t="s">
        <v>1160</v>
      </c>
      <c r="C613" s="4" t="s">
        <v>528</v>
      </c>
      <c r="D613" s="53" t="str">
        <f t="shared" si="68"/>
        <v>Watermelon</v>
      </c>
      <c r="E613" s="4" t="s">
        <v>580</v>
      </c>
      <c r="F613" s="4" t="s">
        <v>19</v>
      </c>
      <c r="G613" s="4" t="str">
        <f t="shared" si="72"/>
        <v>Romper Short</v>
      </c>
      <c r="H613" s="38">
        <f t="shared" si="67"/>
        <v>5</v>
      </c>
      <c r="I613" s="54">
        <f t="shared" si="66"/>
        <v>22</v>
      </c>
      <c r="J613" s="14" t="str">
        <f t="shared" si="69"/>
        <v>MothersDay</v>
      </c>
      <c r="K613" s="16" t="str">
        <f t="shared" si="71"/>
        <v>0-3</v>
      </c>
      <c r="L613" s="14" t="str">
        <f t="shared" si="70"/>
        <v>Romper Short | 0-3 | Watermelon</v>
      </c>
      <c r="M613" s="16" t="s">
        <v>3610</v>
      </c>
    </row>
    <row r="614" spans="1:13" ht="25" customHeight="1" x14ac:dyDescent="0.45">
      <c r="A614" s="6">
        <v>46167</v>
      </c>
      <c r="B614" s="3" t="s">
        <v>1161</v>
      </c>
      <c r="C614" s="4" t="s">
        <v>114</v>
      </c>
      <c r="D614" s="53" t="str">
        <f t="shared" si="68"/>
        <v>White</v>
      </c>
      <c r="E614" s="4" t="s">
        <v>580</v>
      </c>
      <c r="F614" s="4" t="s">
        <v>7</v>
      </c>
      <c r="G614" s="4" t="str">
        <f t="shared" si="72"/>
        <v>Romper Short</v>
      </c>
      <c r="H614" s="38">
        <f t="shared" si="67"/>
        <v>5</v>
      </c>
      <c r="I614" s="54">
        <f t="shared" si="66"/>
        <v>22</v>
      </c>
      <c r="J614" s="14" t="str">
        <f t="shared" si="69"/>
        <v>MothersDay</v>
      </c>
      <c r="K614" s="16" t="str">
        <f t="shared" si="71"/>
        <v>0-3</v>
      </c>
      <c r="L614" s="14" t="str">
        <f t="shared" si="70"/>
        <v>Romper Short | 0-3 | White</v>
      </c>
      <c r="M614" s="16" t="s">
        <v>3610</v>
      </c>
    </row>
    <row r="615" spans="1:13" ht="25" customHeight="1" x14ac:dyDescent="0.45">
      <c r="A615" s="6">
        <v>46168</v>
      </c>
      <c r="B615" s="3" t="s">
        <v>1162</v>
      </c>
      <c r="C615" s="4" t="s">
        <v>87</v>
      </c>
      <c r="D615" s="53" t="str">
        <f t="shared" si="68"/>
        <v>Cream</v>
      </c>
      <c r="E615" s="4" t="s">
        <v>485</v>
      </c>
      <c r="F615" s="4" t="s">
        <v>13</v>
      </c>
      <c r="G615" s="4" t="str">
        <f t="shared" si="72"/>
        <v>Romper Short</v>
      </c>
      <c r="H615" s="38">
        <f t="shared" si="67"/>
        <v>5</v>
      </c>
      <c r="I615" s="54">
        <f t="shared" si="66"/>
        <v>22</v>
      </c>
      <c r="J615" s="14" t="str">
        <f t="shared" si="69"/>
        <v>MothersDay</v>
      </c>
      <c r="K615" s="16" t="str">
        <f t="shared" si="71"/>
        <v>3-6</v>
      </c>
      <c r="L615" s="14" t="str">
        <f t="shared" si="70"/>
        <v>Romper Short | 3-6 | Cream</v>
      </c>
      <c r="M615" s="16" t="s">
        <v>3609</v>
      </c>
    </row>
    <row r="616" spans="1:13" ht="25" customHeight="1" x14ac:dyDescent="0.45">
      <c r="A616" s="6">
        <v>46168</v>
      </c>
      <c r="B616" s="3" t="s">
        <v>1156</v>
      </c>
      <c r="C616" s="4" t="s">
        <v>101</v>
      </c>
      <c r="D616" s="53" t="str">
        <f t="shared" si="68"/>
        <v>Sage Green</v>
      </c>
      <c r="E616" s="4" t="s">
        <v>485</v>
      </c>
      <c r="F616" s="4" t="s">
        <v>7</v>
      </c>
      <c r="G616" s="4" t="str">
        <f t="shared" si="72"/>
        <v>Romper Short</v>
      </c>
      <c r="H616" s="38">
        <f t="shared" si="67"/>
        <v>5</v>
      </c>
      <c r="I616" s="54">
        <f t="shared" si="66"/>
        <v>22</v>
      </c>
      <c r="J616" s="14" t="str">
        <f t="shared" si="69"/>
        <v>MothersDay</v>
      </c>
      <c r="K616" s="16" t="str">
        <f t="shared" si="71"/>
        <v>3-6</v>
      </c>
      <c r="L616" s="14" t="str">
        <f t="shared" si="70"/>
        <v>Romper Short | 3-6 | Sage Green</v>
      </c>
      <c r="M616" s="16" t="s">
        <v>3611</v>
      </c>
    </row>
    <row r="617" spans="1:13" ht="25" customHeight="1" x14ac:dyDescent="0.45">
      <c r="A617" s="6">
        <v>46168</v>
      </c>
      <c r="B617" s="3" t="s">
        <v>1163</v>
      </c>
      <c r="C617" s="4" t="s">
        <v>470</v>
      </c>
      <c r="D617" s="53" t="str">
        <f t="shared" si="68"/>
        <v>Caldet Blue</v>
      </c>
      <c r="E617" s="4" t="s">
        <v>589</v>
      </c>
      <c r="F617" s="4" t="s">
        <v>11</v>
      </c>
      <c r="G617" s="4" t="str">
        <f t="shared" si="72"/>
        <v>Romper Short</v>
      </c>
      <c r="H617" s="38">
        <f t="shared" si="67"/>
        <v>5</v>
      </c>
      <c r="I617" s="54">
        <f t="shared" si="66"/>
        <v>22</v>
      </c>
      <c r="J617" s="14" t="str">
        <f t="shared" si="69"/>
        <v>MothersDay</v>
      </c>
      <c r="K617" s="16" t="str">
        <f t="shared" si="71"/>
        <v>6-12</v>
      </c>
      <c r="L617" s="14" t="str">
        <f t="shared" si="70"/>
        <v>Romper Short | 6-12 | Caldet Blue</v>
      </c>
      <c r="M617" s="16" t="s">
        <v>3610</v>
      </c>
    </row>
    <row r="618" spans="1:13" ht="25" customHeight="1" x14ac:dyDescent="0.45">
      <c r="A618" s="6">
        <v>46168</v>
      </c>
      <c r="B618" s="3" t="s">
        <v>1164</v>
      </c>
      <c r="C618" s="4" t="s">
        <v>114</v>
      </c>
      <c r="D618" s="53" t="str">
        <f t="shared" si="68"/>
        <v>White</v>
      </c>
      <c r="E618" s="4" t="s">
        <v>490</v>
      </c>
      <c r="F618" s="4" t="s">
        <v>7</v>
      </c>
      <c r="G618" s="4" t="str">
        <f t="shared" si="72"/>
        <v>Romper Longer</v>
      </c>
      <c r="H618" s="38">
        <f t="shared" si="67"/>
        <v>5</v>
      </c>
      <c r="I618" s="54">
        <f t="shared" ref="I618:I681" si="73">WEEKNUM(A618)</f>
        <v>22</v>
      </c>
      <c r="J618" s="14" t="str">
        <f t="shared" si="69"/>
        <v>MothersDay</v>
      </c>
      <c r="K618" s="16" t="str">
        <f t="shared" si="71"/>
        <v>0-3</v>
      </c>
      <c r="L618" s="14" t="str">
        <f t="shared" si="70"/>
        <v>Romper Longer | 0-3 | White</v>
      </c>
      <c r="M618" s="16" t="s">
        <v>3610</v>
      </c>
    </row>
    <row r="619" spans="1:13" ht="25" customHeight="1" x14ac:dyDescent="0.45">
      <c r="A619" s="6">
        <v>46168</v>
      </c>
      <c r="B619" s="3" t="s">
        <v>1165</v>
      </c>
      <c r="C619" s="4" t="s">
        <v>184</v>
      </c>
      <c r="D619" s="53" t="str">
        <f t="shared" si="68"/>
        <v>Coffee</v>
      </c>
      <c r="E619" s="4" t="s">
        <v>485</v>
      </c>
      <c r="F619" s="4" t="s">
        <v>7</v>
      </c>
      <c r="G619" s="4" t="str">
        <f t="shared" si="72"/>
        <v>Romper Short</v>
      </c>
      <c r="H619" s="38">
        <f t="shared" si="67"/>
        <v>5</v>
      </c>
      <c r="I619" s="54">
        <f t="shared" si="73"/>
        <v>22</v>
      </c>
      <c r="J619" s="14" t="str">
        <f t="shared" si="69"/>
        <v>MothersDay</v>
      </c>
      <c r="K619" s="16" t="str">
        <f t="shared" si="71"/>
        <v>3-6</v>
      </c>
      <c r="L619" s="14" t="str">
        <f t="shared" si="70"/>
        <v>Romper Short | 3-6 | Coffee</v>
      </c>
      <c r="M619" s="16" t="s">
        <v>3610</v>
      </c>
    </row>
    <row r="620" spans="1:13" ht="25" customHeight="1" x14ac:dyDescent="0.45">
      <c r="A620" s="6">
        <v>46168</v>
      </c>
      <c r="B620" s="3" t="s">
        <v>1166</v>
      </c>
      <c r="C620" s="4" t="s">
        <v>101</v>
      </c>
      <c r="D620" s="53" t="str">
        <f t="shared" si="68"/>
        <v>Sage Green</v>
      </c>
      <c r="E620" s="4" t="s">
        <v>596</v>
      </c>
      <c r="F620" s="4" t="s">
        <v>11</v>
      </c>
      <c r="G620" s="4" t="str">
        <f t="shared" si="72"/>
        <v>Romper Longer</v>
      </c>
      <c r="H620" s="38">
        <f t="shared" si="67"/>
        <v>5</v>
      </c>
      <c r="I620" s="54">
        <f t="shared" si="73"/>
        <v>22</v>
      </c>
      <c r="J620" s="14" t="str">
        <f t="shared" si="69"/>
        <v>MothersDay</v>
      </c>
      <c r="K620" s="16" t="str">
        <f t="shared" si="71"/>
        <v>12-18</v>
      </c>
      <c r="L620" s="14" t="str">
        <f t="shared" si="70"/>
        <v>Romper Longer | 12-18 | Sage Green</v>
      </c>
      <c r="M620" s="16" t="s">
        <v>3610</v>
      </c>
    </row>
    <row r="621" spans="1:13" ht="25" customHeight="1" x14ac:dyDescent="0.45">
      <c r="A621" s="6">
        <v>46169</v>
      </c>
      <c r="B621" s="3" t="s">
        <v>1167</v>
      </c>
      <c r="C621" s="4" t="s">
        <v>87</v>
      </c>
      <c r="D621" s="53" t="str">
        <f t="shared" si="68"/>
        <v>Cream</v>
      </c>
      <c r="E621" s="4" t="s">
        <v>485</v>
      </c>
      <c r="F621" s="4" t="s">
        <v>7</v>
      </c>
      <c r="G621" s="4" t="str">
        <f t="shared" si="72"/>
        <v>Romper Short</v>
      </c>
      <c r="H621" s="38">
        <f t="shared" si="67"/>
        <v>5</v>
      </c>
      <c r="I621" s="54">
        <f t="shared" si="73"/>
        <v>22</v>
      </c>
      <c r="J621" s="14" t="str">
        <f t="shared" si="69"/>
        <v>MothersDay</v>
      </c>
      <c r="K621" s="16" t="str">
        <f t="shared" si="71"/>
        <v>3-6</v>
      </c>
      <c r="L621" s="14" t="str">
        <f t="shared" si="70"/>
        <v>Romper Short | 3-6 | Cream</v>
      </c>
      <c r="M621" s="16" t="s">
        <v>3609</v>
      </c>
    </row>
    <row r="622" spans="1:13" ht="25" customHeight="1" x14ac:dyDescent="0.45">
      <c r="A622" s="6">
        <v>46169</v>
      </c>
      <c r="B622" s="3" t="s">
        <v>1168</v>
      </c>
      <c r="C622" s="4" t="s">
        <v>184</v>
      </c>
      <c r="D622" s="53" t="str">
        <f t="shared" si="68"/>
        <v>Coffee</v>
      </c>
      <c r="E622" s="4" t="s">
        <v>589</v>
      </c>
      <c r="F622" s="4" t="s">
        <v>7</v>
      </c>
      <c r="G622" s="4" t="str">
        <f t="shared" si="72"/>
        <v>Romper Short</v>
      </c>
      <c r="H622" s="38">
        <f t="shared" si="67"/>
        <v>5</v>
      </c>
      <c r="I622" s="54">
        <f t="shared" si="73"/>
        <v>22</v>
      </c>
      <c r="J622" s="14" t="str">
        <f t="shared" si="69"/>
        <v>MothersDay</v>
      </c>
      <c r="K622" s="16" t="str">
        <f t="shared" si="71"/>
        <v>6-12</v>
      </c>
      <c r="L622" s="14" t="str">
        <f t="shared" si="70"/>
        <v>Romper Short | 6-12 | Coffee</v>
      </c>
      <c r="M622" s="16" t="s">
        <v>3610</v>
      </c>
    </row>
    <row r="623" spans="1:13" ht="25" customHeight="1" x14ac:dyDescent="0.45">
      <c r="A623" s="6">
        <v>46169</v>
      </c>
      <c r="B623" s="3" t="s">
        <v>1169</v>
      </c>
      <c r="C623" s="4" t="s">
        <v>87</v>
      </c>
      <c r="D623" s="53" t="str">
        <f t="shared" si="68"/>
        <v>Cream</v>
      </c>
      <c r="E623" s="4" t="s">
        <v>589</v>
      </c>
      <c r="F623" s="4" t="s">
        <v>7</v>
      </c>
      <c r="G623" s="4" t="str">
        <f t="shared" si="72"/>
        <v>Romper Short</v>
      </c>
      <c r="H623" s="38">
        <f t="shared" si="67"/>
        <v>5</v>
      </c>
      <c r="I623" s="54">
        <f t="shared" si="73"/>
        <v>22</v>
      </c>
      <c r="J623" s="14" t="str">
        <f t="shared" si="69"/>
        <v>MothersDay</v>
      </c>
      <c r="K623" s="16" t="str">
        <f t="shared" si="71"/>
        <v>6-12</v>
      </c>
      <c r="L623" s="14" t="str">
        <f t="shared" si="70"/>
        <v>Romper Short | 6-12 | Cream</v>
      </c>
      <c r="M623" s="16" t="s">
        <v>3611</v>
      </c>
    </row>
    <row r="624" spans="1:13" ht="25" customHeight="1" x14ac:dyDescent="0.45">
      <c r="A624" s="6">
        <v>46169</v>
      </c>
      <c r="B624" s="3" t="s">
        <v>1170</v>
      </c>
      <c r="C624" s="4" t="s">
        <v>87</v>
      </c>
      <c r="D624" s="53" t="str">
        <f t="shared" si="68"/>
        <v>Cream</v>
      </c>
      <c r="E624" s="4" t="s">
        <v>555</v>
      </c>
      <c r="F624" s="4" t="s">
        <v>7</v>
      </c>
      <c r="G624" s="4" t="str">
        <f t="shared" si="72"/>
        <v>Romper Longer</v>
      </c>
      <c r="H624" s="38">
        <f t="shared" si="67"/>
        <v>5</v>
      </c>
      <c r="I624" s="54">
        <f t="shared" si="73"/>
        <v>22</v>
      </c>
      <c r="J624" s="14" t="str">
        <f t="shared" si="69"/>
        <v>MothersDay</v>
      </c>
      <c r="K624" s="16" t="str">
        <f t="shared" si="71"/>
        <v>3-6</v>
      </c>
      <c r="L624" s="14" t="str">
        <f t="shared" si="70"/>
        <v>Romper Longer | 3-6 | Cream</v>
      </c>
      <c r="M624" s="16" t="s">
        <v>3609</v>
      </c>
    </row>
    <row r="625" spans="1:13" ht="25" customHeight="1" x14ac:dyDescent="0.45">
      <c r="A625" s="6">
        <v>46169</v>
      </c>
      <c r="B625" s="3" t="s">
        <v>1171</v>
      </c>
      <c r="C625" s="4" t="s">
        <v>101</v>
      </c>
      <c r="D625" s="53" t="str">
        <f t="shared" si="68"/>
        <v>Sage Green</v>
      </c>
      <c r="E625" s="4" t="s">
        <v>555</v>
      </c>
      <c r="F625" s="4" t="s">
        <v>19</v>
      </c>
      <c r="G625" s="4" t="str">
        <f t="shared" si="72"/>
        <v>Romper Longer</v>
      </c>
      <c r="H625" s="38">
        <f t="shared" si="67"/>
        <v>5</v>
      </c>
      <c r="I625" s="54">
        <f t="shared" si="73"/>
        <v>22</v>
      </c>
      <c r="J625" s="14" t="str">
        <f t="shared" si="69"/>
        <v>MothersDay</v>
      </c>
      <c r="K625" s="16" t="str">
        <f t="shared" si="71"/>
        <v>3-6</v>
      </c>
      <c r="L625" s="14" t="str">
        <f t="shared" si="70"/>
        <v>Romper Longer | 3-6 | Sage Green</v>
      </c>
      <c r="M625" s="16" t="s">
        <v>3611</v>
      </c>
    </row>
    <row r="626" spans="1:13" ht="25" customHeight="1" x14ac:dyDescent="0.45">
      <c r="A626" s="6">
        <v>46170</v>
      </c>
      <c r="B626" s="3" t="s">
        <v>1172</v>
      </c>
      <c r="C626" s="4" t="s">
        <v>101</v>
      </c>
      <c r="D626" s="53" t="str">
        <f t="shared" si="68"/>
        <v>Sage Green</v>
      </c>
      <c r="E626" s="4" t="s">
        <v>479</v>
      </c>
      <c r="F626" s="4" t="s">
        <v>7</v>
      </c>
      <c r="G626" s="4" t="str">
        <f t="shared" si="72"/>
        <v>Romper Longer</v>
      </c>
      <c r="H626" s="38">
        <f t="shared" si="67"/>
        <v>5</v>
      </c>
      <c r="I626" s="54">
        <f t="shared" si="73"/>
        <v>22</v>
      </c>
      <c r="J626" s="14" t="str">
        <f t="shared" si="69"/>
        <v>MothersDay</v>
      </c>
      <c r="K626" s="16" t="str">
        <f t="shared" si="71"/>
        <v>6-12</v>
      </c>
      <c r="L626" s="14" t="str">
        <f t="shared" si="70"/>
        <v>Romper Longer | 6-12 | Sage Green</v>
      </c>
      <c r="M626" s="16" t="s">
        <v>3610</v>
      </c>
    </row>
    <row r="627" spans="1:13" ht="25" customHeight="1" x14ac:dyDescent="0.45">
      <c r="A627" s="6">
        <v>46170</v>
      </c>
      <c r="B627" s="3" t="s">
        <v>1173</v>
      </c>
      <c r="C627" s="4" t="s">
        <v>101</v>
      </c>
      <c r="D627" s="53" t="str">
        <f t="shared" si="68"/>
        <v>Sage Green</v>
      </c>
      <c r="E627" s="4" t="s">
        <v>555</v>
      </c>
      <c r="F627" s="4" t="s">
        <v>69</v>
      </c>
      <c r="G627" s="4" t="str">
        <f t="shared" si="72"/>
        <v>Romper Longer</v>
      </c>
      <c r="H627" s="38">
        <f t="shared" si="67"/>
        <v>5</v>
      </c>
      <c r="I627" s="54">
        <f t="shared" si="73"/>
        <v>22</v>
      </c>
      <c r="J627" s="14" t="str">
        <f t="shared" si="69"/>
        <v>MothersDay</v>
      </c>
      <c r="K627" s="16" t="str">
        <f t="shared" si="71"/>
        <v>3-6</v>
      </c>
      <c r="L627" s="14" t="str">
        <f t="shared" si="70"/>
        <v>Romper Longer | 3-6 | Sage Green</v>
      </c>
      <c r="M627" s="16" t="s">
        <v>3611</v>
      </c>
    </row>
    <row r="628" spans="1:13" ht="25" customHeight="1" x14ac:dyDescent="0.45">
      <c r="A628" s="6">
        <v>46170</v>
      </c>
      <c r="B628" s="3" t="s">
        <v>1174</v>
      </c>
      <c r="C628" s="4" t="s">
        <v>470</v>
      </c>
      <c r="D628" s="53" t="str">
        <f t="shared" si="68"/>
        <v>Caldet Blue</v>
      </c>
      <c r="E628" s="4" t="s">
        <v>589</v>
      </c>
      <c r="F628" s="4" t="s">
        <v>13</v>
      </c>
      <c r="G628" s="4" t="str">
        <f t="shared" si="72"/>
        <v>Romper Short</v>
      </c>
      <c r="H628" s="38">
        <f t="shared" si="67"/>
        <v>5</v>
      </c>
      <c r="I628" s="54">
        <f t="shared" si="73"/>
        <v>22</v>
      </c>
      <c r="J628" s="14" t="str">
        <f t="shared" si="69"/>
        <v>MothersDay</v>
      </c>
      <c r="K628" s="16" t="str">
        <f t="shared" si="71"/>
        <v>6-12</v>
      </c>
      <c r="L628" s="14" t="str">
        <f t="shared" si="70"/>
        <v>Romper Short | 6-12 | Caldet Blue</v>
      </c>
      <c r="M628" s="16" t="s">
        <v>3610</v>
      </c>
    </row>
    <row r="629" spans="1:13" ht="25" customHeight="1" x14ac:dyDescent="0.45">
      <c r="A629" s="6">
        <v>46170</v>
      </c>
      <c r="B629" s="3" t="s">
        <v>1175</v>
      </c>
      <c r="C629" s="4" t="s">
        <v>470</v>
      </c>
      <c r="D629" s="53" t="str">
        <f t="shared" si="68"/>
        <v>Caldet Blue</v>
      </c>
      <c r="E629" s="4" t="s">
        <v>475</v>
      </c>
      <c r="F629" s="4" t="s">
        <v>7</v>
      </c>
      <c r="G629" s="4" t="str">
        <f t="shared" si="72"/>
        <v>Romper Short</v>
      </c>
      <c r="H629" s="38">
        <f t="shared" si="67"/>
        <v>5</v>
      </c>
      <c r="I629" s="54">
        <f t="shared" si="73"/>
        <v>22</v>
      </c>
      <c r="J629" s="14" t="str">
        <f t="shared" si="69"/>
        <v>MothersDay</v>
      </c>
      <c r="K629" s="16" t="str">
        <f t="shared" si="71"/>
        <v>12-18</v>
      </c>
      <c r="L629" s="14" t="str">
        <f t="shared" si="70"/>
        <v>Romper Short | 12-18 | Caldet Blue</v>
      </c>
      <c r="M629" s="16" t="s">
        <v>3610</v>
      </c>
    </row>
    <row r="630" spans="1:13" ht="25" customHeight="1" x14ac:dyDescent="0.45">
      <c r="A630" s="6">
        <v>46170</v>
      </c>
      <c r="B630" s="3" t="s">
        <v>1176</v>
      </c>
      <c r="C630" s="4" t="s">
        <v>101</v>
      </c>
      <c r="D630" s="53" t="str">
        <f t="shared" si="68"/>
        <v>Sage Green</v>
      </c>
      <c r="E630" s="4" t="s">
        <v>490</v>
      </c>
      <c r="F630" s="4" t="s">
        <v>7</v>
      </c>
      <c r="G630" s="4" t="str">
        <f t="shared" si="72"/>
        <v>Romper Longer</v>
      </c>
      <c r="H630" s="38">
        <f t="shared" si="67"/>
        <v>5</v>
      </c>
      <c r="I630" s="54">
        <f t="shared" si="73"/>
        <v>22</v>
      </c>
      <c r="J630" s="14" t="str">
        <f t="shared" si="69"/>
        <v>MothersDay</v>
      </c>
      <c r="K630" s="16" t="str">
        <f t="shared" si="71"/>
        <v>0-3</v>
      </c>
      <c r="L630" s="14" t="str">
        <f t="shared" si="70"/>
        <v>Romper Longer | 0-3 | Sage Green</v>
      </c>
      <c r="M630" s="16" t="s">
        <v>3611</v>
      </c>
    </row>
    <row r="631" spans="1:13" ht="25" customHeight="1" x14ac:dyDescent="0.45">
      <c r="A631" s="6">
        <v>46170</v>
      </c>
      <c r="B631" s="3" t="s">
        <v>1177</v>
      </c>
      <c r="C631" s="4" t="s">
        <v>483</v>
      </c>
      <c r="D631" s="53" t="str">
        <f t="shared" si="68"/>
        <v>Forest Green</v>
      </c>
      <c r="E631" s="4" t="s">
        <v>485</v>
      </c>
      <c r="F631" s="4" t="s">
        <v>14</v>
      </c>
      <c r="G631" s="4" t="str">
        <f t="shared" si="72"/>
        <v>Romper Short</v>
      </c>
      <c r="H631" s="38">
        <f t="shared" si="67"/>
        <v>5</v>
      </c>
      <c r="I631" s="54">
        <f t="shared" si="73"/>
        <v>22</v>
      </c>
      <c r="J631" s="14" t="str">
        <f t="shared" si="69"/>
        <v>MothersDay</v>
      </c>
      <c r="K631" s="16" t="str">
        <f t="shared" si="71"/>
        <v>3-6</v>
      </c>
      <c r="L631" s="14" t="str">
        <f t="shared" si="70"/>
        <v>Romper Short | 3-6 | Forest Green</v>
      </c>
      <c r="M631" s="16" t="s">
        <v>3610</v>
      </c>
    </row>
    <row r="632" spans="1:13" ht="25" customHeight="1" x14ac:dyDescent="0.45">
      <c r="A632" s="6">
        <v>46171</v>
      </c>
      <c r="B632" s="3" t="s">
        <v>1178</v>
      </c>
      <c r="C632" s="4" t="s">
        <v>87</v>
      </c>
      <c r="D632" s="53" t="str">
        <f t="shared" si="68"/>
        <v>Cream</v>
      </c>
      <c r="E632" s="4" t="s">
        <v>580</v>
      </c>
      <c r="F632" s="4" t="s">
        <v>7</v>
      </c>
      <c r="G632" s="4" t="str">
        <f t="shared" si="72"/>
        <v>Romper Short</v>
      </c>
      <c r="H632" s="38">
        <f t="shared" si="67"/>
        <v>5</v>
      </c>
      <c r="I632" s="54">
        <f t="shared" si="73"/>
        <v>22</v>
      </c>
      <c r="J632" s="14" t="str">
        <f t="shared" si="69"/>
        <v>MothersDay</v>
      </c>
      <c r="K632" s="16" t="str">
        <f t="shared" si="71"/>
        <v>0-3</v>
      </c>
      <c r="L632" s="14" t="str">
        <f t="shared" si="70"/>
        <v>Romper Short | 0-3 | Cream</v>
      </c>
      <c r="M632" s="16" t="s">
        <v>3609</v>
      </c>
    </row>
    <row r="633" spans="1:13" ht="25" customHeight="1" x14ac:dyDescent="0.45">
      <c r="A633" s="6">
        <v>46171</v>
      </c>
      <c r="B633" s="3" t="s">
        <v>1179</v>
      </c>
      <c r="C633" s="4" t="s">
        <v>101</v>
      </c>
      <c r="D633" s="53" t="str">
        <f t="shared" si="68"/>
        <v>Sage Green</v>
      </c>
      <c r="E633" s="4" t="s">
        <v>490</v>
      </c>
      <c r="F633" s="4" t="s">
        <v>7</v>
      </c>
      <c r="G633" s="4" t="str">
        <f t="shared" si="72"/>
        <v>Romper Longer</v>
      </c>
      <c r="H633" s="38">
        <f t="shared" si="67"/>
        <v>5</v>
      </c>
      <c r="I633" s="54">
        <f t="shared" si="73"/>
        <v>22</v>
      </c>
      <c r="J633" s="14" t="str">
        <f t="shared" si="69"/>
        <v>MothersDay</v>
      </c>
      <c r="K633" s="16" t="str">
        <f t="shared" si="71"/>
        <v>0-3</v>
      </c>
      <c r="L633" s="14" t="str">
        <f t="shared" si="70"/>
        <v>Romper Longer | 0-3 | Sage Green</v>
      </c>
      <c r="M633" s="16" t="s">
        <v>3611</v>
      </c>
    </row>
    <row r="634" spans="1:13" ht="25" customHeight="1" x14ac:dyDescent="0.45">
      <c r="A634" s="6">
        <v>46171</v>
      </c>
      <c r="B634" s="3" t="s">
        <v>1180</v>
      </c>
      <c r="C634" s="4" t="s">
        <v>87</v>
      </c>
      <c r="D634" s="53" t="str">
        <f t="shared" si="68"/>
        <v>Cream</v>
      </c>
      <c r="E634" s="4" t="s">
        <v>589</v>
      </c>
      <c r="F634" s="4" t="s">
        <v>7</v>
      </c>
      <c r="G634" s="4" t="str">
        <f t="shared" si="72"/>
        <v>Romper Short</v>
      </c>
      <c r="H634" s="38">
        <f t="shared" si="67"/>
        <v>5</v>
      </c>
      <c r="I634" s="54">
        <f t="shared" si="73"/>
        <v>22</v>
      </c>
      <c r="J634" s="14" t="str">
        <f t="shared" si="69"/>
        <v>MothersDay</v>
      </c>
      <c r="K634" s="16" t="str">
        <f t="shared" si="71"/>
        <v>6-12</v>
      </c>
      <c r="L634" s="14" t="str">
        <f t="shared" si="70"/>
        <v>Romper Short | 6-12 | Cream</v>
      </c>
      <c r="M634" s="16" t="s">
        <v>3611</v>
      </c>
    </row>
    <row r="635" spans="1:13" ht="25" customHeight="1" x14ac:dyDescent="0.45">
      <c r="A635" s="6">
        <v>46171</v>
      </c>
      <c r="B635" s="3" t="s">
        <v>1181</v>
      </c>
      <c r="C635" s="4" t="s">
        <v>483</v>
      </c>
      <c r="D635" s="53" t="str">
        <f t="shared" si="68"/>
        <v>Forest Green</v>
      </c>
      <c r="E635" s="4" t="s">
        <v>475</v>
      </c>
      <c r="F635" s="4" t="s">
        <v>7</v>
      </c>
      <c r="G635" s="4" t="str">
        <f t="shared" si="72"/>
        <v>Romper Short</v>
      </c>
      <c r="H635" s="38">
        <f t="shared" si="67"/>
        <v>5</v>
      </c>
      <c r="I635" s="54">
        <f t="shared" si="73"/>
        <v>22</v>
      </c>
      <c r="J635" s="14" t="str">
        <f t="shared" si="69"/>
        <v>MothersDay</v>
      </c>
      <c r="K635" s="16" t="str">
        <f t="shared" si="71"/>
        <v>12-18</v>
      </c>
      <c r="L635" s="14" t="str">
        <f t="shared" si="70"/>
        <v>Romper Short | 12-18 | Forest Green</v>
      </c>
      <c r="M635" s="16" t="s">
        <v>3610</v>
      </c>
    </row>
    <row r="636" spans="1:13" ht="25" customHeight="1" x14ac:dyDescent="0.45">
      <c r="A636" s="6">
        <v>46171</v>
      </c>
      <c r="B636" s="3" t="s">
        <v>1182</v>
      </c>
      <c r="C636" s="4" t="s">
        <v>493</v>
      </c>
      <c r="D636" s="53" t="str">
        <f t="shared" si="68"/>
        <v>Texas Orange</v>
      </c>
      <c r="E636" s="4" t="s">
        <v>555</v>
      </c>
      <c r="F636" s="4" t="s">
        <v>13</v>
      </c>
      <c r="G636" s="4" t="str">
        <f t="shared" si="72"/>
        <v>Romper Longer</v>
      </c>
      <c r="H636" s="38">
        <f t="shared" si="67"/>
        <v>5</v>
      </c>
      <c r="I636" s="54">
        <f t="shared" si="73"/>
        <v>22</v>
      </c>
      <c r="J636" s="14" t="str">
        <f t="shared" si="69"/>
        <v>MothersDay</v>
      </c>
      <c r="K636" s="16" t="str">
        <f t="shared" si="71"/>
        <v>3-6</v>
      </c>
      <c r="L636" s="14" t="str">
        <f t="shared" si="70"/>
        <v>Romper Longer | 3-6 | Texas Orange</v>
      </c>
      <c r="M636" s="16" t="s">
        <v>3610</v>
      </c>
    </row>
    <row r="637" spans="1:13" ht="25" customHeight="1" x14ac:dyDescent="0.45">
      <c r="A637" s="6">
        <v>46171</v>
      </c>
      <c r="B637" s="3" t="s">
        <v>1183</v>
      </c>
      <c r="C637" s="4" t="s">
        <v>87</v>
      </c>
      <c r="D637" s="53" t="str">
        <f t="shared" si="68"/>
        <v>Cream</v>
      </c>
      <c r="E637" s="4" t="s">
        <v>555</v>
      </c>
      <c r="F637" s="4" t="s">
        <v>7</v>
      </c>
      <c r="G637" s="4" t="str">
        <f t="shared" si="72"/>
        <v>Romper Longer</v>
      </c>
      <c r="H637" s="38">
        <f t="shared" si="67"/>
        <v>5</v>
      </c>
      <c r="I637" s="54">
        <f t="shared" si="73"/>
        <v>22</v>
      </c>
      <c r="J637" s="14" t="str">
        <f t="shared" si="69"/>
        <v>MothersDay</v>
      </c>
      <c r="K637" s="16" t="str">
        <f t="shared" si="71"/>
        <v>3-6</v>
      </c>
      <c r="L637" s="14" t="str">
        <f t="shared" si="70"/>
        <v>Romper Longer | 3-6 | Cream</v>
      </c>
      <c r="M637" s="16" t="s">
        <v>3609</v>
      </c>
    </row>
    <row r="638" spans="1:13" ht="25" customHeight="1" x14ac:dyDescent="0.45">
      <c r="A638" s="6">
        <v>46171</v>
      </c>
      <c r="B638" s="3" t="s">
        <v>1184</v>
      </c>
      <c r="C638" s="4" t="s">
        <v>483</v>
      </c>
      <c r="D638" s="53" t="str">
        <f t="shared" si="68"/>
        <v>Forest Green</v>
      </c>
      <c r="E638" s="4" t="s">
        <v>485</v>
      </c>
      <c r="F638" s="4" t="s">
        <v>7</v>
      </c>
      <c r="G638" s="4" t="str">
        <f t="shared" si="72"/>
        <v>Romper Short</v>
      </c>
      <c r="H638" s="38">
        <f t="shared" si="67"/>
        <v>5</v>
      </c>
      <c r="I638" s="54">
        <f t="shared" si="73"/>
        <v>22</v>
      </c>
      <c r="J638" s="14" t="str">
        <f t="shared" si="69"/>
        <v>MothersDay</v>
      </c>
      <c r="K638" s="16" t="str">
        <f t="shared" si="71"/>
        <v>3-6</v>
      </c>
      <c r="L638" s="14" t="str">
        <f t="shared" si="70"/>
        <v>Romper Short | 3-6 | Forest Green</v>
      </c>
      <c r="M638" s="16" t="s">
        <v>3610</v>
      </c>
    </row>
    <row r="639" spans="1:13" ht="25" customHeight="1" x14ac:dyDescent="0.45">
      <c r="A639" s="6">
        <v>46174</v>
      </c>
      <c r="B639" s="3" t="s">
        <v>1185</v>
      </c>
      <c r="C639" s="4" t="s">
        <v>87</v>
      </c>
      <c r="D639" s="53" t="str">
        <f t="shared" si="68"/>
        <v>Cream</v>
      </c>
      <c r="E639" s="4" t="s">
        <v>555</v>
      </c>
      <c r="F639" s="4" t="s">
        <v>7</v>
      </c>
      <c r="G639" s="4" t="str">
        <f t="shared" si="72"/>
        <v>Romper Longer</v>
      </c>
      <c r="H639" s="38">
        <f t="shared" si="67"/>
        <v>6</v>
      </c>
      <c r="I639" s="54">
        <f t="shared" si="73"/>
        <v>23</v>
      </c>
      <c r="J639" s="14" t="str">
        <f t="shared" si="69"/>
        <v>FathersDay</v>
      </c>
      <c r="K639" s="16" t="str">
        <f t="shared" si="71"/>
        <v>3-6</v>
      </c>
      <c r="L639" s="14" t="str">
        <f t="shared" si="70"/>
        <v>Romper Longer | 3-6 | Cream</v>
      </c>
      <c r="M639" s="16" t="s">
        <v>3609</v>
      </c>
    </row>
    <row r="640" spans="1:13" ht="25" customHeight="1" x14ac:dyDescent="0.45">
      <c r="A640" s="6">
        <v>46174</v>
      </c>
      <c r="B640" s="3" t="s">
        <v>1186</v>
      </c>
      <c r="C640" s="4" t="s">
        <v>483</v>
      </c>
      <c r="D640" s="53" t="str">
        <f t="shared" si="68"/>
        <v>Forest Green</v>
      </c>
      <c r="E640" s="4" t="s">
        <v>479</v>
      </c>
      <c r="F640" s="4" t="s">
        <v>11</v>
      </c>
      <c r="G640" s="4" t="str">
        <f t="shared" si="72"/>
        <v>Romper Longer</v>
      </c>
      <c r="H640" s="38">
        <f t="shared" si="67"/>
        <v>6</v>
      </c>
      <c r="I640" s="54">
        <f t="shared" si="73"/>
        <v>23</v>
      </c>
      <c r="J640" s="14" t="str">
        <f t="shared" si="69"/>
        <v>FathersDay</v>
      </c>
      <c r="K640" s="16" t="str">
        <f t="shared" si="71"/>
        <v>6-12</v>
      </c>
      <c r="L640" s="14" t="str">
        <f t="shared" si="70"/>
        <v>Romper Longer | 6-12 | Forest Green</v>
      </c>
      <c r="M640" s="16" t="s">
        <v>3610</v>
      </c>
    </row>
    <row r="641" spans="1:13" ht="25" customHeight="1" x14ac:dyDescent="0.45">
      <c r="A641" s="6">
        <v>46174</v>
      </c>
      <c r="B641" s="3" t="s">
        <v>1187</v>
      </c>
      <c r="C641" s="4" t="s">
        <v>473</v>
      </c>
      <c r="D641" s="53" t="str">
        <f t="shared" si="68"/>
        <v>Salmon</v>
      </c>
      <c r="E641" s="4" t="s">
        <v>555</v>
      </c>
      <c r="F641" s="4" t="s">
        <v>7</v>
      </c>
      <c r="G641" s="4" t="str">
        <f t="shared" si="72"/>
        <v>Romper Longer</v>
      </c>
      <c r="H641" s="38">
        <f t="shared" si="67"/>
        <v>6</v>
      </c>
      <c r="I641" s="54">
        <f t="shared" si="73"/>
        <v>23</v>
      </c>
      <c r="J641" s="14" t="str">
        <f t="shared" si="69"/>
        <v>FathersDay</v>
      </c>
      <c r="K641" s="16" t="str">
        <f t="shared" si="71"/>
        <v>3-6</v>
      </c>
      <c r="L641" s="14" t="str">
        <f t="shared" si="70"/>
        <v>Romper Longer | 3-6 | Salmon</v>
      </c>
      <c r="M641" s="16" t="s">
        <v>3610</v>
      </c>
    </row>
    <row r="642" spans="1:13" ht="25" customHeight="1" x14ac:dyDescent="0.45">
      <c r="A642" s="6">
        <v>46174</v>
      </c>
      <c r="B642" s="3" t="s">
        <v>1187</v>
      </c>
      <c r="C642" s="4" t="s">
        <v>493</v>
      </c>
      <c r="D642" s="53" t="str">
        <f t="shared" si="68"/>
        <v>Texas Orange</v>
      </c>
      <c r="E642" s="4" t="s">
        <v>490</v>
      </c>
      <c r="F642" s="4" t="s">
        <v>7</v>
      </c>
      <c r="G642" s="4" t="str">
        <f t="shared" si="72"/>
        <v>Romper Longer</v>
      </c>
      <c r="H642" s="38">
        <f t="shared" ref="H642:H705" si="74">MONTH(A642)</f>
        <v>6</v>
      </c>
      <c r="I642" s="54">
        <f t="shared" si="73"/>
        <v>23</v>
      </c>
      <c r="J642" s="14" t="str">
        <f t="shared" si="69"/>
        <v>FathersDay</v>
      </c>
      <c r="K642" s="16" t="str">
        <f t="shared" si="71"/>
        <v>0-3</v>
      </c>
      <c r="L642" s="14" t="str">
        <f t="shared" si="70"/>
        <v>Romper Longer | 0-3 | Texas Orange</v>
      </c>
      <c r="M642" s="16" t="s">
        <v>3610</v>
      </c>
    </row>
    <row r="643" spans="1:13" ht="25" customHeight="1" x14ac:dyDescent="0.45">
      <c r="A643" s="6">
        <v>46174</v>
      </c>
      <c r="B643" s="3" t="s">
        <v>1188</v>
      </c>
      <c r="C643" s="4" t="s">
        <v>470</v>
      </c>
      <c r="D643" s="53" t="str">
        <f t="shared" ref="D643:D706" si="75">PROPER(C643)</f>
        <v>Caldet Blue</v>
      </c>
      <c r="E643" s="4" t="s">
        <v>475</v>
      </c>
      <c r="F643" s="4" t="s">
        <v>11</v>
      </c>
      <c r="G643" s="4" t="str">
        <f t="shared" si="72"/>
        <v>Romper Short</v>
      </c>
      <c r="H643" s="38">
        <f t="shared" si="74"/>
        <v>6</v>
      </c>
      <c r="I643" s="54">
        <f t="shared" si="73"/>
        <v>23</v>
      </c>
      <c r="J643" s="14" t="str">
        <f t="shared" ref="J643:J706" si="76">IF(H643=1,"NewYear",
IF(H643=2,"Valentine",
IF(OR(H643=3,H643=4),"Easter",
IF(H643=5,"MothersDay",
IF(H643=6,"FathersDay",
IF(OR(H643=7,H643=8),"Summer",
IF(H643=10,"Halloween",
IF(OR(H643=11,H643=12),"Christmas","Normal"))))))))</f>
        <v>FathersDay</v>
      </c>
      <c r="K643" s="16" t="str">
        <f t="shared" si="71"/>
        <v>12-18</v>
      </c>
      <c r="L643" s="14" t="str">
        <f t="shared" ref="L643:L706" si="77">TRIM(G643)&amp;" | "&amp;TRIM(K643)&amp;" | "&amp;PROPER(TRIM(D643))</f>
        <v>Romper Short | 12-18 | Caldet Blue</v>
      </c>
      <c r="M643" s="16" t="s">
        <v>3610</v>
      </c>
    </row>
    <row r="644" spans="1:13" ht="25" customHeight="1" x14ac:dyDescent="0.45">
      <c r="A644" s="6">
        <v>46174</v>
      </c>
      <c r="B644" s="3" t="s">
        <v>1189</v>
      </c>
      <c r="C644" s="4" t="s">
        <v>184</v>
      </c>
      <c r="D644" s="53" t="str">
        <f t="shared" si="75"/>
        <v>Coffee</v>
      </c>
      <c r="E644" s="4" t="s">
        <v>485</v>
      </c>
      <c r="F644" s="4" t="s">
        <v>7</v>
      </c>
      <c r="G644" s="4" t="str">
        <f t="shared" si="72"/>
        <v>Romper Short</v>
      </c>
      <c r="H644" s="38">
        <f t="shared" si="74"/>
        <v>6</v>
      </c>
      <c r="I644" s="54">
        <f t="shared" si="73"/>
        <v>23</v>
      </c>
      <c r="J644" s="14" t="str">
        <f t="shared" si="76"/>
        <v>FathersDay</v>
      </c>
      <c r="K644" s="16" t="str">
        <f t="shared" si="71"/>
        <v>3-6</v>
      </c>
      <c r="L644" s="14" t="str">
        <f t="shared" si="77"/>
        <v>Romper Short | 3-6 | Coffee</v>
      </c>
      <c r="M644" s="16" t="s">
        <v>3610</v>
      </c>
    </row>
    <row r="645" spans="1:13" ht="25" customHeight="1" x14ac:dyDescent="0.45">
      <c r="A645" s="6">
        <v>46174</v>
      </c>
      <c r="B645" s="3" t="s">
        <v>1190</v>
      </c>
      <c r="C645" s="4" t="s">
        <v>470</v>
      </c>
      <c r="D645" s="53" t="str">
        <f t="shared" si="75"/>
        <v>Caldet Blue</v>
      </c>
      <c r="E645" s="4" t="s">
        <v>485</v>
      </c>
      <c r="F645" s="4" t="s">
        <v>7</v>
      </c>
      <c r="G645" s="4" t="str">
        <f t="shared" si="72"/>
        <v>Romper Short</v>
      </c>
      <c r="H645" s="38">
        <f t="shared" si="74"/>
        <v>6</v>
      </c>
      <c r="I645" s="54">
        <f t="shared" si="73"/>
        <v>23</v>
      </c>
      <c r="J645" s="14" t="str">
        <f t="shared" si="76"/>
        <v>FathersDay</v>
      </c>
      <c r="K645" s="16" t="str">
        <f t="shared" si="71"/>
        <v>3-6</v>
      </c>
      <c r="L645" s="14" t="str">
        <f t="shared" si="77"/>
        <v>Romper Short | 3-6 | Caldet Blue</v>
      </c>
      <c r="M645" s="16" t="s">
        <v>3610</v>
      </c>
    </row>
    <row r="646" spans="1:13" ht="25" customHeight="1" x14ac:dyDescent="0.45">
      <c r="A646" s="6">
        <v>46174</v>
      </c>
      <c r="B646" s="3" t="s">
        <v>1191</v>
      </c>
      <c r="C646" s="4" t="s">
        <v>493</v>
      </c>
      <c r="D646" s="53" t="str">
        <f t="shared" si="75"/>
        <v>Texas Orange</v>
      </c>
      <c r="E646" s="4" t="s">
        <v>555</v>
      </c>
      <c r="F646" s="4" t="s">
        <v>13</v>
      </c>
      <c r="G646" s="4" t="str">
        <f t="shared" si="72"/>
        <v>Romper Longer</v>
      </c>
      <c r="H646" s="38">
        <f t="shared" si="74"/>
        <v>6</v>
      </c>
      <c r="I646" s="54">
        <f t="shared" si="73"/>
        <v>23</v>
      </c>
      <c r="J646" s="14" t="str">
        <f t="shared" si="76"/>
        <v>FathersDay</v>
      </c>
      <c r="K646" s="16" t="str">
        <f t="shared" si="71"/>
        <v>3-6</v>
      </c>
      <c r="L646" s="14" t="str">
        <f t="shared" si="77"/>
        <v>Romper Longer | 3-6 | Texas Orange</v>
      </c>
      <c r="M646" s="16" t="s">
        <v>3610</v>
      </c>
    </row>
    <row r="647" spans="1:13" ht="25" customHeight="1" x14ac:dyDescent="0.45">
      <c r="A647" s="6">
        <v>46174</v>
      </c>
      <c r="B647" s="3" t="s">
        <v>1192</v>
      </c>
      <c r="C647" s="4" t="s">
        <v>87</v>
      </c>
      <c r="D647" s="53" t="str">
        <f t="shared" si="75"/>
        <v>Cream</v>
      </c>
      <c r="E647" s="4" t="s">
        <v>580</v>
      </c>
      <c r="F647" s="4" t="s">
        <v>7</v>
      </c>
      <c r="G647" s="4" t="str">
        <f t="shared" si="72"/>
        <v>Romper Short</v>
      </c>
      <c r="H647" s="38">
        <f t="shared" si="74"/>
        <v>6</v>
      </c>
      <c r="I647" s="54">
        <f t="shared" si="73"/>
        <v>23</v>
      </c>
      <c r="J647" s="14" t="str">
        <f t="shared" si="76"/>
        <v>FathersDay</v>
      </c>
      <c r="K647" s="16" t="str">
        <f t="shared" si="71"/>
        <v>0-3</v>
      </c>
      <c r="L647" s="14" t="str">
        <f t="shared" si="77"/>
        <v>Romper Short | 0-3 | Cream</v>
      </c>
      <c r="M647" s="16" t="s">
        <v>3609</v>
      </c>
    </row>
    <row r="648" spans="1:13" ht="25" customHeight="1" x14ac:dyDescent="0.45">
      <c r="A648" s="6">
        <v>46174</v>
      </c>
      <c r="B648" s="3" t="s">
        <v>1193</v>
      </c>
      <c r="C648" s="4" t="s">
        <v>101</v>
      </c>
      <c r="D648" s="53" t="str">
        <f t="shared" si="75"/>
        <v>Sage Green</v>
      </c>
      <c r="E648" s="4" t="s">
        <v>555</v>
      </c>
      <c r="F648" s="4" t="s">
        <v>7</v>
      </c>
      <c r="G648" s="4" t="str">
        <f t="shared" si="72"/>
        <v>Romper Longer</v>
      </c>
      <c r="H648" s="38">
        <f t="shared" si="74"/>
        <v>6</v>
      </c>
      <c r="I648" s="54">
        <f t="shared" si="73"/>
        <v>23</v>
      </c>
      <c r="J648" s="14" t="str">
        <f t="shared" si="76"/>
        <v>FathersDay</v>
      </c>
      <c r="K648" s="16" t="str">
        <f t="shared" si="71"/>
        <v>3-6</v>
      </c>
      <c r="L648" s="14" t="str">
        <f t="shared" si="77"/>
        <v>Romper Longer | 3-6 | Sage Green</v>
      </c>
      <c r="M648" s="16" t="s">
        <v>3611</v>
      </c>
    </row>
    <row r="649" spans="1:13" ht="25" customHeight="1" x14ac:dyDescent="0.45">
      <c r="A649" s="6">
        <v>46175</v>
      </c>
      <c r="B649" s="3" t="s">
        <v>1194</v>
      </c>
      <c r="C649" s="4" t="s">
        <v>508</v>
      </c>
      <c r="D649" s="53" t="str">
        <f t="shared" si="75"/>
        <v>Dusty Pink</v>
      </c>
      <c r="E649" s="4" t="s">
        <v>490</v>
      </c>
      <c r="F649" s="4" t="s">
        <v>7</v>
      </c>
      <c r="G649" s="4" t="str">
        <f t="shared" si="72"/>
        <v>Romper Longer</v>
      </c>
      <c r="H649" s="38">
        <f t="shared" si="74"/>
        <v>6</v>
      </c>
      <c r="I649" s="54">
        <f t="shared" si="73"/>
        <v>23</v>
      </c>
      <c r="J649" s="14" t="str">
        <f t="shared" si="76"/>
        <v>FathersDay</v>
      </c>
      <c r="K649" s="16" t="str">
        <f t="shared" si="71"/>
        <v>0-3</v>
      </c>
      <c r="L649" s="14" t="str">
        <f t="shared" si="77"/>
        <v>Romper Longer | 0-3 | Dusty Pink</v>
      </c>
      <c r="M649" s="16" t="s">
        <v>3610</v>
      </c>
    </row>
    <row r="650" spans="1:13" ht="25" customHeight="1" x14ac:dyDescent="0.45">
      <c r="A650" s="6">
        <v>46175</v>
      </c>
      <c r="B650" s="3" t="s">
        <v>1195</v>
      </c>
      <c r="C650" s="4" t="s">
        <v>508</v>
      </c>
      <c r="D650" s="53" t="str">
        <f t="shared" si="75"/>
        <v>Dusty Pink</v>
      </c>
      <c r="E650" s="4" t="s">
        <v>485</v>
      </c>
      <c r="F650" s="4" t="s">
        <v>7</v>
      </c>
      <c r="G650" s="4" t="str">
        <f t="shared" si="72"/>
        <v>Romper Short</v>
      </c>
      <c r="H650" s="38">
        <f t="shared" si="74"/>
        <v>6</v>
      </c>
      <c r="I650" s="54">
        <f t="shared" si="73"/>
        <v>23</v>
      </c>
      <c r="J650" s="14" t="str">
        <f t="shared" si="76"/>
        <v>FathersDay</v>
      </c>
      <c r="K650" s="16" t="str">
        <f t="shared" si="71"/>
        <v>3-6</v>
      </c>
      <c r="L650" s="14" t="str">
        <f t="shared" si="77"/>
        <v>Romper Short | 3-6 | Dusty Pink</v>
      </c>
      <c r="M650" s="16" t="s">
        <v>3610</v>
      </c>
    </row>
    <row r="651" spans="1:13" ht="25" customHeight="1" x14ac:dyDescent="0.45">
      <c r="A651" s="6">
        <v>46175</v>
      </c>
      <c r="B651" s="3" t="s">
        <v>1196</v>
      </c>
      <c r="C651" s="4" t="s">
        <v>87</v>
      </c>
      <c r="D651" s="53" t="str">
        <f t="shared" si="75"/>
        <v>Cream</v>
      </c>
      <c r="E651" s="4" t="s">
        <v>589</v>
      </c>
      <c r="F651" s="4" t="s">
        <v>7</v>
      </c>
      <c r="G651" s="4" t="str">
        <f t="shared" si="72"/>
        <v>Romper Short</v>
      </c>
      <c r="H651" s="38">
        <f t="shared" si="74"/>
        <v>6</v>
      </c>
      <c r="I651" s="54">
        <f t="shared" si="73"/>
        <v>23</v>
      </c>
      <c r="J651" s="14" t="str">
        <f t="shared" si="76"/>
        <v>FathersDay</v>
      </c>
      <c r="K651" s="16" t="str">
        <f t="shared" si="71"/>
        <v>6-12</v>
      </c>
      <c r="L651" s="14" t="str">
        <f t="shared" si="77"/>
        <v>Romper Short | 6-12 | Cream</v>
      </c>
      <c r="M651" s="16" t="s">
        <v>3611</v>
      </c>
    </row>
    <row r="652" spans="1:13" ht="25" customHeight="1" x14ac:dyDescent="0.45">
      <c r="A652" s="6">
        <v>46175</v>
      </c>
      <c r="B652" s="3" t="s">
        <v>1196</v>
      </c>
      <c r="C652" s="4" t="s">
        <v>493</v>
      </c>
      <c r="D652" s="53" t="str">
        <f t="shared" si="75"/>
        <v>Texas Orange</v>
      </c>
      <c r="E652" s="4" t="s">
        <v>490</v>
      </c>
      <c r="F652" s="4" t="s">
        <v>7</v>
      </c>
      <c r="G652" s="4" t="str">
        <f t="shared" si="72"/>
        <v>Romper Longer</v>
      </c>
      <c r="H652" s="38">
        <f t="shared" si="74"/>
        <v>6</v>
      </c>
      <c r="I652" s="54">
        <f t="shared" si="73"/>
        <v>23</v>
      </c>
      <c r="J652" s="14" t="str">
        <f t="shared" si="76"/>
        <v>FathersDay</v>
      </c>
      <c r="K652" s="16" t="str">
        <f t="shared" si="71"/>
        <v>0-3</v>
      </c>
      <c r="L652" s="14" t="str">
        <f t="shared" si="77"/>
        <v>Romper Longer | 0-3 | Texas Orange</v>
      </c>
      <c r="M652" s="16" t="s">
        <v>3610</v>
      </c>
    </row>
    <row r="653" spans="1:13" ht="25" customHeight="1" x14ac:dyDescent="0.45">
      <c r="A653" s="6">
        <v>46175</v>
      </c>
      <c r="B653" s="3" t="s">
        <v>1197</v>
      </c>
      <c r="C653" s="4" t="s">
        <v>87</v>
      </c>
      <c r="D653" s="53" t="str">
        <f t="shared" si="75"/>
        <v>Cream</v>
      </c>
      <c r="E653" s="4" t="s">
        <v>490</v>
      </c>
      <c r="F653" s="4" t="s">
        <v>7</v>
      </c>
      <c r="G653" s="4" t="str">
        <f t="shared" si="72"/>
        <v>Romper Longer</v>
      </c>
      <c r="H653" s="38">
        <f t="shared" si="74"/>
        <v>6</v>
      </c>
      <c r="I653" s="54">
        <f t="shared" si="73"/>
        <v>23</v>
      </c>
      <c r="J653" s="14" t="str">
        <f t="shared" si="76"/>
        <v>FathersDay</v>
      </c>
      <c r="K653" s="16" t="str">
        <f t="shared" si="71"/>
        <v>0-3</v>
      </c>
      <c r="L653" s="14" t="str">
        <f t="shared" si="77"/>
        <v>Romper Longer | 0-3 | Cream</v>
      </c>
      <c r="M653" s="16" t="s">
        <v>3609</v>
      </c>
    </row>
    <row r="654" spans="1:13" ht="25" customHeight="1" x14ac:dyDescent="0.45">
      <c r="A654" s="6">
        <v>46175</v>
      </c>
      <c r="B654" s="3" t="s">
        <v>1198</v>
      </c>
      <c r="C654" s="4" t="s">
        <v>483</v>
      </c>
      <c r="D654" s="53" t="str">
        <f t="shared" si="75"/>
        <v>Forest Green</v>
      </c>
      <c r="E654" s="4" t="s">
        <v>580</v>
      </c>
      <c r="F654" s="4" t="s">
        <v>7</v>
      </c>
      <c r="G654" s="4" t="str">
        <f t="shared" si="72"/>
        <v>Romper Short</v>
      </c>
      <c r="H654" s="38">
        <f t="shared" si="74"/>
        <v>6</v>
      </c>
      <c r="I654" s="54">
        <f t="shared" si="73"/>
        <v>23</v>
      </c>
      <c r="J654" s="14" t="str">
        <f t="shared" si="76"/>
        <v>FathersDay</v>
      </c>
      <c r="K654" s="16" t="str">
        <f t="shared" ref="K654:K717" si="78">TRIM(LEFT(E654,FIND("(",E654&amp;"(")-2))</f>
        <v>0-3</v>
      </c>
      <c r="L654" s="14" t="str">
        <f t="shared" si="77"/>
        <v>Romper Short | 0-3 | Forest Green</v>
      </c>
      <c r="M654" s="16" t="s">
        <v>3610</v>
      </c>
    </row>
    <row r="655" spans="1:13" ht="25" customHeight="1" x14ac:dyDescent="0.45">
      <c r="A655" s="6">
        <v>46175</v>
      </c>
      <c r="B655" s="3" t="s">
        <v>1199</v>
      </c>
      <c r="C655" s="4" t="s">
        <v>87</v>
      </c>
      <c r="D655" s="53" t="str">
        <f t="shared" si="75"/>
        <v>Cream</v>
      </c>
      <c r="E655" s="4" t="s">
        <v>485</v>
      </c>
      <c r="F655" s="4" t="s">
        <v>7</v>
      </c>
      <c r="G655" s="4" t="str">
        <f t="shared" si="72"/>
        <v>Romper Short</v>
      </c>
      <c r="H655" s="38">
        <f t="shared" si="74"/>
        <v>6</v>
      </c>
      <c r="I655" s="54">
        <f t="shared" si="73"/>
        <v>23</v>
      </c>
      <c r="J655" s="14" t="str">
        <f t="shared" si="76"/>
        <v>FathersDay</v>
      </c>
      <c r="K655" s="16" t="str">
        <f t="shared" si="78"/>
        <v>3-6</v>
      </c>
      <c r="L655" s="14" t="str">
        <f t="shared" si="77"/>
        <v>Romper Short | 3-6 | Cream</v>
      </c>
      <c r="M655" s="16" t="s">
        <v>3609</v>
      </c>
    </row>
    <row r="656" spans="1:13" ht="25" customHeight="1" x14ac:dyDescent="0.45">
      <c r="A656" s="6">
        <v>46176</v>
      </c>
      <c r="B656" s="3" t="s">
        <v>1200</v>
      </c>
      <c r="C656" s="4" t="s">
        <v>101</v>
      </c>
      <c r="D656" s="53" t="str">
        <f t="shared" si="75"/>
        <v>Sage Green</v>
      </c>
      <c r="E656" s="4" t="s">
        <v>555</v>
      </c>
      <c r="F656" s="4" t="s">
        <v>7</v>
      </c>
      <c r="G656" s="4" t="str">
        <f t="shared" ref="G656:G719" si="79">IF(ISNUMBER(SEARCH("LONG",E656)),"Romper Longer",IF(ISNUMBER(SEARCH("SHORT",E656)),"Romper Short","Bodysuit"))</f>
        <v>Romper Longer</v>
      </c>
      <c r="H656" s="38">
        <f t="shared" si="74"/>
        <v>6</v>
      </c>
      <c r="I656" s="54">
        <f t="shared" si="73"/>
        <v>23</v>
      </c>
      <c r="J656" s="14" t="str">
        <f t="shared" si="76"/>
        <v>FathersDay</v>
      </c>
      <c r="K656" s="16" t="str">
        <f t="shared" si="78"/>
        <v>3-6</v>
      </c>
      <c r="L656" s="14" t="str">
        <f t="shared" si="77"/>
        <v>Romper Longer | 3-6 | Sage Green</v>
      </c>
      <c r="M656" s="16" t="s">
        <v>3611</v>
      </c>
    </row>
    <row r="657" spans="1:13" ht="25" customHeight="1" x14ac:dyDescent="0.45">
      <c r="A657" s="6">
        <v>46176</v>
      </c>
      <c r="B657" s="3" t="s">
        <v>1201</v>
      </c>
      <c r="C657" s="4" t="s">
        <v>87</v>
      </c>
      <c r="D657" s="53" t="str">
        <f t="shared" si="75"/>
        <v>Cream</v>
      </c>
      <c r="E657" s="4" t="s">
        <v>589</v>
      </c>
      <c r="F657" s="4" t="s">
        <v>40</v>
      </c>
      <c r="G657" s="4" t="str">
        <f t="shared" si="79"/>
        <v>Romper Short</v>
      </c>
      <c r="H657" s="38">
        <f t="shared" si="74"/>
        <v>6</v>
      </c>
      <c r="I657" s="54">
        <f t="shared" si="73"/>
        <v>23</v>
      </c>
      <c r="J657" s="14" t="str">
        <f t="shared" si="76"/>
        <v>FathersDay</v>
      </c>
      <c r="K657" s="16" t="str">
        <f t="shared" si="78"/>
        <v>6-12</v>
      </c>
      <c r="L657" s="14" t="str">
        <f t="shared" si="77"/>
        <v>Romper Short | 6-12 | Cream</v>
      </c>
      <c r="M657" s="16" t="s">
        <v>3611</v>
      </c>
    </row>
    <row r="658" spans="1:13" ht="25" customHeight="1" x14ac:dyDescent="0.45">
      <c r="A658" s="6">
        <v>46176</v>
      </c>
      <c r="B658" s="3" t="s">
        <v>1202</v>
      </c>
      <c r="C658" s="4" t="s">
        <v>87</v>
      </c>
      <c r="D658" s="53" t="str">
        <f t="shared" si="75"/>
        <v>Cream</v>
      </c>
      <c r="E658" s="4" t="s">
        <v>555</v>
      </c>
      <c r="F658" s="4" t="s">
        <v>11</v>
      </c>
      <c r="G658" s="4" t="str">
        <f t="shared" si="79"/>
        <v>Romper Longer</v>
      </c>
      <c r="H658" s="38">
        <f t="shared" si="74"/>
        <v>6</v>
      </c>
      <c r="I658" s="54">
        <f t="shared" si="73"/>
        <v>23</v>
      </c>
      <c r="J658" s="14" t="str">
        <f t="shared" si="76"/>
        <v>FathersDay</v>
      </c>
      <c r="K658" s="16" t="str">
        <f t="shared" si="78"/>
        <v>3-6</v>
      </c>
      <c r="L658" s="14" t="str">
        <f t="shared" si="77"/>
        <v>Romper Longer | 3-6 | Cream</v>
      </c>
      <c r="M658" s="16" t="s">
        <v>3609</v>
      </c>
    </row>
    <row r="659" spans="1:13" ht="25" customHeight="1" x14ac:dyDescent="0.45">
      <c r="A659" s="6">
        <v>46176</v>
      </c>
      <c r="B659" s="3" t="s">
        <v>1203</v>
      </c>
      <c r="C659" s="4" t="s">
        <v>87</v>
      </c>
      <c r="D659" s="53" t="str">
        <f t="shared" si="75"/>
        <v>Cream</v>
      </c>
      <c r="E659" s="4" t="s">
        <v>479</v>
      </c>
      <c r="F659" s="4" t="s">
        <v>7</v>
      </c>
      <c r="G659" s="4" t="str">
        <f t="shared" si="79"/>
        <v>Romper Longer</v>
      </c>
      <c r="H659" s="38">
        <f t="shared" si="74"/>
        <v>6</v>
      </c>
      <c r="I659" s="54">
        <f t="shared" si="73"/>
        <v>23</v>
      </c>
      <c r="J659" s="14" t="str">
        <f t="shared" si="76"/>
        <v>FathersDay</v>
      </c>
      <c r="K659" s="16" t="str">
        <f t="shared" si="78"/>
        <v>6-12</v>
      </c>
      <c r="L659" s="14" t="str">
        <f t="shared" si="77"/>
        <v>Romper Longer | 6-12 | Cream</v>
      </c>
      <c r="M659" s="16" t="s">
        <v>3611</v>
      </c>
    </row>
    <row r="660" spans="1:13" ht="25" customHeight="1" x14ac:dyDescent="0.45">
      <c r="A660" s="6">
        <v>46176</v>
      </c>
      <c r="B660" s="3" t="s">
        <v>1204</v>
      </c>
      <c r="C660" s="4" t="s">
        <v>528</v>
      </c>
      <c r="D660" s="53" t="str">
        <f t="shared" si="75"/>
        <v>Watermelon</v>
      </c>
      <c r="E660" s="4" t="s">
        <v>580</v>
      </c>
      <c r="F660" s="4" t="s">
        <v>7</v>
      </c>
      <c r="G660" s="4" t="str">
        <f t="shared" si="79"/>
        <v>Romper Short</v>
      </c>
      <c r="H660" s="38">
        <f t="shared" si="74"/>
        <v>6</v>
      </c>
      <c r="I660" s="54">
        <f t="shared" si="73"/>
        <v>23</v>
      </c>
      <c r="J660" s="14" t="str">
        <f t="shared" si="76"/>
        <v>FathersDay</v>
      </c>
      <c r="K660" s="16" t="str">
        <f t="shared" si="78"/>
        <v>0-3</v>
      </c>
      <c r="L660" s="14" t="str">
        <f t="shared" si="77"/>
        <v>Romper Short | 0-3 | Watermelon</v>
      </c>
      <c r="M660" s="16" t="s">
        <v>3610</v>
      </c>
    </row>
    <row r="661" spans="1:13" ht="25" customHeight="1" x14ac:dyDescent="0.45">
      <c r="A661" s="6">
        <v>46176</v>
      </c>
      <c r="B661" s="3" t="s">
        <v>1205</v>
      </c>
      <c r="C661" s="4" t="s">
        <v>508</v>
      </c>
      <c r="D661" s="53" t="str">
        <f t="shared" si="75"/>
        <v>Dusty Pink</v>
      </c>
      <c r="E661" s="4" t="s">
        <v>580</v>
      </c>
      <c r="F661" s="4" t="s">
        <v>13</v>
      </c>
      <c r="G661" s="4" t="str">
        <f t="shared" si="79"/>
        <v>Romper Short</v>
      </c>
      <c r="H661" s="38">
        <f t="shared" si="74"/>
        <v>6</v>
      </c>
      <c r="I661" s="54">
        <f t="shared" si="73"/>
        <v>23</v>
      </c>
      <c r="J661" s="14" t="str">
        <f t="shared" si="76"/>
        <v>FathersDay</v>
      </c>
      <c r="K661" s="16" t="str">
        <f t="shared" si="78"/>
        <v>0-3</v>
      </c>
      <c r="L661" s="14" t="str">
        <f t="shared" si="77"/>
        <v>Romper Short | 0-3 | Dusty Pink</v>
      </c>
      <c r="M661" s="16" t="s">
        <v>3610</v>
      </c>
    </row>
    <row r="662" spans="1:13" ht="25" customHeight="1" x14ac:dyDescent="0.45">
      <c r="A662" s="6">
        <v>46176</v>
      </c>
      <c r="B662" s="3" t="s">
        <v>1206</v>
      </c>
      <c r="C662" s="4" t="s">
        <v>508</v>
      </c>
      <c r="D662" s="53" t="str">
        <f t="shared" si="75"/>
        <v>Dusty Pink</v>
      </c>
      <c r="E662" s="4" t="s">
        <v>479</v>
      </c>
      <c r="F662" s="4" t="s">
        <v>252</v>
      </c>
      <c r="G662" s="4" t="str">
        <f t="shared" si="79"/>
        <v>Romper Longer</v>
      </c>
      <c r="H662" s="38">
        <f t="shared" si="74"/>
        <v>6</v>
      </c>
      <c r="I662" s="54">
        <f t="shared" si="73"/>
        <v>23</v>
      </c>
      <c r="J662" s="14" t="str">
        <f t="shared" si="76"/>
        <v>FathersDay</v>
      </c>
      <c r="K662" s="16" t="str">
        <f t="shared" si="78"/>
        <v>6-12</v>
      </c>
      <c r="L662" s="14" t="str">
        <f t="shared" si="77"/>
        <v>Romper Longer | 6-12 | Dusty Pink</v>
      </c>
      <c r="M662" s="16" t="s">
        <v>3610</v>
      </c>
    </row>
    <row r="663" spans="1:13" ht="25" customHeight="1" x14ac:dyDescent="0.45">
      <c r="A663" s="6">
        <v>46176</v>
      </c>
      <c r="B663" s="3" t="s">
        <v>1207</v>
      </c>
      <c r="C663" s="4" t="s">
        <v>87</v>
      </c>
      <c r="D663" s="53" t="str">
        <f t="shared" si="75"/>
        <v>Cream</v>
      </c>
      <c r="E663" s="4" t="s">
        <v>580</v>
      </c>
      <c r="F663" s="4" t="s">
        <v>13</v>
      </c>
      <c r="G663" s="4" t="str">
        <f t="shared" si="79"/>
        <v>Romper Short</v>
      </c>
      <c r="H663" s="38">
        <f t="shared" si="74"/>
        <v>6</v>
      </c>
      <c r="I663" s="54">
        <f t="shared" si="73"/>
        <v>23</v>
      </c>
      <c r="J663" s="14" t="str">
        <f t="shared" si="76"/>
        <v>FathersDay</v>
      </c>
      <c r="K663" s="16" t="str">
        <f t="shared" si="78"/>
        <v>0-3</v>
      </c>
      <c r="L663" s="14" t="str">
        <f t="shared" si="77"/>
        <v>Romper Short | 0-3 | Cream</v>
      </c>
      <c r="M663" s="16" t="s">
        <v>3609</v>
      </c>
    </row>
    <row r="664" spans="1:13" ht="25" customHeight="1" x14ac:dyDescent="0.45">
      <c r="A664" s="6">
        <v>46176</v>
      </c>
      <c r="B664" s="3" t="s">
        <v>1208</v>
      </c>
      <c r="C664" s="4" t="s">
        <v>528</v>
      </c>
      <c r="D664" s="53" t="str">
        <f t="shared" si="75"/>
        <v>Watermelon</v>
      </c>
      <c r="E664" s="4" t="s">
        <v>490</v>
      </c>
      <c r="F664" s="4" t="s">
        <v>7</v>
      </c>
      <c r="G664" s="4" t="str">
        <f t="shared" si="79"/>
        <v>Romper Longer</v>
      </c>
      <c r="H664" s="38">
        <f t="shared" si="74"/>
        <v>6</v>
      </c>
      <c r="I664" s="54">
        <f t="shared" si="73"/>
        <v>23</v>
      </c>
      <c r="J664" s="14" t="str">
        <f t="shared" si="76"/>
        <v>FathersDay</v>
      </c>
      <c r="K664" s="16" t="str">
        <f t="shared" si="78"/>
        <v>0-3</v>
      </c>
      <c r="L664" s="14" t="str">
        <f t="shared" si="77"/>
        <v>Romper Longer | 0-3 | Watermelon</v>
      </c>
      <c r="M664" s="16" t="s">
        <v>3610</v>
      </c>
    </row>
    <row r="665" spans="1:13" ht="25" customHeight="1" x14ac:dyDescent="0.45">
      <c r="A665" s="6">
        <v>46176</v>
      </c>
      <c r="B665" s="3" t="s">
        <v>1209</v>
      </c>
      <c r="C665" s="4" t="s">
        <v>87</v>
      </c>
      <c r="D665" s="53" t="str">
        <f t="shared" si="75"/>
        <v>Cream</v>
      </c>
      <c r="E665" s="4" t="s">
        <v>580</v>
      </c>
      <c r="F665" s="4" t="s">
        <v>7</v>
      </c>
      <c r="G665" s="4" t="str">
        <f t="shared" si="79"/>
        <v>Romper Short</v>
      </c>
      <c r="H665" s="38">
        <f t="shared" si="74"/>
        <v>6</v>
      </c>
      <c r="I665" s="54">
        <f t="shared" si="73"/>
        <v>23</v>
      </c>
      <c r="J665" s="14" t="str">
        <f t="shared" si="76"/>
        <v>FathersDay</v>
      </c>
      <c r="K665" s="16" t="str">
        <f t="shared" si="78"/>
        <v>0-3</v>
      </c>
      <c r="L665" s="14" t="str">
        <f t="shared" si="77"/>
        <v>Romper Short | 0-3 | Cream</v>
      </c>
      <c r="M665" s="16" t="s">
        <v>3609</v>
      </c>
    </row>
    <row r="666" spans="1:13" ht="25" customHeight="1" x14ac:dyDescent="0.45">
      <c r="A666" s="6">
        <v>46176</v>
      </c>
      <c r="B666" s="3" t="s">
        <v>1210</v>
      </c>
      <c r="C666" s="4" t="s">
        <v>87</v>
      </c>
      <c r="D666" s="53" t="str">
        <f t="shared" si="75"/>
        <v>Cream</v>
      </c>
      <c r="E666" s="4" t="s">
        <v>580</v>
      </c>
      <c r="F666" s="4" t="s">
        <v>7</v>
      </c>
      <c r="G666" s="4" t="str">
        <f t="shared" si="79"/>
        <v>Romper Short</v>
      </c>
      <c r="H666" s="38">
        <f t="shared" si="74"/>
        <v>6</v>
      </c>
      <c r="I666" s="54">
        <f t="shared" si="73"/>
        <v>23</v>
      </c>
      <c r="J666" s="14" t="str">
        <f t="shared" si="76"/>
        <v>FathersDay</v>
      </c>
      <c r="K666" s="16" t="str">
        <f t="shared" si="78"/>
        <v>0-3</v>
      </c>
      <c r="L666" s="14" t="str">
        <f t="shared" si="77"/>
        <v>Romper Short | 0-3 | Cream</v>
      </c>
      <c r="M666" s="16" t="s">
        <v>3609</v>
      </c>
    </row>
    <row r="667" spans="1:13" ht="25" customHeight="1" x14ac:dyDescent="0.45">
      <c r="A667" s="6">
        <v>46176</v>
      </c>
      <c r="B667" s="3" t="s">
        <v>1211</v>
      </c>
      <c r="C667" s="4" t="s">
        <v>470</v>
      </c>
      <c r="D667" s="53" t="str">
        <f t="shared" si="75"/>
        <v>Caldet Blue</v>
      </c>
      <c r="E667" s="4" t="s">
        <v>555</v>
      </c>
      <c r="F667" s="4" t="s">
        <v>7</v>
      </c>
      <c r="G667" s="4" t="str">
        <f t="shared" si="79"/>
        <v>Romper Longer</v>
      </c>
      <c r="H667" s="38">
        <f t="shared" si="74"/>
        <v>6</v>
      </c>
      <c r="I667" s="54">
        <f t="shared" si="73"/>
        <v>23</v>
      </c>
      <c r="J667" s="14" t="str">
        <f t="shared" si="76"/>
        <v>FathersDay</v>
      </c>
      <c r="K667" s="16" t="str">
        <f t="shared" si="78"/>
        <v>3-6</v>
      </c>
      <c r="L667" s="14" t="str">
        <f t="shared" si="77"/>
        <v>Romper Longer | 3-6 | Caldet Blue</v>
      </c>
      <c r="M667" s="16" t="s">
        <v>3610</v>
      </c>
    </row>
    <row r="668" spans="1:13" ht="25" customHeight="1" x14ac:dyDescent="0.45">
      <c r="A668" s="6">
        <v>46176</v>
      </c>
      <c r="B668" s="3" t="s">
        <v>1212</v>
      </c>
      <c r="C668" s="4" t="s">
        <v>101</v>
      </c>
      <c r="D668" s="53" t="str">
        <f t="shared" si="75"/>
        <v>Sage Green</v>
      </c>
      <c r="E668" s="4" t="s">
        <v>555</v>
      </c>
      <c r="F668" s="4" t="s">
        <v>7</v>
      </c>
      <c r="G668" s="4" t="str">
        <f t="shared" si="79"/>
        <v>Romper Longer</v>
      </c>
      <c r="H668" s="38">
        <f t="shared" si="74"/>
        <v>6</v>
      </c>
      <c r="I668" s="54">
        <f t="shared" si="73"/>
        <v>23</v>
      </c>
      <c r="J668" s="14" t="str">
        <f t="shared" si="76"/>
        <v>FathersDay</v>
      </c>
      <c r="K668" s="16" t="str">
        <f t="shared" si="78"/>
        <v>3-6</v>
      </c>
      <c r="L668" s="14" t="str">
        <f t="shared" si="77"/>
        <v>Romper Longer | 3-6 | Sage Green</v>
      </c>
      <c r="M668" s="16" t="s">
        <v>3611</v>
      </c>
    </row>
    <row r="669" spans="1:13" ht="25" customHeight="1" x14ac:dyDescent="0.45">
      <c r="A669" s="6">
        <v>46176</v>
      </c>
      <c r="B669" s="3" t="s">
        <v>1213</v>
      </c>
      <c r="C669" s="4" t="s">
        <v>87</v>
      </c>
      <c r="D669" s="53" t="str">
        <f t="shared" si="75"/>
        <v>Cream</v>
      </c>
      <c r="E669" s="4" t="s">
        <v>485</v>
      </c>
      <c r="F669" s="4" t="s">
        <v>7</v>
      </c>
      <c r="G669" s="4" t="str">
        <f t="shared" si="79"/>
        <v>Romper Short</v>
      </c>
      <c r="H669" s="38">
        <f t="shared" si="74"/>
        <v>6</v>
      </c>
      <c r="I669" s="54">
        <f t="shared" si="73"/>
        <v>23</v>
      </c>
      <c r="J669" s="14" t="str">
        <f t="shared" si="76"/>
        <v>FathersDay</v>
      </c>
      <c r="K669" s="16" t="str">
        <f t="shared" si="78"/>
        <v>3-6</v>
      </c>
      <c r="L669" s="14" t="str">
        <f t="shared" si="77"/>
        <v>Romper Short | 3-6 | Cream</v>
      </c>
      <c r="M669" s="16" t="s">
        <v>3609</v>
      </c>
    </row>
    <row r="670" spans="1:13" ht="25" customHeight="1" x14ac:dyDescent="0.45">
      <c r="A670" s="6">
        <v>46177</v>
      </c>
      <c r="B670" s="3" t="s">
        <v>1214</v>
      </c>
      <c r="C670" s="4" t="s">
        <v>87</v>
      </c>
      <c r="D670" s="53" t="str">
        <f t="shared" si="75"/>
        <v>Cream</v>
      </c>
      <c r="E670" s="4" t="s">
        <v>555</v>
      </c>
      <c r="F670" s="4" t="s">
        <v>7</v>
      </c>
      <c r="G670" s="4" t="str">
        <f t="shared" si="79"/>
        <v>Romper Longer</v>
      </c>
      <c r="H670" s="38">
        <f t="shared" si="74"/>
        <v>6</v>
      </c>
      <c r="I670" s="54">
        <f t="shared" si="73"/>
        <v>23</v>
      </c>
      <c r="J670" s="14" t="str">
        <f t="shared" si="76"/>
        <v>FathersDay</v>
      </c>
      <c r="K670" s="16" t="str">
        <f t="shared" si="78"/>
        <v>3-6</v>
      </c>
      <c r="L670" s="14" t="str">
        <f t="shared" si="77"/>
        <v>Romper Longer | 3-6 | Cream</v>
      </c>
      <c r="M670" s="16" t="s">
        <v>3609</v>
      </c>
    </row>
    <row r="671" spans="1:13" ht="25" customHeight="1" x14ac:dyDescent="0.45">
      <c r="A671" s="6">
        <v>46177</v>
      </c>
      <c r="B671" s="3" t="s">
        <v>1215</v>
      </c>
      <c r="C671" s="4" t="s">
        <v>473</v>
      </c>
      <c r="D671" s="53" t="str">
        <f t="shared" si="75"/>
        <v>Salmon</v>
      </c>
      <c r="E671" s="4" t="s">
        <v>490</v>
      </c>
      <c r="F671" s="4" t="s">
        <v>7</v>
      </c>
      <c r="G671" s="4" t="str">
        <f t="shared" si="79"/>
        <v>Romper Longer</v>
      </c>
      <c r="H671" s="38">
        <f t="shared" si="74"/>
        <v>6</v>
      </c>
      <c r="I671" s="54">
        <f t="shared" si="73"/>
        <v>23</v>
      </c>
      <c r="J671" s="14" t="str">
        <f t="shared" si="76"/>
        <v>FathersDay</v>
      </c>
      <c r="K671" s="16" t="str">
        <f t="shared" si="78"/>
        <v>0-3</v>
      </c>
      <c r="L671" s="14" t="str">
        <f t="shared" si="77"/>
        <v>Romper Longer | 0-3 | Salmon</v>
      </c>
      <c r="M671" s="16" t="s">
        <v>3610</v>
      </c>
    </row>
    <row r="672" spans="1:13" ht="25" customHeight="1" x14ac:dyDescent="0.45">
      <c r="A672" s="6">
        <v>46177</v>
      </c>
      <c r="B672" s="3" t="s">
        <v>1215</v>
      </c>
      <c r="C672" s="4" t="s">
        <v>508</v>
      </c>
      <c r="D672" s="53" t="str">
        <f t="shared" si="75"/>
        <v>Dusty Pink</v>
      </c>
      <c r="E672" s="4" t="s">
        <v>490</v>
      </c>
      <c r="F672" s="4" t="s">
        <v>7</v>
      </c>
      <c r="G672" s="4" t="str">
        <f t="shared" si="79"/>
        <v>Romper Longer</v>
      </c>
      <c r="H672" s="38">
        <f t="shared" si="74"/>
        <v>6</v>
      </c>
      <c r="I672" s="54">
        <f t="shared" si="73"/>
        <v>23</v>
      </c>
      <c r="J672" s="14" t="str">
        <f t="shared" si="76"/>
        <v>FathersDay</v>
      </c>
      <c r="K672" s="16" t="str">
        <f t="shared" si="78"/>
        <v>0-3</v>
      </c>
      <c r="L672" s="14" t="str">
        <f t="shared" si="77"/>
        <v>Romper Longer | 0-3 | Dusty Pink</v>
      </c>
      <c r="M672" s="16" t="s">
        <v>3610</v>
      </c>
    </row>
    <row r="673" spans="1:13" ht="25" customHeight="1" x14ac:dyDescent="0.45">
      <c r="A673" s="6">
        <v>46177</v>
      </c>
      <c r="B673" s="3" t="s">
        <v>1216</v>
      </c>
      <c r="C673" s="4" t="s">
        <v>470</v>
      </c>
      <c r="D673" s="53" t="str">
        <f t="shared" si="75"/>
        <v>Caldet Blue</v>
      </c>
      <c r="E673" s="4" t="s">
        <v>580</v>
      </c>
      <c r="F673" s="4" t="s">
        <v>13</v>
      </c>
      <c r="G673" s="4" t="str">
        <f t="shared" si="79"/>
        <v>Romper Short</v>
      </c>
      <c r="H673" s="38">
        <f t="shared" si="74"/>
        <v>6</v>
      </c>
      <c r="I673" s="54">
        <f t="shared" si="73"/>
        <v>23</v>
      </c>
      <c r="J673" s="14" t="str">
        <f t="shared" si="76"/>
        <v>FathersDay</v>
      </c>
      <c r="K673" s="16" t="str">
        <f t="shared" si="78"/>
        <v>0-3</v>
      </c>
      <c r="L673" s="14" t="str">
        <f t="shared" si="77"/>
        <v>Romper Short | 0-3 | Caldet Blue</v>
      </c>
      <c r="M673" s="16" t="s">
        <v>3610</v>
      </c>
    </row>
    <row r="674" spans="1:13" ht="25" customHeight="1" x14ac:dyDescent="0.45">
      <c r="A674" s="6">
        <v>46177</v>
      </c>
      <c r="B674" s="3" t="s">
        <v>1217</v>
      </c>
      <c r="C674" s="4" t="s">
        <v>101</v>
      </c>
      <c r="D674" s="53" t="str">
        <f t="shared" si="75"/>
        <v>Sage Green</v>
      </c>
      <c r="E674" s="4" t="s">
        <v>490</v>
      </c>
      <c r="F674" s="4" t="s">
        <v>7</v>
      </c>
      <c r="G674" s="4" t="str">
        <f t="shared" si="79"/>
        <v>Romper Longer</v>
      </c>
      <c r="H674" s="38">
        <f t="shared" si="74"/>
        <v>6</v>
      </c>
      <c r="I674" s="54">
        <f t="shared" si="73"/>
        <v>23</v>
      </c>
      <c r="J674" s="14" t="str">
        <f t="shared" si="76"/>
        <v>FathersDay</v>
      </c>
      <c r="K674" s="16" t="str">
        <f t="shared" si="78"/>
        <v>0-3</v>
      </c>
      <c r="L674" s="14" t="str">
        <f t="shared" si="77"/>
        <v>Romper Longer | 0-3 | Sage Green</v>
      </c>
      <c r="M674" s="16" t="s">
        <v>3611</v>
      </c>
    </row>
    <row r="675" spans="1:13" ht="25" customHeight="1" x14ac:dyDescent="0.45">
      <c r="A675" s="6">
        <v>46177</v>
      </c>
      <c r="B675" s="3" t="s">
        <v>1218</v>
      </c>
      <c r="C675" s="4" t="s">
        <v>87</v>
      </c>
      <c r="D675" s="53" t="str">
        <f t="shared" si="75"/>
        <v>Cream</v>
      </c>
      <c r="E675" s="4" t="s">
        <v>584</v>
      </c>
      <c r="F675" s="4" t="s">
        <v>7</v>
      </c>
      <c r="G675" s="4" t="str">
        <f t="shared" si="79"/>
        <v>Romper Short</v>
      </c>
      <c r="H675" s="38">
        <f t="shared" si="74"/>
        <v>6</v>
      </c>
      <c r="I675" s="54">
        <f t="shared" si="73"/>
        <v>23</v>
      </c>
      <c r="J675" s="14" t="str">
        <f t="shared" si="76"/>
        <v>FathersDay</v>
      </c>
      <c r="K675" s="16" t="str">
        <f t="shared" si="78"/>
        <v>18-24</v>
      </c>
      <c r="L675" s="14" t="str">
        <f t="shared" si="77"/>
        <v>Romper Short | 18-24 | Cream</v>
      </c>
      <c r="M675" s="16" t="s">
        <v>3610</v>
      </c>
    </row>
    <row r="676" spans="1:13" ht="25" customHeight="1" x14ac:dyDescent="0.45">
      <c r="A676" s="6">
        <v>46178</v>
      </c>
      <c r="B676" s="3" t="s">
        <v>1219</v>
      </c>
      <c r="C676" s="4" t="s">
        <v>87</v>
      </c>
      <c r="D676" s="53" t="str">
        <f t="shared" si="75"/>
        <v>Cream</v>
      </c>
      <c r="E676" s="4" t="s">
        <v>580</v>
      </c>
      <c r="F676" s="4" t="s">
        <v>19</v>
      </c>
      <c r="G676" s="4" t="str">
        <f t="shared" si="79"/>
        <v>Romper Short</v>
      </c>
      <c r="H676" s="38">
        <f t="shared" si="74"/>
        <v>6</v>
      </c>
      <c r="I676" s="54">
        <f t="shared" si="73"/>
        <v>23</v>
      </c>
      <c r="J676" s="14" t="str">
        <f t="shared" si="76"/>
        <v>FathersDay</v>
      </c>
      <c r="K676" s="16" t="str">
        <f t="shared" si="78"/>
        <v>0-3</v>
      </c>
      <c r="L676" s="14" t="str">
        <f t="shared" si="77"/>
        <v>Romper Short | 0-3 | Cream</v>
      </c>
      <c r="M676" s="16" t="s">
        <v>3609</v>
      </c>
    </row>
    <row r="677" spans="1:13" ht="25" customHeight="1" x14ac:dyDescent="0.45">
      <c r="A677" s="6">
        <v>46178</v>
      </c>
      <c r="B677" s="3" t="s">
        <v>1220</v>
      </c>
      <c r="C677" s="4" t="s">
        <v>470</v>
      </c>
      <c r="D677" s="53" t="str">
        <f t="shared" si="75"/>
        <v>Caldet Blue</v>
      </c>
      <c r="E677" s="4" t="s">
        <v>580</v>
      </c>
      <c r="F677" s="4" t="s">
        <v>7</v>
      </c>
      <c r="G677" s="4" t="str">
        <f t="shared" si="79"/>
        <v>Romper Short</v>
      </c>
      <c r="H677" s="38">
        <f t="shared" si="74"/>
        <v>6</v>
      </c>
      <c r="I677" s="54">
        <f t="shared" si="73"/>
        <v>23</v>
      </c>
      <c r="J677" s="14" t="str">
        <f t="shared" si="76"/>
        <v>FathersDay</v>
      </c>
      <c r="K677" s="16" t="str">
        <f t="shared" si="78"/>
        <v>0-3</v>
      </c>
      <c r="L677" s="14" t="str">
        <f t="shared" si="77"/>
        <v>Romper Short | 0-3 | Caldet Blue</v>
      </c>
      <c r="M677" s="16" t="s">
        <v>3610</v>
      </c>
    </row>
    <row r="678" spans="1:13" ht="25" customHeight="1" x14ac:dyDescent="0.45">
      <c r="A678" s="6">
        <v>46178</v>
      </c>
      <c r="B678" s="3" t="s">
        <v>1221</v>
      </c>
      <c r="C678" s="4" t="s">
        <v>470</v>
      </c>
      <c r="D678" s="53" t="str">
        <f t="shared" si="75"/>
        <v>Caldet Blue</v>
      </c>
      <c r="E678" s="4" t="s">
        <v>3608</v>
      </c>
      <c r="F678" s="4" t="s">
        <v>7</v>
      </c>
      <c r="G678" s="4" t="str">
        <f t="shared" si="79"/>
        <v>Romper Short</v>
      </c>
      <c r="H678" s="38">
        <f t="shared" si="74"/>
        <v>6</v>
      </c>
      <c r="I678" s="54">
        <f t="shared" si="73"/>
        <v>23</v>
      </c>
      <c r="J678" s="14" t="str">
        <f t="shared" si="76"/>
        <v>FathersDay</v>
      </c>
      <c r="K678" s="16" t="str">
        <f>TRIM(LEFT(E678,FIND("(",E678&amp;"(")-1))</f>
        <v>12-18</v>
      </c>
      <c r="L678" s="14" t="str">
        <f t="shared" si="77"/>
        <v>Romper Short | 12-18 | Caldet Blue</v>
      </c>
      <c r="M678" s="16" t="s">
        <v>3610</v>
      </c>
    </row>
    <row r="679" spans="1:13" ht="25" customHeight="1" x14ac:dyDescent="0.45">
      <c r="A679" s="6">
        <v>46178</v>
      </c>
      <c r="B679" s="3" t="s">
        <v>1222</v>
      </c>
      <c r="C679" s="4" t="s">
        <v>87</v>
      </c>
      <c r="D679" s="53" t="str">
        <f t="shared" si="75"/>
        <v>Cream</v>
      </c>
      <c r="E679" s="4" t="s">
        <v>580</v>
      </c>
      <c r="F679" s="4" t="s">
        <v>7</v>
      </c>
      <c r="G679" s="4" t="str">
        <f t="shared" si="79"/>
        <v>Romper Short</v>
      </c>
      <c r="H679" s="38">
        <f t="shared" si="74"/>
        <v>6</v>
      </c>
      <c r="I679" s="54">
        <f t="shared" si="73"/>
        <v>23</v>
      </c>
      <c r="J679" s="14" t="str">
        <f t="shared" si="76"/>
        <v>FathersDay</v>
      </c>
      <c r="K679" s="16" t="str">
        <f t="shared" si="78"/>
        <v>0-3</v>
      </c>
      <c r="L679" s="14" t="str">
        <f t="shared" si="77"/>
        <v>Romper Short | 0-3 | Cream</v>
      </c>
      <c r="M679" s="16" t="s">
        <v>3609</v>
      </c>
    </row>
    <row r="680" spans="1:13" ht="25" customHeight="1" x14ac:dyDescent="0.45">
      <c r="A680" s="6">
        <v>46178</v>
      </c>
      <c r="B680" s="3" t="s">
        <v>1223</v>
      </c>
      <c r="C680" s="4" t="s">
        <v>87</v>
      </c>
      <c r="D680" s="53" t="str">
        <f t="shared" si="75"/>
        <v>Cream</v>
      </c>
      <c r="E680" s="4" t="s">
        <v>479</v>
      </c>
      <c r="F680" s="4" t="s">
        <v>19</v>
      </c>
      <c r="G680" s="4" t="str">
        <f t="shared" si="79"/>
        <v>Romper Longer</v>
      </c>
      <c r="H680" s="38">
        <f t="shared" si="74"/>
        <v>6</v>
      </c>
      <c r="I680" s="54">
        <f t="shared" si="73"/>
        <v>23</v>
      </c>
      <c r="J680" s="14" t="str">
        <f t="shared" si="76"/>
        <v>FathersDay</v>
      </c>
      <c r="K680" s="16" t="str">
        <f t="shared" si="78"/>
        <v>6-12</v>
      </c>
      <c r="L680" s="14" t="str">
        <f t="shared" si="77"/>
        <v>Romper Longer | 6-12 | Cream</v>
      </c>
      <c r="M680" s="16" t="s">
        <v>3611</v>
      </c>
    </row>
    <row r="681" spans="1:13" ht="25" customHeight="1" x14ac:dyDescent="0.45">
      <c r="A681" s="6">
        <v>46178</v>
      </c>
      <c r="B681" s="3" t="s">
        <v>1224</v>
      </c>
      <c r="C681" s="4" t="s">
        <v>87</v>
      </c>
      <c r="D681" s="53" t="str">
        <f t="shared" si="75"/>
        <v>Cream</v>
      </c>
      <c r="E681" s="4" t="s">
        <v>485</v>
      </c>
      <c r="F681" s="4" t="s">
        <v>7</v>
      </c>
      <c r="G681" s="4" t="str">
        <f t="shared" si="79"/>
        <v>Romper Short</v>
      </c>
      <c r="H681" s="38">
        <f t="shared" si="74"/>
        <v>6</v>
      </c>
      <c r="I681" s="54">
        <f t="shared" si="73"/>
        <v>23</v>
      </c>
      <c r="J681" s="14" t="str">
        <f t="shared" si="76"/>
        <v>FathersDay</v>
      </c>
      <c r="K681" s="16" t="str">
        <f t="shared" si="78"/>
        <v>3-6</v>
      </c>
      <c r="L681" s="14" t="str">
        <f t="shared" si="77"/>
        <v>Romper Short | 3-6 | Cream</v>
      </c>
      <c r="M681" s="16" t="s">
        <v>3609</v>
      </c>
    </row>
    <row r="682" spans="1:13" ht="25" customHeight="1" x14ac:dyDescent="0.45">
      <c r="A682" s="6">
        <v>46178</v>
      </c>
      <c r="B682" s="3" t="s">
        <v>1225</v>
      </c>
      <c r="C682" s="4" t="s">
        <v>573</v>
      </c>
      <c r="D682" s="53" t="str">
        <f t="shared" si="75"/>
        <v>Mauve Taupe</v>
      </c>
      <c r="E682" s="4" t="s">
        <v>479</v>
      </c>
      <c r="F682" s="4" t="s">
        <v>7</v>
      </c>
      <c r="G682" s="4" t="str">
        <f t="shared" si="79"/>
        <v>Romper Longer</v>
      </c>
      <c r="H682" s="38">
        <f t="shared" si="74"/>
        <v>6</v>
      </c>
      <c r="I682" s="54">
        <f t="shared" ref="I682:I722" si="80">WEEKNUM(A682)</f>
        <v>23</v>
      </c>
      <c r="J682" s="14" t="str">
        <f t="shared" si="76"/>
        <v>FathersDay</v>
      </c>
      <c r="K682" s="16" t="str">
        <f t="shared" si="78"/>
        <v>6-12</v>
      </c>
      <c r="L682" s="14" t="str">
        <f t="shared" si="77"/>
        <v>Romper Longer | 6-12 | Mauve Taupe</v>
      </c>
      <c r="M682" s="16" t="s">
        <v>3610</v>
      </c>
    </row>
    <row r="683" spans="1:13" ht="25" customHeight="1" x14ac:dyDescent="0.45">
      <c r="A683" s="6">
        <v>46179</v>
      </c>
      <c r="B683" s="3" t="s">
        <v>1226</v>
      </c>
      <c r="C683" s="4" t="s">
        <v>184</v>
      </c>
      <c r="D683" s="53" t="str">
        <f t="shared" si="75"/>
        <v>Coffee</v>
      </c>
      <c r="E683" s="4" t="s">
        <v>479</v>
      </c>
      <c r="F683" s="4" t="s">
        <v>14</v>
      </c>
      <c r="G683" s="4" t="str">
        <f t="shared" si="79"/>
        <v>Romper Longer</v>
      </c>
      <c r="H683" s="38">
        <f t="shared" si="74"/>
        <v>6</v>
      </c>
      <c r="I683" s="54">
        <f t="shared" si="80"/>
        <v>23</v>
      </c>
      <c r="J683" s="14" t="str">
        <f t="shared" si="76"/>
        <v>FathersDay</v>
      </c>
      <c r="K683" s="16" t="str">
        <f t="shared" si="78"/>
        <v>6-12</v>
      </c>
      <c r="L683" s="14" t="str">
        <f t="shared" si="77"/>
        <v>Romper Longer | 6-12 | Coffee</v>
      </c>
      <c r="M683" s="16" t="s">
        <v>3610</v>
      </c>
    </row>
    <row r="684" spans="1:13" ht="25" customHeight="1" x14ac:dyDescent="0.45">
      <c r="A684" s="6">
        <v>46179</v>
      </c>
      <c r="B684" s="3" t="s">
        <v>1227</v>
      </c>
      <c r="C684" s="4" t="s">
        <v>87</v>
      </c>
      <c r="D684" s="53" t="str">
        <f t="shared" si="75"/>
        <v>Cream</v>
      </c>
      <c r="E684" s="4" t="s">
        <v>479</v>
      </c>
      <c r="F684" s="4" t="s">
        <v>14</v>
      </c>
      <c r="G684" s="4" t="str">
        <f t="shared" si="79"/>
        <v>Romper Longer</v>
      </c>
      <c r="H684" s="38">
        <f t="shared" si="74"/>
        <v>6</v>
      </c>
      <c r="I684" s="54">
        <f t="shared" si="80"/>
        <v>23</v>
      </c>
      <c r="J684" s="14" t="str">
        <f t="shared" si="76"/>
        <v>FathersDay</v>
      </c>
      <c r="K684" s="16" t="str">
        <f t="shared" si="78"/>
        <v>6-12</v>
      </c>
      <c r="L684" s="14" t="str">
        <f t="shared" si="77"/>
        <v>Romper Longer | 6-12 | Cream</v>
      </c>
      <c r="M684" s="16" t="s">
        <v>3611</v>
      </c>
    </row>
    <row r="685" spans="1:13" ht="25" customHeight="1" x14ac:dyDescent="0.45">
      <c r="A685" s="6">
        <v>46179</v>
      </c>
      <c r="B685" s="3" t="s">
        <v>1228</v>
      </c>
      <c r="C685" s="4" t="s">
        <v>508</v>
      </c>
      <c r="D685" s="53" t="str">
        <f t="shared" si="75"/>
        <v>Dusty Pink</v>
      </c>
      <c r="E685" s="4" t="s">
        <v>485</v>
      </c>
      <c r="F685" s="4" t="s">
        <v>15</v>
      </c>
      <c r="G685" s="4" t="str">
        <f t="shared" si="79"/>
        <v>Romper Short</v>
      </c>
      <c r="H685" s="38">
        <f t="shared" si="74"/>
        <v>6</v>
      </c>
      <c r="I685" s="54">
        <f t="shared" si="80"/>
        <v>23</v>
      </c>
      <c r="J685" s="14" t="str">
        <f t="shared" si="76"/>
        <v>FathersDay</v>
      </c>
      <c r="K685" s="16" t="str">
        <f t="shared" si="78"/>
        <v>3-6</v>
      </c>
      <c r="L685" s="14" t="str">
        <f t="shared" si="77"/>
        <v>Romper Short | 3-6 | Dusty Pink</v>
      </c>
      <c r="M685" s="16" t="s">
        <v>3610</v>
      </c>
    </row>
    <row r="686" spans="1:13" ht="25" customHeight="1" x14ac:dyDescent="0.45">
      <c r="A686" s="6">
        <v>46179</v>
      </c>
      <c r="B686" s="3" t="s">
        <v>1229</v>
      </c>
      <c r="C686" s="4" t="s">
        <v>87</v>
      </c>
      <c r="D686" s="53" t="str">
        <f t="shared" si="75"/>
        <v>Cream</v>
      </c>
      <c r="E686" s="4" t="s">
        <v>485</v>
      </c>
      <c r="F686" s="4" t="s">
        <v>7</v>
      </c>
      <c r="G686" s="4" t="str">
        <f t="shared" si="79"/>
        <v>Romper Short</v>
      </c>
      <c r="H686" s="38">
        <f t="shared" si="74"/>
        <v>6</v>
      </c>
      <c r="I686" s="54">
        <f t="shared" si="80"/>
        <v>23</v>
      </c>
      <c r="J686" s="14" t="str">
        <f t="shared" si="76"/>
        <v>FathersDay</v>
      </c>
      <c r="K686" s="16" t="str">
        <f t="shared" si="78"/>
        <v>3-6</v>
      </c>
      <c r="L686" s="14" t="str">
        <f t="shared" si="77"/>
        <v>Romper Short | 3-6 | Cream</v>
      </c>
      <c r="M686" s="16" t="s">
        <v>3609</v>
      </c>
    </row>
    <row r="687" spans="1:13" ht="25" customHeight="1" x14ac:dyDescent="0.45">
      <c r="A687" s="6">
        <v>46179</v>
      </c>
      <c r="B687" s="3" t="s">
        <v>1230</v>
      </c>
      <c r="C687" s="4" t="s">
        <v>184</v>
      </c>
      <c r="D687" s="53" t="str">
        <f t="shared" si="75"/>
        <v>Coffee</v>
      </c>
      <c r="E687" s="4" t="s">
        <v>490</v>
      </c>
      <c r="F687" s="4" t="s">
        <v>7</v>
      </c>
      <c r="G687" s="4" t="str">
        <f t="shared" si="79"/>
        <v>Romper Longer</v>
      </c>
      <c r="H687" s="38">
        <f t="shared" si="74"/>
        <v>6</v>
      </c>
      <c r="I687" s="54">
        <f t="shared" si="80"/>
        <v>23</v>
      </c>
      <c r="J687" s="14" t="str">
        <f t="shared" si="76"/>
        <v>FathersDay</v>
      </c>
      <c r="K687" s="16" t="str">
        <f t="shared" si="78"/>
        <v>0-3</v>
      </c>
      <c r="L687" s="14" t="str">
        <f t="shared" si="77"/>
        <v>Romper Longer | 0-3 | Coffee</v>
      </c>
      <c r="M687" s="16" t="s">
        <v>3610</v>
      </c>
    </row>
    <row r="688" spans="1:13" ht="25" customHeight="1" x14ac:dyDescent="0.45">
      <c r="A688" s="6">
        <v>46179</v>
      </c>
      <c r="B688" s="3" t="s">
        <v>1231</v>
      </c>
      <c r="C688" s="4" t="s">
        <v>87</v>
      </c>
      <c r="D688" s="53" t="str">
        <f t="shared" si="75"/>
        <v>Cream</v>
      </c>
      <c r="E688" s="4" t="s">
        <v>555</v>
      </c>
      <c r="F688" s="4" t="s">
        <v>14</v>
      </c>
      <c r="G688" s="4" t="str">
        <f t="shared" si="79"/>
        <v>Romper Longer</v>
      </c>
      <c r="H688" s="38">
        <f t="shared" si="74"/>
        <v>6</v>
      </c>
      <c r="I688" s="54">
        <f t="shared" si="80"/>
        <v>23</v>
      </c>
      <c r="J688" s="14" t="str">
        <f t="shared" si="76"/>
        <v>FathersDay</v>
      </c>
      <c r="K688" s="16" t="str">
        <f t="shared" si="78"/>
        <v>3-6</v>
      </c>
      <c r="L688" s="14" t="str">
        <f t="shared" si="77"/>
        <v>Romper Longer | 3-6 | Cream</v>
      </c>
      <c r="M688" s="16" t="s">
        <v>3609</v>
      </c>
    </row>
    <row r="689" spans="1:13" ht="25" customHeight="1" x14ac:dyDescent="0.45">
      <c r="A689" s="6">
        <v>46179</v>
      </c>
      <c r="B689" s="3" t="s">
        <v>1232</v>
      </c>
      <c r="C689" s="4" t="s">
        <v>508</v>
      </c>
      <c r="D689" s="53" t="str">
        <f t="shared" si="75"/>
        <v>Dusty Pink</v>
      </c>
      <c r="E689" s="4" t="s">
        <v>485</v>
      </c>
      <c r="F689" s="4" t="s">
        <v>11</v>
      </c>
      <c r="G689" s="4" t="str">
        <f t="shared" si="79"/>
        <v>Romper Short</v>
      </c>
      <c r="H689" s="38">
        <f t="shared" si="74"/>
        <v>6</v>
      </c>
      <c r="I689" s="54">
        <f t="shared" si="80"/>
        <v>23</v>
      </c>
      <c r="J689" s="14" t="str">
        <f t="shared" si="76"/>
        <v>FathersDay</v>
      </c>
      <c r="K689" s="16" t="str">
        <f t="shared" si="78"/>
        <v>3-6</v>
      </c>
      <c r="L689" s="14" t="str">
        <f t="shared" si="77"/>
        <v>Romper Short | 3-6 | Dusty Pink</v>
      </c>
      <c r="M689" s="16" t="s">
        <v>3610</v>
      </c>
    </row>
    <row r="690" spans="1:13" ht="25" customHeight="1" x14ac:dyDescent="0.45">
      <c r="A690" s="6">
        <v>46179</v>
      </c>
      <c r="B690" s="3" t="s">
        <v>1233</v>
      </c>
      <c r="C690" s="4" t="s">
        <v>101</v>
      </c>
      <c r="D690" s="53" t="str">
        <f t="shared" si="75"/>
        <v>Sage Green</v>
      </c>
      <c r="E690" s="4" t="s">
        <v>555</v>
      </c>
      <c r="F690" s="4" t="s">
        <v>142</v>
      </c>
      <c r="G690" s="4" t="str">
        <f t="shared" si="79"/>
        <v>Romper Longer</v>
      </c>
      <c r="H690" s="38">
        <f t="shared" si="74"/>
        <v>6</v>
      </c>
      <c r="I690" s="54">
        <f t="shared" si="80"/>
        <v>23</v>
      </c>
      <c r="J690" s="14" t="str">
        <f t="shared" si="76"/>
        <v>FathersDay</v>
      </c>
      <c r="K690" s="16" t="str">
        <f t="shared" si="78"/>
        <v>3-6</v>
      </c>
      <c r="L690" s="14" t="str">
        <f t="shared" si="77"/>
        <v>Romper Longer | 3-6 | Sage Green</v>
      </c>
      <c r="M690" s="16" t="s">
        <v>3611</v>
      </c>
    </row>
    <row r="691" spans="1:13" ht="25" customHeight="1" x14ac:dyDescent="0.45">
      <c r="A691" s="6">
        <v>46179</v>
      </c>
      <c r="B691" s="3" t="s">
        <v>1234</v>
      </c>
      <c r="C691" s="4" t="s">
        <v>87</v>
      </c>
      <c r="D691" s="53" t="str">
        <f t="shared" si="75"/>
        <v>Cream</v>
      </c>
      <c r="E691" s="4" t="s">
        <v>555</v>
      </c>
      <c r="F691" s="4" t="s">
        <v>7</v>
      </c>
      <c r="G691" s="4" t="str">
        <f t="shared" si="79"/>
        <v>Romper Longer</v>
      </c>
      <c r="H691" s="38">
        <f t="shared" si="74"/>
        <v>6</v>
      </c>
      <c r="I691" s="54">
        <f t="shared" si="80"/>
        <v>23</v>
      </c>
      <c r="J691" s="14" t="str">
        <f t="shared" si="76"/>
        <v>FathersDay</v>
      </c>
      <c r="K691" s="16" t="str">
        <f t="shared" si="78"/>
        <v>3-6</v>
      </c>
      <c r="L691" s="14" t="str">
        <f t="shared" si="77"/>
        <v>Romper Longer | 3-6 | Cream</v>
      </c>
      <c r="M691" s="16" t="s">
        <v>3609</v>
      </c>
    </row>
    <row r="692" spans="1:13" ht="25" customHeight="1" x14ac:dyDescent="0.45">
      <c r="A692" s="6">
        <v>46179</v>
      </c>
      <c r="B692" s="3" t="s">
        <v>1235</v>
      </c>
      <c r="C692" s="4" t="s">
        <v>87</v>
      </c>
      <c r="D692" s="53" t="str">
        <f t="shared" si="75"/>
        <v>Cream</v>
      </c>
      <c r="E692" s="4" t="s">
        <v>479</v>
      </c>
      <c r="F692" s="4" t="s">
        <v>19</v>
      </c>
      <c r="G692" s="4" t="str">
        <f t="shared" si="79"/>
        <v>Romper Longer</v>
      </c>
      <c r="H692" s="38">
        <f t="shared" si="74"/>
        <v>6</v>
      </c>
      <c r="I692" s="54">
        <f t="shared" si="80"/>
        <v>23</v>
      </c>
      <c r="J692" s="14" t="str">
        <f t="shared" si="76"/>
        <v>FathersDay</v>
      </c>
      <c r="K692" s="16" t="str">
        <f t="shared" si="78"/>
        <v>6-12</v>
      </c>
      <c r="L692" s="14" t="str">
        <f t="shared" si="77"/>
        <v>Romper Longer | 6-12 | Cream</v>
      </c>
      <c r="M692" s="16" t="s">
        <v>3611</v>
      </c>
    </row>
    <row r="693" spans="1:13" ht="25" customHeight="1" x14ac:dyDescent="0.45">
      <c r="A693" s="6">
        <v>46179</v>
      </c>
      <c r="B693" s="3" t="s">
        <v>1236</v>
      </c>
      <c r="C693" s="4" t="s">
        <v>508</v>
      </c>
      <c r="D693" s="53" t="str">
        <f t="shared" si="75"/>
        <v>Dusty Pink</v>
      </c>
      <c r="E693" s="4" t="s">
        <v>490</v>
      </c>
      <c r="F693" s="4" t="s">
        <v>7</v>
      </c>
      <c r="G693" s="4" t="str">
        <f t="shared" si="79"/>
        <v>Romper Longer</v>
      </c>
      <c r="H693" s="38">
        <f t="shared" si="74"/>
        <v>6</v>
      </c>
      <c r="I693" s="54">
        <f t="shared" si="80"/>
        <v>23</v>
      </c>
      <c r="J693" s="14" t="str">
        <f t="shared" si="76"/>
        <v>FathersDay</v>
      </c>
      <c r="K693" s="16" t="str">
        <f t="shared" si="78"/>
        <v>0-3</v>
      </c>
      <c r="L693" s="14" t="str">
        <f t="shared" si="77"/>
        <v>Romper Longer | 0-3 | Dusty Pink</v>
      </c>
      <c r="M693" s="16" t="s">
        <v>3610</v>
      </c>
    </row>
    <row r="694" spans="1:13" ht="25" customHeight="1" x14ac:dyDescent="0.45">
      <c r="A694" s="6">
        <v>46180</v>
      </c>
      <c r="B694" s="3" t="s">
        <v>1237</v>
      </c>
      <c r="C694" s="4" t="s">
        <v>528</v>
      </c>
      <c r="D694" s="53" t="str">
        <f t="shared" si="75"/>
        <v>Watermelon</v>
      </c>
      <c r="E694" s="4" t="s">
        <v>485</v>
      </c>
      <c r="F694" s="4" t="s">
        <v>7</v>
      </c>
      <c r="G694" s="4" t="str">
        <f t="shared" si="79"/>
        <v>Romper Short</v>
      </c>
      <c r="H694" s="38">
        <f t="shared" si="74"/>
        <v>6</v>
      </c>
      <c r="I694" s="54">
        <f t="shared" si="80"/>
        <v>24</v>
      </c>
      <c r="J694" s="14" t="str">
        <f t="shared" si="76"/>
        <v>FathersDay</v>
      </c>
      <c r="K694" s="16" t="str">
        <f t="shared" si="78"/>
        <v>3-6</v>
      </c>
      <c r="L694" s="14" t="str">
        <f t="shared" si="77"/>
        <v>Romper Short | 3-6 | Watermelon</v>
      </c>
      <c r="M694" s="16" t="s">
        <v>3610</v>
      </c>
    </row>
    <row r="695" spans="1:13" ht="25" customHeight="1" x14ac:dyDescent="0.45">
      <c r="A695" s="6">
        <v>46180</v>
      </c>
      <c r="B695" s="3" t="s">
        <v>1238</v>
      </c>
      <c r="C695" s="4" t="s">
        <v>87</v>
      </c>
      <c r="D695" s="53" t="str">
        <f t="shared" si="75"/>
        <v>Cream</v>
      </c>
      <c r="E695" s="4" t="s">
        <v>555</v>
      </c>
      <c r="F695" s="4" t="s">
        <v>7</v>
      </c>
      <c r="G695" s="4" t="str">
        <f t="shared" si="79"/>
        <v>Romper Longer</v>
      </c>
      <c r="H695" s="38">
        <f t="shared" si="74"/>
        <v>6</v>
      </c>
      <c r="I695" s="54">
        <f t="shared" si="80"/>
        <v>24</v>
      </c>
      <c r="J695" s="14" t="str">
        <f t="shared" si="76"/>
        <v>FathersDay</v>
      </c>
      <c r="K695" s="16" t="str">
        <f t="shared" si="78"/>
        <v>3-6</v>
      </c>
      <c r="L695" s="14" t="str">
        <f t="shared" si="77"/>
        <v>Romper Longer | 3-6 | Cream</v>
      </c>
      <c r="M695" s="16" t="s">
        <v>3609</v>
      </c>
    </row>
    <row r="696" spans="1:13" ht="25" customHeight="1" x14ac:dyDescent="0.45">
      <c r="A696" s="6">
        <v>46180</v>
      </c>
      <c r="B696" s="3" t="s">
        <v>1238</v>
      </c>
      <c r="C696" s="4" t="s">
        <v>573</v>
      </c>
      <c r="D696" s="53" t="str">
        <f t="shared" si="75"/>
        <v>Mauve Taupe</v>
      </c>
      <c r="E696" s="4" t="s">
        <v>555</v>
      </c>
      <c r="F696" s="4" t="s">
        <v>14</v>
      </c>
      <c r="G696" s="4" t="str">
        <f t="shared" si="79"/>
        <v>Romper Longer</v>
      </c>
      <c r="H696" s="38">
        <f t="shared" si="74"/>
        <v>6</v>
      </c>
      <c r="I696" s="54">
        <f t="shared" si="80"/>
        <v>24</v>
      </c>
      <c r="J696" s="14" t="str">
        <f t="shared" si="76"/>
        <v>FathersDay</v>
      </c>
      <c r="K696" s="16" t="str">
        <f t="shared" si="78"/>
        <v>3-6</v>
      </c>
      <c r="L696" s="14" t="str">
        <f t="shared" si="77"/>
        <v>Romper Longer | 3-6 | Mauve Taupe</v>
      </c>
      <c r="M696" s="16" t="s">
        <v>3610</v>
      </c>
    </row>
    <row r="697" spans="1:13" ht="25" customHeight="1" x14ac:dyDescent="0.45">
      <c r="A697" s="6">
        <v>46180</v>
      </c>
      <c r="B697" s="3" t="s">
        <v>1239</v>
      </c>
      <c r="C697" s="4" t="s">
        <v>508</v>
      </c>
      <c r="D697" s="53" t="str">
        <f t="shared" si="75"/>
        <v>Dusty Pink</v>
      </c>
      <c r="E697" s="4" t="s">
        <v>555</v>
      </c>
      <c r="F697" s="4" t="s">
        <v>7</v>
      </c>
      <c r="G697" s="4" t="str">
        <f t="shared" si="79"/>
        <v>Romper Longer</v>
      </c>
      <c r="H697" s="38">
        <f t="shared" si="74"/>
        <v>6</v>
      </c>
      <c r="I697" s="54">
        <f t="shared" si="80"/>
        <v>24</v>
      </c>
      <c r="J697" s="14" t="str">
        <f t="shared" si="76"/>
        <v>FathersDay</v>
      </c>
      <c r="K697" s="16" t="str">
        <f t="shared" si="78"/>
        <v>3-6</v>
      </c>
      <c r="L697" s="14" t="str">
        <f t="shared" si="77"/>
        <v>Romper Longer | 3-6 | Dusty Pink</v>
      </c>
      <c r="M697" s="16" t="s">
        <v>3610</v>
      </c>
    </row>
    <row r="698" spans="1:13" ht="25" customHeight="1" x14ac:dyDescent="0.45">
      <c r="A698" s="6">
        <v>46180</v>
      </c>
      <c r="B698" s="3" t="s">
        <v>1240</v>
      </c>
      <c r="C698" s="4" t="s">
        <v>101</v>
      </c>
      <c r="D698" s="53" t="str">
        <f t="shared" si="75"/>
        <v>Sage Green</v>
      </c>
      <c r="E698" s="4" t="s">
        <v>485</v>
      </c>
      <c r="F698" s="4" t="s">
        <v>7</v>
      </c>
      <c r="G698" s="4" t="str">
        <f t="shared" si="79"/>
        <v>Romper Short</v>
      </c>
      <c r="H698" s="38">
        <f t="shared" si="74"/>
        <v>6</v>
      </c>
      <c r="I698" s="54">
        <f t="shared" si="80"/>
        <v>24</v>
      </c>
      <c r="J698" s="14" t="str">
        <f t="shared" si="76"/>
        <v>FathersDay</v>
      </c>
      <c r="K698" s="16" t="str">
        <f t="shared" si="78"/>
        <v>3-6</v>
      </c>
      <c r="L698" s="14" t="str">
        <f t="shared" si="77"/>
        <v>Romper Short | 3-6 | Sage Green</v>
      </c>
      <c r="M698" s="16" t="s">
        <v>3611</v>
      </c>
    </row>
    <row r="699" spans="1:13" ht="25" customHeight="1" x14ac:dyDescent="0.45">
      <c r="A699" s="6">
        <v>46180</v>
      </c>
      <c r="B699" s="3" t="s">
        <v>1241</v>
      </c>
      <c r="C699" s="4" t="s">
        <v>87</v>
      </c>
      <c r="D699" s="53" t="str">
        <f t="shared" si="75"/>
        <v>Cream</v>
      </c>
      <c r="E699" s="4" t="s">
        <v>479</v>
      </c>
      <c r="F699" s="4" t="s">
        <v>11</v>
      </c>
      <c r="G699" s="4" t="str">
        <f t="shared" si="79"/>
        <v>Romper Longer</v>
      </c>
      <c r="H699" s="38">
        <f t="shared" si="74"/>
        <v>6</v>
      </c>
      <c r="I699" s="54">
        <f t="shared" si="80"/>
        <v>24</v>
      </c>
      <c r="J699" s="14" t="str">
        <f t="shared" si="76"/>
        <v>FathersDay</v>
      </c>
      <c r="K699" s="16" t="str">
        <f t="shared" si="78"/>
        <v>6-12</v>
      </c>
      <c r="L699" s="14" t="str">
        <f t="shared" si="77"/>
        <v>Romper Longer | 6-12 | Cream</v>
      </c>
      <c r="M699" s="16" t="s">
        <v>3611</v>
      </c>
    </row>
    <row r="700" spans="1:13" ht="25" customHeight="1" x14ac:dyDescent="0.45">
      <c r="A700" s="6">
        <v>46180</v>
      </c>
      <c r="B700" s="3" t="s">
        <v>1242</v>
      </c>
      <c r="C700" s="4" t="s">
        <v>473</v>
      </c>
      <c r="D700" s="53" t="str">
        <f t="shared" si="75"/>
        <v>Salmon</v>
      </c>
      <c r="E700" s="4" t="s">
        <v>485</v>
      </c>
      <c r="F700" s="4" t="s">
        <v>15</v>
      </c>
      <c r="G700" s="4" t="str">
        <f t="shared" si="79"/>
        <v>Romper Short</v>
      </c>
      <c r="H700" s="38">
        <f t="shared" si="74"/>
        <v>6</v>
      </c>
      <c r="I700" s="54">
        <f t="shared" si="80"/>
        <v>24</v>
      </c>
      <c r="J700" s="14" t="str">
        <f t="shared" si="76"/>
        <v>FathersDay</v>
      </c>
      <c r="K700" s="16" t="str">
        <f t="shared" si="78"/>
        <v>3-6</v>
      </c>
      <c r="L700" s="14" t="str">
        <f t="shared" si="77"/>
        <v>Romper Short | 3-6 | Salmon</v>
      </c>
      <c r="M700" s="16" t="s">
        <v>3610</v>
      </c>
    </row>
    <row r="701" spans="1:13" ht="25" customHeight="1" x14ac:dyDescent="0.45">
      <c r="A701" s="6">
        <v>46180</v>
      </c>
      <c r="B701" s="3" t="s">
        <v>1243</v>
      </c>
      <c r="C701" s="4" t="s">
        <v>493</v>
      </c>
      <c r="D701" s="53" t="str">
        <f t="shared" si="75"/>
        <v>Texas Orange</v>
      </c>
      <c r="E701" s="4" t="s">
        <v>479</v>
      </c>
      <c r="F701" s="4" t="s">
        <v>7</v>
      </c>
      <c r="G701" s="4" t="str">
        <f t="shared" si="79"/>
        <v>Romper Longer</v>
      </c>
      <c r="H701" s="38">
        <f t="shared" si="74"/>
        <v>6</v>
      </c>
      <c r="I701" s="54">
        <f t="shared" si="80"/>
        <v>24</v>
      </c>
      <c r="J701" s="14" t="str">
        <f t="shared" si="76"/>
        <v>FathersDay</v>
      </c>
      <c r="K701" s="16" t="str">
        <f t="shared" si="78"/>
        <v>6-12</v>
      </c>
      <c r="L701" s="14" t="str">
        <f t="shared" si="77"/>
        <v>Romper Longer | 6-12 | Texas Orange</v>
      </c>
      <c r="M701" s="16" t="s">
        <v>3610</v>
      </c>
    </row>
    <row r="702" spans="1:13" ht="25" customHeight="1" x14ac:dyDescent="0.45">
      <c r="A702" s="6">
        <v>46181</v>
      </c>
      <c r="B702" s="3" t="s">
        <v>1244</v>
      </c>
      <c r="C702" s="4" t="s">
        <v>483</v>
      </c>
      <c r="D702" s="53" t="str">
        <f t="shared" si="75"/>
        <v>Forest Green</v>
      </c>
      <c r="E702" s="4" t="s">
        <v>555</v>
      </c>
      <c r="F702" s="4" t="s">
        <v>7</v>
      </c>
      <c r="G702" s="4" t="str">
        <f t="shared" si="79"/>
        <v>Romper Longer</v>
      </c>
      <c r="H702" s="38">
        <f t="shared" si="74"/>
        <v>6</v>
      </c>
      <c r="I702" s="54">
        <f t="shared" si="80"/>
        <v>24</v>
      </c>
      <c r="J702" s="14" t="str">
        <f t="shared" si="76"/>
        <v>FathersDay</v>
      </c>
      <c r="K702" s="16" t="str">
        <f t="shared" si="78"/>
        <v>3-6</v>
      </c>
      <c r="L702" s="14" t="str">
        <f t="shared" si="77"/>
        <v>Romper Longer | 3-6 | Forest Green</v>
      </c>
      <c r="M702" s="16" t="s">
        <v>3610</v>
      </c>
    </row>
    <row r="703" spans="1:13" ht="25" customHeight="1" x14ac:dyDescent="0.45">
      <c r="A703" s="6">
        <v>46181</v>
      </c>
      <c r="B703" s="3" t="s">
        <v>1245</v>
      </c>
      <c r="C703" s="4" t="s">
        <v>87</v>
      </c>
      <c r="D703" s="53" t="str">
        <f t="shared" si="75"/>
        <v>Cream</v>
      </c>
      <c r="E703" s="4" t="s">
        <v>555</v>
      </c>
      <c r="F703" s="4" t="s">
        <v>13</v>
      </c>
      <c r="G703" s="4" t="str">
        <f t="shared" si="79"/>
        <v>Romper Longer</v>
      </c>
      <c r="H703" s="38">
        <f t="shared" si="74"/>
        <v>6</v>
      </c>
      <c r="I703" s="54">
        <f t="shared" si="80"/>
        <v>24</v>
      </c>
      <c r="J703" s="14" t="str">
        <f t="shared" si="76"/>
        <v>FathersDay</v>
      </c>
      <c r="K703" s="16" t="str">
        <f t="shared" si="78"/>
        <v>3-6</v>
      </c>
      <c r="L703" s="14" t="str">
        <f t="shared" si="77"/>
        <v>Romper Longer | 3-6 | Cream</v>
      </c>
      <c r="M703" s="16" t="s">
        <v>3609</v>
      </c>
    </row>
    <row r="704" spans="1:13" ht="25" customHeight="1" x14ac:dyDescent="0.45">
      <c r="A704" s="6">
        <v>46181</v>
      </c>
      <c r="B704" s="3" t="s">
        <v>1246</v>
      </c>
      <c r="C704" s="4" t="s">
        <v>87</v>
      </c>
      <c r="D704" s="53" t="str">
        <f t="shared" si="75"/>
        <v>Cream</v>
      </c>
      <c r="E704" s="4" t="s">
        <v>555</v>
      </c>
      <c r="F704" s="4" t="s">
        <v>7</v>
      </c>
      <c r="G704" s="4" t="str">
        <f t="shared" si="79"/>
        <v>Romper Longer</v>
      </c>
      <c r="H704" s="38">
        <f t="shared" si="74"/>
        <v>6</v>
      </c>
      <c r="I704" s="54">
        <f t="shared" si="80"/>
        <v>24</v>
      </c>
      <c r="J704" s="14" t="str">
        <f t="shared" si="76"/>
        <v>FathersDay</v>
      </c>
      <c r="K704" s="16" t="str">
        <f t="shared" si="78"/>
        <v>3-6</v>
      </c>
      <c r="L704" s="14" t="str">
        <f t="shared" si="77"/>
        <v>Romper Longer | 3-6 | Cream</v>
      </c>
      <c r="M704" s="16" t="s">
        <v>3609</v>
      </c>
    </row>
    <row r="705" spans="1:13" ht="25" customHeight="1" x14ac:dyDescent="0.45">
      <c r="A705" s="6">
        <v>46181</v>
      </c>
      <c r="B705" s="3" t="s">
        <v>1247</v>
      </c>
      <c r="C705" s="4" t="s">
        <v>528</v>
      </c>
      <c r="D705" s="53" t="str">
        <f t="shared" si="75"/>
        <v>Watermelon</v>
      </c>
      <c r="E705" s="4" t="s">
        <v>555</v>
      </c>
      <c r="F705" s="4" t="s">
        <v>37</v>
      </c>
      <c r="G705" s="4" t="str">
        <f t="shared" si="79"/>
        <v>Romper Longer</v>
      </c>
      <c r="H705" s="38">
        <f t="shared" si="74"/>
        <v>6</v>
      </c>
      <c r="I705" s="54">
        <f t="shared" si="80"/>
        <v>24</v>
      </c>
      <c r="J705" s="14" t="str">
        <f t="shared" si="76"/>
        <v>FathersDay</v>
      </c>
      <c r="K705" s="16" t="str">
        <f t="shared" si="78"/>
        <v>3-6</v>
      </c>
      <c r="L705" s="14" t="str">
        <f t="shared" si="77"/>
        <v>Romper Longer | 3-6 | Watermelon</v>
      </c>
      <c r="M705" s="16" t="s">
        <v>3610</v>
      </c>
    </row>
    <row r="706" spans="1:13" ht="25" customHeight="1" x14ac:dyDescent="0.45">
      <c r="A706" s="6">
        <v>46181</v>
      </c>
      <c r="B706" s="3" t="s">
        <v>1238</v>
      </c>
      <c r="C706" s="4" t="s">
        <v>87</v>
      </c>
      <c r="D706" s="53" t="str">
        <f t="shared" si="75"/>
        <v>Cream</v>
      </c>
      <c r="E706" s="4" t="s">
        <v>580</v>
      </c>
      <c r="F706" s="4" t="s">
        <v>7</v>
      </c>
      <c r="G706" s="4" t="str">
        <f t="shared" si="79"/>
        <v>Romper Short</v>
      </c>
      <c r="H706" s="38">
        <f t="shared" ref="H706:H769" si="81">MONTH(A706)</f>
        <v>6</v>
      </c>
      <c r="I706" s="54">
        <f t="shared" si="80"/>
        <v>24</v>
      </c>
      <c r="J706" s="14" t="str">
        <f t="shared" si="76"/>
        <v>FathersDay</v>
      </c>
      <c r="K706" s="16" t="str">
        <f t="shared" si="78"/>
        <v>0-3</v>
      </c>
      <c r="L706" s="14" t="str">
        <f t="shared" si="77"/>
        <v>Romper Short | 0-3 | Cream</v>
      </c>
      <c r="M706" s="16" t="s">
        <v>3609</v>
      </c>
    </row>
    <row r="707" spans="1:13" ht="25" customHeight="1" x14ac:dyDescent="0.45">
      <c r="A707" s="6">
        <v>46181</v>
      </c>
      <c r="B707" s="3" t="s">
        <v>1241</v>
      </c>
      <c r="C707" s="4" t="s">
        <v>470</v>
      </c>
      <c r="D707" s="53" t="str">
        <f t="shared" ref="D707:D770" si="82">PROPER(C707)</f>
        <v>Caldet Blue</v>
      </c>
      <c r="E707" s="4" t="s">
        <v>589</v>
      </c>
      <c r="F707" s="4" t="s">
        <v>7</v>
      </c>
      <c r="G707" s="4" t="str">
        <f t="shared" si="79"/>
        <v>Romper Short</v>
      </c>
      <c r="H707" s="38">
        <f t="shared" si="81"/>
        <v>6</v>
      </c>
      <c r="I707" s="54">
        <f t="shared" si="80"/>
        <v>24</v>
      </c>
      <c r="J707" s="14" t="str">
        <f t="shared" ref="J707:J770" si="83">IF(H707=1,"NewYear",
IF(H707=2,"Valentine",
IF(OR(H707=3,H707=4),"Easter",
IF(H707=5,"MothersDay",
IF(H707=6,"FathersDay",
IF(OR(H707=7,H707=8),"Summer",
IF(H707=10,"Halloween",
IF(OR(H707=11,H707=12),"Christmas","Normal"))))))))</f>
        <v>FathersDay</v>
      </c>
      <c r="K707" s="16" t="str">
        <f t="shared" si="78"/>
        <v>6-12</v>
      </c>
      <c r="L707" s="14" t="str">
        <f t="shared" ref="L707:L770" si="84">TRIM(G707)&amp;" | "&amp;TRIM(K707)&amp;" | "&amp;PROPER(TRIM(D707))</f>
        <v>Romper Short | 6-12 | Caldet Blue</v>
      </c>
      <c r="M707" s="16" t="s">
        <v>3610</v>
      </c>
    </row>
    <row r="708" spans="1:13" ht="25" customHeight="1" x14ac:dyDescent="0.45">
      <c r="A708" s="6">
        <v>46181</v>
      </c>
      <c r="B708" s="3" t="s">
        <v>1238</v>
      </c>
      <c r="C708" s="4" t="s">
        <v>87</v>
      </c>
      <c r="D708" s="53" t="str">
        <f t="shared" si="82"/>
        <v>Cream</v>
      </c>
      <c r="E708" s="4" t="s">
        <v>589</v>
      </c>
      <c r="F708" s="4" t="s">
        <v>7</v>
      </c>
      <c r="G708" s="4" t="str">
        <f t="shared" si="79"/>
        <v>Romper Short</v>
      </c>
      <c r="H708" s="38">
        <f t="shared" si="81"/>
        <v>6</v>
      </c>
      <c r="I708" s="54">
        <f t="shared" si="80"/>
        <v>24</v>
      </c>
      <c r="J708" s="14" t="str">
        <f t="shared" si="83"/>
        <v>FathersDay</v>
      </c>
      <c r="K708" s="16" t="str">
        <f t="shared" si="78"/>
        <v>6-12</v>
      </c>
      <c r="L708" s="14" t="str">
        <f t="shared" si="84"/>
        <v>Romper Short | 6-12 | Cream</v>
      </c>
      <c r="M708" s="16" t="s">
        <v>3611</v>
      </c>
    </row>
    <row r="709" spans="1:13" ht="25" customHeight="1" x14ac:dyDescent="0.45">
      <c r="A709" s="6">
        <v>46181</v>
      </c>
      <c r="B709" s="3" t="s">
        <v>1248</v>
      </c>
      <c r="C709" s="4" t="s">
        <v>508</v>
      </c>
      <c r="D709" s="53" t="str">
        <f t="shared" si="82"/>
        <v>Dusty Pink</v>
      </c>
      <c r="E709" s="4" t="s">
        <v>589</v>
      </c>
      <c r="F709" s="4" t="s">
        <v>7</v>
      </c>
      <c r="G709" s="4" t="str">
        <f t="shared" si="79"/>
        <v>Romper Short</v>
      </c>
      <c r="H709" s="38">
        <f t="shared" si="81"/>
        <v>6</v>
      </c>
      <c r="I709" s="54">
        <f t="shared" si="80"/>
        <v>24</v>
      </c>
      <c r="J709" s="14" t="str">
        <f t="shared" si="83"/>
        <v>FathersDay</v>
      </c>
      <c r="K709" s="16" t="str">
        <f t="shared" si="78"/>
        <v>6-12</v>
      </c>
      <c r="L709" s="14" t="str">
        <f t="shared" si="84"/>
        <v>Romper Short | 6-12 | Dusty Pink</v>
      </c>
      <c r="M709" s="16" t="s">
        <v>3610</v>
      </c>
    </row>
    <row r="710" spans="1:13" ht="25" customHeight="1" x14ac:dyDescent="0.45">
      <c r="A710" s="6">
        <v>46181</v>
      </c>
      <c r="B710" s="3" t="s">
        <v>1249</v>
      </c>
      <c r="C710" s="4" t="s">
        <v>87</v>
      </c>
      <c r="D710" s="53" t="str">
        <f t="shared" si="82"/>
        <v>Cream</v>
      </c>
      <c r="E710" s="4" t="s">
        <v>479</v>
      </c>
      <c r="F710" s="4" t="s">
        <v>11</v>
      </c>
      <c r="G710" s="4" t="str">
        <f t="shared" si="79"/>
        <v>Romper Longer</v>
      </c>
      <c r="H710" s="38">
        <f t="shared" si="81"/>
        <v>6</v>
      </c>
      <c r="I710" s="54">
        <f t="shared" si="80"/>
        <v>24</v>
      </c>
      <c r="J710" s="14" t="str">
        <f t="shared" si="83"/>
        <v>FathersDay</v>
      </c>
      <c r="K710" s="16" t="str">
        <f t="shared" si="78"/>
        <v>6-12</v>
      </c>
      <c r="L710" s="14" t="str">
        <f t="shared" si="84"/>
        <v>Romper Longer | 6-12 | Cream</v>
      </c>
      <c r="M710" s="16" t="s">
        <v>3611</v>
      </c>
    </row>
    <row r="711" spans="1:13" ht="25" customHeight="1" x14ac:dyDescent="0.45">
      <c r="A711" s="6">
        <v>46182</v>
      </c>
      <c r="B711" s="3" t="s">
        <v>1250</v>
      </c>
      <c r="C711" s="4" t="s">
        <v>101</v>
      </c>
      <c r="D711" s="53" t="str">
        <f t="shared" si="82"/>
        <v>Sage Green</v>
      </c>
      <c r="E711" s="4" t="s">
        <v>589</v>
      </c>
      <c r="F711" s="4" t="s">
        <v>7</v>
      </c>
      <c r="G711" s="4" t="str">
        <f t="shared" si="79"/>
        <v>Romper Short</v>
      </c>
      <c r="H711" s="38">
        <f t="shared" si="81"/>
        <v>6</v>
      </c>
      <c r="I711" s="54">
        <f t="shared" si="80"/>
        <v>24</v>
      </c>
      <c r="J711" s="14" t="str">
        <f t="shared" si="83"/>
        <v>FathersDay</v>
      </c>
      <c r="K711" s="16" t="str">
        <f t="shared" si="78"/>
        <v>6-12</v>
      </c>
      <c r="L711" s="14" t="str">
        <f t="shared" si="84"/>
        <v>Romper Short | 6-12 | Sage Green</v>
      </c>
      <c r="M711" s="16" t="s">
        <v>3610</v>
      </c>
    </row>
    <row r="712" spans="1:13" ht="25" customHeight="1" x14ac:dyDescent="0.45">
      <c r="A712" s="6">
        <v>46182</v>
      </c>
      <c r="B712" s="3" t="s">
        <v>1251</v>
      </c>
      <c r="C712" s="4" t="s">
        <v>508</v>
      </c>
      <c r="D712" s="53" t="str">
        <f t="shared" si="82"/>
        <v>Dusty Pink</v>
      </c>
      <c r="E712" s="4" t="s">
        <v>555</v>
      </c>
      <c r="F712" s="4" t="s">
        <v>7</v>
      </c>
      <c r="G712" s="4" t="str">
        <f t="shared" si="79"/>
        <v>Romper Longer</v>
      </c>
      <c r="H712" s="38">
        <f t="shared" si="81"/>
        <v>6</v>
      </c>
      <c r="I712" s="54">
        <f t="shared" si="80"/>
        <v>24</v>
      </c>
      <c r="J712" s="14" t="str">
        <f t="shared" si="83"/>
        <v>FathersDay</v>
      </c>
      <c r="K712" s="16" t="str">
        <f t="shared" si="78"/>
        <v>3-6</v>
      </c>
      <c r="L712" s="14" t="str">
        <f t="shared" si="84"/>
        <v>Romper Longer | 3-6 | Dusty Pink</v>
      </c>
      <c r="M712" s="16" t="s">
        <v>3610</v>
      </c>
    </row>
    <row r="713" spans="1:13" ht="25" customHeight="1" x14ac:dyDescent="0.45">
      <c r="A713" s="6">
        <v>46182</v>
      </c>
      <c r="B713" s="3" t="s">
        <v>1252</v>
      </c>
      <c r="C713" s="4" t="s">
        <v>87</v>
      </c>
      <c r="D713" s="53" t="str">
        <f t="shared" si="82"/>
        <v>Cream</v>
      </c>
      <c r="E713" s="4" t="s">
        <v>589</v>
      </c>
      <c r="F713" s="4" t="s">
        <v>19</v>
      </c>
      <c r="G713" s="4" t="str">
        <f t="shared" si="79"/>
        <v>Romper Short</v>
      </c>
      <c r="H713" s="38">
        <f t="shared" si="81"/>
        <v>6</v>
      </c>
      <c r="I713" s="54">
        <f t="shared" si="80"/>
        <v>24</v>
      </c>
      <c r="J713" s="14" t="str">
        <f t="shared" si="83"/>
        <v>FathersDay</v>
      </c>
      <c r="K713" s="16" t="str">
        <f t="shared" si="78"/>
        <v>6-12</v>
      </c>
      <c r="L713" s="14" t="str">
        <f t="shared" si="84"/>
        <v>Romper Short | 6-12 | Cream</v>
      </c>
      <c r="M713" s="16" t="s">
        <v>3611</v>
      </c>
    </row>
    <row r="714" spans="1:13" ht="25" customHeight="1" x14ac:dyDescent="0.45">
      <c r="A714" s="6">
        <v>46182</v>
      </c>
      <c r="B714" s="3" t="s">
        <v>1253</v>
      </c>
      <c r="C714" s="4" t="s">
        <v>114</v>
      </c>
      <c r="D714" s="53" t="str">
        <f t="shared" si="82"/>
        <v>White</v>
      </c>
      <c r="E714" s="4" t="s">
        <v>589</v>
      </c>
      <c r="F714" s="4" t="s">
        <v>7</v>
      </c>
      <c r="G714" s="4" t="str">
        <f t="shared" si="79"/>
        <v>Romper Short</v>
      </c>
      <c r="H714" s="38">
        <f t="shared" si="81"/>
        <v>6</v>
      </c>
      <c r="I714" s="54">
        <f t="shared" si="80"/>
        <v>24</v>
      </c>
      <c r="J714" s="14" t="str">
        <f t="shared" si="83"/>
        <v>FathersDay</v>
      </c>
      <c r="K714" s="16" t="str">
        <f t="shared" si="78"/>
        <v>6-12</v>
      </c>
      <c r="L714" s="14" t="str">
        <f t="shared" si="84"/>
        <v>Romper Short | 6-12 | White</v>
      </c>
      <c r="M714" s="16" t="s">
        <v>3610</v>
      </c>
    </row>
    <row r="715" spans="1:13" ht="25" customHeight="1" x14ac:dyDescent="0.45">
      <c r="A715" s="6">
        <v>46182</v>
      </c>
      <c r="B715" s="3" t="s">
        <v>1254</v>
      </c>
      <c r="C715" s="4" t="s">
        <v>87</v>
      </c>
      <c r="D715" s="53" t="str">
        <f t="shared" si="82"/>
        <v>Cream</v>
      </c>
      <c r="E715" s="4" t="s">
        <v>475</v>
      </c>
      <c r="F715" s="4" t="s">
        <v>7</v>
      </c>
      <c r="G715" s="4" t="str">
        <f t="shared" si="79"/>
        <v>Romper Short</v>
      </c>
      <c r="H715" s="38">
        <f t="shared" si="81"/>
        <v>6</v>
      </c>
      <c r="I715" s="54">
        <f t="shared" si="80"/>
        <v>24</v>
      </c>
      <c r="J715" s="14" t="str">
        <f t="shared" si="83"/>
        <v>FathersDay</v>
      </c>
      <c r="K715" s="16" t="str">
        <f t="shared" si="78"/>
        <v>12-18</v>
      </c>
      <c r="L715" s="14" t="str">
        <f t="shared" si="84"/>
        <v>Romper Short | 12-18 | Cream</v>
      </c>
      <c r="M715" s="16" t="s">
        <v>3610</v>
      </c>
    </row>
    <row r="716" spans="1:13" ht="25" customHeight="1" x14ac:dyDescent="0.45">
      <c r="A716" s="6">
        <v>46182</v>
      </c>
      <c r="B716" s="3" t="s">
        <v>1255</v>
      </c>
      <c r="C716" s="4" t="s">
        <v>101</v>
      </c>
      <c r="D716" s="53" t="str">
        <f t="shared" si="82"/>
        <v>Sage Green</v>
      </c>
      <c r="E716" s="4" t="s">
        <v>555</v>
      </c>
      <c r="F716" s="4" t="s">
        <v>7</v>
      </c>
      <c r="G716" s="4" t="str">
        <f t="shared" si="79"/>
        <v>Romper Longer</v>
      </c>
      <c r="H716" s="38">
        <f t="shared" si="81"/>
        <v>6</v>
      </c>
      <c r="I716" s="54">
        <f t="shared" si="80"/>
        <v>24</v>
      </c>
      <c r="J716" s="14" t="str">
        <f t="shared" si="83"/>
        <v>FathersDay</v>
      </c>
      <c r="K716" s="16" t="str">
        <f t="shared" si="78"/>
        <v>3-6</v>
      </c>
      <c r="L716" s="14" t="str">
        <f t="shared" si="84"/>
        <v>Romper Longer | 3-6 | Sage Green</v>
      </c>
      <c r="M716" s="16" t="s">
        <v>3611</v>
      </c>
    </row>
    <row r="717" spans="1:13" ht="25" customHeight="1" x14ac:dyDescent="0.45">
      <c r="A717" s="6">
        <v>46182</v>
      </c>
      <c r="B717" s="3" t="s">
        <v>1256</v>
      </c>
      <c r="C717" s="4" t="s">
        <v>114</v>
      </c>
      <c r="D717" s="53" t="str">
        <f t="shared" si="82"/>
        <v>White</v>
      </c>
      <c r="E717" s="4" t="s">
        <v>589</v>
      </c>
      <c r="F717" s="4" t="s">
        <v>19</v>
      </c>
      <c r="G717" s="4" t="str">
        <f t="shared" si="79"/>
        <v>Romper Short</v>
      </c>
      <c r="H717" s="38">
        <f t="shared" si="81"/>
        <v>6</v>
      </c>
      <c r="I717" s="54">
        <f t="shared" si="80"/>
        <v>24</v>
      </c>
      <c r="J717" s="14" t="str">
        <f t="shared" si="83"/>
        <v>FathersDay</v>
      </c>
      <c r="K717" s="16" t="str">
        <f t="shared" si="78"/>
        <v>6-12</v>
      </c>
      <c r="L717" s="14" t="str">
        <f t="shared" si="84"/>
        <v>Romper Short | 6-12 | White</v>
      </c>
      <c r="M717" s="16" t="s">
        <v>3610</v>
      </c>
    </row>
    <row r="718" spans="1:13" ht="25" customHeight="1" x14ac:dyDescent="0.45">
      <c r="A718" s="6">
        <v>46182</v>
      </c>
      <c r="B718" s="3" t="s">
        <v>1257</v>
      </c>
      <c r="C718" s="4" t="s">
        <v>101</v>
      </c>
      <c r="D718" s="53" t="str">
        <f t="shared" si="82"/>
        <v>Sage Green</v>
      </c>
      <c r="E718" s="4" t="s">
        <v>555</v>
      </c>
      <c r="F718" s="4" t="s">
        <v>7</v>
      </c>
      <c r="G718" s="4" t="str">
        <f t="shared" si="79"/>
        <v>Romper Longer</v>
      </c>
      <c r="H718" s="38">
        <f t="shared" si="81"/>
        <v>6</v>
      </c>
      <c r="I718" s="54">
        <f t="shared" si="80"/>
        <v>24</v>
      </c>
      <c r="J718" s="14" t="str">
        <f t="shared" si="83"/>
        <v>FathersDay</v>
      </c>
      <c r="K718" s="16" t="str">
        <f t="shared" ref="K718:K777" si="85">TRIM(LEFT(E718,FIND("(",E718&amp;"(")-2))</f>
        <v>3-6</v>
      </c>
      <c r="L718" s="14" t="str">
        <f t="shared" si="84"/>
        <v>Romper Longer | 3-6 | Sage Green</v>
      </c>
      <c r="M718" s="16" t="s">
        <v>3611</v>
      </c>
    </row>
    <row r="719" spans="1:13" ht="25" customHeight="1" x14ac:dyDescent="0.45">
      <c r="A719" s="6">
        <v>46182</v>
      </c>
      <c r="B719" s="3" t="s">
        <v>1258</v>
      </c>
      <c r="C719" s="4" t="s">
        <v>470</v>
      </c>
      <c r="D719" s="53" t="str">
        <f t="shared" si="82"/>
        <v>Caldet Blue</v>
      </c>
      <c r="E719" s="4" t="s">
        <v>555</v>
      </c>
      <c r="F719" s="4" t="s">
        <v>7</v>
      </c>
      <c r="G719" s="4" t="str">
        <f t="shared" si="79"/>
        <v>Romper Longer</v>
      </c>
      <c r="H719" s="38">
        <f t="shared" si="81"/>
        <v>6</v>
      </c>
      <c r="I719" s="54">
        <f t="shared" si="80"/>
        <v>24</v>
      </c>
      <c r="J719" s="14" t="str">
        <f t="shared" si="83"/>
        <v>FathersDay</v>
      </c>
      <c r="K719" s="16" t="str">
        <f t="shared" si="85"/>
        <v>3-6</v>
      </c>
      <c r="L719" s="14" t="str">
        <f t="shared" si="84"/>
        <v>Romper Longer | 3-6 | Caldet Blue</v>
      </c>
      <c r="M719" s="16" t="s">
        <v>3610</v>
      </c>
    </row>
    <row r="720" spans="1:13" ht="25" customHeight="1" x14ac:dyDescent="0.45">
      <c r="A720" s="6">
        <v>46182</v>
      </c>
      <c r="B720" s="3" t="s">
        <v>1259</v>
      </c>
      <c r="C720" s="4" t="s">
        <v>87</v>
      </c>
      <c r="D720" s="53" t="str">
        <f t="shared" si="82"/>
        <v>Cream</v>
      </c>
      <c r="E720" s="4" t="s">
        <v>555</v>
      </c>
      <c r="F720" s="4" t="s">
        <v>18</v>
      </c>
      <c r="G720" s="4" t="str">
        <f t="shared" ref="G720:G783" si="86">IF(ISNUMBER(SEARCH("LONG",E720)),"Romper Longer",IF(ISNUMBER(SEARCH("SHORT",E720)),"Romper Short","Bodysuit"))</f>
        <v>Romper Longer</v>
      </c>
      <c r="H720" s="38">
        <f t="shared" si="81"/>
        <v>6</v>
      </c>
      <c r="I720" s="54">
        <f t="shared" si="80"/>
        <v>24</v>
      </c>
      <c r="J720" s="14" t="str">
        <f t="shared" si="83"/>
        <v>FathersDay</v>
      </c>
      <c r="K720" s="16" t="str">
        <f t="shared" si="85"/>
        <v>3-6</v>
      </c>
      <c r="L720" s="14" t="str">
        <f t="shared" si="84"/>
        <v>Romper Longer | 3-6 | Cream</v>
      </c>
      <c r="M720" s="16" t="s">
        <v>3609</v>
      </c>
    </row>
    <row r="721" spans="1:13" ht="25" customHeight="1" x14ac:dyDescent="0.45">
      <c r="A721" s="6">
        <v>46183</v>
      </c>
      <c r="B721" s="3" t="s">
        <v>1260</v>
      </c>
      <c r="C721" s="4" t="s">
        <v>87</v>
      </c>
      <c r="D721" s="53" t="str">
        <f t="shared" si="82"/>
        <v>Cream</v>
      </c>
      <c r="E721" s="4" t="s">
        <v>555</v>
      </c>
      <c r="F721" s="4" t="s">
        <v>7</v>
      </c>
      <c r="G721" s="4" t="str">
        <f t="shared" si="86"/>
        <v>Romper Longer</v>
      </c>
      <c r="H721" s="38">
        <f t="shared" si="81"/>
        <v>6</v>
      </c>
      <c r="I721" s="54">
        <f t="shared" si="80"/>
        <v>24</v>
      </c>
      <c r="J721" s="14" t="str">
        <f t="shared" si="83"/>
        <v>FathersDay</v>
      </c>
      <c r="K721" s="16" t="str">
        <f t="shared" si="85"/>
        <v>3-6</v>
      </c>
      <c r="L721" s="14" t="str">
        <f t="shared" si="84"/>
        <v>Romper Longer | 3-6 | Cream</v>
      </c>
      <c r="M721" s="16" t="s">
        <v>3609</v>
      </c>
    </row>
    <row r="722" spans="1:13" ht="25" customHeight="1" x14ac:dyDescent="0.45">
      <c r="A722" s="6">
        <v>46183</v>
      </c>
      <c r="B722" s="3" t="s">
        <v>1261</v>
      </c>
      <c r="C722" s="4" t="s">
        <v>87</v>
      </c>
      <c r="D722" s="53" t="str">
        <f t="shared" si="82"/>
        <v>Cream</v>
      </c>
      <c r="E722" s="4" t="s">
        <v>479</v>
      </c>
      <c r="F722" s="4" t="s">
        <v>11</v>
      </c>
      <c r="G722" s="4" t="str">
        <f t="shared" si="86"/>
        <v>Romper Longer</v>
      </c>
      <c r="H722" s="38">
        <f t="shared" si="81"/>
        <v>6</v>
      </c>
      <c r="I722" s="54">
        <f t="shared" si="80"/>
        <v>24</v>
      </c>
      <c r="J722" s="14" t="str">
        <f t="shared" si="83"/>
        <v>FathersDay</v>
      </c>
      <c r="K722" s="16" t="str">
        <f t="shared" si="85"/>
        <v>6-12</v>
      </c>
      <c r="L722" s="14" t="str">
        <f t="shared" si="84"/>
        <v>Romper Longer | 6-12 | Cream</v>
      </c>
      <c r="M722" s="16" t="s">
        <v>3611</v>
      </c>
    </row>
    <row r="723" spans="1:13" ht="25" customHeight="1" x14ac:dyDescent="0.45">
      <c r="A723" s="6">
        <v>46183</v>
      </c>
      <c r="B723" s="3" t="s">
        <v>1262</v>
      </c>
      <c r="C723" s="4" t="s">
        <v>87</v>
      </c>
      <c r="D723" s="53" t="str">
        <f t="shared" si="82"/>
        <v>Cream</v>
      </c>
      <c r="E723" s="4" t="s">
        <v>485</v>
      </c>
      <c r="F723" s="4" t="s">
        <v>7</v>
      </c>
      <c r="G723" s="4" t="str">
        <f t="shared" si="86"/>
        <v>Romper Short</v>
      </c>
      <c r="H723" s="38">
        <f t="shared" si="81"/>
        <v>6</v>
      </c>
      <c r="I723" s="54">
        <f>WEEKNUM(A723)</f>
        <v>24</v>
      </c>
      <c r="J723" s="14" t="str">
        <f t="shared" si="83"/>
        <v>FathersDay</v>
      </c>
      <c r="K723" s="16" t="str">
        <f t="shared" si="85"/>
        <v>3-6</v>
      </c>
      <c r="L723" s="14" t="str">
        <f t="shared" si="84"/>
        <v>Romper Short | 3-6 | Cream</v>
      </c>
      <c r="M723" s="16" t="s">
        <v>3609</v>
      </c>
    </row>
    <row r="724" spans="1:13" ht="25" customHeight="1" x14ac:dyDescent="0.45">
      <c r="A724" s="6">
        <v>46183</v>
      </c>
      <c r="B724" s="3" t="s">
        <v>1263</v>
      </c>
      <c r="C724" s="4" t="s">
        <v>528</v>
      </c>
      <c r="D724" s="53" t="str">
        <f t="shared" si="82"/>
        <v>Watermelon</v>
      </c>
      <c r="E724" s="4" t="s">
        <v>555</v>
      </c>
      <c r="F724" s="4" t="s">
        <v>7</v>
      </c>
      <c r="G724" s="4" t="str">
        <f t="shared" si="86"/>
        <v>Romper Longer</v>
      </c>
      <c r="H724" s="38">
        <f t="shared" si="81"/>
        <v>6</v>
      </c>
      <c r="I724" s="54">
        <f>WEEKNUM(A724)</f>
        <v>24</v>
      </c>
      <c r="J724" s="14" t="str">
        <f t="shared" si="83"/>
        <v>FathersDay</v>
      </c>
      <c r="K724" s="16" t="str">
        <f t="shared" si="85"/>
        <v>3-6</v>
      </c>
      <c r="L724" s="14" t="str">
        <f t="shared" si="84"/>
        <v>Romper Longer | 3-6 | Watermelon</v>
      </c>
      <c r="M724" s="16" t="s">
        <v>3610</v>
      </c>
    </row>
    <row r="725" spans="1:13" ht="25" customHeight="1" x14ac:dyDescent="0.45">
      <c r="A725" s="6">
        <v>46183</v>
      </c>
      <c r="B725" s="3" t="s">
        <v>1264</v>
      </c>
      <c r="C725" s="4" t="s">
        <v>470</v>
      </c>
      <c r="D725" s="53" t="str">
        <f t="shared" si="82"/>
        <v>Caldet Blue</v>
      </c>
      <c r="E725" s="4" t="s">
        <v>475</v>
      </c>
      <c r="F725" s="4" t="s">
        <v>11</v>
      </c>
      <c r="G725" s="4" t="str">
        <f t="shared" si="86"/>
        <v>Romper Short</v>
      </c>
      <c r="H725" s="38">
        <f t="shared" si="81"/>
        <v>6</v>
      </c>
      <c r="I725" s="54">
        <f t="shared" ref="I725:I770" si="87">WEEKNUM(A725)</f>
        <v>24</v>
      </c>
      <c r="J725" s="14" t="str">
        <f t="shared" si="83"/>
        <v>FathersDay</v>
      </c>
      <c r="K725" s="16" t="str">
        <f t="shared" si="85"/>
        <v>12-18</v>
      </c>
      <c r="L725" s="14" t="str">
        <f t="shared" si="84"/>
        <v>Romper Short | 12-18 | Caldet Blue</v>
      </c>
      <c r="M725" s="16" t="s">
        <v>3610</v>
      </c>
    </row>
    <row r="726" spans="1:13" ht="25" customHeight="1" x14ac:dyDescent="0.45">
      <c r="A726" s="6">
        <v>46183</v>
      </c>
      <c r="B726" s="3" t="s">
        <v>1265</v>
      </c>
      <c r="C726" s="4" t="s">
        <v>87</v>
      </c>
      <c r="D726" s="53" t="str">
        <f t="shared" si="82"/>
        <v>Cream</v>
      </c>
      <c r="E726" s="4" t="s">
        <v>490</v>
      </c>
      <c r="F726" s="4" t="s">
        <v>7</v>
      </c>
      <c r="G726" s="4" t="str">
        <f t="shared" si="86"/>
        <v>Romper Longer</v>
      </c>
      <c r="H726" s="38">
        <f t="shared" si="81"/>
        <v>6</v>
      </c>
      <c r="I726" s="54">
        <f t="shared" si="87"/>
        <v>24</v>
      </c>
      <c r="J726" s="14" t="str">
        <f t="shared" si="83"/>
        <v>FathersDay</v>
      </c>
      <c r="K726" s="16" t="str">
        <f t="shared" si="85"/>
        <v>0-3</v>
      </c>
      <c r="L726" s="14" t="str">
        <f t="shared" si="84"/>
        <v>Romper Longer | 0-3 | Cream</v>
      </c>
      <c r="M726" s="16" t="s">
        <v>3609</v>
      </c>
    </row>
    <row r="727" spans="1:13" ht="25" customHeight="1" x14ac:dyDescent="0.45">
      <c r="A727" s="6">
        <v>46183</v>
      </c>
      <c r="B727" s="3" t="s">
        <v>1266</v>
      </c>
      <c r="C727" s="4" t="s">
        <v>87</v>
      </c>
      <c r="D727" s="53" t="str">
        <f t="shared" si="82"/>
        <v>Cream</v>
      </c>
      <c r="E727" s="4" t="s">
        <v>490</v>
      </c>
      <c r="F727" s="4" t="s">
        <v>7</v>
      </c>
      <c r="G727" s="4" t="str">
        <f t="shared" si="86"/>
        <v>Romper Longer</v>
      </c>
      <c r="H727" s="38">
        <f t="shared" si="81"/>
        <v>6</v>
      </c>
      <c r="I727" s="54">
        <f t="shared" si="87"/>
        <v>24</v>
      </c>
      <c r="J727" s="14" t="str">
        <f t="shared" si="83"/>
        <v>FathersDay</v>
      </c>
      <c r="K727" s="16" t="str">
        <f t="shared" si="85"/>
        <v>0-3</v>
      </c>
      <c r="L727" s="14" t="str">
        <f t="shared" si="84"/>
        <v>Romper Longer | 0-3 | Cream</v>
      </c>
      <c r="M727" s="16" t="s">
        <v>3609</v>
      </c>
    </row>
    <row r="728" spans="1:13" ht="25" customHeight="1" x14ac:dyDescent="0.45">
      <c r="A728" s="6">
        <v>46183</v>
      </c>
      <c r="B728" s="3" t="s">
        <v>1267</v>
      </c>
      <c r="C728" s="4" t="s">
        <v>114</v>
      </c>
      <c r="D728" s="53" t="str">
        <f t="shared" si="82"/>
        <v>White</v>
      </c>
      <c r="E728" s="4" t="s">
        <v>580</v>
      </c>
      <c r="F728" s="4" t="s">
        <v>7</v>
      </c>
      <c r="G728" s="4" t="str">
        <f t="shared" si="86"/>
        <v>Romper Short</v>
      </c>
      <c r="H728" s="38">
        <f t="shared" si="81"/>
        <v>6</v>
      </c>
      <c r="I728" s="54">
        <f t="shared" si="87"/>
        <v>24</v>
      </c>
      <c r="J728" s="14" t="str">
        <f t="shared" si="83"/>
        <v>FathersDay</v>
      </c>
      <c r="K728" s="16" t="str">
        <f t="shared" si="85"/>
        <v>0-3</v>
      </c>
      <c r="L728" s="14" t="str">
        <f t="shared" si="84"/>
        <v>Romper Short | 0-3 | White</v>
      </c>
      <c r="M728" s="16" t="s">
        <v>3610</v>
      </c>
    </row>
    <row r="729" spans="1:13" ht="25" customHeight="1" x14ac:dyDescent="0.45">
      <c r="A729" s="6">
        <v>46184</v>
      </c>
      <c r="B729" s="3" t="s">
        <v>1268</v>
      </c>
      <c r="C729" s="4" t="s">
        <v>87</v>
      </c>
      <c r="D729" s="53" t="str">
        <f t="shared" si="82"/>
        <v>Cream</v>
      </c>
      <c r="E729" s="4" t="s">
        <v>555</v>
      </c>
      <c r="F729" s="4" t="s">
        <v>14</v>
      </c>
      <c r="G729" s="4" t="str">
        <f t="shared" si="86"/>
        <v>Romper Longer</v>
      </c>
      <c r="H729" s="38">
        <f t="shared" si="81"/>
        <v>6</v>
      </c>
      <c r="I729" s="54">
        <f t="shared" si="87"/>
        <v>24</v>
      </c>
      <c r="J729" s="14" t="str">
        <f t="shared" si="83"/>
        <v>FathersDay</v>
      </c>
      <c r="K729" s="16" t="str">
        <f t="shared" si="85"/>
        <v>3-6</v>
      </c>
      <c r="L729" s="14" t="str">
        <f t="shared" si="84"/>
        <v>Romper Longer | 3-6 | Cream</v>
      </c>
      <c r="M729" s="16" t="s">
        <v>3609</v>
      </c>
    </row>
    <row r="730" spans="1:13" ht="25" customHeight="1" x14ac:dyDescent="0.45">
      <c r="A730" s="6">
        <v>46184</v>
      </c>
      <c r="B730" s="3" t="s">
        <v>1269</v>
      </c>
      <c r="C730" s="4" t="s">
        <v>101</v>
      </c>
      <c r="D730" s="53" t="str">
        <f t="shared" si="82"/>
        <v>Sage Green</v>
      </c>
      <c r="E730" s="4" t="s">
        <v>555</v>
      </c>
      <c r="F730" s="4" t="s">
        <v>7</v>
      </c>
      <c r="G730" s="4" t="str">
        <f t="shared" si="86"/>
        <v>Romper Longer</v>
      </c>
      <c r="H730" s="38">
        <f t="shared" si="81"/>
        <v>6</v>
      </c>
      <c r="I730" s="54">
        <f t="shared" si="87"/>
        <v>24</v>
      </c>
      <c r="J730" s="14" t="str">
        <f t="shared" si="83"/>
        <v>FathersDay</v>
      </c>
      <c r="K730" s="16" t="str">
        <f t="shared" si="85"/>
        <v>3-6</v>
      </c>
      <c r="L730" s="14" t="str">
        <f t="shared" si="84"/>
        <v>Romper Longer | 3-6 | Sage Green</v>
      </c>
      <c r="M730" s="16" t="s">
        <v>3611</v>
      </c>
    </row>
    <row r="731" spans="1:13" ht="25" customHeight="1" x14ac:dyDescent="0.45">
      <c r="A731" s="6">
        <v>46184</v>
      </c>
      <c r="B731" s="3" t="s">
        <v>1270</v>
      </c>
      <c r="C731" s="4" t="s">
        <v>87</v>
      </c>
      <c r="D731" s="53" t="str">
        <f t="shared" si="82"/>
        <v>Cream</v>
      </c>
      <c r="E731" s="4" t="s">
        <v>589</v>
      </c>
      <c r="F731" s="4" t="s">
        <v>13</v>
      </c>
      <c r="G731" s="4" t="str">
        <f t="shared" si="86"/>
        <v>Romper Short</v>
      </c>
      <c r="H731" s="38">
        <f t="shared" si="81"/>
        <v>6</v>
      </c>
      <c r="I731" s="54">
        <f t="shared" si="87"/>
        <v>24</v>
      </c>
      <c r="J731" s="14" t="str">
        <f t="shared" si="83"/>
        <v>FathersDay</v>
      </c>
      <c r="K731" s="16" t="str">
        <f t="shared" si="85"/>
        <v>6-12</v>
      </c>
      <c r="L731" s="14" t="str">
        <f t="shared" si="84"/>
        <v>Romper Short | 6-12 | Cream</v>
      </c>
      <c r="M731" s="16" t="s">
        <v>3611</v>
      </c>
    </row>
    <row r="732" spans="1:13" ht="25" customHeight="1" x14ac:dyDescent="0.45">
      <c r="A732" s="6">
        <v>46184</v>
      </c>
      <c r="B732" s="3" t="s">
        <v>1271</v>
      </c>
      <c r="C732" s="4" t="s">
        <v>483</v>
      </c>
      <c r="D732" s="53" t="str">
        <f t="shared" si="82"/>
        <v>Forest Green</v>
      </c>
      <c r="E732" s="4" t="s">
        <v>479</v>
      </c>
      <c r="F732" s="4" t="s">
        <v>7</v>
      </c>
      <c r="G732" s="4" t="str">
        <f t="shared" si="86"/>
        <v>Romper Longer</v>
      </c>
      <c r="H732" s="38">
        <f t="shared" si="81"/>
        <v>6</v>
      </c>
      <c r="I732" s="54">
        <f t="shared" si="87"/>
        <v>24</v>
      </c>
      <c r="J732" s="14" t="str">
        <f t="shared" si="83"/>
        <v>FathersDay</v>
      </c>
      <c r="K732" s="16" t="str">
        <f t="shared" si="85"/>
        <v>6-12</v>
      </c>
      <c r="L732" s="14" t="str">
        <f t="shared" si="84"/>
        <v>Romper Longer | 6-12 | Forest Green</v>
      </c>
      <c r="M732" s="16" t="s">
        <v>3610</v>
      </c>
    </row>
    <row r="733" spans="1:13" ht="25" customHeight="1" x14ac:dyDescent="0.45">
      <c r="A733" s="6">
        <v>46184</v>
      </c>
      <c r="B733" s="3" t="s">
        <v>1272</v>
      </c>
      <c r="C733" s="4" t="s">
        <v>87</v>
      </c>
      <c r="D733" s="53" t="str">
        <f t="shared" si="82"/>
        <v>Cream</v>
      </c>
      <c r="E733" s="4" t="s">
        <v>479</v>
      </c>
      <c r="F733" s="4" t="s">
        <v>7</v>
      </c>
      <c r="G733" s="4" t="str">
        <f t="shared" si="86"/>
        <v>Romper Longer</v>
      </c>
      <c r="H733" s="38">
        <f t="shared" si="81"/>
        <v>6</v>
      </c>
      <c r="I733" s="54">
        <f t="shared" si="87"/>
        <v>24</v>
      </c>
      <c r="J733" s="14" t="str">
        <f t="shared" si="83"/>
        <v>FathersDay</v>
      </c>
      <c r="K733" s="16" t="str">
        <f t="shared" si="85"/>
        <v>6-12</v>
      </c>
      <c r="L733" s="14" t="str">
        <f t="shared" si="84"/>
        <v>Romper Longer | 6-12 | Cream</v>
      </c>
      <c r="M733" s="16" t="s">
        <v>3611</v>
      </c>
    </row>
    <row r="734" spans="1:13" ht="25" customHeight="1" x14ac:dyDescent="0.45">
      <c r="A734" s="6">
        <v>46184</v>
      </c>
      <c r="B734" s="3" t="s">
        <v>1273</v>
      </c>
      <c r="C734" s="4" t="s">
        <v>87</v>
      </c>
      <c r="D734" s="53" t="str">
        <f t="shared" si="82"/>
        <v>Cream</v>
      </c>
      <c r="E734" s="4" t="s">
        <v>555</v>
      </c>
      <c r="F734" s="4" t="s">
        <v>13</v>
      </c>
      <c r="G734" s="4" t="str">
        <f t="shared" si="86"/>
        <v>Romper Longer</v>
      </c>
      <c r="H734" s="38">
        <f t="shared" si="81"/>
        <v>6</v>
      </c>
      <c r="I734" s="54">
        <f t="shared" si="87"/>
        <v>24</v>
      </c>
      <c r="J734" s="14" t="str">
        <f t="shared" si="83"/>
        <v>FathersDay</v>
      </c>
      <c r="K734" s="16" t="str">
        <f t="shared" si="85"/>
        <v>3-6</v>
      </c>
      <c r="L734" s="14" t="str">
        <f t="shared" si="84"/>
        <v>Romper Longer | 3-6 | Cream</v>
      </c>
      <c r="M734" s="16" t="s">
        <v>3609</v>
      </c>
    </row>
    <row r="735" spans="1:13" ht="25" customHeight="1" x14ac:dyDescent="0.45">
      <c r="A735" s="6">
        <v>46184</v>
      </c>
      <c r="B735" s="3" t="s">
        <v>1274</v>
      </c>
      <c r="C735" s="4" t="s">
        <v>87</v>
      </c>
      <c r="D735" s="53" t="str">
        <f t="shared" si="82"/>
        <v>Cream</v>
      </c>
      <c r="E735" s="4" t="s">
        <v>490</v>
      </c>
      <c r="F735" s="4" t="s">
        <v>7</v>
      </c>
      <c r="G735" s="4" t="str">
        <f t="shared" si="86"/>
        <v>Romper Longer</v>
      </c>
      <c r="H735" s="38">
        <f t="shared" si="81"/>
        <v>6</v>
      </c>
      <c r="I735" s="54">
        <f t="shared" si="87"/>
        <v>24</v>
      </c>
      <c r="J735" s="14" t="str">
        <f t="shared" si="83"/>
        <v>FathersDay</v>
      </c>
      <c r="K735" s="16" t="str">
        <f t="shared" si="85"/>
        <v>0-3</v>
      </c>
      <c r="L735" s="14" t="str">
        <f t="shared" si="84"/>
        <v>Romper Longer | 0-3 | Cream</v>
      </c>
      <c r="M735" s="16" t="s">
        <v>3609</v>
      </c>
    </row>
    <row r="736" spans="1:13" ht="25" customHeight="1" x14ac:dyDescent="0.45">
      <c r="A736" s="6">
        <v>46184</v>
      </c>
      <c r="B736" s="3" t="s">
        <v>1275</v>
      </c>
      <c r="C736" s="4" t="s">
        <v>483</v>
      </c>
      <c r="D736" s="53" t="str">
        <f t="shared" si="82"/>
        <v>Forest Green</v>
      </c>
      <c r="E736" s="4" t="s">
        <v>589</v>
      </c>
      <c r="F736" s="4" t="s">
        <v>7</v>
      </c>
      <c r="G736" s="4" t="str">
        <f t="shared" si="86"/>
        <v>Romper Short</v>
      </c>
      <c r="H736" s="38">
        <f t="shared" si="81"/>
        <v>6</v>
      </c>
      <c r="I736" s="54">
        <f t="shared" si="87"/>
        <v>24</v>
      </c>
      <c r="J736" s="14" t="str">
        <f t="shared" si="83"/>
        <v>FathersDay</v>
      </c>
      <c r="K736" s="16" t="str">
        <f t="shared" si="85"/>
        <v>6-12</v>
      </c>
      <c r="L736" s="14" t="str">
        <f t="shared" si="84"/>
        <v>Romper Short | 6-12 | Forest Green</v>
      </c>
      <c r="M736" s="16" t="s">
        <v>3610</v>
      </c>
    </row>
    <row r="737" spans="1:13" ht="25" customHeight="1" x14ac:dyDescent="0.45">
      <c r="A737" s="6">
        <v>46184</v>
      </c>
      <c r="B737" s="3" t="s">
        <v>1276</v>
      </c>
      <c r="C737" s="4" t="s">
        <v>573</v>
      </c>
      <c r="D737" s="53" t="str">
        <f t="shared" si="82"/>
        <v>Mauve Taupe</v>
      </c>
      <c r="E737" s="4" t="s">
        <v>474</v>
      </c>
      <c r="F737" s="4" t="s">
        <v>7</v>
      </c>
      <c r="G737" s="4" t="str">
        <f t="shared" si="86"/>
        <v>Romper Longer</v>
      </c>
      <c r="H737" s="38">
        <f t="shared" si="81"/>
        <v>6</v>
      </c>
      <c r="I737" s="54">
        <f t="shared" si="87"/>
        <v>24</v>
      </c>
      <c r="J737" s="14" t="str">
        <f t="shared" si="83"/>
        <v>FathersDay</v>
      </c>
      <c r="K737" s="16" t="str">
        <f t="shared" si="85"/>
        <v>3-6</v>
      </c>
      <c r="L737" s="14" t="str">
        <f t="shared" si="84"/>
        <v>Romper Longer | 3-6 | Mauve Taupe</v>
      </c>
      <c r="M737" s="16" t="s">
        <v>3610</v>
      </c>
    </row>
    <row r="738" spans="1:13" ht="25" customHeight="1" x14ac:dyDescent="0.45">
      <c r="A738" s="6">
        <v>46185</v>
      </c>
      <c r="B738" s="3" t="s">
        <v>1277</v>
      </c>
      <c r="C738" s="4" t="s">
        <v>114</v>
      </c>
      <c r="D738" s="53" t="str">
        <f t="shared" si="82"/>
        <v>White</v>
      </c>
      <c r="E738" s="4" t="s">
        <v>475</v>
      </c>
      <c r="F738" s="4" t="s">
        <v>7</v>
      </c>
      <c r="G738" s="4" t="str">
        <f t="shared" si="86"/>
        <v>Romper Short</v>
      </c>
      <c r="H738" s="38">
        <f t="shared" si="81"/>
        <v>6</v>
      </c>
      <c r="I738" s="54">
        <f t="shared" si="87"/>
        <v>24</v>
      </c>
      <c r="J738" s="14" t="str">
        <f t="shared" si="83"/>
        <v>FathersDay</v>
      </c>
      <c r="K738" s="16" t="str">
        <f t="shared" si="85"/>
        <v>12-18</v>
      </c>
      <c r="L738" s="14" t="str">
        <f t="shared" si="84"/>
        <v>Romper Short | 12-18 | White</v>
      </c>
      <c r="M738" s="16" t="s">
        <v>3610</v>
      </c>
    </row>
    <row r="739" spans="1:13" ht="25" customHeight="1" x14ac:dyDescent="0.45">
      <c r="A739" s="6">
        <v>46185</v>
      </c>
      <c r="B739" s="3" t="s">
        <v>1278</v>
      </c>
      <c r="C739" s="4" t="s">
        <v>87</v>
      </c>
      <c r="D739" s="53" t="str">
        <f t="shared" si="82"/>
        <v>Cream</v>
      </c>
      <c r="E739" s="4" t="s">
        <v>580</v>
      </c>
      <c r="F739" s="4" t="s">
        <v>7</v>
      </c>
      <c r="G739" s="4" t="str">
        <f t="shared" si="86"/>
        <v>Romper Short</v>
      </c>
      <c r="H739" s="38">
        <f t="shared" si="81"/>
        <v>6</v>
      </c>
      <c r="I739" s="54">
        <f t="shared" si="87"/>
        <v>24</v>
      </c>
      <c r="J739" s="14" t="str">
        <f t="shared" si="83"/>
        <v>FathersDay</v>
      </c>
      <c r="K739" s="16" t="str">
        <f t="shared" si="85"/>
        <v>0-3</v>
      </c>
      <c r="L739" s="14" t="str">
        <f t="shared" si="84"/>
        <v>Romper Short | 0-3 | Cream</v>
      </c>
      <c r="M739" s="16" t="s">
        <v>3609</v>
      </c>
    </row>
    <row r="740" spans="1:13" ht="25" customHeight="1" x14ac:dyDescent="0.45">
      <c r="A740" s="6">
        <v>46185</v>
      </c>
      <c r="B740" s="3" t="s">
        <v>1279</v>
      </c>
      <c r="C740" s="4" t="s">
        <v>87</v>
      </c>
      <c r="D740" s="53" t="str">
        <f t="shared" si="82"/>
        <v>Cream</v>
      </c>
      <c r="E740" s="4" t="s">
        <v>490</v>
      </c>
      <c r="F740" s="4" t="s">
        <v>7</v>
      </c>
      <c r="G740" s="4" t="str">
        <f t="shared" si="86"/>
        <v>Romper Longer</v>
      </c>
      <c r="H740" s="38">
        <f t="shared" si="81"/>
        <v>6</v>
      </c>
      <c r="I740" s="54">
        <f t="shared" si="87"/>
        <v>24</v>
      </c>
      <c r="J740" s="14" t="str">
        <f t="shared" si="83"/>
        <v>FathersDay</v>
      </c>
      <c r="K740" s="16" t="str">
        <f t="shared" si="85"/>
        <v>0-3</v>
      </c>
      <c r="L740" s="14" t="str">
        <f t="shared" si="84"/>
        <v>Romper Longer | 0-3 | Cream</v>
      </c>
      <c r="M740" s="16" t="s">
        <v>3609</v>
      </c>
    </row>
    <row r="741" spans="1:13" ht="25" customHeight="1" x14ac:dyDescent="0.45">
      <c r="A741" s="6">
        <v>46185</v>
      </c>
      <c r="B741" s="3" t="s">
        <v>1280</v>
      </c>
      <c r="C741" s="4" t="s">
        <v>101</v>
      </c>
      <c r="D741" s="53" t="str">
        <f t="shared" si="82"/>
        <v>Sage Green</v>
      </c>
      <c r="E741" s="4" t="s">
        <v>490</v>
      </c>
      <c r="F741" s="4" t="s">
        <v>7</v>
      </c>
      <c r="G741" s="4" t="str">
        <f t="shared" si="86"/>
        <v>Romper Longer</v>
      </c>
      <c r="H741" s="38">
        <f t="shared" si="81"/>
        <v>6</v>
      </c>
      <c r="I741" s="54">
        <f t="shared" si="87"/>
        <v>24</v>
      </c>
      <c r="J741" s="14" t="str">
        <f t="shared" si="83"/>
        <v>FathersDay</v>
      </c>
      <c r="K741" s="16" t="str">
        <f t="shared" si="85"/>
        <v>0-3</v>
      </c>
      <c r="L741" s="14" t="str">
        <f t="shared" si="84"/>
        <v>Romper Longer | 0-3 | Sage Green</v>
      </c>
      <c r="M741" s="16" t="s">
        <v>3611</v>
      </c>
    </row>
    <row r="742" spans="1:13" ht="25" customHeight="1" x14ac:dyDescent="0.45">
      <c r="A742" s="6">
        <v>46185</v>
      </c>
      <c r="B742" s="3" t="s">
        <v>1281</v>
      </c>
      <c r="C742" s="4" t="s">
        <v>87</v>
      </c>
      <c r="D742" s="53" t="str">
        <f t="shared" si="82"/>
        <v>Cream</v>
      </c>
      <c r="E742" s="4" t="s">
        <v>580</v>
      </c>
      <c r="F742" s="4" t="s">
        <v>7</v>
      </c>
      <c r="G742" s="4" t="str">
        <f t="shared" si="86"/>
        <v>Romper Short</v>
      </c>
      <c r="H742" s="38">
        <f t="shared" si="81"/>
        <v>6</v>
      </c>
      <c r="I742" s="54">
        <f t="shared" si="87"/>
        <v>24</v>
      </c>
      <c r="J742" s="14" t="str">
        <f t="shared" si="83"/>
        <v>FathersDay</v>
      </c>
      <c r="K742" s="16" t="str">
        <f t="shared" si="85"/>
        <v>0-3</v>
      </c>
      <c r="L742" s="14" t="str">
        <f t="shared" si="84"/>
        <v>Romper Short | 0-3 | Cream</v>
      </c>
      <c r="M742" s="16" t="s">
        <v>3609</v>
      </c>
    </row>
    <row r="743" spans="1:13" ht="25" customHeight="1" x14ac:dyDescent="0.45">
      <c r="A743" s="6">
        <v>46185</v>
      </c>
      <c r="B743" s="3" t="s">
        <v>1282</v>
      </c>
      <c r="C743" s="4" t="s">
        <v>114</v>
      </c>
      <c r="D743" s="53" t="str">
        <f t="shared" si="82"/>
        <v>White</v>
      </c>
      <c r="E743" s="4" t="s">
        <v>485</v>
      </c>
      <c r="F743" s="4" t="s">
        <v>13</v>
      </c>
      <c r="G743" s="4" t="str">
        <f t="shared" si="86"/>
        <v>Romper Short</v>
      </c>
      <c r="H743" s="38">
        <f t="shared" si="81"/>
        <v>6</v>
      </c>
      <c r="I743" s="54">
        <f t="shared" si="87"/>
        <v>24</v>
      </c>
      <c r="J743" s="14" t="str">
        <f t="shared" si="83"/>
        <v>FathersDay</v>
      </c>
      <c r="K743" s="16" t="str">
        <f t="shared" si="85"/>
        <v>3-6</v>
      </c>
      <c r="L743" s="14" t="str">
        <f t="shared" si="84"/>
        <v>Romper Short | 3-6 | White</v>
      </c>
      <c r="M743" s="16" t="s">
        <v>3610</v>
      </c>
    </row>
    <row r="744" spans="1:13" ht="25" customHeight="1" x14ac:dyDescent="0.45">
      <c r="A744" s="6">
        <v>46185</v>
      </c>
      <c r="B744" s="3" t="s">
        <v>1283</v>
      </c>
      <c r="C744" s="4" t="s">
        <v>87</v>
      </c>
      <c r="D744" s="53" t="str">
        <f t="shared" si="82"/>
        <v>Cream</v>
      </c>
      <c r="E744" s="4" t="s">
        <v>485</v>
      </c>
      <c r="F744" s="4" t="s">
        <v>15</v>
      </c>
      <c r="G744" s="4" t="str">
        <f t="shared" si="86"/>
        <v>Romper Short</v>
      </c>
      <c r="H744" s="38">
        <f t="shared" si="81"/>
        <v>6</v>
      </c>
      <c r="I744" s="54">
        <f t="shared" si="87"/>
        <v>24</v>
      </c>
      <c r="J744" s="14" t="str">
        <f t="shared" si="83"/>
        <v>FathersDay</v>
      </c>
      <c r="K744" s="16" t="str">
        <f t="shared" si="85"/>
        <v>3-6</v>
      </c>
      <c r="L744" s="14" t="str">
        <f t="shared" si="84"/>
        <v>Romper Short | 3-6 | Cream</v>
      </c>
      <c r="M744" s="16" t="s">
        <v>3609</v>
      </c>
    </row>
    <row r="745" spans="1:13" ht="25" customHeight="1" x14ac:dyDescent="0.45">
      <c r="A745" s="6">
        <v>46185</v>
      </c>
      <c r="B745" s="3" t="s">
        <v>1284</v>
      </c>
      <c r="C745" s="4" t="s">
        <v>508</v>
      </c>
      <c r="D745" s="53" t="str">
        <f t="shared" si="82"/>
        <v>Dusty Pink</v>
      </c>
      <c r="E745" s="4" t="s">
        <v>479</v>
      </c>
      <c r="F745" s="4" t="s">
        <v>12</v>
      </c>
      <c r="G745" s="4" t="str">
        <f t="shared" si="86"/>
        <v>Romper Longer</v>
      </c>
      <c r="H745" s="38">
        <f t="shared" si="81"/>
        <v>6</v>
      </c>
      <c r="I745" s="54">
        <f t="shared" si="87"/>
        <v>24</v>
      </c>
      <c r="J745" s="14" t="str">
        <f t="shared" si="83"/>
        <v>FathersDay</v>
      </c>
      <c r="K745" s="16" t="str">
        <f t="shared" si="85"/>
        <v>6-12</v>
      </c>
      <c r="L745" s="14" t="str">
        <f t="shared" si="84"/>
        <v>Romper Longer | 6-12 | Dusty Pink</v>
      </c>
      <c r="M745" s="16" t="s">
        <v>3610</v>
      </c>
    </row>
    <row r="746" spans="1:13" ht="25" customHeight="1" x14ac:dyDescent="0.45">
      <c r="A746" s="6">
        <v>46185</v>
      </c>
      <c r="B746" s="3" t="s">
        <v>1285</v>
      </c>
      <c r="C746" s="4" t="s">
        <v>483</v>
      </c>
      <c r="D746" s="53" t="str">
        <f t="shared" si="82"/>
        <v>Forest Green</v>
      </c>
      <c r="E746" s="4" t="s">
        <v>555</v>
      </c>
      <c r="F746" s="4" t="s">
        <v>7</v>
      </c>
      <c r="G746" s="4" t="str">
        <f t="shared" si="86"/>
        <v>Romper Longer</v>
      </c>
      <c r="H746" s="38">
        <f t="shared" si="81"/>
        <v>6</v>
      </c>
      <c r="I746" s="54">
        <f t="shared" si="87"/>
        <v>24</v>
      </c>
      <c r="J746" s="14" t="str">
        <f t="shared" si="83"/>
        <v>FathersDay</v>
      </c>
      <c r="K746" s="16" t="str">
        <f t="shared" si="85"/>
        <v>3-6</v>
      </c>
      <c r="L746" s="14" t="str">
        <f t="shared" si="84"/>
        <v>Romper Longer | 3-6 | Forest Green</v>
      </c>
      <c r="M746" s="16" t="s">
        <v>3610</v>
      </c>
    </row>
    <row r="747" spans="1:13" ht="25" customHeight="1" x14ac:dyDescent="0.45">
      <c r="A747" s="6">
        <v>46185</v>
      </c>
      <c r="B747" s="3" t="s">
        <v>1286</v>
      </c>
      <c r="C747" s="4" t="s">
        <v>87</v>
      </c>
      <c r="D747" s="53" t="str">
        <f t="shared" si="82"/>
        <v>Cream</v>
      </c>
      <c r="E747" s="4" t="s">
        <v>589</v>
      </c>
      <c r="F747" s="4" t="s">
        <v>18</v>
      </c>
      <c r="G747" s="4" t="str">
        <f t="shared" si="86"/>
        <v>Romper Short</v>
      </c>
      <c r="H747" s="38">
        <f t="shared" si="81"/>
        <v>6</v>
      </c>
      <c r="I747" s="54">
        <f t="shared" si="87"/>
        <v>24</v>
      </c>
      <c r="J747" s="14" t="str">
        <f t="shared" si="83"/>
        <v>FathersDay</v>
      </c>
      <c r="K747" s="16" t="str">
        <f t="shared" si="85"/>
        <v>6-12</v>
      </c>
      <c r="L747" s="14" t="str">
        <f t="shared" si="84"/>
        <v>Romper Short | 6-12 | Cream</v>
      </c>
      <c r="M747" s="16" t="s">
        <v>3611</v>
      </c>
    </row>
    <row r="748" spans="1:13" ht="25" customHeight="1" x14ac:dyDescent="0.45">
      <c r="A748" s="6">
        <v>46185</v>
      </c>
      <c r="B748" s="3" t="s">
        <v>1287</v>
      </c>
      <c r="C748" s="4" t="s">
        <v>87</v>
      </c>
      <c r="D748" s="53" t="str">
        <f t="shared" si="82"/>
        <v>Cream</v>
      </c>
      <c r="E748" s="4" t="s">
        <v>555</v>
      </c>
      <c r="F748" s="4" t="s">
        <v>18</v>
      </c>
      <c r="G748" s="4" t="str">
        <f t="shared" si="86"/>
        <v>Romper Longer</v>
      </c>
      <c r="H748" s="38">
        <f t="shared" si="81"/>
        <v>6</v>
      </c>
      <c r="I748" s="54">
        <f t="shared" si="87"/>
        <v>24</v>
      </c>
      <c r="J748" s="14" t="str">
        <f t="shared" si="83"/>
        <v>FathersDay</v>
      </c>
      <c r="K748" s="16" t="str">
        <f t="shared" si="85"/>
        <v>3-6</v>
      </c>
      <c r="L748" s="14" t="str">
        <f t="shared" si="84"/>
        <v>Romper Longer | 3-6 | Cream</v>
      </c>
      <c r="M748" s="16" t="s">
        <v>3609</v>
      </c>
    </row>
    <row r="749" spans="1:13" ht="25" customHeight="1" x14ac:dyDescent="0.45">
      <c r="A749" s="6">
        <v>46185</v>
      </c>
      <c r="B749" s="3" t="s">
        <v>1288</v>
      </c>
      <c r="C749" s="4" t="s">
        <v>87</v>
      </c>
      <c r="D749" s="53" t="str">
        <f t="shared" si="82"/>
        <v>Cream</v>
      </c>
      <c r="E749" s="4" t="s">
        <v>584</v>
      </c>
      <c r="F749" s="4" t="s">
        <v>19</v>
      </c>
      <c r="G749" s="4" t="str">
        <f t="shared" si="86"/>
        <v>Romper Short</v>
      </c>
      <c r="H749" s="38">
        <f t="shared" si="81"/>
        <v>6</v>
      </c>
      <c r="I749" s="54">
        <f t="shared" si="87"/>
        <v>24</v>
      </c>
      <c r="J749" s="14" t="str">
        <f t="shared" si="83"/>
        <v>FathersDay</v>
      </c>
      <c r="K749" s="16" t="str">
        <f t="shared" si="85"/>
        <v>18-24</v>
      </c>
      <c r="L749" s="14" t="str">
        <f t="shared" si="84"/>
        <v>Romper Short | 18-24 | Cream</v>
      </c>
      <c r="M749" s="16" t="s">
        <v>3610</v>
      </c>
    </row>
    <row r="750" spans="1:13" ht="25" customHeight="1" x14ac:dyDescent="0.45">
      <c r="A750" s="6">
        <v>46185</v>
      </c>
      <c r="B750" s="3" t="s">
        <v>1289</v>
      </c>
      <c r="C750" s="4" t="s">
        <v>508</v>
      </c>
      <c r="D750" s="53" t="str">
        <f t="shared" si="82"/>
        <v>Dusty Pink</v>
      </c>
      <c r="E750" s="4" t="s">
        <v>589</v>
      </c>
      <c r="F750" s="4" t="s">
        <v>40</v>
      </c>
      <c r="G750" s="4" t="str">
        <f t="shared" si="86"/>
        <v>Romper Short</v>
      </c>
      <c r="H750" s="38">
        <f t="shared" si="81"/>
        <v>6</v>
      </c>
      <c r="I750" s="54">
        <f t="shared" si="87"/>
        <v>24</v>
      </c>
      <c r="J750" s="14" t="str">
        <f t="shared" si="83"/>
        <v>FathersDay</v>
      </c>
      <c r="K750" s="16" t="str">
        <f t="shared" si="85"/>
        <v>6-12</v>
      </c>
      <c r="L750" s="14" t="str">
        <f t="shared" si="84"/>
        <v>Romper Short | 6-12 | Dusty Pink</v>
      </c>
      <c r="M750" s="16" t="s">
        <v>3610</v>
      </c>
    </row>
    <row r="751" spans="1:13" ht="25" customHeight="1" x14ac:dyDescent="0.45">
      <c r="A751" s="6">
        <v>46186</v>
      </c>
      <c r="B751" s="3" t="s">
        <v>1290</v>
      </c>
      <c r="C751" s="4" t="s">
        <v>87</v>
      </c>
      <c r="D751" s="53" t="str">
        <f t="shared" si="82"/>
        <v>Cream</v>
      </c>
      <c r="E751" s="4" t="s">
        <v>580</v>
      </c>
      <c r="F751" s="4" t="s">
        <v>297</v>
      </c>
      <c r="G751" s="4" t="str">
        <f t="shared" si="86"/>
        <v>Romper Short</v>
      </c>
      <c r="H751" s="38">
        <f t="shared" si="81"/>
        <v>6</v>
      </c>
      <c r="I751" s="54">
        <f t="shared" si="87"/>
        <v>24</v>
      </c>
      <c r="J751" s="14" t="str">
        <f t="shared" si="83"/>
        <v>FathersDay</v>
      </c>
      <c r="K751" s="16" t="str">
        <f t="shared" si="85"/>
        <v>0-3</v>
      </c>
      <c r="L751" s="14" t="str">
        <f t="shared" si="84"/>
        <v>Romper Short | 0-3 | Cream</v>
      </c>
      <c r="M751" s="16" t="s">
        <v>3609</v>
      </c>
    </row>
    <row r="752" spans="1:13" ht="25" customHeight="1" x14ac:dyDescent="0.45">
      <c r="A752" s="6">
        <v>46186</v>
      </c>
      <c r="B752" s="3" t="s">
        <v>1291</v>
      </c>
      <c r="C752" s="4" t="s">
        <v>87</v>
      </c>
      <c r="D752" s="53" t="str">
        <f t="shared" si="82"/>
        <v>Cream</v>
      </c>
      <c r="E752" s="4" t="s">
        <v>485</v>
      </c>
      <c r="F752" s="4" t="s">
        <v>37</v>
      </c>
      <c r="G752" s="4" t="str">
        <f t="shared" si="86"/>
        <v>Romper Short</v>
      </c>
      <c r="H752" s="38">
        <f t="shared" si="81"/>
        <v>6</v>
      </c>
      <c r="I752" s="54">
        <f t="shared" si="87"/>
        <v>24</v>
      </c>
      <c r="J752" s="14" t="str">
        <f t="shared" si="83"/>
        <v>FathersDay</v>
      </c>
      <c r="K752" s="16" t="str">
        <f t="shared" si="85"/>
        <v>3-6</v>
      </c>
      <c r="L752" s="14" t="str">
        <f t="shared" si="84"/>
        <v>Romper Short | 3-6 | Cream</v>
      </c>
      <c r="M752" s="16" t="s">
        <v>3609</v>
      </c>
    </row>
    <row r="753" spans="1:13" ht="25" customHeight="1" x14ac:dyDescent="0.45">
      <c r="A753" s="6">
        <v>46186</v>
      </c>
      <c r="B753" s="3" t="s">
        <v>1292</v>
      </c>
      <c r="C753" s="4" t="s">
        <v>87</v>
      </c>
      <c r="D753" s="53" t="str">
        <f t="shared" si="82"/>
        <v>Cream</v>
      </c>
      <c r="E753" s="4" t="s">
        <v>479</v>
      </c>
      <c r="F753" s="4" t="s">
        <v>14</v>
      </c>
      <c r="G753" s="4" t="str">
        <f t="shared" si="86"/>
        <v>Romper Longer</v>
      </c>
      <c r="H753" s="38">
        <f t="shared" si="81"/>
        <v>6</v>
      </c>
      <c r="I753" s="54">
        <f t="shared" si="87"/>
        <v>24</v>
      </c>
      <c r="J753" s="14" t="str">
        <f t="shared" si="83"/>
        <v>FathersDay</v>
      </c>
      <c r="K753" s="16" t="str">
        <f t="shared" si="85"/>
        <v>6-12</v>
      </c>
      <c r="L753" s="14" t="str">
        <f t="shared" si="84"/>
        <v>Romper Longer | 6-12 | Cream</v>
      </c>
      <c r="M753" s="16" t="s">
        <v>3611</v>
      </c>
    </row>
    <row r="754" spans="1:13" ht="25" customHeight="1" x14ac:dyDescent="0.45">
      <c r="A754" s="6">
        <v>46186</v>
      </c>
      <c r="B754" s="3" t="s">
        <v>1293</v>
      </c>
      <c r="C754" s="4" t="s">
        <v>114</v>
      </c>
      <c r="D754" s="53" t="str">
        <f t="shared" si="82"/>
        <v>White</v>
      </c>
      <c r="E754" s="4" t="s">
        <v>490</v>
      </c>
      <c r="F754" s="4" t="s">
        <v>13</v>
      </c>
      <c r="G754" s="4" t="str">
        <f t="shared" si="86"/>
        <v>Romper Longer</v>
      </c>
      <c r="H754" s="38">
        <f t="shared" si="81"/>
        <v>6</v>
      </c>
      <c r="I754" s="54">
        <f t="shared" si="87"/>
        <v>24</v>
      </c>
      <c r="J754" s="14" t="str">
        <f t="shared" si="83"/>
        <v>FathersDay</v>
      </c>
      <c r="K754" s="16" t="str">
        <f t="shared" si="85"/>
        <v>0-3</v>
      </c>
      <c r="L754" s="14" t="str">
        <f t="shared" si="84"/>
        <v>Romper Longer | 0-3 | White</v>
      </c>
      <c r="M754" s="16" t="s">
        <v>3610</v>
      </c>
    </row>
    <row r="755" spans="1:13" ht="25" customHeight="1" x14ac:dyDescent="0.45">
      <c r="A755" s="6">
        <v>46186</v>
      </c>
      <c r="B755" s="3" t="s">
        <v>1294</v>
      </c>
      <c r="C755" s="4" t="s">
        <v>114</v>
      </c>
      <c r="D755" s="53" t="str">
        <f t="shared" si="82"/>
        <v>White</v>
      </c>
      <c r="E755" s="4" t="s">
        <v>580</v>
      </c>
      <c r="F755" s="4" t="s">
        <v>7</v>
      </c>
      <c r="G755" s="4" t="str">
        <f t="shared" si="86"/>
        <v>Romper Short</v>
      </c>
      <c r="H755" s="38">
        <f t="shared" si="81"/>
        <v>6</v>
      </c>
      <c r="I755" s="54">
        <f t="shared" si="87"/>
        <v>24</v>
      </c>
      <c r="J755" s="14" t="str">
        <f t="shared" si="83"/>
        <v>FathersDay</v>
      </c>
      <c r="K755" s="16" t="str">
        <f t="shared" si="85"/>
        <v>0-3</v>
      </c>
      <c r="L755" s="14" t="str">
        <f t="shared" si="84"/>
        <v>Romper Short | 0-3 | White</v>
      </c>
      <c r="M755" s="16" t="s">
        <v>3610</v>
      </c>
    </row>
    <row r="756" spans="1:13" ht="25" customHeight="1" x14ac:dyDescent="0.45">
      <c r="A756" s="6">
        <v>46186</v>
      </c>
      <c r="B756" s="3" t="s">
        <v>1295</v>
      </c>
      <c r="C756" s="4" t="s">
        <v>87</v>
      </c>
      <c r="D756" s="53" t="str">
        <f t="shared" si="82"/>
        <v>Cream</v>
      </c>
      <c r="E756" s="4" t="s">
        <v>589</v>
      </c>
      <c r="F756" s="4" t="s">
        <v>19</v>
      </c>
      <c r="G756" s="4" t="str">
        <f t="shared" si="86"/>
        <v>Romper Short</v>
      </c>
      <c r="H756" s="38">
        <f t="shared" si="81"/>
        <v>6</v>
      </c>
      <c r="I756" s="54">
        <f t="shared" si="87"/>
        <v>24</v>
      </c>
      <c r="J756" s="14" t="str">
        <f t="shared" si="83"/>
        <v>FathersDay</v>
      </c>
      <c r="K756" s="16" t="str">
        <f t="shared" si="85"/>
        <v>6-12</v>
      </c>
      <c r="L756" s="14" t="str">
        <f t="shared" si="84"/>
        <v>Romper Short | 6-12 | Cream</v>
      </c>
      <c r="M756" s="16" t="s">
        <v>3611</v>
      </c>
    </row>
    <row r="757" spans="1:13" ht="25" customHeight="1" x14ac:dyDescent="0.45">
      <c r="A757" s="6">
        <v>46186</v>
      </c>
      <c r="B757" s="3" t="s">
        <v>1296</v>
      </c>
      <c r="C757" s="4" t="s">
        <v>508</v>
      </c>
      <c r="D757" s="53" t="str">
        <f t="shared" si="82"/>
        <v>Dusty Pink</v>
      </c>
      <c r="E757" s="4" t="s">
        <v>589</v>
      </c>
      <c r="F757" s="4" t="s">
        <v>7</v>
      </c>
      <c r="G757" s="4" t="str">
        <f t="shared" si="86"/>
        <v>Romper Short</v>
      </c>
      <c r="H757" s="38">
        <f t="shared" si="81"/>
        <v>6</v>
      </c>
      <c r="I757" s="54">
        <f t="shared" si="87"/>
        <v>24</v>
      </c>
      <c r="J757" s="14" t="str">
        <f t="shared" si="83"/>
        <v>FathersDay</v>
      </c>
      <c r="K757" s="16" t="str">
        <f t="shared" si="85"/>
        <v>6-12</v>
      </c>
      <c r="L757" s="14" t="str">
        <f t="shared" si="84"/>
        <v>Romper Short | 6-12 | Dusty Pink</v>
      </c>
      <c r="M757" s="16" t="s">
        <v>3610</v>
      </c>
    </row>
    <row r="758" spans="1:13" ht="25" customHeight="1" x14ac:dyDescent="0.45">
      <c r="A758" s="6">
        <v>46186</v>
      </c>
      <c r="B758" s="3" t="s">
        <v>1297</v>
      </c>
      <c r="C758" s="4" t="s">
        <v>87</v>
      </c>
      <c r="D758" s="53" t="str">
        <f t="shared" si="82"/>
        <v>Cream</v>
      </c>
      <c r="E758" s="4" t="s">
        <v>596</v>
      </c>
      <c r="F758" s="4" t="s">
        <v>7</v>
      </c>
      <c r="G758" s="4" t="str">
        <f t="shared" si="86"/>
        <v>Romper Longer</v>
      </c>
      <c r="H758" s="38">
        <f t="shared" si="81"/>
        <v>6</v>
      </c>
      <c r="I758" s="54">
        <f t="shared" si="87"/>
        <v>24</v>
      </c>
      <c r="J758" s="14" t="str">
        <f t="shared" si="83"/>
        <v>FathersDay</v>
      </c>
      <c r="K758" s="16" t="str">
        <f t="shared" si="85"/>
        <v>12-18</v>
      </c>
      <c r="L758" s="14" t="str">
        <f t="shared" si="84"/>
        <v>Romper Longer | 12-18 | Cream</v>
      </c>
      <c r="M758" s="16" t="s">
        <v>3610</v>
      </c>
    </row>
    <row r="759" spans="1:13" ht="25" customHeight="1" x14ac:dyDescent="0.45">
      <c r="A759" s="6">
        <v>46186</v>
      </c>
      <c r="B759" s="3" t="s">
        <v>1298</v>
      </c>
      <c r="C759" s="4" t="s">
        <v>101</v>
      </c>
      <c r="D759" s="53" t="str">
        <f t="shared" si="82"/>
        <v>Sage Green</v>
      </c>
      <c r="E759" s="4" t="s">
        <v>490</v>
      </c>
      <c r="F759" s="4" t="s">
        <v>7</v>
      </c>
      <c r="G759" s="4" t="str">
        <f t="shared" si="86"/>
        <v>Romper Longer</v>
      </c>
      <c r="H759" s="38">
        <f t="shared" si="81"/>
        <v>6</v>
      </c>
      <c r="I759" s="54">
        <f t="shared" si="87"/>
        <v>24</v>
      </c>
      <c r="J759" s="14" t="str">
        <f t="shared" si="83"/>
        <v>FathersDay</v>
      </c>
      <c r="K759" s="16" t="str">
        <f t="shared" si="85"/>
        <v>0-3</v>
      </c>
      <c r="L759" s="14" t="str">
        <f t="shared" si="84"/>
        <v>Romper Longer | 0-3 | Sage Green</v>
      </c>
      <c r="M759" s="16" t="s">
        <v>3611</v>
      </c>
    </row>
    <row r="760" spans="1:13" ht="25" customHeight="1" x14ac:dyDescent="0.45">
      <c r="A760" s="6">
        <v>46187</v>
      </c>
      <c r="B760" s="3" t="s">
        <v>1299</v>
      </c>
      <c r="C760" s="4" t="s">
        <v>528</v>
      </c>
      <c r="D760" s="53" t="str">
        <f t="shared" si="82"/>
        <v>Watermelon</v>
      </c>
      <c r="E760" s="4" t="s">
        <v>479</v>
      </c>
      <c r="F760" s="4" t="s">
        <v>17</v>
      </c>
      <c r="G760" s="4" t="str">
        <f t="shared" si="86"/>
        <v>Romper Longer</v>
      </c>
      <c r="H760" s="38">
        <f t="shared" si="81"/>
        <v>6</v>
      </c>
      <c r="I760" s="54">
        <f t="shared" si="87"/>
        <v>25</v>
      </c>
      <c r="J760" s="14" t="str">
        <f t="shared" si="83"/>
        <v>FathersDay</v>
      </c>
      <c r="K760" s="16" t="str">
        <f t="shared" si="85"/>
        <v>6-12</v>
      </c>
      <c r="L760" s="14" t="str">
        <f t="shared" si="84"/>
        <v>Romper Longer | 6-12 | Watermelon</v>
      </c>
      <c r="M760" s="16" t="s">
        <v>3610</v>
      </c>
    </row>
    <row r="761" spans="1:13" ht="25" customHeight="1" x14ac:dyDescent="0.45">
      <c r="A761" s="6">
        <v>46187</v>
      </c>
      <c r="B761" s="3" t="s">
        <v>1300</v>
      </c>
      <c r="C761" s="4" t="s">
        <v>87</v>
      </c>
      <c r="D761" s="53" t="str">
        <f t="shared" si="82"/>
        <v>Cream</v>
      </c>
      <c r="E761" s="4" t="s">
        <v>555</v>
      </c>
      <c r="F761" s="4" t="s">
        <v>13</v>
      </c>
      <c r="G761" s="4" t="str">
        <f t="shared" si="86"/>
        <v>Romper Longer</v>
      </c>
      <c r="H761" s="38">
        <f t="shared" si="81"/>
        <v>6</v>
      </c>
      <c r="I761" s="54">
        <f t="shared" si="87"/>
        <v>25</v>
      </c>
      <c r="J761" s="14" t="str">
        <f t="shared" si="83"/>
        <v>FathersDay</v>
      </c>
      <c r="K761" s="16" t="str">
        <f t="shared" si="85"/>
        <v>3-6</v>
      </c>
      <c r="L761" s="14" t="str">
        <f t="shared" si="84"/>
        <v>Romper Longer | 3-6 | Cream</v>
      </c>
      <c r="M761" s="16" t="s">
        <v>3609</v>
      </c>
    </row>
    <row r="762" spans="1:13" ht="25" customHeight="1" x14ac:dyDescent="0.45">
      <c r="A762" s="6">
        <v>46187</v>
      </c>
      <c r="B762" s="3" t="s">
        <v>1301</v>
      </c>
      <c r="C762" s="4" t="s">
        <v>87</v>
      </c>
      <c r="D762" s="53" t="str">
        <f t="shared" si="82"/>
        <v>Cream</v>
      </c>
      <c r="E762" s="4" t="s">
        <v>490</v>
      </c>
      <c r="F762" s="4" t="s">
        <v>18</v>
      </c>
      <c r="G762" s="4" t="str">
        <f t="shared" si="86"/>
        <v>Romper Longer</v>
      </c>
      <c r="H762" s="38">
        <f t="shared" si="81"/>
        <v>6</v>
      </c>
      <c r="I762" s="54">
        <f t="shared" si="87"/>
        <v>25</v>
      </c>
      <c r="J762" s="14" t="str">
        <f t="shared" si="83"/>
        <v>FathersDay</v>
      </c>
      <c r="K762" s="16" t="str">
        <f t="shared" si="85"/>
        <v>0-3</v>
      </c>
      <c r="L762" s="14" t="str">
        <f t="shared" si="84"/>
        <v>Romper Longer | 0-3 | Cream</v>
      </c>
      <c r="M762" s="16" t="s">
        <v>3609</v>
      </c>
    </row>
    <row r="763" spans="1:13" ht="25" customHeight="1" x14ac:dyDescent="0.45">
      <c r="A763" s="6">
        <v>46187</v>
      </c>
      <c r="B763" s="3" t="s">
        <v>1302</v>
      </c>
      <c r="C763" s="4" t="s">
        <v>87</v>
      </c>
      <c r="D763" s="53" t="str">
        <f t="shared" si="82"/>
        <v>Cream</v>
      </c>
      <c r="E763" s="4" t="s">
        <v>589</v>
      </c>
      <c r="F763" s="4" t="s">
        <v>11</v>
      </c>
      <c r="G763" s="4" t="str">
        <f t="shared" si="86"/>
        <v>Romper Short</v>
      </c>
      <c r="H763" s="38">
        <f t="shared" si="81"/>
        <v>6</v>
      </c>
      <c r="I763" s="54">
        <f t="shared" si="87"/>
        <v>25</v>
      </c>
      <c r="J763" s="14" t="str">
        <f t="shared" si="83"/>
        <v>FathersDay</v>
      </c>
      <c r="K763" s="16" t="str">
        <f t="shared" si="85"/>
        <v>6-12</v>
      </c>
      <c r="L763" s="14" t="str">
        <f t="shared" si="84"/>
        <v>Romper Short | 6-12 | Cream</v>
      </c>
      <c r="M763" s="16" t="s">
        <v>3611</v>
      </c>
    </row>
    <row r="764" spans="1:13" ht="25" customHeight="1" x14ac:dyDescent="0.45">
      <c r="A764" s="6">
        <v>46187</v>
      </c>
      <c r="B764" s="3" t="s">
        <v>1303</v>
      </c>
      <c r="C764" s="4" t="s">
        <v>101</v>
      </c>
      <c r="D764" s="53" t="str">
        <f t="shared" si="82"/>
        <v>Sage Green</v>
      </c>
      <c r="E764" s="4" t="s">
        <v>479</v>
      </c>
      <c r="F764" s="4" t="s">
        <v>7</v>
      </c>
      <c r="G764" s="4" t="str">
        <f t="shared" si="86"/>
        <v>Romper Longer</v>
      </c>
      <c r="H764" s="38">
        <f t="shared" si="81"/>
        <v>6</v>
      </c>
      <c r="I764" s="54">
        <f t="shared" si="87"/>
        <v>25</v>
      </c>
      <c r="J764" s="14" t="str">
        <f t="shared" si="83"/>
        <v>FathersDay</v>
      </c>
      <c r="K764" s="16" t="str">
        <f t="shared" si="85"/>
        <v>6-12</v>
      </c>
      <c r="L764" s="14" t="str">
        <f t="shared" si="84"/>
        <v>Romper Longer | 6-12 | Sage Green</v>
      </c>
      <c r="M764" s="16" t="s">
        <v>3610</v>
      </c>
    </row>
    <row r="765" spans="1:13" ht="25" customHeight="1" x14ac:dyDescent="0.45">
      <c r="A765" s="6">
        <v>46187</v>
      </c>
      <c r="B765" s="3" t="s">
        <v>1304</v>
      </c>
      <c r="C765" s="4" t="s">
        <v>87</v>
      </c>
      <c r="D765" s="53" t="str">
        <f t="shared" si="82"/>
        <v>Cream</v>
      </c>
      <c r="E765" s="4" t="s">
        <v>490</v>
      </c>
      <c r="F765" s="4" t="s">
        <v>11</v>
      </c>
      <c r="G765" s="4" t="str">
        <f t="shared" si="86"/>
        <v>Romper Longer</v>
      </c>
      <c r="H765" s="38">
        <f t="shared" si="81"/>
        <v>6</v>
      </c>
      <c r="I765" s="54">
        <f t="shared" si="87"/>
        <v>25</v>
      </c>
      <c r="J765" s="14" t="str">
        <f t="shared" si="83"/>
        <v>FathersDay</v>
      </c>
      <c r="K765" s="16" t="str">
        <f t="shared" si="85"/>
        <v>0-3</v>
      </c>
      <c r="L765" s="14" t="str">
        <f t="shared" si="84"/>
        <v>Romper Longer | 0-3 | Cream</v>
      </c>
      <c r="M765" s="16" t="s">
        <v>3609</v>
      </c>
    </row>
    <row r="766" spans="1:13" ht="25" customHeight="1" x14ac:dyDescent="0.45">
      <c r="A766" s="6">
        <v>46187</v>
      </c>
      <c r="B766" s="3" t="s">
        <v>1305</v>
      </c>
      <c r="C766" s="4" t="s">
        <v>101</v>
      </c>
      <c r="D766" s="53" t="str">
        <f t="shared" si="82"/>
        <v>Sage Green</v>
      </c>
      <c r="E766" s="4" t="s">
        <v>490</v>
      </c>
      <c r="F766" s="4" t="s">
        <v>7</v>
      </c>
      <c r="G766" s="4" t="str">
        <f t="shared" si="86"/>
        <v>Romper Longer</v>
      </c>
      <c r="H766" s="38">
        <f t="shared" si="81"/>
        <v>6</v>
      </c>
      <c r="I766" s="54">
        <f t="shared" si="87"/>
        <v>25</v>
      </c>
      <c r="J766" s="14" t="str">
        <f t="shared" si="83"/>
        <v>FathersDay</v>
      </c>
      <c r="K766" s="16" t="str">
        <f t="shared" si="85"/>
        <v>0-3</v>
      </c>
      <c r="L766" s="14" t="str">
        <f t="shared" si="84"/>
        <v>Romper Longer | 0-3 | Sage Green</v>
      </c>
      <c r="M766" s="16" t="s">
        <v>3611</v>
      </c>
    </row>
    <row r="767" spans="1:13" ht="25" customHeight="1" x14ac:dyDescent="0.45">
      <c r="A767" s="6">
        <v>46187</v>
      </c>
      <c r="B767" s="3" t="s">
        <v>1306</v>
      </c>
      <c r="C767" s="4" t="s">
        <v>470</v>
      </c>
      <c r="D767" s="53" t="str">
        <f t="shared" si="82"/>
        <v>Caldet Blue</v>
      </c>
      <c r="E767" s="4" t="s">
        <v>580</v>
      </c>
      <c r="F767" s="4" t="s">
        <v>7</v>
      </c>
      <c r="G767" s="4" t="str">
        <f t="shared" si="86"/>
        <v>Romper Short</v>
      </c>
      <c r="H767" s="38">
        <f t="shared" si="81"/>
        <v>6</v>
      </c>
      <c r="I767" s="54">
        <f t="shared" si="87"/>
        <v>25</v>
      </c>
      <c r="J767" s="14" t="str">
        <f t="shared" si="83"/>
        <v>FathersDay</v>
      </c>
      <c r="K767" s="16" t="str">
        <f t="shared" si="85"/>
        <v>0-3</v>
      </c>
      <c r="L767" s="14" t="str">
        <f t="shared" si="84"/>
        <v>Romper Short | 0-3 | Caldet Blue</v>
      </c>
      <c r="M767" s="16" t="s">
        <v>3610</v>
      </c>
    </row>
    <row r="768" spans="1:13" ht="25" customHeight="1" x14ac:dyDescent="0.45">
      <c r="A768" s="6">
        <v>46188</v>
      </c>
      <c r="B768" s="3" t="s">
        <v>1307</v>
      </c>
      <c r="C768" s="4" t="s">
        <v>87</v>
      </c>
      <c r="D768" s="53" t="str">
        <f t="shared" si="82"/>
        <v>Cream</v>
      </c>
      <c r="E768" s="4" t="s">
        <v>596</v>
      </c>
      <c r="F768" s="4" t="s">
        <v>19</v>
      </c>
      <c r="G768" s="4" t="str">
        <f t="shared" si="86"/>
        <v>Romper Longer</v>
      </c>
      <c r="H768" s="38">
        <f t="shared" si="81"/>
        <v>6</v>
      </c>
      <c r="I768" s="54">
        <f t="shared" si="87"/>
        <v>25</v>
      </c>
      <c r="J768" s="14" t="str">
        <f t="shared" si="83"/>
        <v>FathersDay</v>
      </c>
      <c r="K768" s="16" t="str">
        <f t="shared" si="85"/>
        <v>12-18</v>
      </c>
      <c r="L768" s="14" t="str">
        <f t="shared" si="84"/>
        <v>Romper Longer | 12-18 | Cream</v>
      </c>
      <c r="M768" s="16" t="s">
        <v>3610</v>
      </c>
    </row>
    <row r="769" spans="1:13" ht="25" customHeight="1" x14ac:dyDescent="0.45">
      <c r="A769" s="6">
        <v>46188</v>
      </c>
      <c r="B769" s="3" t="s">
        <v>1308</v>
      </c>
      <c r="C769" s="4" t="s">
        <v>470</v>
      </c>
      <c r="D769" s="53" t="str">
        <f t="shared" si="82"/>
        <v>Caldet Blue</v>
      </c>
      <c r="E769" s="4" t="s">
        <v>490</v>
      </c>
      <c r="F769" s="4" t="s">
        <v>11</v>
      </c>
      <c r="G769" s="4" t="str">
        <f t="shared" si="86"/>
        <v>Romper Longer</v>
      </c>
      <c r="H769" s="38">
        <f t="shared" si="81"/>
        <v>6</v>
      </c>
      <c r="I769" s="54">
        <f t="shared" si="87"/>
        <v>25</v>
      </c>
      <c r="J769" s="14" t="str">
        <f t="shared" si="83"/>
        <v>FathersDay</v>
      </c>
      <c r="K769" s="16" t="str">
        <f t="shared" si="85"/>
        <v>0-3</v>
      </c>
      <c r="L769" s="14" t="str">
        <f t="shared" si="84"/>
        <v>Romper Longer | 0-3 | Caldet Blue</v>
      </c>
      <c r="M769" s="16" t="s">
        <v>3610</v>
      </c>
    </row>
    <row r="770" spans="1:13" ht="25" customHeight="1" x14ac:dyDescent="0.45">
      <c r="A770" s="6">
        <v>46188</v>
      </c>
      <c r="B770" s="3" t="s">
        <v>1309</v>
      </c>
      <c r="C770" s="4" t="s">
        <v>101</v>
      </c>
      <c r="D770" s="53" t="str">
        <f t="shared" si="82"/>
        <v>Sage Green</v>
      </c>
      <c r="E770" s="4" t="s">
        <v>485</v>
      </c>
      <c r="F770" s="4" t="s">
        <v>7</v>
      </c>
      <c r="G770" s="4" t="str">
        <f t="shared" si="86"/>
        <v>Romper Short</v>
      </c>
      <c r="H770" s="38">
        <f t="shared" ref="H770:H833" si="88">MONTH(A770)</f>
        <v>6</v>
      </c>
      <c r="I770" s="54">
        <f t="shared" si="87"/>
        <v>25</v>
      </c>
      <c r="J770" s="14" t="str">
        <f t="shared" si="83"/>
        <v>FathersDay</v>
      </c>
      <c r="K770" s="16" t="str">
        <f t="shared" si="85"/>
        <v>3-6</v>
      </c>
      <c r="L770" s="14" t="str">
        <f t="shared" si="84"/>
        <v>Romper Short | 3-6 | Sage Green</v>
      </c>
      <c r="M770" s="16" t="s">
        <v>3611</v>
      </c>
    </row>
    <row r="771" spans="1:13" ht="25" customHeight="1" x14ac:dyDescent="0.45">
      <c r="A771" s="6">
        <v>46188</v>
      </c>
      <c r="B771" s="3" t="s">
        <v>1310</v>
      </c>
      <c r="C771" s="4" t="s">
        <v>470</v>
      </c>
      <c r="D771" s="53" t="str">
        <f t="shared" ref="D771:D834" si="89">PROPER(C771)</f>
        <v>Caldet Blue</v>
      </c>
      <c r="E771" s="4" t="s">
        <v>580</v>
      </c>
      <c r="F771" s="4" t="s">
        <v>7</v>
      </c>
      <c r="G771" s="4" t="str">
        <f t="shared" si="86"/>
        <v>Romper Short</v>
      </c>
      <c r="H771" s="38">
        <f t="shared" si="88"/>
        <v>6</v>
      </c>
      <c r="I771" s="54">
        <f>WEEKNUM(A771)</f>
        <v>25</v>
      </c>
      <c r="J771" s="14" t="str">
        <f t="shared" ref="J771:J834" si="90">IF(H771=1,"NewYear",
IF(H771=2,"Valentine",
IF(OR(H771=3,H771=4),"Easter",
IF(H771=5,"MothersDay",
IF(H771=6,"FathersDay",
IF(OR(H771=7,H771=8),"Summer",
IF(H771=10,"Halloween",
IF(OR(H771=11,H771=12),"Christmas","Normal"))))))))</f>
        <v>FathersDay</v>
      </c>
      <c r="K771" s="16" t="str">
        <f t="shared" si="85"/>
        <v>0-3</v>
      </c>
      <c r="L771" s="14" t="str">
        <f t="shared" ref="L771:L834" si="91">TRIM(G771)&amp;" | "&amp;TRIM(K771)&amp;" | "&amp;PROPER(TRIM(D771))</f>
        <v>Romper Short | 0-3 | Caldet Blue</v>
      </c>
      <c r="M771" s="16" t="s">
        <v>3610</v>
      </c>
    </row>
    <row r="772" spans="1:13" ht="25" customHeight="1" x14ac:dyDescent="0.45">
      <c r="A772" s="6">
        <v>46188</v>
      </c>
      <c r="B772" s="3" t="s">
        <v>1311</v>
      </c>
      <c r="C772" s="4" t="s">
        <v>87</v>
      </c>
      <c r="D772" s="53" t="str">
        <f t="shared" si="89"/>
        <v>Cream</v>
      </c>
      <c r="E772" s="4" t="s">
        <v>555</v>
      </c>
      <c r="F772" s="4" t="s">
        <v>7</v>
      </c>
      <c r="G772" s="4" t="str">
        <f t="shared" si="86"/>
        <v>Romper Longer</v>
      </c>
      <c r="H772" s="38">
        <f t="shared" si="88"/>
        <v>6</v>
      </c>
      <c r="I772" s="54">
        <f>WEEKNUM(A772)</f>
        <v>25</v>
      </c>
      <c r="J772" s="14" t="str">
        <f t="shared" si="90"/>
        <v>FathersDay</v>
      </c>
      <c r="K772" s="16" t="str">
        <f t="shared" si="85"/>
        <v>3-6</v>
      </c>
      <c r="L772" s="14" t="str">
        <f t="shared" si="91"/>
        <v>Romper Longer | 3-6 | Cream</v>
      </c>
      <c r="M772" s="16" t="s">
        <v>3609</v>
      </c>
    </row>
    <row r="773" spans="1:13" ht="25" customHeight="1" x14ac:dyDescent="0.45">
      <c r="A773" s="6">
        <v>46188</v>
      </c>
      <c r="B773" s="3" t="s">
        <v>1312</v>
      </c>
      <c r="C773" s="4" t="s">
        <v>528</v>
      </c>
      <c r="D773" s="53" t="str">
        <f t="shared" si="89"/>
        <v>Watermelon</v>
      </c>
      <c r="E773" s="4" t="s">
        <v>580</v>
      </c>
      <c r="F773" s="4" t="s">
        <v>7</v>
      </c>
      <c r="G773" s="4" t="str">
        <f t="shared" si="86"/>
        <v>Romper Short</v>
      </c>
      <c r="H773" s="38">
        <f t="shared" si="88"/>
        <v>6</v>
      </c>
      <c r="I773" s="54">
        <f t="shared" ref="I773:I808" si="92">WEEKNUM(A773)</f>
        <v>25</v>
      </c>
      <c r="J773" s="14" t="str">
        <f t="shared" si="90"/>
        <v>FathersDay</v>
      </c>
      <c r="K773" s="16" t="str">
        <f t="shared" si="85"/>
        <v>0-3</v>
      </c>
      <c r="L773" s="14" t="str">
        <f t="shared" si="91"/>
        <v>Romper Short | 0-3 | Watermelon</v>
      </c>
      <c r="M773" s="16" t="s">
        <v>3610</v>
      </c>
    </row>
    <row r="774" spans="1:13" ht="25" customHeight="1" x14ac:dyDescent="0.45">
      <c r="A774" s="6">
        <v>46188</v>
      </c>
      <c r="B774" s="3" t="s">
        <v>1313</v>
      </c>
      <c r="C774" s="4" t="s">
        <v>87</v>
      </c>
      <c r="D774" s="53" t="str">
        <f t="shared" si="89"/>
        <v>Cream</v>
      </c>
      <c r="E774" s="4" t="s">
        <v>555</v>
      </c>
      <c r="F774" s="4" t="s">
        <v>7</v>
      </c>
      <c r="G774" s="4" t="str">
        <f t="shared" si="86"/>
        <v>Romper Longer</v>
      </c>
      <c r="H774" s="38">
        <f t="shared" si="88"/>
        <v>6</v>
      </c>
      <c r="I774" s="54">
        <f t="shared" si="92"/>
        <v>25</v>
      </c>
      <c r="J774" s="14" t="str">
        <f t="shared" si="90"/>
        <v>FathersDay</v>
      </c>
      <c r="K774" s="16" t="str">
        <f t="shared" si="85"/>
        <v>3-6</v>
      </c>
      <c r="L774" s="14" t="str">
        <f t="shared" si="91"/>
        <v>Romper Longer | 3-6 | Cream</v>
      </c>
      <c r="M774" s="16" t="s">
        <v>3609</v>
      </c>
    </row>
    <row r="775" spans="1:13" ht="25" customHeight="1" x14ac:dyDescent="0.45">
      <c r="A775" s="6">
        <v>46188</v>
      </c>
      <c r="B775" s="3" t="s">
        <v>1314</v>
      </c>
      <c r="C775" s="4" t="s">
        <v>470</v>
      </c>
      <c r="D775" s="53" t="str">
        <f t="shared" si="89"/>
        <v>Caldet Blue</v>
      </c>
      <c r="E775" s="4" t="s">
        <v>479</v>
      </c>
      <c r="F775" s="4" t="s">
        <v>7</v>
      </c>
      <c r="G775" s="4" t="str">
        <f t="shared" si="86"/>
        <v>Romper Longer</v>
      </c>
      <c r="H775" s="38">
        <f t="shared" si="88"/>
        <v>6</v>
      </c>
      <c r="I775" s="54">
        <f t="shared" si="92"/>
        <v>25</v>
      </c>
      <c r="J775" s="14" t="str">
        <f t="shared" si="90"/>
        <v>FathersDay</v>
      </c>
      <c r="K775" s="16" t="str">
        <f t="shared" si="85"/>
        <v>6-12</v>
      </c>
      <c r="L775" s="14" t="str">
        <f t="shared" si="91"/>
        <v>Romper Longer | 6-12 | Caldet Blue</v>
      </c>
      <c r="M775" s="16" t="s">
        <v>3610</v>
      </c>
    </row>
    <row r="776" spans="1:13" ht="25" customHeight="1" x14ac:dyDescent="0.45">
      <c r="A776" s="6">
        <v>46188</v>
      </c>
      <c r="B776" s="3" t="s">
        <v>1315</v>
      </c>
      <c r="C776" s="4" t="s">
        <v>87</v>
      </c>
      <c r="D776" s="53" t="str">
        <f t="shared" si="89"/>
        <v>Cream</v>
      </c>
      <c r="E776" s="4" t="s">
        <v>555</v>
      </c>
      <c r="F776" s="4" t="s">
        <v>7</v>
      </c>
      <c r="G776" s="4" t="str">
        <f t="shared" si="86"/>
        <v>Romper Longer</v>
      </c>
      <c r="H776" s="38">
        <f t="shared" si="88"/>
        <v>6</v>
      </c>
      <c r="I776" s="54">
        <f t="shared" si="92"/>
        <v>25</v>
      </c>
      <c r="J776" s="14" t="str">
        <f t="shared" si="90"/>
        <v>FathersDay</v>
      </c>
      <c r="K776" s="16" t="str">
        <f t="shared" si="85"/>
        <v>3-6</v>
      </c>
      <c r="L776" s="14" t="str">
        <f t="shared" si="91"/>
        <v>Romper Longer | 3-6 | Cream</v>
      </c>
      <c r="M776" s="16" t="s">
        <v>3609</v>
      </c>
    </row>
    <row r="777" spans="1:13" ht="25" customHeight="1" x14ac:dyDescent="0.45">
      <c r="A777" s="6">
        <v>46188</v>
      </c>
      <c r="B777" s="3" t="s">
        <v>1316</v>
      </c>
      <c r="C777" s="4" t="s">
        <v>470</v>
      </c>
      <c r="D777" s="53" t="str">
        <f t="shared" si="89"/>
        <v>Caldet Blue</v>
      </c>
      <c r="E777" s="4" t="s">
        <v>555</v>
      </c>
      <c r="F777" s="4" t="s">
        <v>7</v>
      </c>
      <c r="G777" s="4" t="str">
        <f t="shared" si="86"/>
        <v>Romper Longer</v>
      </c>
      <c r="H777" s="38">
        <f t="shared" si="88"/>
        <v>6</v>
      </c>
      <c r="I777" s="54">
        <f t="shared" si="92"/>
        <v>25</v>
      </c>
      <c r="J777" s="14" t="str">
        <f t="shared" si="90"/>
        <v>FathersDay</v>
      </c>
      <c r="K777" s="16" t="str">
        <f t="shared" si="85"/>
        <v>3-6</v>
      </c>
      <c r="L777" s="14" t="str">
        <f t="shared" si="91"/>
        <v>Romper Longer | 3-6 | Caldet Blue</v>
      </c>
      <c r="M777" s="16" t="s">
        <v>3610</v>
      </c>
    </row>
    <row r="778" spans="1:13" ht="25" customHeight="1" x14ac:dyDescent="0.45">
      <c r="A778" s="6">
        <v>46048</v>
      </c>
      <c r="B778" s="3" t="s">
        <v>236</v>
      </c>
      <c r="C778" s="4" t="s">
        <v>5</v>
      </c>
      <c r="D778" s="53" t="str">
        <f t="shared" si="89"/>
        <v>Light Blue</v>
      </c>
      <c r="E778" s="4" t="s">
        <v>10</v>
      </c>
      <c r="F778" s="4" t="s">
        <v>7</v>
      </c>
      <c r="G778" s="4" t="str">
        <f t="shared" si="86"/>
        <v>Bodysuit</v>
      </c>
      <c r="H778" s="38">
        <f t="shared" si="88"/>
        <v>1</v>
      </c>
      <c r="I778" s="54">
        <f t="shared" si="92"/>
        <v>5</v>
      </c>
      <c r="J778" s="14" t="str">
        <f t="shared" si="90"/>
        <v>NewYear</v>
      </c>
      <c r="K778" s="16" t="str">
        <f t="shared" ref="K778:K809" si="93">TRIM(LEFT(E778,FIND("(",E778&amp;"(")-7))</f>
        <v>0-3</v>
      </c>
      <c r="L778" s="14" t="str">
        <f t="shared" si="91"/>
        <v>Bodysuit | 0-3 | Light Blue</v>
      </c>
      <c r="M778" s="16" t="s">
        <v>3610</v>
      </c>
    </row>
    <row r="779" spans="1:13" ht="25" customHeight="1" x14ac:dyDescent="0.45">
      <c r="A779" s="6">
        <v>46048</v>
      </c>
      <c r="B779" s="3" t="s">
        <v>237</v>
      </c>
      <c r="C779" s="4" t="s">
        <v>9</v>
      </c>
      <c r="D779" s="53" t="str">
        <f t="shared" si="89"/>
        <v>Cream</v>
      </c>
      <c r="E779" s="4" t="s">
        <v>10</v>
      </c>
      <c r="F779" s="4" t="s">
        <v>7</v>
      </c>
      <c r="G779" s="4" t="str">
        <f t="shared" si="86"/>
        <v>Bodysuit</v>
      </c>
      <c r="H779" s="38">
        <f t="shared" si="88"/>
        <v>1</v>
      </c>
      <c r="I779" s="54">
        <f t="shared" si="92"/>
        <v>5</v>
      </c>
      <c r="J779" s="14" t="str">
        <f t="shared" si="90"/>
        <v>NewYear</v>
      </c>
      <c r="K779" s="16" t="str">
        <f t="shared" si="93"/>
        <v>0-3</v>
      </c>
      <c r="L779" s="14" t="str">
        <f t="shared" si="91"/>
        <v>Bodysuit | 0-3 | Cream</v>
      </c>
      <c r="M779" s="16" t="s">
        <v>3610</v>
      </c>
    </row>
    <row r="780" spans="1:13" ht="25" customHeight="1" x14ac:dyDescent="0.45">
      <c r="A780" s="6">
        <v>46049</v>
      </c>
      <c r="B780" s="3" t="s">
        <v>237</v>
      </c>
      <c r="C780" s="4" t="s">
        <v>9</v>
      </c>
      <c r="D780" s="53" t="str">
        <f t="shared" si="89"/>
        <v>Cream</v>
      </c>
      <c r="E780" s="4" t="s">
        <v>6</v>
      </c>
      <c r="F780" s="4" t="s">
        <v>7</v>
      </c>
      <c r="G780" s="4" t="str">
        <f t="shared" si="86"/>
        <v>Bodysuit</v>
      </c>
      <c r="H780" s="38">
        <f t="shared" si="88"/>
        <v>1</v>
      </c>
      <c r="I780" s="54">
        <f t="shared" si="92"/>
        <v>5</v>
      </c>
      <c r="J780" s="14" t="str">
        <f t="shared" si="90"/>
        <v>NewYear</v>
      </c>
      <c r="K780" s="16" t="str">
        <f t="shared" si="93"/>
        <v>3-6</v>
      </c>
      <c r="L780" s="14" t="str">
        <f t="shared" si="91"/>
        <v>Bodysuit | 3-6 | Cream</v>
      </c>
      <c r="M780" s="16" t="s">
        <v>3611</v>
      </c>
    </row>
    <row r="781" spans="1:13" ht="25" customHeight="1" x14ac:dyDescent="0.45">
      <c r="A781" s="6">
        <v>46050</v>
      </c>
      <c r="B781" s="3" t="s">
        <v>238</v>
      </c>
      <c r="C781" s="4" t="s">
        <v>9</v>
      </c>
      <c r="D781" s="53" t="str">
        <f t="shared" si="89"/>
        <v>Cream</v>
      </c>
      <c r="E781" s="4" t="s">
        <v>10</v>
      </c>
      <c r="F781" s="4" t="s">
        <v>7</v>
      </c>
      <c r="G781" s="4" t="str">
        <f t="shared" si="86"/>
        <v>Bodysuit</v>
      </c>
      <c r="H781" s="38">
        <f t="shared" si="88"/>
        <v>1</v>
      </c>
      <c r="I781" s="54">
        <f t="shared" si="92"/>
        <v>5</v>
      </c>
      <c r="J781" s="14" t="str">
        <f t="shared" si="90"/>
        <v>NewYear</v>
      </c>
      <c r="K781" s="16" t="str">
        <f t="shared" si="93"/>
        <v>0-3</v>
      </c>
      <c r="L781" s="14" t="str">
        <f t="shared" si="91"/>
        <v>Bodysuit | 0-3 | Cream</v>
      </c>
      <c r="M781" s="16" t="s">
        <v>3610</v>
      </c>
    </row>
    <row r="782" spans="1:13" ht="25" customHeight="1" x14ac:dyDescent="0.45">
      <c r="A782" s="6">
        <v>46050</v>
      </c>
      <c r="B782" s="13" t="s">
        <v>239</v>
      </c>
      <c r="C782" s="4" t="s">
        <v>9</v>
      </c>
      <c r="D782" s="53" t="str">
        <f t="shared" si="89"/>
        <v>Cream</v>
      </c>
      <c r="E782" s="4" t="s">
        <v>10</v>
      </c>
      <c r="F782" s="4" t="s">
        <v>7</v>
      </c>
      <c r="G782" s="4" t="str">
        <f t="shared" si="86"/>
        <v>Bodysuit</v>
      </c>
      <c r="H782" s="38">
        <f t="shared" si="88"/>
        <v>1</v>
      </c>
      <c r="I782" s="54">
        <f t="shared" si="92"/>
        <v>5</v>
      </c>
      <c r="J782" s="14" t="str">
        <f t="shared" si="90"/>
        <v>NewYear</v>
      </c>
      <c r="K782" s="16" t="str">
        <f t="shared" si="93"/>
        <v>0-3</v>
      </c>
      <c r="L782" s="14" t="str">
        <f t="shared" si="91"/>
        <v>Bodysuit | 0-3 | Cream</v>
      </c>
      <c r="M782" s="16" t="s">
        <v>3610</v>
      </c>
    </row>
    <row r="783" spans="1:13" ht="25" customHeight="1" x14ac:dyDescent="0.45">
      <c r="A783" s="6">
        <v>46055</v>
      </c>
      <c r="B783" s="3" t="s">
        <v>239</v>
      </c>
      <c r="C783" s="4" t="s">
        <v>9</v>
      </c>
      <c r="D783" s="53" t="str">
        <f t="shared" si="89"/>
        <v>Cream</v>
      </c>
      <c r="E783" s="4" t="s">
        <v>10</v>
      </c>
      <c r="F783" s="4" t="s">
        <v>7</v>
      </c>
      <c r="G783" s="4" t="str">
        <f t="shared" si="86"/>
        <v>Bodysuit</v>
      </c>
      <c r="H783" s="38">
        <f t="shared" si="88"/>
        <v>2</v>
      </c>
      <c r="I783" s="54">
        <f t="shared" si="92"/>
        <v>6</v>
      </c>
      <c r="J783" s="14" t="str">
        <f t="shared" si="90"/>
        <v>Valentine</v>
      </c>
      <c r="K783" s="16" t="str">
        <f t="shared" si="93"/>
        <v>0-3</v>
      </c>
      <c r="L783" s="14" t="str">
        <f t="shared" si="91"/>
        <v>Bodysuit | 0-3 | Cream</v>
      </c>
      <c r="M783" s="16" t="s">
        <v>3610</v>
      </c>
    </row>
    <row r="784" spans="1:13" ht="25" customHeight="1" x14ac:dyDescent="0.45">
      <c r="A784" s="6">
        <v>46056</v>
      </c>
      <c r="B784" s="3" t="s">
        <v>240</v>
      </c>
      <c r="C784" s="4" t="s">
        <v>5</v>
      </c>
      <c r="D784" s="53" t="str">
        <f t="shared" si="89"/>
        <v>Light Blue</v>
      </c>
      <c r="E784" s="4" t="s">
        <v>10</v>
      </c>
      <c r="F784" s="4" t="s">
        <v>7</v>
      </c>
      <c r="G784" s="4" t="str">
        <f t="shared" ref="G784:G847" si="94">IF(ISNUMBER(SEARCH("LONG",E784)),"Romper Longer",IF(ISNUMBER(SEARCH("SHORT",E784)),"Romper Short","Bodysuit"))</f>
        <v>Bodysuit</v>
      </c>
      <c r="H784" s="38">
        <f t="shared" si="88"/>
        <v>2</v>
      </c>
      <c r="I784" s="54">
        <f t="shared" si="92"/>
        <v>6</v>
      </c>
      <c r="J784" s="14" t="str">
        <f t="shared" si="90"/>
        <v>Valentine</v>
      </c>
      <c r="K784" s="16" t="str">
        <f t="shared" si="93"/>
        <v>0-3</v>
      </c>
      <c r="L784" s="14" t="str">
        <f t="shared" si="91"/>
        <v>Bodysuit | 0-3 | Light Blue</v>
      </c>
      <c r="M784" s="16" t="s">
        <v>3610</v>
      </c>
    </row>
    <row r="785" spans="1:13" ht="25" customHeight="1" x14ac:dyDescent="0.45">
      <c r="A785" s="6">
        <v>46059</v>
      </c>
      <c r="B785" s="3" t="s">
        <v>241</v>
      </c>
      <c r="C785" s="4" t="s">
        <v>8</v>
      </c>
      <c r="D785" s="53" t="str">
        <f t="shared" si="89"/>
        <v>Light Pink</v>
      </c>
      <c r="E785" s="4" t="s">
        <v>6</v>
      </c>
      <c r="F785" s="4" t="s">
        <v>7</v>
      </c>
      <c r="G785" s="4" t="str">
        <f t="shared" si="94"/>
        <v>Bodysuit</v>
      </c>
      <c r="H785" s="38">
        <f t="shared" si="88"/>
        <v>2</v>
      </c>
      <c r="I785" s="54">
        <f t="shared" si="92"/>
        <v>6</v>
      </c>
      <c r="J785" s="14" t="str">
        <f t="shared" si="90"/>
        <v>Valentine</v>
      </c>
      <c r="K785" s="16" t="str">
        <f t="shared" si="93"/>
        <v>3-6</v>
      </c>
      <c r="L785" s="14" t="str">
        <f t="shared" si="91"/>
        <v>Bodysuit | 3-6 | Light Pink</v>
      </c>
      <c r="M785" s="16" t="s">
        <v>3610</v>
      </c>
    </row>
    <row r="786" spans="1:13" ht="25" customHeight="1" x14ac:dyDescent="0.45">
      <c r="A786" s="6">
        <v>46059</v>
      </c>
      <c r="B786" s="3" t="s">
        <v>242</v>
      </c>
      <c r="C786" s="4" t="s">
        <v>5</v>
      </c>
      <c r="D786" s="53" t="str">
        <f t="shared" si="89"/>
        <v>Light Blue</v>
      </c>
      <c r="E786" s="4" t="s">
        <v>10</v>
      </c>
      <c r="F786" s="4" t="s">
        <v>7</v>
      </c>
      <c r="G786" s="4" t="str">
        <f t="shared" si="94"/>
        <v>Bodysuit</v>
      </c>
      <c r="H786" s="38">
        <f t="shared" si="88"/>
        <v>2</v>
      </c>
      <c r="I786" s="54">
        <f t="shared" si="92"/>
        <v>6</v>
      </c>
      <c r="J786" s="14" t="str">
        <f t="shared" si="90"/>
        <v>Valentine</v>
      </c>
      <c r="K786" s="16" t="str">
        <f t="shared" si="93"/>
        <v>0-3</v>
      </c>
      <c r="L786" s="14" t="str">
        <f t="shared" si="91"/>
        <v>Bodysuit | 0-3 | Light Blue</v>
      </c>
      <c r="M786" s="16" t="s">
        <v>3610</v>
      </c>
    </row>
    <row r="787" spans="1:13" ht="25" customHeight="1" x14ac:dyDescent="0.45">
      <c r="A787" s="6">
        <v>46060</v>
      </c>
      <c r="B787" s="3" t="s">
        <v>243</v>
      </c>
      <c r="C787" s="4" t="s">
        <v>5</v>
      </c>
      <c r="D787" s="53" t="str">
        <f t="shared" si="89"/>
        <v>Light Blue</v>
      </c>
      <c r="E787" s="4" t="s">
        <v>6</v>
      </c>
      <c r="F787" s="4" t="s">
        <v>7</v>
      </c>
      <c r="G787" s="4" t="str">
        <f t="shared" si="94"/>
        <v>Bodysuit</v>
      </c>
      <c r="H787" s="38">
        <f t="shared" si="88"/>
        <v>2</v>
      </c>
      <c r="I787" s="54">
        <f t="shared" si="92"/>
        <v>6</v>
      </c>
      <c r="J787" s="14" t="str">
        <f t="shared" si="90"/>
        <v>Valentine</v>
      </c>
      <c r="K787" s="16" t="str">
        <f t="shared" si="93"/>
        <v>3-6</v>
      </c>
      <c r="L787" s="14" t="str">
        <f t="shared" si="91"/>
        <v>Bodysuit | 3-6 | Light Blue</v>
      </c>
      <c r="M787" s="16" t="s">
        <v>3610</v>
      </c>
    </row>
    <row r="788" spans="1:13" ht="25" customHeight="1" x14ac:dyDescent="0.45">
      <c r="A788" s="6">
        <v>46060</v>
      </c>
      <c r="B788" s="3" t="s">
        <v>244</v>
      </c>
      <c r="C788" s="4" t="s">
        <v>9</v>
      </c>
      <c r="D788" s="53" t="str">
        <f t="shared" si="89"/>
        <v>Cream</v>
      </c>
      <c r="E788" s="4" t="s">
        <v>10</v>
      </c>
      <c r="F788" s="4" t="s">
        <v>7</v>
      </c>
      <c r="G788" s="4" t="str">
        <f t="shared" si="94"/>
        <v>Bodysuit</v>
      </c>
      <c r="H788" s="38">
        <f t="shared" si="88"/>
        <v>2</v>
      </c>
      <c r="I788" s="54">
        <f t="shared" si="92"/>
        <v>6</v>
      </c>
      <c r="J788" s="14" t="str">
        <f t="shared" si="90"/>
        <v>Valentine</v>
      </c>
      <c r="K788" s="16" t="str">
        <f t="shared" si="93"/>
        <v>0-3</v>
      </c>
      <c r="L788" s="14" t="str">
        <f t="shared" si="91"/>
        <v>Bodysuit | 0-3 | Cream</v>
      </c>
      <c r="M788" s="16" t="s">
        <v>3610</v>
      </c>
    </row>
    <row r="789" spans="1:13" ht="25" customHeight="1" x14ac:dyDescent="0.45">
      <c r="A789" s="6">
        <v>46063</v>
      </c>
      <c r="B789" s="3" t="s">
        <v>245</v>
      </c>
      <c r="C789" s="4" t="s">
        <v>8</v>
      </c>
      <c r="D789" s="53" t="str">
        <f t="shared" si="89"/>
        <v>Light Pink</v>
      </c>
      <c r="E789" s="4" t="s">
        <v>10</v>
      </c>
      <c r="F789" s="4" t="s">
        <v>7</v>
      </c>
      <c r="G789" s="4" t="str">
        <f t="shared" si="94"/>
        <v>Bodysuit</v>
      </c>
      <c r="H789" s="38">
        <f t="shared" si="88"/>
        <v>2</v>
      </c>
      <c r="I789" s="54">
        <f t="shared" si="92"/>
        <v>7</v>
      </c>
      <c r="J789" s="14" t="str">
        <f t="shared" si="90"/>
        <v>Valentine</v>
      </c>
      <c r="K789" s="16" t="str">
        <f t="shared" si="93"/>
        <v>0-3</v>
      </c>
      <c r="L789" s="14" t="str">
        <f t="shared" si="91"/>
        <v>Bodysuit | 0-3 | Light Pink</v>
      </c>
      <c r="M789" s="16" t="s">
        <v>3610</v>
      </c>
    </row>
    <row r="790" spans="1:13" ht="25" customHeight="1" x14ac:dyDescent="0.45">
      <c r="A790" s="6">
        <v>46063</v>
      </c>
      <c r="B790" s="3" t="s">
        <v>246</v>
      </c>
      <c r="C790" s="4" t="s">
        <v>8</v>
      </c>
      <c r="D790" s="53" t="str">
        <f t="shared" si="89"/>
        <v>Light Pink</v>
      </c>
      <c r="E790" s="4" t="s">
        <v>6</v>
      </c>
      <c r="F790" s="4" t="s">
        <v>7</v>
      </c>
      <c r="G790" s="4" t="str">
        <f t="shared" si="94"/>
        <v>Bodysuit</v>
      </c>
      <c r="H790" s="38">
        <f t="shared" si="88"/>
        <v>2</v>
      </c>
      <c r="I790" s="54">
        <f t="shared" si="92"/>
        <v>7</v>
      </c>
      <c r="J790" s="14" t="str">
        <f t="shared" si="90"/>
        <v>Valentine</v>
      </c>
      <c r="K790" s="16" t="str">
        <f t="shared" si="93"/>
        <v>3-6</v>
      </c>
      <c r="L790" s="14" t="str">
        <f t="shared" si="91"/>
        <v>Bodysuit | 3-6 | Light Pink</v>
      </c>
      <c r="M790" s="16" t="s">
        <v>3610</v>
      </c>
    </row>
    <row r="791" spans="1:13" ht="25" customHeight="1" x14ac:dyDescent="0.45">
      <c r="A791" s="6">
        <v>46064</v>
      </c>
      <c r="B791" s="3" t="s">
        <v>247</v>
      </c>
      <c r="C791" s="4" t="s">
        <v>8</v>
      </c>
      <c r="D791" s="53" t="str">
        <f t="shared" si="89"/>
        <v>Light Pink</v>
      </c>
      <c r="E791" s="4" t="s">
        <v>10</v>
      </c>
      <c r="F791" s="4" t="s">
        <v>7</v>
      </c>
      <c r="G791" s="4" t="str">
        <f t="shared" si="94"/>
        <v>Bodysuit</v>
      </c>
      <c r="H791" s="38">
        <f t="shared" si="88"/>
        <v>2</v>
      </c>
      <c r="I791" s="54">
        <f t="shared" si="92"/>
        <v>7</v>
      </c>
      <c r="J791" s="14" t="str">
        <f t="shared" si="90"/>
        <v>Valentine</v>
      </c>
      <c r="K791" s="16" t="str">
        <f t="shared" si="93"/>
        <v>0-3</v>
      </c>
      <c r="L791" s="14" t="str">
        <f t="shared" si="91"/>
        <v>Bodysuit | 0-3 | Light Pink</v>
      </c>
      <c r="M791" s="16" t="s">
        <v>3610</v>
      </c>
    </row>
    <row r="792" spans="1:13" ht="25" customHeight="1" x14ac:dyDescent="0.45">
      <c r="A792" s="6">
        <v>46065</v>
      </c>
      <c r="B792" s="3" t="s">
        <v>248</v>
      </c>
      <c r="C792" s="4" t="s">
        <v>9</v>
      </c>
      <c r="D792" s="53" t="str">
        <f t="shared" si="89"/>
        <v>Cream</v>
      </c>
      <c r="E792" s="4" t="s">
        <v>10</v>
      </c>
      <c r="F792" s="4" t="s">
        <v>7</v>
      </c>
      <c r="G792" s="4" t="str">
        <f t="shared" si="94"/>
        <v>Bodysuit</v>
      </c>
      <c r="H792" s="38">
        <f t="shared" si="88"/>
        <v>2</v>
      </c>
      <c r="I792" s="54">
        <f t="shared" si="92"/>
        <v>7</v>
      </c>
      <c r="J792" s="14" t="str">
        <f t="shared" si="90"/>
        <v>Valentine</v>
      </c>
      <c r="K792" s="16" t="str">
        <f t="shared" si="93"/>
        <v>0-3</v>
      </c>
      <c r="L792" s="14" t="str">
        <f t="shared" si="91"/>
        <v>Bodysuit | 0-3 | Cream</v>
      </c>
      <c r="M792" s="16" t="s">
        <v>3610</v>
      </c>
    </row>
    <row r="793" spans="1:13" ht="25" customHeight="1" x14ac:dyDescent="0.45">
      <c r="A793" s="6">
        <v>46066</v>
      </c>
      <c r="B793" s="3" t="s">
        <v>249</v>
      </c>
      <c r="C793" s="4" t="s">
        <v>5</v>
      </c>
      <c r="D793" s="53" t="str">
        <f t="shared" si="89"/>
        <v>Light Blue</v>
      </c>
      <c r="E793" s="4" t="s">
        <v>6</v>
      </c>
      <c r="F793" s="4" t="s">
        <v>7</v>
      </c>
      <c r="G793" s="4" t="str">
        <f t="shared" si="94"/>
        <v>Bodysuit</v>
      </c>
      <c r="H793" s="38">
        <f t="shared" si="88"/>
        <v>2</v>
      </c>
      <c r="I793" s="54">
        <f t="shared" si="92"/>
        <v>7</v>
      </c>
      <c r="J793" s="14" t="str">
        <f t="shared" si="90"/>
        <v>Valentine</v>
      </c>
      <c r="K793" s="16" t="str">
        <f t="shared" si="93"/>
        <v>3-6</v>
      </c>
      <c r="L793" s="14" t="str">
        <f t="shared" si="91"/>
        <v>Bodysuit | 3-6 | Light Blue</v>
      </c>
      <c r="M793" s="16" t="s">
        <v>3610</v>
      </c>
    </row>
    <row r="794" spans="1:13" ht="25" customHeight="1" x14ac:dyDescent="0.45">
      <c r="A794" s="6">
        <v>46067</v>
      </c>
      <c r="B794" s="3" t="s">
        <v>250</v>
      </c>
      <c r="C794" s="4" t="s">
        <v>9</v>
      </c>
      <c r="D794" s="53" t="str">
        <f t="shared" si="89"/>
        <v>Cream</v>
      </c>
      <c r="E794" s="4" t="s">
        <v>10</v>
      </c>
      <c r="F794" s="4" t="s">
        <v>7</v>
      </c>
      <c r="G794" s="4" t="str">
        <f t="shared" si="94"/>
        <v>Bodysuit</v>
      </c>
      <c r="H794" s="38">
        <f t="shared" si="88"/>
        <v>2</v>
      </c>
      <c r="I794" s="54">
        <f t="shared" si="92"/>
        <v>7</v>
      </c>
      <c r="J794" s="14" t="str">
        <f t="shared" si="90"/>
        <v>Valentine</v>
      </c>
      <c r="K794" s="16" t="str">
        <f t="shared" si="93"/>
        <v>0-3</v>
      </c>
      <c r="L794" s="14" t="str">
        <f t="shared" si="91"/>
        <v>Bodysuit | 0-3 | Cream</v>
      </c>
      <c r="M794" s="16" t="s">
        <v>3610</v>
      </c>
    </row>
    <row r="795" spans="1:13" ht="25" customHeight="1" x14ac:dyDescent="0.45">
      <c r="A795" s="6">
        <v>46068</v>
      </c>
      <c r="B795" s="3" t="s">
        <v>251</v>
      </c>
      <c r="C795" s="4" t="s">
        <v>9</v>
      </c>
      <c r="D795" s="53" t="str">
        <f t="shared" si="89"/>
        <v>Cream</v>
      </c>
      <c r="E795" s="4" t="s">
        <v>10</v>
      </c>
      <c r="F795" s="4" t="s">
        <v>7</v>
      </c>
      <c r="G795" s="4" t="str">
        <f t="shared" si="94"/>
        <v>Bodysuit</v>
      </c>
      <c r="H795" s="38">
        <f t="shared" si="88"/>
        <v>2</v>
      </c>
      <c r="I795" s="54">
        <f t="shared" si="92"/>
        <v>8</v>
      </c>
      <c r="J795" s="14" t="str">
        <f t="shared" si="90"/>
        <v>Valentine</v>
      </c>
      <c r="K795" s="16" t="str">
        <f t="shared" si="93"/>
        <v>0-3</v>
      </c>
      <c r="L795" s="14" t="str">
        <f t="shared" si="91"/>
        <v>Bodysuit | 0-3 | Cream</v>
      </c>
      <c r="M795" s="16" t="s">
        <v>3610</v>
      </c>
    </row>
    <row r="796" spans="1:13" ht="25" customHeight="1" x14ac:dyDescent="0.45">
      <c r="A796" s="6">
        <v>46069</v>
      </c>
      <c r="B796" s="3" t="s">
        <v>253</v>
      </c>
      <c r="C796" s="4" t="s">
        <v>9</v>
      </c>
      <c r="D796" s="53" t="str">
        <f t="shared" si="89"/>
        <v>Cream</v>
      </c>
      <c r="E796" s="4" t="s">
        <v>6</v>
      </c>
      <c r="F796" s="4" t="s">
        <v>7</v>
      </c>
      <c r="G796" s="4" t="str">
        <f t="shared" si="94"/>
        <v>Bodysuit</v>
      </c>
      <c r="H796" s="38">
        <f t="shared" si="88"/>
        <v>2</v>
      </c>
      <c r="I796" s="54">
        <f t="shared" si="92"/>
        <v>8</v>
      </c>
      <c r="J796" s="14" t="str">
        <f t="shared" si="90"/>
        <v>Valentine</v>
      </c>
      <c r="K796" s="16" t="str">
        <f t="shared" si="93"/>
        <v>3-6</v>
      </c>
      <c r="L796" s="14" t="str">
        <f t="shared" si="91"/>
        <v>Bodysuit | 3-6 | Cream</v>
      </c>
      <c r="M796" s="16" t="s">
        <v>3611</v>
      </c>
    </row>
    <row r="797" spans="1:13" ht="25" customHeight="1" x14ac:dyDescent="0.45">
      <c r="A797" s="6">
        <v>46069</v>
      </c>
      <c r="B797" s="3" t="s">
        <v>254</v>
      </c>
      <c r="C797" s="4" t="s">
        <v>9</v>
      </c>
      <c r="D797" s="53" t="str">
        <f t="shared" si="89"/>
        <v>Cream</v>
      </c>
      <c r="E797" s="4" t="s">
        <v>6</v>
      </c>
      <c r="F797" s="4" t="s">
        <v>7</v>
      </c>
      <c r="G797" s="4" t="str">
        <f t="shared" si="94"/>
        <v>Bodysuit</v>
      </c>
      <c r="H797" s="38">
        <f t="shared" si="88"/>
        <v>2</v>
      </c>
      <c r="I797" s="54">
        <f t="shared" si="92"/>
        <v>8</v>
      </c>
      <c r="J797" s="14" t="str">
        <f t="shared" si="90"/>
        <v>Valentine</v>
      </c>
      <c r="K797" s="16" t="str">
        <f t="shared" si="93"/>
        <v>3-6</v>
      </c>
      <c r="L797" s="14" t="str">
        <f t="shared" si="91"/>
        <v>Bodysuit | 3-6 | Cream</v>
      </c>
      <c r="M797" s="16" t="s">
        <v>3611</v>
      </c>
    </row>
    <row r="798" spans="1:13" ht="25" customHeight="1" x14ac:dyDescent="0.45">
      <c r="A798" s="6">
        <v>46070</v>
      </c>
      <c r="B798" s="3" t="s">
        <v>255</v>
      </c>
      <c r="C798" s="4" t="s">
        <v>8</v>
      </c>
      <c r="D798" s="53" t="str">
        <f t="shared" si="89"/>
        <v>Light Pink</v>
      </c>
      <c r="E798" s="4" t="s">
        <v>6</v>
      </c>
      <c r="F798" s="4" t="s">
        <v>7</v>
      </c>
      <c r="G798" s="4" t="str">
        <f t="shared" si="94"/>
        <v>Bodysuit</v>
      </c>
      <c r="H798" s="38">
        <f t="shared" si="88"/>
        <v>2</v>
      </c>
      <c r="I798" s="54">
        <f t="shared" si="92"/>
        <v>8</v>
      </c>
      <c r="J798" s="14" t="str">
        <f t="shared" si="90"/>
        <v>Valentine</v>
      </c>
      <c r="K798" s="16" t="str">
        <f t="shared" si="93"/>
        <v>3-6</v>
      </c>
      <c r="L798" s="14" t="str">
        <f t="shared" si="91"/>
        <v>Bodysuit | 3-6 | Light Pink</v>
      </c>
      <c r="M798" s="16" t="s">
        <v>3610</v>
      </c>
    </row>
    <row r="799" spans="1:13" ht="25" customHeight="1" x14ac:dyDescent="0.45">
      <c r="A799" s="6">
        <v>46071</v>
      </c>
      <c r="B799" s="3" t="s">
        <v>256</v>
      </c>
      <c r="C799" s="4" t="s">
        <v>5</v>
      </c>
      <c r="D799" s="53" t="str">
        <f t="shared" si="89"/>
        <v>Light Blue</v>
      </c>
      <c r="E799" s="4" t="s">
        <v>6</v>
      </c>
      <c r="F799" s="4" t="s">
        <v>7</v>
      </c>
      <c r="G799" s="4" t="str">
        <f t="shared" si="94"/>
        <v>Bodysuit</v>
      </c>
      <c r="H799" s="38">
        <f t="shared" si="88"/>
        <v>2</v>
      </c>
      <c r="I799" s="54">
        <f t="shared" si="92"/>
        <v>8</v>
      </c>
      <c r="J799" s="14" t="str">
        <f t="shared" si="90"/>
        <v>Valentine</v>
      </c>
      <c r="K799" s="16" t="str">
        <f t="shared" si="93"/>
        <v>3-6</v>
      </c>
      <c r="L799" s="14" t="str">
        <f t="shared" si="91"/>
        <v>Bodysuit | 3-6 | Light Blue</v>
      </c>
      <c r="M799" s="16" t="s">
        <v>3610</v>
      </c>
    </row>
    <row r="800" spans="1:13" ht="25" customHeight="1" x14ac:dyDescent="0.45">
      <c r="A800" s="6">
        <v>46071</v>
      </c>
      <c r="B800" s="3" t="s">
        <v>257</v>
      </c>
      <c r="C800" s="4" t="s">
        <v>9</v>
      </c>
      <c r="D800" s="53" t="str">
        <f t="shared" si="89"/>
        <v>Cream</v>
      </c>
      <c r="E800" s="4" t="s">
        <v>10</v>
      </c>
      <c r="F800" s="4" t="s">
        <v>7</v>
      </c>
      <c r="G800" s="4" t="str">
        <f t="shared" si="94"/>
        <v>Bodysuit</v>
      </c>
      <c r="H800" s="38">
        <f t="shared" si="88"/>
        <v>2</v>
      </c>
      <c r="I800" s="54">
        <f t="shared" si="92"/>
        <v>8</v>
      </c>
      <c r="J800" s="14" t="str">
        <f t="shared" si="90"/>
        <v>Valentine</v>
      </c>
      <c r="K800" s="16" t="str">
        <f t="shared" si="93"/>
        <v>0-3</v>
      </c>
      <c r="L800" s="14" t="str">
        <f t="shared" si="91"/>
        <v>Bodysuit | 0-3 | Cream</v>
      </c>
      <c r="M800" s="16" t="s">
        <v>3610</v>
      </c>
    </row>
    <row r="801" spans="1:13" ht="25" customHeight="1" x14ac:dyDescent="0.45">
      <c r="A801" s="6">
        <v>46078</v>
      </c>
      <c r="B801" s="3" t="s">
        <v>258</v>
      </c>
      <c r="C801" s="4" t="s">
        <v>5</v>
      </c>
      <c r="D801" s="53" t="str">
        <f t="shared" si="89"/>
        <v>Light Blue</v>
      </c>
      <c r="E801" s="4" t="s">
        <v>10</v>
      </c>
      <c r="F801" s="4" t="s">
        <v>7</v>
      </c>
      <c r="G801" s="4" t="str">
        <f t="shared" si="94"/>
        <v>Bodysuit</v>
      </c>
      <c r="H801" s="38">
        <f t="shared" si="88"/>
        <v>2</v>
      </c>
      <c r="I801" s="54">
        <f t="shared" si="92"/>
        <v>9</v>
      </c>
      <c r="J801" s="14" t="str">
        <f t="shared" si="90"/>
        <v>Valentine</v>
      </c>
      <c r="K801" s="16" t="str">
        <f t="shared" si="93"/>
        <v>0-3</v>
      </c>
      <c r="L801" s="14" t="str">
        <f t="shared" si="91"/>
        <v>Bodysuit | 0-3 | Light Blue</v>
      </c>
      <c r="M801" s="16" t="s">
        <v>3610</v>
      </c>
    </row>
    <row r="802" spans="1:13" ht="25" customHeight="1" x14ac:dyDescent="0.45">
      <c r="A802" s="6">
        <v>46078</v>
      </c>
      <c r="B802" s="3" t="s">
        <v>259</v>
      </c>
      <c r="C802" s="4" t="s">
        <v>8</v>
      </c>
      <c r="D802" s="53" t="str">
        <f t="shared" si="89"/>
        <v>Light Pink</v>
      </c>
      <c r="E802" s="4" t="s">
        <v>10</v>
      </c>
      <c r="F802" s="4" t="s">
        <v>7</v>
      </c>
      <c r="G802" s="4" t="str">
        <f t="shared" si="94"/>
        <v>Bodysuit</v>
      </c>
      <c r="H802" s="38">
        <f t="shared" si="88"/>
        <v>2</v>
      </c>
      <c r="I802" s="54">
        <f t="shared" si="92"/>
        <v>9</v>
      </c>
      <c r="J802" s="14" t="str">
        <f t="shared" si="90"/>
        <v>Valentine</v>
      </c>
      <c r="K802" s="16" t="str">
        <f t="shared" si="93"/>
        <v>0-3</v>
      </c>
      <c r="L802" s="14" t="str">
        <f t="shared" si="91"/>
        <v>Bodysuit | 0-3 | Light Pink</v>
      </c>
      <c r="M802" s="16" t="s">
        <v>3610</v>
      </c>
    </row>
    <row r="803" spans="1:13" ht="25" customHeight="1" x14ac:dyDescent="0.45">
      <c r="A803" s="6">
        <v>46080</v>
      </c>
      <c r="B803" s="3" t="s">
        <v>260</v>
      </c>
      <c r="C803" s="4" t="s">
        <v>9</v>
      </c>
      <c r="D803" s="53" t="str">
        <f t="shared" si="89"/>
        <v>Cream</v>
      </c>
      <c r="E803" s="4" t="s">
        <v>10</v>
      </c>
      <c r="F803" s="4" t="s">
        <v>7</v>
      </c>
      <c r="G803" s="4" t="str">
        <f t="shared" si="94"/>
        <v>Bodysuit</v>
      </c>
      <c r="H803" s="38">
        <f t="shared" si="88"/>
        <v>2</v>
      </c>
      <c r="I803" s="54">
        <f t="shared" si="92"/>
        <v>9</v>
      </c>
      <c r="J803" s="14" t="str">
        <f t="shared" si="90"/>
        <v>Valentine</v>
      </c>
      <c r="K803" s="16" t="str">
        <f t="shared" si="93"/>
        <v>0-3</v>
      </c>
      <c r="L803" s="14" t="str">
        <f t="shared" si="91"/>
        <v>Bodysuit | 0-3 | Cream</v>
      </c>
      <c r="M803" s="16" t="s">
        <v>3610</v>
      </c>
    </row>
    <row r="804" spans="1:13" ht="25" customHeight="1" x14ac:dyDescent="0.45">
      <c r="A804" s="6">
        <v>46082</v>
      </c>
      <c r="B804" s="3" t="s">
        <v>261</v>
      </c>
      <c r="C804" s="4" t="s">
        <v>5</v>
      </c>
      <c r="D804" s="53" t="str">
        <f t="shared" si="89"/>
        <v>Light Blue</v>
      </c>
      <c r="E804" s="4" t="s">
        <v>6</v>
      </c>
      <c r="F804" s="57" t="s">
        <v>7</v>
      </c>
      <c r="G804" s="4" t="str">
        <f t="shared" si="94"/>
        <v>Bodysuit</v>
      </c>
      <c r="H804" s="38">
        <f t="shared" si="88"/>
        <v>3</v>
      </c>
      <c r="I804" s="54">
        <f t="shared" si="92"/>
        <v>10</v>
      </c>
      <c r="J804" s="14" t="str">
        <f t="shared" si="90"/>
        <v>Easter</v>
      </c>
      <c r="K804" s="16" t="str">
        <f t="shared" si="93"/>
        <v>3-6</v>
      </c>
      <c r="L804" s="14" t="str">
        <f t="shared" si="91"/>
        <v>Bodysuit | 3-6 | Light Blue</v>
      </c>
      <c r="M804" s="16" t="s">
        <v>3610</v>
      </c>
    </row>
    <row r="805" spans="1:13" ht="25" customHeight="1" x14ac:dyDescent="0.45">
      <c r="A805" s="6">
        <v>46083</v>
      </c>
      <c r="B805" s="3" t="s">
        <v>262</v>
      </c>
      <c r="C805" s="4" t="s">
        <v>5</v>
      </c>
      <c r="D805" s="53" t="str">
        <f t="shared" si="89"/>
        <v>Light Blue</v>
      </c>
      <c r="E805" s="4" t="s">
        <v>10</v>
      </c>
      <c r="F805" s="57"/>
      <c r="G805" s="4" t="str">
        <f t="shared" si="94"/>
        <v>Bodysuit</v>
      </c>
      <c r="H805" s="38">
        <f t="shared" si="88"/>
        <v>3</v>
      </c>
      <c r="I805" s="54">
        <f t="shared" si="92"/>
        <v>10</v>
      </c>
      <c r="J805" s="14" t="str">
        <f t="shared" si="90"/>
        <v>Easter</v>
      </c>
      <c r="K805" s="16" t="str">
        <f t="shared" si="93"/>
        <v>0-3</v>
      </c>
      <c r="L805" s="14" t="str">
        <f t="shared" si="91"/>
        <v>Bodysuit | 0-3 | Light Blue</v>
      </c>
      <c r="M805" s="16" t="s">
        <v>3610</v>
      </c>
    </row>
    <row r="806" spans="1:13" ht="25" customHeight="1" x14ac:dyDescent="0.45">
      <c r="A806" s="6">
        <v>46083</v>
      </c>
      <c r="B806" s="3" t="s">
        <v>263</v>
      </c>
      <c r="C806" s="4" t="s">
        <v>9</v>
      </c>
      <c r="D806" s="53" t="str">
        <f t="shared" si="89"/>
        <v>Cream</v>
      </c>
      <c r="E806" s="4" t="s">
        <v>6</v>
      </c>
      <c r="F806" s="4" t="s">
        <v>7</v>
      </c>
      <c r="G806" s="4" t="str">
        <f t="shared" si="94"/>
        <v>Bodysuit</v>
      </c>
      <c r="H806" s="38">
        <f t="shared" si="88"/>
        <v>3</v>
      </c>
      <c r="I806" s="54">
        <f t="shared" si="92"/>
        <v>10</v>
      </c>
      <c r="J806" s="14" t="str">
        <f t="shared" si="90"/>
        <v>Easter</v>
      </c>
      <c r="K806" s="16" t="str">
        <f t="shared" si="93"/>
        <v>3-6</v>
      </c>
      <c r="L806" s="14" t="str">
        <f t="shared" si="91"/>
        <v>Bodysuit | 3-6 | Cream</v>
      </c>
      <c r="M806" s="16" t="s">
        <v>3611</v>
      </c>
    </row>
    <row r="807" spans="1:13" ht="25" customHeight="1" x14ac:dyDescent="0.45">
      <c r="A807" s="6">
        <v>46083</v>
      </c>
      <c r="B807" s="3" t="s">
        <v>264</v>
      </c>
      <c r="C807" s="4" t="s">
        <v>5</v>
      </c>
      <c r="D807" s="53" t="str">
        <f t="shared" si="89"/>
        <v>Light Blue</v>
      </c>
      <c r="E807" s="4" t="s">
        <v>10</v>
      </c>
      <c r="F807" s="4" t="s">
        <v>7</v>
      </c>
      <c r="G807" s="4" t="str">
        <f t="shared" si="94"/>
        <v>Bodysuit</v>
      </c>
      <c r="H807" s="38">
        <f t="shared" si="88"/>
        <v>3</v>
      </c>
      <c r="I807" s="54">
        <f t="shared" si="92"/>
        <v>10</v>
      </c>
      <c r="J807" s="14" t="str">
        <f t="shared" si="90"/>
        <v>Easter</v>
      </c>
      <c r="K807" s="16" t="str">
        <f t="shared" si="93"/>
        <v>0-3</v>
      </c>
      <c r="L807" s="14" t="str">
        <f t="shared" si="91"/>
        <v>Bodysuit | 0-3 | Light Blue</v>
      </c>
      <c r="M807" s="16" t="s">
        <v>3610</v>
      </c>
    </row>
    <row r="808" spans="1:13" ht="25" customHeight="1" x14ac:dyDescent="0.45">
      <c r="A808" s="6">
        <v>46090</v>
      </c>
      <c r="B808" s="3" t="s">
        <v>265</v>
      </c>
      <c r="C808" s="4" t="s">
        <v>8</v>
      </c>
      <c r="D808" s="53" t="str">
        <f t="shared" si="89"/>
        <v>Light Pink</v>
      </c>
      <c r="E808" s="4" t="s">
        <v>6</v>
      </c>
      <c r="F808" s="57" t="s">
        <v>7</v>
      </c>
      <c r="G808" s="4" t="str">
        <f t="shared" si="94"/>
        <v>Bodysuit</v>
      </c>
      <c r="H808" s="38">
        <f t="shared" si="88"/>
        <v>3</v>
      </c>
      <c r="I808" s="54">
        <f t="shared" si="92"/>
        <v>11</v>
      </c>
      <c r="J808" s="14" t="str">
        <f t="shared" si="90"/>
        <v>Easter</v>
      </c>
      <c r="K808" s="16" t="str">
        <f t="shared" si="93"/>
        <v>3-6</v>
      </c>
      <c r="L808" s="14" t="str">
        <f t="shared" si="91"/>
        <v>Bodysuit | 3-6 | Light Pink</v>
      </c>
      <c r="M808" s="16" t="s">
        <v>3610</v>
      </c>
    </row>
    <row r="809" spans="1:13" ht="25" customHeight="1" x14ac:dyDescent="0.45">
      <c r="A809" s="6">
        <v>46091</v>
      </c>
      <c r="B809" s="3" t="s">
        <v>266</v>
      </c>
      <c r="C809" s="4" t="s">
        <v>9</v>
      </c>
      <c r="D809" s="53" t="str">
        <f t="shared" si="89"/>
        <v>Cream</v>
      </c>
      <c r="E809" s="4" t="s">
        <v>10</v>
      </c>
      <c r="F809" s="57"/>
      <c r="G809" s="4" t="str">
        <f t="shared" si="94"/>
        <v>Bodysuit</v>
      </c>
      <c r="H809" s="38">
        <f t="shared" si="88"/>
        <v>3</v>
      </c>
      <c r="I809" s="54">
        <f>WEEKNUM(A809)</f>
        <v>11</v>
      </c>
      <c r="J809" s="14" t="str">
        <f t="shared" si="90"/>
        <v>Easter</v>
      </c>
      <c r="K809" s="16" t="str">
        <f t="shared" si="93"/>
        <v>0-3</v>
      </c>
      <c r="L809" s="14" t="str">
        <f t="shared" si="91"/>
        <v>Bodysuit | 0-3 | Cream</v>
      </c>
      <c r="M809" s="16" t="s">
        <v>3610</v>
      </c>
    </row>
    <row r="810" spans="1:13" ht="25" customHeight="1" x14ac:dyDescent="0.45">
      <c r="A810" s="6">
        <v>46091</v>
      </c>
      <c r="B810" s="3" t="s">
        <v>267</v>
      </c>
      <c r="C810" s="4" t="s">
        <v>9</v>
      </c>
      <c r="D810" s="53" t="str">
        <f t="shared" si="89"/>
        <v>Cream</v>
      </c>
      <c r="E810" s="4" t="s">
        <v>6</v>
      </c>
      <c r="F810" s="4" t="s">
        <v>7</v>
      </c>
      <c r="G810" s="4" t="str">
        <f t="shared" si="94"/>
        <v>Bodysuit</v>
      </c>
      <c r="H810" s="38">
        <f t="shared" si="88"/>
        <v>3</v>
      </c>
      <c r="I810" s="54">
        <f>WEEKNUM(A810)</f>
        <v>11</v>
      </c>
      <c r="J810" s="14" t="str">
        <f t="shared" si="90"/>
        <v>Easter</v>
      </c>
      <c r="K810" s="16" t="str">
        <f t="shared" ref="K810:K841" si="95">TRIM(LEFT(E810,FIND("(",E810&amp;"(")-7))</f>
        <v>3-6</v>
      </c>
      <c r="L810" s="14" t="str">
        <f t="shared" si="91"/>
        <v>Bodysuit | 3-6 | Cream</v>
      </c>
      <c r="M810" s="16" t="s">
        <v>3611</v>
      </c>
    </row>
    <row r="811" spans="1:13" ht="25" customHeight="1" x14ac:dyDescent="0.45">
      <c r="A811" s="6">
        <v>46092</v>
      </c>
      <c r="B811" s="3" t="s">
        <v>268</v>
      </c>
      <c r="C811" s="4" t="s">
        <v>9</v>
      </c>
      <c r="D811" s="53" t="str">
        <f t="shared" si="89"/>
        <v>Cream</v>
      </c>
      <c r="E811" s="4" t="s">
        <v>6</v>
      </c>
      <c r="F811" s="4" t="s">
        <v>7</v>
      </c>
      <c r="G811" s="4" t="str">
        <f t="shared" si="94"/>
        <v>Bodysuit</v>
      </c>
      <c r="H811" s="38">
        <f t="shared" si="88"/>
        <v>3</v>
      </c>
      <c r="I811" s="54">
        <f t="shared" ref="I811:I866" si="96">WEEKNUM(A811)</f>
        <v>11</v>
      </c>
      <c r="J811" s="14" t="str">
        <f t="shared" si="90"/>
        <v>Easter</v>
      </c>
      <c r="K811" s="16" t="str">
        <f t="shared" si="95"/>
        <v>3-6</v>
      </c>
      <c r="L811" s="14" t="str">
        <f t="shared" si="91"/>
        <v>Bodysuit | 3-6 | Cream</v>
      </c>
      <c r="M811" s="16" t="s">
        <v>3611</v>
      </c>
    </row>
    <row r="812" spans="1:13" ht="25" customHeight="1" x14ac:dyDescent="0.45">
      <c r="A812" s="6">
        <v>46094</v>
      </c>
      <c r="B812" s="3" t="s">
        <v>269</v>
      </c>
      <c r="C812" s="4" t="s">
        <v>9</v>
      </c>
      <c r="D812" s="53" t="str">
        <f t="shared" si="89"/>
        <v>Cream</v>
      </c>
      <c r="E812" s="4" t="s">
        <v>6</v>
      </c>
      <c r="F812" s="57" t="s">
        <v>7</v>
      </c>
      <c r="G812" s="4" t="str">
        <f t="shared" si="94"/>
        <v>Bodysuit</v>
      </c>
      <c r="H812" s="38">
        <f t="shared" si="88"/>
        <v>3</v>
      </c>
      <c r="I812" s="54">
        <f t="shared" si="96"/>
        <v>11</v>
      </c>
      <c r="J812" s="14" t="str">
        <f t="shared" si="90"/>
        <v>Easter</v>
      </c>
      <c r="K812" s="16" t="str">
        <f t="shared" si="95"/>
        <v>3-6</v>
      </c>
      <c r="L812" s="14" t="str">
        <f t="shared" si="91"/>
        <v>Bodysuit | 3-6 | Cream</v>
      </c>
      <c r="M812" s="16" t="s">
        <v>3611</v>
      </c>
    </row>
    <row r="813" spans="1:13" ht="25" customHeight="1" x14ac:dyDescent="0.45">
      <c r="A813" s="6">
        <v>46095</v>
      </c>
      <c r="B813" s="3" t="s">
        <v>270</v>
      </c>
      <c r="C813" s="4" t="s">
        <v>9</v>
      </c>
      <c r="D813" s="53" t="str">
        <f t="shared" si="89"/>
        <v>Cream</v>
      </c>
      <c r="E813" s="4" t="s">
        <v>10</v>
      </c>
      <c r="F813" s="57"/>
      <c r="G813" s="4" t="str">
        <f t="shared" si="94"/>
        <v>Bodysuit</v>
      </c>
      <c r="H813" s="38">
        <f t="shared" si="88"/>
        <v>3</v>
      </c>
      <c r="I813" s="54">
        <f t="shared" si="96"/>
        <v>11</v>
      </c>
      <c r="J813" s="14" t="str">
        <f t="shared" si="90"/>
        <v>Easter</v>
      </c>
      <c r="K813" s="16" t="str">
        <f t="shared" si="95"/>
        <v>0-3</v>
      </c>
      <c r="L813" s="14" t="str">
        <f t="shared" si="91"/>
        <v>Bodysuit | 0-3 | Cream</v>
      </c>
      <c r="M813" s="16" t="s">
        <v>3610</v>
      </c>
    </row>
    <row r="814" spans="1:13" ht="25" customHeight="1" x14ac:dyDescent="0.45">
      <c r="A814" s="6">
        <v>46096</v>
      </c>
      <c r="B814" s="3" t="s">
        <v>271</v>
      </c>
      <c r="C814" s="4" t="s">
        <v>9</v>
      </c>
      <c r="D814" s="53" t="str">
        <f t="shared" si="89"/>
        <v>Cream</v>
      </c>
      <c r="E814" s="4" t="s">
        <v>6</v>
      </c>
      <c r="F814" s="4" t="s">
        <v>7</v>
      </c>
      <c r="G814" s="4" t="str">
        <f t="shared" si="94"/>
        <v>Bodysuit</v>
      </c>
      <c r="H814" s="38">
        <f t="shared" si="88"/>
        <v>3</v>
      </c>
      <c r="I814" s="54">
        <f t="shared" si="96"/>
        <v>12</v>
      </c>
      <c r="J814" s="14" t="str">
        <f t="shared" si="90"/>
        <v>Easter</v>
      </c>
      <c r="K814" s="16" t="str">
        <f t="shared" si="95"/>
        <v>3-6</v>
      </c>
      <c r="L814" s="14" t="str">
        <f t="shared" si="91"/>
        <v>Bodysuit | 3-6 | Cream</v>
      </c>
      <c r="M814" s="16" t="s">
        <v>3611</v>
      </c>
    </row>
    <row r="815" spans="1:13" ht="25" customHeight="1" x14ac:dyDescent="0.45">
      <c r="A815" s="6">
        <v>46096</v>
      </c>
      <c r="B815" s="3" t="s">
        <v>272</v>
      </c>
      <c r="C815" s="4" t="s">
        <v>9</v>
      </c>
      <c r="D815" s="53" t="str">
        <f t="shared" si="89"/>
        <v>Cream</v>
      </c>
      <c r="E815" s="4" t="s">
        <v>6</v>
      </c>
      <c r="F815" s="4" t="s">
        <v>7</v>
      </c>
      <c r="G815" s="4" t="str">
        <f t="shared" si="94"/>
        <v>Bodysuit</v>
      </c>
      <c r="H815" s="38">
        <f t="shared" si="88"/>
        <v>3</v>
      </c>
      <c r="I815" s="54">
        <f t="shared" si="96"/>
        <v>12</v>
      </c>
      <c r="J815" s="14" t="str">
        <f t="shared" si="90"/>
        <v>Easter</v>
      </c>
      <c r="K815" s="16" t="str">
        <f t="shared" si="95"/>
        <v>3-6</v>
      </c>
      <c r="L815" s="14" t="str">
        <f t="shared" si="91"/>
        <v>Bodysuit | 3-6 | Cream</v>
      </c>
      <c r="M815" s="16" t="s">
        <v>3611</v>
      </c>
    </row>
    <row r="816" spans="1:13" ht="25" customHeight="1" x14ac:dyDescent="0.45">
      <c r="A816" s="6">
        <v>46098</v>
      </c>
      <c r="B816" s="3" t="s">
        <v>273</v>
      </c>
      <c r="C816" s="4" t="s">
        <v>8</v>
      </c>
      <c r="D816" s="53" t="str">
        <f t="shared" si="89"/>
        <v>Light Pink</v>
      </c>
      <c r="E816" s="4" t="s">
        <v>6</v>
      </c>
      <c r="F816" s="57" t="s">
        <v>7</v>
      </c>
      <c r="G816" s="4" t="str">
        <f t="shared" si="94"/>
        <v>Bodysuit</v>
      </c>
      <c r="H816" s="38">
        <f t="shared" si="88"/>
        <v>3</v>
      </c>
      <c r="I816" s="54">
        <f t="shared" si="96"/>
        <v>12</v>
      </c>
      <c r="J816" s="14" t="str">
        <f t="shared" si="90"/>
        <v>Easter</v>
      </c>
      <c r="K816" s="16" t="str">
        <f t="shared" si="95"/>
        <v>3-6</v>
      </c>
      <c r="L816" s="14" t="str">
        <f t="shared" si="91"/>
        <v>Bodysuit | 3-6 | Light Pink</v>
      </c>
      <c r="M816" s="16" t="s">
        <v>3610</v>
      </c>
    </row>
    <row r="817" spans="1:13" ht="25" customHeight="1" x14ac:dyDescent="0.45">
      <c r="A817" s="6">
        <v>46099</v>
      </c>
      <c r="B817" s="3" t="s">
        <v>274</v>
      </c>
      <c r="C817" s="4" t="s">
        <v>9</v>
      </c>
      <c r="D817" s="53" t="str">
        <f t="shared" si="89"/>
        <v>Cream</v>
      </c>
      <c r="E817" s="4" t="s">
        <v>6</v>
      </c>
      <c r="F817" s="57"/>
      <c r="G817" s="4" t="str">
        <f t="shared" si="94"/>
        <v>Bodysuit</v>
      </c>
      <c r="H817" s="38">
        <f t="shared" si="88"/>
        <v>3</v>
      </c>
      <c r="I817" s="54">
        <f t="shared" si="96"/>
        <v>12</v>
      </c>
      <c r="J817" s="14" t="str">
        <f t="shared" si="90"/>
        <v>Easter</v>
      </c>
      <c r="K817" s="16" t="str">
        <f t="shared" si="95"/>
        <v>3-6</v>
      </c>
      <c r="L817" s="14" t="str">
        <f t="shared" si="91"/>
        <v>Bodysuit | 3-6 | Cream</v>
      </c>
      <c r="M817" s="16" t="s">
        <v>3611</v>
      </c>
    </row>
    <row r="818" spans="1:13" ht="25" customHeight="1" x14ac:dyDescent="0.45">
      <c r="A818" s="6">
        <v>46101</v>
      </c>
      <c r="B818" s="3" t="s">
        <v>275</v>
      </c>
      <c r="C818" s="4" t="s">
        <v>8</v>
      </c>
      <c r="D818" s="53" t="str">
        <f t="shared" si="89"/>
        <v>Light Pink</v>
      </c>
      <c r="E818" s="4" t="s">
        <v>6</v>
      </c>
      <c r="F818" s="4" t="s">
        <v>7</v>
      </c>
      <c r="G818" s="4" t="str">
        <f t="shared" si="94"/>
        <v>Bodysuit</v>
      </c>
      <c r="H818" s="38">
        <f t="shared" si="88"/>
        <v>3</v>
      </c>
      <c r="I818" s="54">
        <f t="shared" si="96"/>
        <v>12</v>
      </c>
      <c r="J818" s="14" t="str">
        <f t="shared" si="90"/>
        <v>Easter</v>
      </c>
      <c r="K818" s="16" t="str">
        <f t="shared" si="95"/>
        <v>3-6</v>
      </c>
      <c r="L818" s="14" t="str">
        <f t="shared" si="91"/>
        <v>Bodysuit | 3-6 | Light Pink</v>
      </c>
      <c r="M818" s="16" t="s">
        <v>3610</v>
      </c>
    </row>
    <row r="819" spans="1:13" ht="25" customHeight="1" x14ac:dyDescent="0.45">
      <c r="A819" s="6">
        <v>46102</v>
      </c>
      <c r="B819" s="3" t="s">
        <v>276</v>
      </c>
      <c r="C819" s="4" t="s">
        <v>9</v>
      </c>
      <c r="D819" s="53" t="str">
        <f t="shared" si="89"/>
        <v>Cream</v>
      </c>
      <c r="E819" s="4" t="s">
        <v>10</v>
      </c>
      <c r="F819" s="4" t="s">
        <v>7</v>
      </c>
      <c r="G819" s="4" t="str">
        <f t="shared" si="94"/>
        <v>Bodysuit</v>
      </c>
      <c r="H819" s="38">
        <f t="shared" si="88"/>
        <v>3</v>
      </c>
      <c r="I819" s="54">
        <f t="shared" si="96"/>
        <v>12</v>
      </c>
      <c r="J819" s="14" t="str">
        <f t="shared" si="90"/>
        <v>Easter</v>
      </c>
      <c r="K819" s="16" t="str">
        <f t="shared" si="95"/>
        <v>0-3</v>
      </c>
      <c r="L819" s="14" t="str">
        <f t="shared" si="91"/>
        <v>Bodysuit | 0-3 | Cream</v>
      </c>
      <c r="M819" s="16" t="s">
        <v>3610</v>
      </c>
    </row>
    <row r="820" spans="1:13" ht="25" customHeight="1" x14ac:dyDescent="0.45">
      <c r="A820" s="6">
        <v>46102</v>
      </c>
      <c r="B820" s="3" t="s">
        <v>277</v>
      </c>
      <c r="C820" s="4" t="s">
        <v>9</v>
      </c>
      <c r="D820" s="53" t="str">
        <f t="shared" si="89"/>
        <v>Cream</v>
      </c>
      <c r="E820" s="4" t="s">
        <v>10</v>
      </c>
      <c r="F820" s="57" t="s">
        <v>7</v>
      </c>
      <c r="G820" s="4" t="str">
        <f t="shared" si="94"/>
        <v>Bodysuit</v>
      </c>
      <c r="H820" s="38">
        <f t="shared" si="88"/>
        <v>3</v>
      </c>
      <c r="I820" s="54">
        <f t="shared" si="96"/>
        <v>12</v>
      </c>
      <c r="J820" s="14" t="str">
        <f t="shared" si="90"/>
        <v>Easter</v>
      </c>
      <c r="K820" s="16" t="str">
        <f t="shared" si="95"/>
        <v>0-3</v>
      </c>
      <c r="L820" s="14" t="str">
        <f t="shared" si="91"/>
        <v>Bodysuit | 0-3 | Cream</v>
      </c>
      <c r="M820" s="16" t="s">
        <v>3610</v>
      </c>
    </row>
    <row r="821" spans="1:13" ht="25" customHeight="1" x14ac:dyDescent="0.45">
      <c r="A821" s="6">
        <v>46102</v>
      </c>
      <c r="B821" s="3" t="s">
        <v>278</v>
      </c>
      <c r="C821" s="4" t="s">
        <v>9</v>
      </c>
      <c r="D821" s="53" t="str">
        <f t="shared" si="89"/>
        <v>Cream</v>
      </c>
      <c r="E821" s="4" t="s">
        <v>6</v>
      </c>
      <c r="F821" s="57"/>
      <c r="G821" s="4" t="str">
        <f t="shared" si="94"/>
        <v>Bodysuit</v>
      </c>
      <c r="H821" s="38">
        <f t="shared" si="88"/>
        <v>3</v>
      </c>
      <c r="I821" s="54">
        <f t="shared" si="96"/>
        <v>12</v>
      </c>
      <c r="J821" s="14" t="str">
        <f t="shared" si="90"/>
        <v>Easter</v>
      </c>
      <c r="K821" s="16" t="str">
        <f t="shared" si="95"/>
        <v>3-6</v>
      </c>
      <c r="L821" s="14" t="str">
        <f t="shared" si="91"/>
        <v>Bodysuit | 3-6 | Cream</v>
      </c>
      <c r="M821" s="16" t="s">
        <v>3611</v>
      </c>
    </row>
    <row r="822" spans="1:13" ht="25" customHeight="1" x14ac:dyDescent="0.45">
      <c r="A822" s="6">
        <v>46103</v>
      </c>
      <c r="B822" s="3" t="s">
        <v>279</v>
      </c>
      <c r="C822" s="4" t="s">
        <v>9</v>
      </c>
      <c r="D822" s="53" t="str">
        <f t="shared" si="89"/>
        <v>Cream</v>
      </c>
      <c r="E822" s="4" t="s">
        <v>6</v>
      </c>
      <c r="F822" s="4" t="s">
        <v>7</v>
      </c>
      <c r="G822" s="4" t="str">
        <f t="shared" si="94"/>
        <v>Bodysuit</v>
      </c>
      <c r="H822" s="38">
        <f t="shared" si="88"/>
        <v>3</v>
      </c>
      <c r="I822" s="54">
        <f t="shared" si="96"/>
        <v>13</v>
      </c>
      <c r="J822" s="14" t="str">
        <f t="shared" si="90"/>
        <v>Easter</v>
      </c>
      <c r="K822" s="16" t="str">
        <f t="shared" si="95"/>
        <v>3-6</v>
      </c>
      <c r="L822" s="14" t="str">
        <f t="shared" si="91"/>
        <v>Bodysuit | 3-6 | Cream</v>
      </c>
      <c r="M822" s="16" t="s">
        <v>3611</v>
      </c>
    </row>
    <row r="823" spans="1:13" ht="25" customHeight="1" x14ac:dyDescent="0.45">
      <c r="A823" s="6">
        <v>46104</v>
      </c>
      <c r="B823" s="3" t="s">
        <v>280</v>
      </c>
      <c r="C823" s="4" t="s">
        <v>8</v>
      </c>
      <c r="D823" s="53" t="str">
        <f t="shared" si="89"/>
        <v>Light Pink</v>
      </c>
      <c r="E823" s="4" t="s">
        <v>10</v>
      </c>
      <c r="F823" s="4" t="s">
        <v>7</v>
      </c>
      <c r="G823" s="4" t="str">
        <f t="shared" si="94"/>
        <v>Bodysuit</v>
      </c>
      <c r="H823" s="38">
        <f t="shared" si="88"/>
        <v>3</v>
      </c>
      <c r="I823" s="54">
        <f t="shared" si="96"/>
        <v>13</v>
      </c>
      <c r="J823" s="14" t="str">
        <f t="shared" si="90"/>
        <v>Easter</v>
      </c>
      <c r="K823" s="16" t="str">
        <f t="shared" si="95"/>
        <v>0-3</v>
      </c>
      <c r="L823" s="14" t="str">
        <f t="shared" si="91"/>
        <v>Bodysuit | 0-3 | Light Pink</v>
      </c>
      <c r="M823" s="16" t="s">
        <v>3610</v>
      </c>
    </row>
    <row r="824" spans="1:13" ht="25" customHeight="1" x14ac:dyDescent="0.45">
      <c r="A824" s="6">
        <v>46105</v>
      </c>
      <c r="B824" s="3" t="s">
        <v>282</v>
      </c>
      <c r="C824" s="4" t="s">
        <v>8</v>
      </c>
      <c r="D824" s="53" t="str">
        <f t="shared" si="89"/>
        <v>Light Pink</v>
      </c>
      <c r="E824" s="4" t="s">
        <v>6</v>
      </c>
      <c r="F824" s="57" t="s">
        <v>7</v>
      </c>
      <c r="G824" s="4" t="str">
        <f t="shared" si="94"/>
        <v>Bodysuit</v>
      </c>
      <c r="H824" s="38">
        <f t="shared" si="88"/>
        <v>3</v>
      </c>
      <c r="I824" s="54">
        <f t="shared" si="96"/>
        <v>13</v>
      </c>
      <c r="J824" s="14" t="str">
        <f t="shared" si="90"/>
        <v>Easter</v>
      </c>
      <c r="K824" s="16" t="str">
        <f t="shared" si="95"/>
        <v>3-6</v>
      </c>
      <c r="L824" s="14" t="str">
        <f t="shared" si="91"/>
        <v>Bodysuit | 3-6 | Light Pink</v>
      </c>
      <c r="M824" s="16" t="s">
        <v>3610</v>
      </c>
    </row>
    <row r="825" spans="1:13" ht="25" customHeight="1" x14ac:dyDescent="0.45">
      <c r="A825" s="6">
        <v>46106</v>
      </c>
      <c r="B825" s="3" t="s">
        <v>283</v>
      </c>
      <c r="C825" s="4" t="s">
        <v>9</v>
      </c>
      <c r="D825" s="53" t="str">
        <f t="shared" si="89"/>
        <v>Cream</v>
      </c>
      <c r="E825" s="4" t="s">
        <v>10</v>
      </c>
      <c r="F825" s="57"/>
      <c r="G825" s="4" t="str">
        <f t="shared" si="94"/>
        <v>Bodysuit</v>
      </c>
      <c r="H825" s="38">
        <f t="shared" si="88"/>
        <v>3</v>
      </c>
      <c r="I825" s="54">
        <f t="shared" si="96"/>
        <v>13</v>
      </c>
      <c r="J825" s="14" t="str">
        <f t="shared" si="90"/>
        <v>Easter</v>
      </c>
      <c r="K825" s="16" t="str">
        <f t="shared" si="95"/>
        <v>0-3</v>
      </c>
      <c r="L825" s="14" t="str">
        <f t="shared" si="91"/>
        <v>Bodysuit | 0-3 | Cream</v>
      </c>
      <c r="M825" s="16" t="s">
        <v>3610</v>
      </c>
    </row>
    <row r="826" spans="1:13" ht="25" customHeight="1" x14ac:dyDescent="0.45">
      <c r="A826" s="6">
        <v>46106</v>
      </c>
      <c r="B826" s="3" t="s">
        <v>284</v>
      </c>
      <c r="C826" s="4" t="s">
        <v>9</v>
      </c>
      <c r="D826" s="53" t="str">
        <f t="shared" si="89"/>
        <v>Cream</v>
      </c>
      <c r="E826" s="4" t="s">
        <v>6</v>
      </c>
      <c r="F826" s="4" t="s">
        <v>7</v>
      </c>
      <c r="G826" s="4" t="str">
        <f t="shared" si="94"/>
        <v>Bodysuit</v>
      </c>
      <c r="H826" s="38">
        <f t="shared" si="88"/>
        <v>3</v>
      </c>
      <c r="I826" s="54">
        <f t="shared" si="96"/>
        <v>13</v>
      </c>
      <c r="J826" s="14" t="str">
        <f t="shared" si="90"/>
        <v>Easter</v>
      </c>
      <c r="K826" s="16" t="str">
        <f t="shared" si="95"/>
        <v>3-6</v>
      </c>
      <c r="L826" s="14" t="str">
        <f t="shared" si="91"/>
        <v>Bodysuit | 3-6 | Cream</v>
      </c>
      <c r="M826" s="16" t="s">
        <v>3611</v>
      </c>
    </row>
    <row r="827" spans="1:13" ht="25" customHeight="1" x14ac:dyDescent="0.45">
      <c r="A827" s="6">
        <v>46108</v>
      </c>
      <c r="B827" s="3" t="s">
        <v>285</v>
      </c>
      <c r="C827" s="4" t="s">
        <v>9</v>
      </c>
      <c r="D827" s="53" t="str">
        <f t="shared" si="89"/>
        <v>Cream</v>
      </c>
      <c r="E827" s="4" t="s">
        <v>6</v>
      </c>
      <c r="F827" s="4" t="s">
        <v>7</v>
      </c>
      <c r="G827" s="4" t="str">
        <f t="shared" si="94"/>
        <v>Bodysuit</v>
      </c>
      <c r="H827" s="38">
        <f t="shared" si="88"/>
        <v>3</v>
      </c>
      <c r="I827" s="54">
        <f t="shared" si="96"/>
        <v>13</v>
      </c>
      <c r="J827" s="14" t="str">
        <f t="shared" si="90"/>
        <v>Easter</v>
      </c>
      <c r="K827" s="16" t="str">
        <f t="shared" si="95"/>
        <v>3-6</v>
      </c>
      <c r="L827" s="14" t="str">
        <f t="shared" si="91"/>
        <v>Bodysuit | 3-6 | Cream</v>
      </c>
      <c r="M827" s="16" t="s">
        <v>3611</v>
      </c>
    </row>
    <row r="828" spans="1:13" ht="25" customHeight="1" x14ac:dyDescent="0.45">
      <c r="A828" s="6">
        <v>46111</v>
      </c>
      <c r="B828" s="3" t="s">
        <v>286</v>
      </c>
      <c r="C828" s="4" t="s">
        <v>5</v>
      </c>
      <c r="D828" s="53" t="str">
        <f t="shared" si="89"/>
        <v>Light Blue</v>
      </c>
      <c r="E828" s="4" t="s">
        <v>6</v>
      </c>
      <c r="F828" s="57" t="s">
        <v>7</v>
      </c>
      <c r="G828" s="4" t="str">
        <f t="shared" si="94"/>
        <v>Bodysuit</v>
      </c>
      <c r="H828" s="38">
        <f t="shared" si="88"/>
        <v>3</v>
      </c>
      <c r="I828" s="54">
        <f t="shared" si="96"/>
        <v>14</v>
      </c>
      <c r="J828" s="14" t="str">
        <f t="shared" si="90"/>
        <v>Easter</v>
      </c>
      <c r="K828" s="16" t="str">
        <f t="shared" si="95"/>
        <v>3-6</v>
      </c>
      <c r="L828" s="14" t="str">
        <f t="shared" si="91"/>
        <v>Bodysuit | 3-6 | Light Blue</v>
      </c>
      <c r="M828" s="16" t="s">
        <v>3610</v>
      </c>
    </row>
    <row r="829" spans="1:13" ht="25" customHeight="1" x14ac:dyDescent="0.45">
      <c r="A829" s="6">
        <v>46111</v>
      </c>
      <c r="B829" s="3" t="s">
        <v>287</v>
      </c>
      <c r="C829" s="4" t="s">
        <v>5</v>
      </c>
      <c r="D829" s="53" t="str">
        <f t="shared" si="89"/>
        <v>Light Blue</v>
      </c>
      <c r="E829" s="4" t="s">
        <v>10</v>
      </c>
      <c r="F829" s="57"/>
      <c r="G829" s="4" t="str">
        <f t="shared" si="94"/>
        <v>Bodysuit</v>
      </c>
      <c r="H829" s="38">
        <f t="shared" si="88"/>
        <v>3</v>
      </c>
      <c r="I829" s="54">
        <f t="shared" si="96"/>
        <v>14</v>
      </c>
      <c r="J829" s="14" t="str">
        <f t="shared" si="90"/>
        <v>Easter</v>
      </c>
      <c r="K829" s="16" t="str">
        <f t="shared" si="95"/>
        <v>0-3</v>
      </c>
      <c r="L829" s="14" t="str">
        <f t="shared" si="91"/>
        <v>Bodysuit | 0-3 | Light Blue</v>
      </c>
      <c r="M829" s="16" t="s">
        <v>3610</v>
      </c>
    </row>
    <row r="830" spans="1:13" ht="25" customHeight="1" x14ac:dyDescent="0.45">
      <c r="A830" s="6">
        <v>46114</v>
      </c>
      <c r="B830" s="3" t="s">
        <v>288</v>
      </c>
      <c r="C830" s="4" t="s">
        <v>5</v>
      </c>
      <c r="D830" s="53" t="str">
        <f t="shared" si="89"/>
        <v>Light Blue</v>
      </c>
      <c r="E830" s="4" t="s">
        <v>289</v>
      </c>
      <c r="F830" s="4" t="s">
        <v>7</v>
      </c>
      <c r="G830" s="4" t="str">
        <f t="shared" si="94"/>
        <v>Bodysuit</v>
      </c>
      <c r="H830" s="38">
        <f t="shared" si="88"/>
        <v>4</v>
      </c>
      <c r="I830" s="54">
        <f t="shared" si="96"/>
        <v>14</v>
      </c>
      <c r="J830" s="14" t="str">
        <f t="shared" si="90"/>
        <v>Easter</v>
      </c>
      <c r="K830" s="16" t="str">
        <f t="shared" si="95"/>
        <v>3-6</v>
      </c>
      <c r="L830" s="14" t="str">
        <f t="shared" si="91"/>
        <v>Bodysuit | 3-6 | Light Blue</v>
      </c>
      <c r="M830" s="16" t="s">
        <v>3610</v>
      </c>
    </row>
    <row r="831" spans="1:13" ht="25" customHeight="1" x14ac:dyDescent="0.45">
      <c r="A831" s="6">
        <v>46114</v>
      </c>
      <c r="B831" s="3" t="s">
        <v>290</v>
      </c>
      <c r="C831" s="4" t="s">
        <v>5</v>
      </c>
      <c r="D831" s="53" t="str">
        <f t="shared" si="89"/>
        <v>Light Blue</v>
      </c>
      <c r="E831" s="4" t="s">
        <v>289</v>
      </c>
      <c r="F831" s="4" t="s">
        <v>7</v>
      </c>
      <c r="G831" s="4" t="str">
        <f t="shared" si="94"/>
        <v>Bodysuit</v>
      </c>
      <c r="H831" s="38">
        <f t="shared" si="88"/>
        <v>4</v>
      </c>
      <c r="I831" s="54">
        <f t="shared" si="96"/>
        <v>14</v>
      </c>
      <c r="J831" s="14" t="str">
        <f t="shared" si="90"/>
        <v>Easter</v>
      </c>
      <c r="K831" s="16" t="str">
        <f t="shared" si="95"/>
        <v>3-6</v>
      </c>
      <c r="L831" s="14" t="str">
        <f t="shared" si="91"/>
        <v>Bodysuit | 3-6 | Light Blue</v>
      </c>
      <c r="M831" s="16" t="s">
        <v>3610</v>
      </c>
    </row>
    <row r="832" spans="1:13" ht="25" customHeight="1" x14ac:dyDescent="0.45">
      <c r="A832" s="6">
        <v>46117</v>
      </c>
      <c r="B832" s="3" t="s">
        <v>291</v>
      </c>
      <c r="C832" s="4" t="s">
        <v>8</v>
      </c>
      <c r="D832" s="53" t="str">
        <f t="shared" si="89"/>
        <v>Light Pink</v>
      </c>
      <c r="E832" s="4" t="s">
        <v>292</v>
      </c>
      <c r="F832" s="57" t="s">
        <v>7</v>
      </c>
      <c r="G832" s="4" t="str">
        <f t="shared" si="94"/>
        <v>Bodysuit</v>
      </c>
      <c r="H832" s="38">
        <f t="shared" si="88"/>
        <v>4</v>
      </c>
      <c r="I832" s="54">
        <f t="shared" si="96"/>
        <v>15</v>
      </c>
      <c r="J832" s="14" t="str">
        <f t="shared" si="90"/>
        <v>Easter</v>
      </c>
      <c r="K832" s="16" t="str">
        <f t="shared" si="95"/>
        <v>0-3</v>
      </c>
      <c r="L832" s="14" t="str">
        <f t="shared" si="91"/>
        <v>Bodysuit | 0-3 | Light Pink</v>
      </c>
      <c r="M832" s="16" t="s">
        <v>3610</v>
      </c>
    </row>
    <row r="833" spans="1:13" ht="25" customHeight="1" x14ac:dyDescent="0.45">
      <c r="A833" s="6">
        <v>46119</v>
      </c>
      <c r="B833" s="3" t="s">
        <v>293</v>
      </c>
      <c r="C833" s="4" t="s">
        <v>8</v>
      </c>
      <c r="D833" s="53" t="str">
        <f t="shared" si="89"/>
        <v>Light Pink</v>
      </c>
      <c r="E833" s="4" t="s">
        <v>292</v>
      </c>
      <c r="F833" s="57"/>
      <c r="G833" s="4" t="str">
        <f t="shared" si="94"/>
        <v>Bodysuit</v>
      </c>
      <c r="H833" s="38">
        <f t="shared" si="88"/>
        <v>4</v>
      </c>
      <c r="I833" s="54">
        <f t="shared" si="96"/>
        <v>15</v>
      </c>
      <c r="J833" s="14" t="str">
        <f t="shared" si="90"/>
        <v>Easter</v>
      </c>
      <c r="K833" s="16" t="str">
        <f t="shared" si="95"/>
        <v>0-3</v>
      </c>
      <c r="L833" s="14" t="str">
        <f t="shared" si="91"/>
        <v>Bodysuit | 0-3 | Light Pink</v>
      </c>
      <c r="M833" s="16" t="s">
        <v>3610</v>
      </c>
    </row>
    <row r="834" spans="1:13" ht="25" customHeight="1" x14ac:dyDescent="0.45">
      <c r="A834" s="6">
        <v>46119</v>
      </c>
      <c r="B834" s="3" t="s">
        <v>294</v>
      </c>
      <c r="C834" s="4" t="s">
        <v>8</v>
      </c>
      <c r="D834" s="53" t="str">
        <f t="shared" si="89"/>
        <v>Light Pink</v>
      </c>
      <c r="E834" s="4" t="s">
        <v>292</v>
      </c>
      <c r="F834" s="4" t="s">
        <v>7</v>
      </c>
      <c r="G834" s="4" t="str">
        <f t="shared" si="94"/>
        <v>Bodysuit</v>
      </c>
      <c r="H834" s="38">
        <f t="shared" ref="H834:H897" si="97">MONTH(A834)</f>
        <v>4</v>
      </c>
      <c r="I834" s="54">
        <f t="shared" si="96"/>
        <v>15</v>
      </c>
      <c r="J834" s="14" t="str">
        <f t="shared" si="90"/>
        <v>Easter</v>
      </c>
      <c r="K834" s="16" t="str">
        <f t="shared" si="95"/>
        <v>0-3</v>
      </c>
      <c r="L834" s="14" t="str">
        <f t="shared" si="91"/>
        <v>Bodysuit | 0-3 | Light Pink</v>
      </c>
      <c r="M834" s="16" t="s">
        <v>3610</v>
      </c>
    </row>
    <row r="835" spans="1:13" ht="25" customHeight="1" x14ac:dyDescent="0.45">
      <c r="A835" s="6">
        <v>46120</v>
      </c>
      <c r="B835" s="3" t="s">
        <v>295</v>
      </c>
      <c r="C835" s="4" t="s">
        <v>87</v>
      </c>
      <c r="D835" s="53" t="str">
        <f t="shared" ref="D835:D898" si="98">PROPER(C835)</f>
        <v>Cream</v>
      </c>
      <c r="E835" s="4" t="s">
        <v>289</v>
      </c>
      <c r="F835" s="4" t="s">
        <v>7</v>
      </c>
      <c r="G835" s="4" t="str">
        <f t="shared" si="94"/>
        <v>Bodysuit</v>
      </c>
      <c r="H835" s="38">
        <f t="shared" si="97"/>
        <v>4</v>
      </c>
      <c r="I835" s="54">
        <f t="shared" si="96"/>
        <v>15</v>
      </c>
      <c r="J835" s="14" t="str">
        <f t="shared" ref="J835:J898" si="99">IF(H835=1,"NewYear",
IF(H835=2,"Valentine",
IF(OR(H835=3,H835=4),"Easter",
IF(H835=5,"MothersDay",
IF(H835=6,"FathersDay",
IF(OR(H835=7,H835=8),"Summer",
IF(H835=10,"Halloween",
IF(OR(H835=11,H835=12),"Christmas","Normal"))))))))</f>
        <v>Easter</v>
      </c>
      <c r="K835" s="16" t="str">
        <f t="shared" si="95"/>
        <v>3-6</v>
      </c>
      <c r="L835" s="14" t="str">
        <f t="shared" ref="L835:L898" si="100">TRIM(G835)&amp;" | "&amp;TRIM(K835)&amp;" | "&amp;PROPER(TRIM(D835))</f>
        <v>Bodysuit | 3-6 | Cream</v>
      </c>
      <c r="M835" s="16" t="s">
        <v>3611</v>
      </c>
    </row>
    <row r="836" spans="1:13" ht="25" customHeight="1" x14ac:dyDescent="0.45">
      <c r="A836" s="6">
        <v>46121</v>
      </c>
      <c r="B836" s="3" t="s">
        <v>296</v>
      </c>
      <c r="C836" s="4" t="s">
        <v>87</v>
      </c>
      <c r="D836" s="53" t="str">
        <f t="shared" si="98"/>
        <v>Cream</v>
      </c>
      <c r="E836" s="4" t="s">
        <v>292</v>
      </c>
      <c r="F836" s="57" t="s">
        <v>7</v>
      </c>
      <c r="G836" s="4" t="str">
        <f t="shared" si="94"/>
        <v>Bodysuit</v>
      </c>
      <c r="H836" s="38">
        <f t="shared" si="97"/>
        <v>4</v>
      </c>
      <c r="I836" s="54">
        <f t="shared" si="96"/>
        <v>15</v>
      </c>
      <c r="J836" s="14" t="str">
        <f t="shared" si="99"/>
        <v>Easter</v>
      </c>
      <c r="K836" s="16" t="str">
        <f t="shared" si="95"/>
        <v>0-3</v>
      </c>
      <c r="L836" s="14" t="str">
        <f t="shared" si="100"/>
        <v>Bodysuit | 0-3 | Cream</v>
      </c>
      <c r="M836" s="16" t="s">
        <v>3610</v>
      </c>
    </row>
    <row r="837" spans="1:13" ht="25" customHeight="1" x14ac:dyDescent="0.45">
      <c r="A837" s="6">
        <v>46121</v>
      </c>
      <c r="B837" s="3" t="s">
        <v>298</v>
      </c>
      <c r="C837" s="4" t="s">
        <v>299</v>
      </c>
      <c r="D837" s="53" t="str">
        <f t="shared" si="98"/>
        <v>Light Blue</v>
      </c>
      <c r="E837" s="4" t="s">
        <v>292</v>
      </c>
      <c r="F837" s="57"/>
      <c r="G837" s="4" t="str">
        <f t="shared" si="94"/>
        <v>Bodysuit</v>
      </c>
      <c r="H837" s="38">
        <f t="shared" si="97"/>
        <v>4</v>
      </c>
      <c r="I837" s="54">
        <f t="shared" si="96"/>
        <v>15</v>
      </c>
      <c r="J837" s="14" t="str">
        <f t="shared" si="99"/>
        <v>Easter</v>
      </c>
      <c r="K837" s="16" t="str">
        <f t="shared" si="95"/>
        <v>0-3</v>
      </c>
      <c r="L837" s="14" t="str">
        <f t="shared" si="100"/>
        <v>Bodysuit | 0-3 | Light Blue</v>
      </c>
      <c r="M837" s="16" t="s">
        <v>3610</v>
      </c>
    </row>
    <row r="838" spans="1:13" ht="25" customHeight="1" x14ac:dyDescent="0.45">
      <c r="A838" s="6">
        <v>46122</v>
      </c>
      <c r="B838" s="3" t="s">
        <v>300</v>
      </c>
      <c r="C838" s="4" t="s">
        <v>299</v>
      </c>
      <c r="D838" s="53" t="str">
        <f t="shared" si="98"/>
        <v>Light Blue</v>
      </c>
      <c r="E838" s="4" t="s">
        <v>289</v>
      </c>
      <c r="F838" s="4" t="s">
        <v>7</v>
      </c>
      <c r="G838" s="4" t="str">
        <f t="shared" si="94"/>
        <v>Bodysuit</v>
      </c>
      <c r="H838" s="38">
        <f t="shared" si="97"/>
        <v>4</v>
      </c>
      <c r="I838" s="54">
        <f t="shared" si="96"/>
        <v>15</v>
      </c>
      <c r="J838" s="14" t="str">
        <f t="shared" si="99"/>
        <v>Easter</v>
      </c>
      <c r="K838" s="16" t="str">
        <f t="shared" si="95"/>
        <v>3-6</v>
      </c>
      <c r="L838" s="14" t="str">
        <f t="shared" si="100"/>
        <v>Bodysuit | 3-6 | Light Blue</v>
      </c>
      <c r="M838" s="16" t="s">
        <v>3610</v>
      </c>
    </row>
    <row r="839" spans="1:13" ht="25" customHeight="1" x14ac:dyDescent="0.45">
      <c r="A839" s="6">
        <v>46124</v>
      </c>
      <c r="B839" s="3" t="s">
        <v>301</v>
      </c>
      <c r="C839" s="4" t="s">
        <v>299</v>
      </c>
      <c r="D839" s="53" t="str">
        <f t="shared" si="98"/>
        <v>Light Blue</v>
      </c>
      <c r="E839" s="4" t="s">
        <v>289</v>
      </c>
      <c r="F839" s="4" t="s">
        <v>7</v>
      </c>
      <c r="G839" s="4" t="str">
        <f t="shared" si="94"/>
        <v>Bodysuit</v>
      </c>
      <c r="H839" s="38">
        <f t="shared" si="97"/>
        <v>4</v>
      </c>
      <c r="I839" s="54">
        <f t="shared" si="96"/>
        <v>16</v>
      </c>
      <c r="J839" s="14" t="str">
        <f t="shared" si="99"/>
        <v>Easter</v>
      </c>
      <c r="K839" s="16" t="str">
        <f t="shared" si="95"/>
        <v>3-6</v>
      </c>
      <c r="L839" s="14" t="str">
        <f t="shared" si="100"/>
        <v>Bodysuit | 3-6 | Light Blue</v>
      </c>
      <c r="M839" s="16" t="s">
        <v>3610</v>
      </c>
    </row>
    <row r="840" spans="1:13" ht="25" customHeight="1" x14ac:dyDescent="0.45">
      <c r="A840" s="6">
        <v>46125</v>
      </c>
      <c r="B840" s="3" t="s">
        <v>302</v>
      </c>
      <c r="C840" s="4" t="s">
        <v>9</v>
      </c>
      <c r="D840" s="53" t="str">
        <f t="shared" si="98"/>
        <v>Cream</v>
      </c>
      <c r="E840" s="4" t="s">
        <v>292</v>
      </c>
      <c r="F840" s="57" t="s">
        <v>7</v>
      </c>
      <c r="G840" s="4" t="str">
        <f t="shared" si="94"/>
        <v>Bodysuit</v>
      </c>
      <c r="H840" s="38">
        <f t="shared" si="97"/>
        <v>4</v>
      </c>
      <c r="I840" s="54">
        <f t="shared" si="96"/>
        <v>16</v>
      </c>
      <c r="J840" s="14" t="str">
        <f t="shared" si="99"/>
        <v>Easter</v>
      </c>
      <c r="K840" s="16" t="str">
        <f t="shared" si="95"/>
        <v>0-3</v>
      </c>
      <c r="L840" s="14" t="str">
        <f t="shared" si="100"/>
        <v>Bodysuit | 0-3 | Cream</v>
      </c>
      <c r="M840" s="16" t="s">
        <v>3610</v>
      </c>
    </row>
    <row r="841" spans="1:13" ht="25" customHeight="1" x14ac:dyDescent="0.45">
      <c r="A841" s="6">
        <v>46129</v>
      </c>
      <c r="B841" s="3" t="s">
        <v>303</v>
      </c>
      <c r="C841" s="4" t="s">
        <v>9</v>
      </c>
      <c r="D841" s="53" t="str">
        <f t="shared" si="98"/>
        <v>Cream</v>
      </c>
      <c r="E841" s="4" t="s">
        <v>289</v>
      </c>
      <c r="F841" s="57"/>
      <c r="G841" s="4" t="str">
        <f t="shared" si="94"/>
        <v>Bodysuit</v>
      </c>
      <c r="H841" s="38">
        <f t="shared" si="97"/>
        <v>4</v>
      </c>
      <c r="I841" s="54">
        <f t="shared" si="96"/>
        <v>16</v>
      </c>
      <c r="J841" s="14" t="str">
        <f t="shared" si="99"/>
        <v>Easter</v>
      </c>
      <c r="K841" s="16" t="str">
        <f t="shared" si="95"/>
        <v>3-6</v>
      </c>
      <c r="L841" s="14" t="str">
        <f t="shared" si="100"/>
        <v>Bodysuit | 3-6 | Cream</v>
      </c>
      <c r="M841" s="16" t="s">
        <v>3611</v>
      </c>
    </row>
    <row r="842" spans="1:13" ht="25" customHeight="1" x14ac:dyDescent="0.45">
      <c r="A842" s="6">
        <v>46129</v>
      </c>
      <c r="B842" s="3" t="s">
        <v>304</v>
      </c>
      <c r="C842" s="4" t="s">
        <v>9</v>
      </c>
      <c r="D842" s="53" t="str">
        <f t="shared" si="98"/>
        <v>Cream</v>
      </c>
      <c r="E842" s="4" t="s">
        <v>289</v>
      </c>
      <c r="F842" s="4" t="s">
        <v>7</v>
      </c>
      <c r="G842" s="4" t="str">
        <f t="shared" si="94"/>
        <v>Bodysuit</v>
      </c>
      <c r="H842" s="38">
        <f t="shared" si="97"/>
        <v>4</v>
      </c>
      <c r="I842" s="54">
        <f t="shared" si="96"/>
        <v>16</v>
      </c>
      <c r="J842" s="14" t="str">
        <f t="shared" si="99"/>
        <v>Easter</v>
      </c>
      <c r="K842" s="16" t="str">
        <f t="shared" ref="K842:K873" si="101">TRIM(LEFT(E842,FIND("(",E842&amp;"(")-7))</f>
        <v>3-6</v>
      </c>
      <c r="L842" s="14" t="str">
        <f t="shared" si="100"/>
        <v>Bodysuit | 3-6 | Cream</v>
      </c>
      <c r="M842" s="16" t="s">
        <v>3611</v>
      </c>
    </row>
    <row r="843" spans="1:13" ht="25" customHeight="1" x14ac:dyDescent="0.45">
      <c r="A843" s="6">
        <v>46130</v>
      </c>
      <c r="B843" s="3" t="s">
        <v>305</v>
      </c>
      <c r="C843" s="4" t="s">
        <v>8</v>
      </c>
      <c r="D843" s="53" t="str">
        <f t="shared" si="98"/>
        <v>Light Pink</v>
      </c>
      <c r="E843" s="4" t="s">
        <v>292</v>
      </c>
      <c r="F843" s="4" t="s">
        <v>7</v>
      </c>
      <c r="G843" s="4" t="str">
        <f t="shared" si="94"/>
        <v>Bodysuit</v>
      </c>
      <c r="H843" s="38">
        <f t="shared" si="97"/>
        <v>4</v>
      </c>
      <c r="I843" s="54">
        <f t="shared" si="96"/>
        <v>16</v>
      </c>
      <c r="J843" s="14" t="str">
        <f t="shared" si="99"/>
        <v>Easter</v>
      </c>
      <c r="K843" s="16" t="str">
        <f t="shared" si="101"/>
        <v>0-3</v>
      </c>
      <c r="L843" s="14" t="str">
        <f t="shared" si="100"/>
        <v>Bodysuit | 0-3 | Light Pink</v>
      </c>
      <c r="M843" s="16" t="s">
        <v>3610</v>
      </c>
    </row>
    <row r="844" spans="1:13" ht="25" customHeight="1" x14ac:dyDescent="0.45">
      <c r="A844" s="6">
        <v>46130</v>
      </c>
      <c r="B844" s="3" t="s">
        <v>306</v>
      </c>
      <c r="C844" s="4" t="s">
        <v>87</v>
      </c>
      <c r="D844" s="53" t="str">
        <f t="shared" si="98"/>
        <v>Cream</v>
      </c>
      <c r="E844" s="4" t="s">
        <v>289</v>
      </c>
      <c r="F844" s="57" t="s">
        <v>7</v>
      </c>
      <c r="G844" s="4" t="str">
        <f t="shared" si="94"/>
        <v>Bodysuit</v>
      </c>
      <c r="H844" s="38">
        <f t="shared" si="97"/>
        <v>4</v>
      </c>
      <c r="I844" s="54">
        <f t="shared" si="96"/>
        <v>16</v>
      </c>
      <c r="J844" s="14" t="str">
        <f t="shared" si="99"/>
        <v>Easter</v>
      </c>
      <c r="K844" s="16" t="str">
        <f t="shared" si="101"/>
        <v>3-6</v>
      </c>
      <c r="L844" s="14" t="str">
        <f t="shared" si="100"/>
        <v>Bodysuit | 3-6 | Cream</v>
      </c>
      <c r="M844" s="16" t="s">
        <v>3611</v>
      </c>
    </row>
    <row r="845" spans="1:13" ht="25" customHeight="1" x14ac:dyDescent="0.45">
      <c r="A845" s="6">
        <v>46130</v>
      </c>
      <c r="B845" s="3" t="s">
        <v>307</v>
      </c>
      <c r="C845" s="4" t="s">
        <v>87</v>
      </c>
      <c r="D845" s="53" t="str">
        <f t="shared" si="98"/>
        <v>Cream</v>
      </c>
      <c r="E845" s="4" t="s">
        <v>289</v>
      </c>
      <c r="F845" s="57"/>
      <c r="G845" s="4" t="str">
        <f t="shared" si="94"/>
        <v>Bodysuit</v>
      </c>
      <c r="H845" s="38">
        <f t="shared" si="97"/>
        <v>4</v>
      </c>
      <c r="I845" s="54">
        <f t="shared" si="96"/>
        <v>16</v>
      </c>
      <c r="J845" s="14" t="str">
        <f t="shared" si="99"/>
        <v>Easter</v>
      </c>
      <c r="K845" s="16" t="str">
        <f t="shared" si="101"/>
        <v>3-6</v>
      </c>
      <c r="L845" s="14" t="str">
        <f t="shared" si="100"/>
        <v>Bodysuit | 3-6 | Cream</v>
      </c>
      <c r="M845" s="16" t="s">
        <v>3611</v>
      </c>
    </row>
    <row r="846" spans="1:13" ht="25" customHeight="1" x14ac:dyDescent="0.45">
      <c r="A846" s="6">
        <v>46130</v>
      </c>
      <c r="B846" s="3" t="s">
        <v>308</v>
      </c>
      <c r="C846" s="4" t="s">
        <v>87</v>
      </c>
      <c r="D846" s="53" t="str">
        <f t="shared" si="98"/>
        <v>Cream</v>
      </c>
      <c r="E846" s="4" t="s">
        <v>292</v>
      </c>
      <c r="F846" s="4" t="s">
        <v>7</v>
      </c>
      <c r="G846" s="4" t="str">
        <f t="shared" si="94"/>
        <v>Bodysuit</v>
      </c>
      <c r="H846" s="38">
        <f t="shared" si="97"/>
        <v>4</v>
      </c>
      <c r="I846" s="54">
        <f t="shared" si="96"/>
        <v>16</v>
      </c>
      <c r="J846" s="14" t="str">
        <f t="shared" si="99"/>
        <v>Easter</v>
      </c>
      <c r="K846" s="16" t="str">
        <f t="shared" si="101"/>
        <v>0-3</v>
      </c>
      <c r="L846" s="14" t="str">
        <f t="shared" si="100"/>
        <v>Bodysuit | 0-3 | Cream</v>
      </c>
      <c r="M846" s="16" t="s">
        <v>3610</v>
      </c>
    </row>
    <row r="847" spans="1:13" ht="25" customHeight="1" x14ac:dyDescent="0.45">
      <c r="A847" s="6">
        <v>46130</v>
      </c>
      <c r="B847" s="3" t="s">
        <v>309</v>
      </c>
      <c r="C847" s="4" t="s">
        <v>87</v>
      </c>
      <c r="D847" s="53" t="str">
        <f t="shared" si="98"/>
        <v>Cream</v>
      </c>
      <c r="E847" s="4" t="s">
        <v>292</v>
      </c>
      <c r="F847" s="4" t="s">
        <v>7</v>
      </c>
      <c r="G847" s="4" t="str">
        <f t="shared" si="94"/>
        <v>Bodysuit</v>
      </c>
      <c r="H847" s="38">
        <f t="shared" si="97"/>
        <v>4</v>
      </c>
      <c r="I847" s="54">
        <f t="shared" si="96"/>
        <v>16</v>
      </c>
      <c r="J847" s="14" t="str">
        <f t="shared" si="99"/>
        <v>Easter</v>
      </c>
      <c r="K847" s="16" t="str">
        <f t="shared" si="101"/>
        <v>0-3</v>
      </c>
      <c r="L847" s="14" t="str">
        <f t="shared" si="100"/>
        <v>Bodysuit | 0-3 | Cream</v>
      </c>
      <c r="M847" s="16" t="s">
        <v>3610</v>
      </c>
    </row>
    <row r="848" spans="1:13" ht="25" customHeight="1" x14ac:dyDescent="0.45">
      <c r="A848" s="6">
        <v>46131</v>
      </c>
      <c r="B848" s="3" t="s">
        <v>310</v>
      </c>
      <c r="C848" s="4" t="s">
        <v>5</v>
      </c>
      <c r="D848" s="53" t="str">
        <f t="shared" si="98"/>
        <v>Light Blue</v>
      </c>
      <c r="E848" s="4" t="s">
        <v>289</v>
      </c>
      <c r="F848" s="57" t="s">
        <v>7</v>
      </c>
      <c r="G848" s="4" t="str">
        <f t="shared" ref="G848:G911" si="102">IF(ISNUMBER(SEARCH("LONG",E848)),"Romper Longer",IF(ISNUMBER(SEARCH("SHORT",E848)),"Romper Short","Bodysuit"))</f>
        <v>Bodysuit</v>
      </c>
      <c r="H848" s="38">
        <f t="shared" si="97"/>
        <v>4</v>
      </c>
      <c r="I848" s="54">
        <f t="shared" si="96"/>
        <v>17</v>
      </c>
      <c r="J848" s="14" t="str">
        <f t="shared" si="99"/>
        <v>Easter</v>
      </c>
      <c r="K848" s="16" t="str">
        <f t="shared" si="101"/>
        <v>3-6</v>
      </c>
      <c r="L848" s="14" t="str">
        <f t="shared" si="100"/>
        <v>Bodysuit | 3-6 | Light Blue</v>
      </c>
      <c r="M848" s="16" t="s">
        <v>3610</v>
      </c>
    </row>
    <row r="849" spans="1:13" ht="25" customHeight="1" x14ac:dyDescent="0.45">
      <c r="A849" s="6">
        <v>46131</v>
      </c>
      <c r="B849" s="3" t="s">
        <v>311</v>
      </c>
      <c r="C849" s="4" t="s">
        <v>87</v>
      </c>
      <c r="D849" s="53" t="str">
        <f t="shared" si="98"/>
        <v>Cream</v>
      </c>
      <c r="E849" s="4" t="s">
        <v>289</v>
      </c>
      <c r="F849" s="57"/>
      <c r="G849" s="4" t="str">
        <f t="shared" si="102"/>
        <v>Bodysuit</v>
      </c>
      <c r="H849" s="38">
        <f t="shared" si="97"/>
        <v>4</v>
      </c>
      <c r="I849" s="54">
        <f t="shared" si="96"/>
        <v>17</v>
      </c>
      <c r="J849" s="14" t="str">
        <f t="shared" si="99"/>
        <v>Easter</v>
      </c>
      <c r="K849" s="16" t="str">
        <f t="shared" si="101"/>
        <v>3-6</v>
      </c>
      <c r="L849" s="14" t="str">
        <f t="shared" si="100"/>
        <v>Bodysuit | 3-6 | Cream</v>
      </c>
      <c r="M849" s="16" t="s">
        <v>3611</v>
      </c>
    </row>
    <row r="850" spans="1:13" ht="25" customHeight="1" x14ac:dyDescent="0.45">
      <c r="A850" s="6">
        <v>46131</v>
      </c>
      <c r="B850" s="3" t="s">
        <v>312</v>
      </c>
      <c r="C850" s="4" t="s">
        <v>5</v>
      </c>
      <c r="D850" s="53" t="str">
        <f t="shared" si="98"/>
        <v>Light Blue</v>
      </c>
      <c r="E850" s="4" t="s">
        <v>292</v>
      </c>
      <c r="F850" s="4" t="s">
        <v>7</v>
      </c>
      <c r="G850" s="4" t="str">
        <f t="shared" si="102"/>
        <v>Bodysuit</v>
      </c>
      <c r="H850" s="38">
        <f t="shared" si="97"/>
        <v>4</v>
      </c>
      <c r="I850" s="54">
        <f t="shared" si="96"/>
        <v>17</v>
      </c>
      <c r="J850" s="14" t="str">
        <f t="shared" si="99"/>
        <v>Easter</v>
      </c>
      <c r="K850" s="16" t="str">
        <f t="shared" si="101"/>
        <v>0-3</v>
      </c>
      <c r="L850" s="14" t="str">
        <f t="shared" si="100"/>
        <v>Bodysuit | 0-3 | Light Blue</v>
      </c>
      <c r="M850" s="16" t="s">
        <v>3610</v>
      </c>
    </row>
    <row r="851" spans="1:13" ht="25" customHeight="1" x14ac:dyDescent="0.45">
      <c r="A851" s="6">
        <v>46132</v>
      </c>
      <c r="B851" s="3" t="s">
        <v>313</v>
      </c>
      <c r="C851" s="4" t="s">
        <v>87</v>
      </c>
      <c r="D851" s="53" t="str">
        <f t="shared" si="98"/>
        <v>Cream</v>
      </c>
      <c r="E851" s="4" t="s">
        <v>289</v>
      </c>
      <c r="F851" s="4" t="s">
        <v>7</v>
      </c>
      <c r="G851" s="4" t="str">
        <f t="shared" si="102"/>
        <v>Bodysuit</v>
      </c>
      <c r="H851" s="38">
        <f t="shared" si="97"/>
        <v>4</v>
      </c>
      <c r="I851" s="54">
        <f t="shared" si="96"/>
        <v>17</v>
      </c>
      <c r="J851" s="14" t="str">
        <f t="shared" si="99"/>
        <v>Easter</v>
      </c>
      <c r="K851" s="16" t="str">
        <f t="shared" si="101"/>
        <v>3-6</v>
      </c>
      <c r="L851" s="14" t="str">
        <f t="shared" si="100"/>
        <v>Bodysuit | 3-6 | Cream</v>
      </c>
      <c r="M851" s="16" t="s">
        <v>3611</v>
      </c>
    </row>
    <row r="852" spans="1:13" ht="25" customHeight="1" x14ac:dyDescent="0.45">
      <c r="A852" s="6">
        <v>46132</v>
      </c>
      <c r="B852" s="3" t="s">
        <v>314</v>
      </c>
      <c r="C852" s="4" t="s">
        <v>87</v>
      </c>
      <c r="D852" s="53" t="str">
        <f t="shared" si="98"/>
        <v>Cream</v>
      </c>
      <c r="E852" s="4" t="s">
        <v>289</v>
      </c>
      <c r="F852" s="57" t="s">
        <v>7</v>
      </c>
      <c r="G852" s="4" t="str">
        <f t="shared" si="102"/>
        <v>Bodysuit</v>
      </c>
      <c r="H852" s="38">
        <f t="shared" si="97"/>
        <v>4</v>
      </c>
      <c r="I852" s="54">
        <f t="shared" si="96"/>
        <v>17</v>
      </c>
      <c r="J852" s="14" t="str">
        <f t="shared" si="99"/>
        <v>Easter</v>
      </c>
      <c r="K852" s="16" t="str">
        <f t="shared" si="101"/>
        <v>3-6</v>
      </c>
      <c r="L852" s="14" t="str">
        <f t="shared" si="100"/>
        <v>Bodysuit | 3-6 | Cream</v>
      </c>
      <c r="M852" s="16" t="s">
        <v>3611</v>
      </c>
    </row>
    <row r="853" spans="1:13" ht="25" customHeight="1" x14ac:dyDescent="0.45">
      <c r="A853" s="6">
        <v>46132</v>
      </c>
      <c r="B853" s="3" t="s">
        <v>315</v>
      </c>
      <c r="C853" s="4" t="s">
        <v>87</v>
      </c>
      <c r="D853" s="53" t="str">
        <f t="shared" si="98"/>
        <v>Cream</v>
      </c>
      <c r="E853" s="4" t="s">
        <v>292</v>
      </c>
      <c r="F853" s="57"/>
      <c r="G853" s="4" t="str">
        <f t="shared" si="102"/>
        <v>Bodysuit</v>
      </c>
      <c r="H853" s="38">
        <f t="shared" si="97"/>
        <v>4</v>
      </c>
      <c r="I853" s="54">
        <f t="shared" si="96"/>
        <v>17</v>
      </c>
      <c r="J853" s="14" t="str">
        <f t="shared" si="99"/>
        <v>Easter</v>
      </c>
      <c r="K853" s="16" t="str">
        <f t="shared" si="101"/>
        <v>0-3</v>
      </c>
      <c r="L853" s="14" t="str">
        <f t="shared" si="100"/>
        <v>Bodysuit | 0-3 | Cream</v>
      </c>
      <c r="M853" s="16" t="s">
        <v>3610</v>
      </c>
    </row>
    <row r="854" spans="1:13" ht="25" customHeight="1" x14ac:dyDescent="0.45">
      <c r="A854" s="6">
        <v>46139</v>
      </c>
      <c r="B854" s="3" t="s">
        <v>316</v>
      </c>
      <c r="C854" s="4" t="s">
        <v>87</v>
      </c>
      <c r="D854" s="53" t="str">
        <f t="shared" si="98"/>
        <v>Cream</v>
      </c>
      <c r="E854" s="4" t="s">
        <v>292</v>
      </c>
      <c r="F854" s="4" t="s">
        <v>7</v>
      </c>
      <c r="G854" s="4" t="str">
        <f t="shared" si="102"/>
        <v>Bodysuit</v>
      </c>
      <c r="H854" s="38">
        <f t="shared" si="97"/>
        <v>4</v>
      </c>
      <c r="I854" s="54">
        <f t="shared" si="96"/>
        <v>18</v>
      </c>
      <c r="J854" s="14" t="str">
        <f t="shared" si="99"/>
        <v>Easter</v>
      </c>
      <c r="K854" s="16" t="str">
        <f t="shared" si="101"/>
        <v>0-3</v>
      </c>
      <c r="L854" s="14" t="str">
        <f t="shared" si="100"/>
        <v>Bodysuit | 0-3 | Cream</v>
      </c>
      <c r="M854" s="16" t="s">
        <v>3610</v>
      </c>
    </row>
    <row r="855" spans="1:13" ht="25" customHeight="1" x14ac:dyDescent="0.45">
      <c r="A855" s="6">
        <v>46145</v>
      </c>
      <c r="B855" s="3" t="s">
        <v>317</v>
      </c>
      <c r="C855" s="4" t="s">
        <v>8</v>
      </c>
      <c r="D855" s="53" t="str">
        <f t="shared" si="98"/>
        <v>Light Pink</v>
      </c>
      <c r="E855" s="4" t="s">
        <v>289</v>
      </c>
      <c r="F855" s="4" t="s">
        <v>7</v>
      </c>
      <c r="G855" s="4" t="str">
        <f t="shared" si="102"/>
        <v>Bodysuit</v>
      </c>
      <c r="H855" s="38">
        <f t="shared" si="97"/>
        <v>5</v>
      </c>
      <c r="I855" s="54">
        <f t="shared" si="96"/>
        <v>19</v>
      </c>
      <c r="J855" s="14" t="str">
        <f t="shared" si="99"/>
        <v>MothersDay</v>
      </c>
      <c r="K855" s="16" t="str">
        <f t="shared" si="101"/>
        <v>3-6</v>
      </c>
      <c r="L855" s="14" t="str">
        <f t="shared" si="100"/>
        <v>Bodysuit | 3-6 | Light Pink</v>
      </c>
      <c r="M855" s="16" t="s">
        <v>3610</v>
      </c>
    </row>
    <row r="856" spans="1:13" ht="25" customHeight="1" x14ac:dyDescent="0.45">
      <c r="A856" s="6">
        <v>46145</v>
      </c>
      <c r="B856" s="3" t="s">
        <v>318</v>
      </c>
      <c r="C856" s="4" t="s">
        <v>9</v>
      </c>
      <c r="D856" s="53" t="str">
        <f t="shared" si="98"/>
        <v>Cream</v>
      </c>
      <c r="E856" s="4" t="s">
        <v>289</v>
      </c>
      <c r="F856" s="57" t="s">
        <v>7</v>
      </c>
      <c r="G856" s="4" t="str">
        <f t="shared" si="102"/>
        <v>Bodysuit</v>
      </c>
      <c r="H856" s="38">
        <f t="shared" si="97"/>
        <v>5</v>
      </c>
      <c r="I856" s="54">
        <f t="shared" si="96"/>
        <v>19</v>
      </c>
      <c r="J856" s="14" t="str">
        <f t="shared" si="99"/>
        <v>MothersDay</v>
      </c>
      <c r="K856" s="16" t="str">
        <f t="shared" si="101"/>
        <v>3-6</v>
      </c>
      <c r="L856" s="14" t="str">
        <f t="shared" si="100"/>
        <v>Bodysuit | 3-6 | Cream</v>
      </c>
      <c r="M856" s="16" t="s">
        <v>3611</v>
      </c>
    </row>
    <row r="857" spans="1:13" ht="25" customHeight="1" x14ac:dyDescent="0.45">
      <c r="A857" s="6">
        <v>46144</v>
      </c>
      <c r="B857" s="3" t="s">
        <v>319</v>
      </c>
      <c r="C857" s="4" t="s">
        <v>9</v>
      </c>
      <c r="D857" s="53" t="str">
        <f t="shared" si="98"/>
        <v>Cream</v>
      </c>
      <c r="E857" s="4" t="s">
        <v>289</v>
      </c>
      <c r="F857" s="57"/>
      <c r="G857" s="4" t="str">
        <f t="shared" si="102"/>
        <v>Bodysuit</v>
      </c>
      <c r="H857" s="38">
        <f t="shared" si="97"/>
        <v>5</v>
      </c>
      <c r="I857" s="54">
        <f t="shared" si="96"/>
        <v>18</v>
      </c>
      <c r="J857" s="14" t="str">
        <f t="shared" si="99"/>
        <v>MothersDay</v>
      </c>
      <c r="K857" s="16" t="str">
        <f t="shared" si="101"/>
        <v>3-6</v>
      </c>
      <c r="L857" s="14" t="str">
        <f t="shared" si="100"/>
        <v>Bodysuit | 3-6 | Cream</v>
      </c>
      <c r="M857" s="16" t="s">
        <v>3611</v>
      </c>
    </row>
    <row r="858" spans="1:13" ht="25" customHeight="1" x14ac:dyDescent="0.45">
      <c r="A858" s="6">
        <v>46145</v>
      </c>
      <c r="B858" s="3" t="s">
        <v>320</v>
      </c>
      <c r="C858" s="4" t="s">
        <v>9</v>
      </c>
      <c r="D858" s="53" t="str">
        <f t="shared" si="98"/>
        <v>Cream</v>
      </c>
      <c r="E858" s="4" t="s">
        <v>289</v>
      </c>
      <c r="F858" s="4" t="s">
        <v>7</v>
      </c>
      <c r="G858" s="4" t="str">
        <f t="shared" si="102"/>
        <v>Bodysuit</v>
      </c>
      <c r="H858" s="38">
        <f t="shared" si="97"/>
        <v>5</v>
      </c>
      <c r="I858" s="54">
        <f t="shared" si="96"/>
        <v>19</v>
      </c>
      <c r="J858" s="14" t="str">
        <f t="shared" si="99"/>
        <v>MothersDay</v>
      </c>
      <c r="K858" s="16" t="str">
        <f t="shared" si="101"/>
        <v>3-6</v>
      </c>
      <c r="L858" s="14" t="str">
        <f t="shared" si="100"/>
        <v>Bodysuit | 3-6 | Cream</v>
      </c>
      <c r="M858" s="16" t="s">
        <v>3611</v>
      </c>
    </row>
    <row r="859" spans="1:13" ht="25" customHeight="1" x14ac:dyDescent="0.45">
      <c r="A859" s="6">
        <v>46146</v>
      </c>
      <c r="B859" s="3" t="s">
        <v>321</v>
      </c>
      <c r="C859" s="4" t="s">
        <v>9</v>
      </c>
      <c r="D859" s="53" t="str">
        <f t="shared" si="98"/>
        <v>Cream</v>
      </c>
      <c r="E859" s="4" t="s">
        <v>289</v>
      </c>
      <c r="F859" s="4" t="s">
        <v>7</v>
      </c>
      <c r="G859" s="4" t="str">
        <f t="shared" si="102"/>
        <v>Bodysuit</v>
      </c>
      <c r="H859" s="38">
        <f t="shared" si="97"/>
        <v>5</v>
      </c>
      <c r="I859" s="54">
        <f t="shared" si="96"/>
        <v>19</v>
      </c>
      <c r="J859" s="14" t="str">
        <f t="shared" si="99"/>
        <v>MothersDay</v>
      </c>
      <c r="K859" s="16" t="str">
        <f t="shared" si="101"/>
        <v>3-6</v>
      </c>
      <c r="L859" s="14" t="str">
        <f t="shared" si="100"/>
        <v>Bodysuit | 3-6 | Cream</v>
      </c>
      <c r="M859" s="16" t="s">
        <v>3611</v>
      </c>
    </row>
    <row r="860" spans="1:13" ht="25" customHeight="1" x14ac:dyDescent="0.45">
      <c r="A860" s="6">
        <v>46148</v>
      </c>
      <c r="B860" s="3" t="s">
        <v>322</v>
      </c>
      <c r="C860" s="4" t="s">
        <v>9</v>
      </c>
      <c r="D860" s="53" t="str">
        <f t="shared" si="98"/>
        <v>Cream</v>
      </c>
      <c r="E860" s="4" t="s">
        <v>289</v>
      </c>
      <c r="F860" s="57" t="s">
        <v>7</v>
      </c>
      <c r="G860" s="4" t="str">
        <f t="shared" si="102"/>
        <v>Bodysuit</v>
      </c>
      <c r="H860" s="38">
        <f t="shared" si="97"/>
        <v>5</v>
      </c>
      <c r="I860" s="54">
        <f t="shared" si="96"/>
        <v>19</v>
      </c>
      <c r="J860" s="14" t="str">
        <f t="shared" si="99"/>
        <v>MothersDay</v>
      </c>
      <c r="K860" s="16" t="str">
        <f t="shared" si="101"/>
        <v>3-6</v>
      </c>
      <c r="L860" s="14" t="str">
        <f t="shared" si="100"/>
        <v>Bodysuit | 3-6 | Cream</v>
      </c>
      <c r="M860" s="16" t="s">
        <v>3611</v>
      </c>
    </row>
    <row r="861" spans="1:13" ht="25" customHeight="1" x14ac:dyDescent="0.45">
      <c r="A861" s="6">
        <v>46148</v>
      </c>
      <c r="B861" s="3" t="s">
        <v>323</v>
      </c>
      <c r="C861" s="4" t="s">
        <v>9</v>
      </c>
      <c r="D861" s="53" t="str">
        <f t="shared" si="98"/>
        <v>Cream</v>
      </c>
      <c r="E861" s="4" t="s">
        <v>289</v>
      </c>
      <c r="F861" s="57"/>
      <c r="G861" s="4" t="str">
        <f t="shared" si="102"/>
        <v>Bodysuit</v>
      </c>
      <c r="H861" s="38">
        <f t="shared" si="97"/>
        <v>5</v>
      </c>
      <c r="I861" s="54">
        <f t="shared" si="96"/>
        <v>19</v>
      </c>
      <c r="J861" s="14" t="str">
        <f t="shared" si="99"/>
        <v>MothersDay</v>
      </c>
      <c r="K861" s="16" t="str">
        <f t="shared" si="101"/>
        <v>3-6</v>
      </c>
      <c r="L861" s="14" t="str">
        <f t="shared" si="100"/>
        <v>Bodysuit | 3-6 | Cream</v>
      </c>
      <c r="M861" s="16" t="s">
        <v>3611</v>
      </c>
    </row>
    <row r="862" spans="1:13" ht="25" customHeight="1" x14ac:dyDescent="0.45">
      <c r="A862" s="6">
        <v>46153</v>
      </c>
      <c r="B862" s="3" t="s">
        <v>324</v>
      </c>
      <c r="C862" s="4" t="s">
        <v>5</v>
      </c>
      <c r="D862" s="53" t="str">
        <f t="shared" si="98"/>
        <v>Light Blue</v>
      </c>
      <c r="E862" s="4" t="s">
        <v>289</v>
      </c>
      <c r="F862" s="4" t="s">
        <v>7</v>
      </c>
      <c r="G862" s="4" t="str">
        <f t="shared" si="102"/>
        <v>Bodysuit</v>
      </c>
      <c r="H862" s="38">
        <f t="shared" si="97"/>
        <v>5</v>
      </c>
      <c r="I862" s="54">
        <f t="shared" si="96"/>
        <v>20</v>
      </c>
      <c r="J862" s="14" t="str">
        <f t="shared" si="99"/>
        <v>MothersDay</v>
      </c>
      <c r="K862" s="16" t="str">
        <f t="shared" si="101"/>
        <v>3-6</v>
      </c>
      <c r="L862" s="14" t="str">
        <f t="shared" si="100"/>
        <v>Bodysuit | 3-6 | Light Blue</v>
      </c>
      <c r="M862" s="16" t="s">
        <v>3610</v>
      </c>
    </row>
    <row r="863" spans="1:13" ht="25" customHeight="1" x14ac:dyDescent="0.45">
      <c r="A863" s="6">
        <v>46153</v>
      </c>
      <c r="B863" s="3" t="s">
        <v>325</v>
      </c>
      <c r="C863" s="4" t="s">
        <v>9</v>
      </c>
      <c r="D863" s="53" t="str">
        <f t="shared" si="98"/>
        <v>Cream</v>
      </c>
      <c r="E863" s="4" t="s">
        <v>292</v>
      </c>
      <c r="F863" s="4" t="s">
        <v>7</v>
      </c>
      <c r="G863" s="4" t="str">
        <f t="shared" si="102"/>
        <v>Bodysuit</v>
      </c>
      <c r="H863" s="38">
        <f t="shared" si="97"/>
        <v>5</v>
      </c>
      <c r="I863" s="54">
        <f t="shared" si="96"/>
        <v>20</v>
      </c>
      <c r="J863" s="14" t="str">
        <f t="shared" si="99"/>
        <v>MothersDay</v>
      </c>
      <c r="K863" s="16" t="str">
        <f t="shared" si="101"/>
        <v>0-3</v>
      </c>
      <c r="L863" s="14" t="str">
        <f t="shared" si="100"/>
        <v>Bodysuit | 0-3 | Cream</v>
      </c>
      <c r="M863" s="16" t="s">
        <v>3610</v>
      </c>
    </row>
    <row r="864" spans="1:13" ht="25" customHeight="1" x14ac:dyDescent="0.45">
      <c r="A864" s="6">
        <v>46153</v>
      </c>
      <c r="B864" s="3" t="s">
        <v>326</v>
      </c>
      <c r="C864" s="4" t="s">
        <v>8</v>
      </c>
      <c r="D864" s="53" t="str">
        <f t="shared" si="98"/>
        <v>Light Pink</v>
      </c>
      <c r="E864" s="4" t="s">
        <v>292</v>
      </c>
      <c r="F864" s="57" t="s">
        <v>7</v>
      </c>
      <c r="G864" s="4" t="str">
        <f t="shared" si="102"/>
        <v>Bodysuit</v>
      </c>
      <c r="H864" s="38">
        <f t="shared" si="97"/>
        <v>5</v>
      </c>
      <c r="I864" s="54">
        <f t="shared" si="96"/>
        <v>20</v>
      </c>
      <c r="J864" s="14" t="str">
        <f t="shared" si="99"/>
        <v>MothersDay</v>
      </c>
      <c r="K864" s="16" t="str">
        <f t="shared" si="101"/>
        <v>0-3</v>
      </c>
      <c r="L864" s="14" t="str">
        <f t="shared" si="100"/>
        <v>Bodysuit | 0-3 | Light Pink</v>
      </c>
      <c r="M864" s="16" t="s">
        <v>3610</v>
      </c>
    </row>
    <row r="865" spans="1:13" ht="25" customHeight="1" x14ac:dyDescent="0.45">
      <c r="A865" s="6">
        <v>46153</v>
      </c>
      <c r="B865" s="3" t="s">
        <v>327</v>
      </c>
      <c r="C865" s="4" t="s">
        <v>9</v>
      </c>
      <c r="D865" s="53" t="str">
        <f t="shared" si="98"/>
        <v>Cream</v>
      </c>
      <c r="E865" s="4" t="s">
        <v>289</v>
      </c>
      <c r="F865" s="57"/>
      <c r="G865" s="4" t="str">
        <f t="shared" si="102"/>
        <v>Bodysuit</v>
      </c>
      <c r="H865" s="38">
        <f t="shared" si="97"/>
        <v>5</v>
      </c>
      <c r="I865" s="54">
        <f t="shared" si="96"/>
        <v>20</v>
      </c>
      <c r="J865" s="14" t="str">
        <f t="shared" si="99"/>
        <v>MothersDay</v>
      </c>
      <c r="K865" s="16" t="str">
        <f t="shared" si="101"/>
        <v>3-6</v>
      </c>
      <c r="L865" s="14" t="str">
        <f t="shared" si="100"/>
        <v>Bodysuit | 3-6 | Cream</v>
      </c>
      <c r="M865" s="16" t="s">
        <v>3611</v>
      </c>
    </row>
    <row r="866" spans="1:13" ht="25" customHeight="1" x14ac:dyDescent="0.45">
      <c r="A866" s="6">
        <v>46154</v>
      </c>
      <c r="B866" s="3" t="s">
        <v>328</v>
      </c>
      <c r="C866" s="4" t="s">
        <v>9</v>
      </c>
      <c r="D866" s="53" t="str">
        <f t="shared" si="98"/>
        <v>Cream</v>
      </c>
      <c r="E866" s="4" t="s">
        <v>289</v>
      </c>
      <c r="F866" s="4" t="s">
        <v>7</v>
      </c>
      <c r="G866" s="4" t="str">
        <f t="shared" si="102"/>
        <v>Bodysuit</v>
      </c>
      <c r="H866" s="38">
        <f t="shared" si="97"/>
        <v>5</v>
      </c>
      <c r="I866" s="54">
        <f t="shared" si="96"/>
        <v>20</v>
      </c>
      <c r="J866" s="14" t="str">
        <f t="shared" si="99"/>
        <v>MothersDay</v>
      </c>
      <c r="K866" s="16" t="str">
        <f t="shared" si="101"/>
        <v>3-6</v>
      </c>
      <c r="L866" s="14" t="str">
        <f t="shared" si="100"/>
        <v>Bodysuit | 3-6 | Cream</v>
      </c>
      <c r="M866" s="16" t="s">
        <v>3611</v>
      </c>
    </row>
    <row r="867" spans="1:13" ht="25" customHeight="1" x14ac:dyDescent="0.45">
      <c r="A867" s="6">
        <v>46154</v>
      </c>
      <c r="B867" s="3" t="s">
        <v>329</v>
      </c>
      <c r="C867" s="4" t="s">
        <v>330</v>
      </c>
      <c r="D867" s="53" t="str">
        <f t="shared" si="98"/>
        <v xml:space="preserve"> Light Pink</v>
      </c>
      <c r="E867" s="4" t="s">
        <v>292</v>
      </c>
      <c r="F867" s="4" t="s">
        <v>7</v>
      </c>
      <c r="G867" s="4" t="str">
        <f t="shared" si="102"/>
        <v>Bodysuit</v>
      </c>
      <c r="H867" s="38">
        <f t="shared" si="97"/>
        <v>5</v>
      </c>
      <c r="I867" s="54">
        <f>WEEKNUM(A867)</f>
        <v>20</v>
      </c>
      <c r="J867" s="14" t="str">
        <f t="shared" si="99"/>
        <v>MothersDay</v>
      </c>
      <c r="K867" s="16" t="str">
        <f t="shared" si="101"/>
        <v>0-3</v>
      </c>
      <c r="L867" s="14" t="str">
        <f t="shared" si="100"/>
        <v>Bodysuit | 0-3 | Light Pink</v>
      </c>
      <c r="M867" s="16" t="s">
        <v>3610</v>
      </c>
    </row>
    <row r="868" spans="1:13" ht="25" customHeight="1" x14ac:dyDescent="0.45">
      <c r="A868" s="6">
        <v>46155</v>
      </c>
      <c r="B868" s="3" t="s">
        <v>331</v>
      </c>
      <c r="C868" s="4" t="s">
        <v>5</v>
      </c>
      <c r="D868" s="53" t="str">
        <f t="shared" si="98"/>
        <v>Light Blue</v>
      </c>
      <c r="E868" s="4" t="s">
        <v>292</v>
      </c>
      <c r="F868" s="57" t="s">
        <v>7</v>
      </c>
      <c r="G868" s="4" t="str">
        <f t="shared" si="102"/>
        <v>Bodysuit</v>
      </c>
      <c r="H868" s="38">
        <f t="shared" si="97"/>
        <v>5</v>
      </c>
      <c r="I868" s="54">
        <f>WEEKNUM(A868)</f>
        <v>20</v>
      </c>
      <c r="J868" s="14" t="str">
        <f t="shared" si="99"/>
        <v>MothersDay</v>
      </c>
      <c r="K868" s="16" t="str">
        <f t="shared" si="101"/>
        <v>0-3</v>
      </c>
      <c r="L868" s="14" t="str">
        <f t="shared" si="100"/>
        <v>Bodysuit | 0-3 | Light Blue</v>
      </c>
      <c r="M868" s="16" t="s">
        <v>3610</v>
      </c>
    </row>
    <row r="869" spans="1:13" ht="25" customHeight="1" x14ac:dyDescent="0.45">
      <c r="A869" s="6">
        <v>46155</v>
      </c>
      <c r="B869" s="3" t="s">
        <v>332</v>
      </c>
      <c r="C869" s="4" t="s">
        <v>9</v>
      </c>
      <c r="D869" s="53" t="str">
        <f t="shared" si="98"/>
        <v>Cream</v>
      </c>
      <c r="E869" s="4" t="s">
        <v>289</v>
      </c>
      <c r="F869" s="57"/>
      <c r="G869" s="4" t="str">
        <f t="shared" si="102"/>
        <v>Bodysuit</v>
      </c>
      <c r="H869" s="38">
        <f t="shared" si="97"/>
        <v>5</v>
      </c>
      <c r="I869" s="54">
        <f t="shared" ref="I869:I932" si="103">WEEKNUM(A869)</f>
        <v>20</v>
      </c>
      <c r="J869" s="14" t="str">
        <f t="shared" si="99"/>
        <v>MothersDay</v>
      </c>
      <c r="K869" s="16" t="str">
        <f t="shared" si="101"/>
        <v>3-6</v>
      </c>
      <c r="L869" s="14" t="str">
        <f t="shared" si="100"/>
        <v>Bodysuit | 3-6 | Cream</v>
      </c>
      <c r="M869" s="16" t="s">
        <v>3611</v>
      </c>
    </row>
    <row r="870" spans="1:13" ht="25" customHeight="1" x14ac:dyDescent="0.45">
      <c r="A870" s="6">
        <v>46155</v>
      </c>
      <c r="B870" s="3" t="s">
        <v>333</v>
      </c>
      <c r="C870" s="4" t="s">
        <v>9</v>
      </c>
      <c r="D870" s="53" t="str">
        <f t="shared" si="98"/>
        <v>Cream</v>
      </c>
      <c r="E870" s="4" t="s">
        <v>334</v>
      </c>
      <c r="F870" s="4" t="s">
        <v>7</v>
      </c>
      <c r="G870" s="4" t="str">
        <f t="shared" si="102"/>
        <v>Bodysuit</v>
      </c>
      <c r="H870" s="38">
        <f t="shared" si="97"/>
        <v>5</v>
      </c>
      <c r="I870" s="54">
        <f t="shared" si="103"/>
        <v>20</v>
      </c>
      <c r="J870" s="14" t="str">
        <f t="shared" si="99"/>
        <v>MothersDay</v>
      </c>
      <c r="K870" s="16" t="str">
        <f t="shared" si="101"/>
        <v>3-6</v>
      </c>
      <c r="L870" s="14" t="str">
        <f t="shared" si="100"/>
        <v>Bodysuit | 3-6 | Cream</v>
      </c>
      <c r="M870" s="16" t="s">
        <v>3611</v>
      </c>
    </row>
    <row r="871" spans="1:13" ht="25" customHeight="1" x14ac:dyDescent="0.45">
      <c r="A871" s="6">
        <v>46155</v>
      </c>
      <c r="B871" s="3" t="s">
        <v>335</v>
      </c>
      <c r="C871" s="4" t="s">
        <v>5</v>
      </c>
      <c r="D871" s="53" t="str">
        <f t="shared" si="98"/>
        <v>Light Blue</v>
      </c>
      <c r="E871" s="4" t="s">
        <v>289</v>
      </c>
      <c r="F871" s="4" t="s">
        <v>7</v>
      </c>
      <c r="G871" s="4" t="str">
        <f t="shared" si="102"/>
        <v>Bodysuit</v>
      </c>
      <c r="H871" s="38">
        <f t="shared" si="97"/>
        <v>5</v>
      </c>
      <c r="I871" s="54">
        <f t="shared" si="103"/>
        <v>20</v>
      </c>
      <c r="J871" s="14" t="str">
        <f t="shared" si="99"/>
        <v>MothersDay</v>
      </c>
      <c r="K871" s="16" t="str">
        <f t="shared" si="101"/>
        <v>3-6</v>
      </c>
      <c r="L871" s="14" t="str">
        <f t="shared" si="100"/>
        <v>Bodysuit | 3-6 | Light Blue</v>
      </c>
      <c r="M871" s="16" t="s">
        <v>3610</v>
      </c>
    </row>
    <row r="872" spans="1:13" ht="25" customHeight="1" x14ac:dyDescent="0.45">
      <c r="A872" s="6">
        <v>46155</v>
      </c>
      <c r="B872" s="3" t="s">
        <v>336</v>
      </c>
      <c r="C872" s="4" t="s">
        <v>5</v>
      </c>
      <c r="D872" s="53" t="str">
        <f t="shared" si="98"/>
        <v>Light Blue</v>
      </c>
      <c r="E872" s="4" t="s">
        <v>292</v>
      </c>
      <c r="F872" s="57" t="s">
        <v>7</v>
      </c>
      <c r="G872" s="4" t="str">
        <f t="shared" si="102"/>
        <v>Bodysuit</v>
      </c>
      <c r="H872" s="38">
        <f t="shared" si="97"/>
        <v>5</v>
      </c>
      <c r="I872" s="54">
        <f t="shared" si="103"/>
        <v>20</v>
      </c>
      <c r="J872" s="14" t="str">
        <f t="shared" si="99"/>
        <v>MothersDay</v>
      </c>
      <c r="K872" s="16" t="str">
        <f t="shared" si="101"/>
        <v>0-3</v>
      </c>
      <c r="L872" s="14" t="str">
        <f t="shared" si="100"/>
        <v>Bodysuit | 0-3 | Light Blue</v>
      </c>
      <c r="M872" s="16" t="s">
        <v>3610</v>
      </c>
    </row>
    <row r="873" spans="1:13" ht="25" customHeight="1" x14ac:dyDescent="0.45">
      <c r="A873" s="6">
        <v>46162</v>
      </c>
      <c r="B873" s="3" t="s">
        <v>337</v>
      </c>
      <c r="C873" s="4" t="s">
        <v>8</v>
      </c>
      <c r="D873" s="53" t="str">
        <f t="shared" si="98"/>
        <v>Light Pink</v>
      </c>
      <c r="E873" s="4" t="s">
        <v>289</v>
      </c>
      <c r="F873" s="57"/>
      <c r="G873" s="4" t="str">
        <f t="shared" si="102"/>
        <v>Bodysuit</v>
      </c>
      <c r="H873" s="38">
        <f t="shared" si="97"/>
        <v>5</v>
      </c>
      <c r="I873" s="54">
        <f t="shared" si="103"/>
        <v>21</v>
      </c>
      <c r="J873" s="14" t="str">
        <f t="shared" si="99"/>
        <v>MothersDay</v>
      </c>
      <c r="K873" s="16" t="str">
        <f t="shared" si="101"/>
        <v>3-6</v>
      </c>
      <c r="L873" s="14" t="str">
        <f t="shared" si="100"/>
        <v>Bodysuit | 3-6 | Light Pink</v>
      </c>
      <c r="M873" s="16" t="s">
        <v>3610</v>
      </c>
    </row>
    <row r="874" spans="1:13" ht="25" customHeight="1" x14ac:dyDescent="0.45">
      <c r="A874" s="6">
        <v>46163</v>
      </c>
      <c r="B874" s="3" t="s">
        <v>338</v>
      </c>
      <c r="C874" s="4" t="s">
        <v>87</v>
      </c>
      <c r="D874" s="53" t="str">
        <f t="shared" si="98"/>
        <v>Cream</v>
      </c>
      <c r="E874" s="4" t="s">
        <v>289</v>
      </c>
      <c r="F874" s="4" t="s">
        <v>7</v>
      </c>
      <c r="G874" s="4" t="str">
        <f t="shared" si="102"/>
        <v>Bodysuit</v>
      </c>
      <c r="H874" s="38">
        <f t="shared" si="97"/>
        <v>5</v>
      </c>
      <c r="I874" s="54">
        <f t="shared" si="103"/>
        <v>21</v>
      </c>
      <c r="J874" s="14" t="str">
        <f t="shared" si="99"/>
        <v>MothersDay</v>
      </c>
      <c r="K874" s="16" t="str">
        <f t="shared" ref="K874:K905" si="104">TRIM(LEFT(E874,FIND("(",E874&amp;"(")-7))</f>
        <v>3-6</v>
      </c>
      <c r="L874" s="14" t="str">
        <f t="shared" si="100"/>
        <v>Bodysuit | 3-6 | Cream</v>
      </c>
      <c r="M874" s="16" t="s">
        <v>3611</v>
      </c>
    </row>
    <row r="875" spans="1:13" ht="25" customHeight="1" x14ac:dyDescent="0.45">
      <c r="A875" s="7">
        <v>46166</v>
      </c>
      <c r="B875" s="3" t="s">
        <v>339</v>
      </c>
      <c r="C875" s="4" t="s">
        <v>87</v>
      </c>
      <c r="D875" s="53" t="str">
        <f t="shared" si="98"/>
        <v>Cream</v>
      </c>
      <c r="E875" s="4" t="s">
        <v>292</v>
      </c>
      <c r="F875" s="4" t="s">
        <v>7</v>
      </c>
      <c r="G875" s="4" t="str">
        <f t="shared" si="102"/>
        <v>Bodysuit</v>
      </c>
      <c r="H875" s="38">
        <f t="shared" si="97"/>
        <v>5</v>
      </c>
      <c r="I875" s="54">
        <f t="shared" si="103"/>
        <v>22</v>
      </c>
      <c r="J875" s="14" t="str">
        <f t="shared" si="99"/>
        <v>MothersDay</v>
      </c>
      <c r="K875" s="16" t="str">
        <f t="shared" si="104"/>
        <v>0-3</v>
      </c>
      <c r="L875" s="14" t="str">
        <f t="shared" si="100"/>
        <v>Bodysuit | 0-3 | Cream</v>
      </c>
      <c r="M875" s="16" t="s">
        <v>3610</v>
      </c>
    </row>
    <row r="876" spans="1:13" ht="25" customHeight="1" x14ac:dyDescent="0.45">
      <c r="A876" s="7">
        <v>46166</v>
      </c>
      <c r="B876" s="3" t="s">
        <v>340</v>
      </c>
      <c r="C876" s="4" t="s">
        <v>330</v>
      </c>
      <c r="D876" s="53" t="str">
        <f t="shared" si="98"/>
        <v xml:space="preserve"> Light Pink</v>
      </c>
      <c r="E876" s="4" t="s">
        <v>289</v>
      </c>
      <c r="F876" s="57" t="s">
        <v>7</v>
      </c>
      <c r="G876" s="4" t="str">
        <f t="shared" si="102"/>
        <v>Bodysuit</v>
      </c>
      <c r="H876" s="38">
        <f t="shared" si="97"/>
        <v>5</v>
      </c>
      <c r="I876" s="54">
        <f t="shared" si="103"/>
        <v>22</v>
      </c>
      <c r="J876" s="14" t="str">
        <f t="shared" si="99"/>
        <v>MothersDay</v>
      </c>
      <c r="K876" s="16" t="str">
        <f t="shared" si="104"/>
        <v>3-6</v>
      </c>
      <c r="L876" s="14" t="str">
        <f t="shared" si="100"/>
        <v>Bodysuit | 3-6 | Light Pink</v>
      </c>
      <c r="M876" s="16" t="s">
        <v>3610</v>
      </c>
    </row>
    <row r="877" spans="1:13" ht="25" customHeight="1" x14ac:dyDescent="0.45">
      <c r="A877" s="7">
        <v>46166</v>
      </c>
      <c r="B877" s="3" t="s">
        <v>341</v>
      </c>
      <c r="C877" s="4" t="s">
        <v>9</v>
      </c>
      <c r="D877" s="53" t="str">
        <f t="shared" si="98"/>
        <v>Cream</v>
      </c>
      <c r="E877" s="4" t="s">
        <v>334</v>
      </c>
      <c r="F877" s="57"/>
      <c r="G877" s="4" t="str">
        <f t="shared" si="102"/>
        <v>Bodysuit</v>
      </c>
      <c r="H877" s="38">
        <f t="shared" si="97"/>
        <v>5</v>
      </c>
      <c r="I877" s="54">
        <f t="shared" si="103"/>
        <v>22</v>
      </c>
      <c r="J877" s="14" t="str">
        <f t="shared" si="99"/>
        <v>MothersDay</v>
      </c>
      <c r="K877" s="16" t="str">
        <f t="shared" si="104"/>
        <v>3-6</v>
      </c>
      <c r="L877" s="14" t="str">
        <f t="shared" si="100"/>
        <v>Bodysuit | 3-6 | Cream</v>
      </c>
      <c r="M877" s="16" t="s">
        <v>3611</v>
      </c>
    </row>
    <row r="878" spans="1:13" ht="25" customHeight="1" x14ac:dyDescent="0.45">
      <c r="A878" s="7">
        <v>46166</v>
      </c>
      <c r="B878" s="3" t="s">
        <v>342</v>
      </c>
      <c r="C878" s="4" t="s">
        <v>8</v>
      </c>
      <c r="D878" s="53" t="str">
        <f t="shared" si="98"/>
        <v>Light Pink</v>
      </c>
      <c r="E878" s="4" t="s">
        <v>292</v>
      </c>
      <c r="F878" s="4" t="s">
        <v>7</v>
      </c>
      <c r="G878" s="4" t="str">
        <f t="shared" si="102"/>
        <v>Bodysuit</v>
      </c>
      <c r="H878" s="38">
        <f t="shared" si="97"/>
        <v>5</v>
      </c>
      <c r="I878" s="54">
        <f t="shared" si="103"/>
        <v>22</v>
      </c>
      <c r="J878" s="14" t="str">
        <f t="shared" si="99"/>
        <v>MothersDay</v>
      </c>
      <c r="K878" s="16" t="str">
        <f t="shared" si="104"/>
        <v>0-3</v>
      </c>
      <c r="L878" s="14" t="str">
        <f t="shared" si="100"/>
        <v>Bodysuit | 0-3 | Light Pink</v>
      </c>
      <c r="M878" s="16" t="s">
        <v>3610</v>
      </c>
    </row>
    <row r="879" spans="1:13" ht="25" customHeight="1" x14ac:dyDescent="0.45">
      <c r="A879" s="6">
        <v>46167</v>
      </c>
      <c r="B879" s="3" t="s">
        <v>343</v>
      </c>
      <c r="C879" s="4" t="s">
        <v>5</v>
      </c>
      <c r="D879" s="53" t="str">
        <f t="shared" si="98"/>
        <v>Light Blue</v>
      </c>
      <c r="E879" s="4" t="s">
        <v>292</v>
      </c>
      <c r="F879" s="4" t="s">
        <v>7</v>
      </c>
      <c r="G879" s="4" t="str">
        <f t="shared" si="102"/>
        <v>Bodysuit</v>
      </c>
      <c r="H879" s="38">
        <f t="shared" si="97"/>
        <v>5</v>
      </c>
      <c r="I879" s="54">
        <f t="shared" si="103"/>
        <v>22</v>
      </c>
      <c r="J879" s="14" t="str">
        <f t="shared" si="99"/>
        <v>MothersDay</v>
      </c>
      <c r="K879" s="16" t="str">
        <f t="shared" si="104"/>
        <v>0-3</v>
      </c>
      <c r="L879" s="14" t="str">
        <f t="shared" si="100"/>
        <v>Bodysuit | 0-3 | Light Blue</v>
      </c>
      <c r="M879" s="16" t="s">
        <v>3610</v>
      </c>
    </row>
    <row r="880" spans="1:13" ht="25" customHeight="1" x14ac:dyDescent="0.45">
      <c r="A880" s="6">
        <v>46167</v>
      </c>
      <c r="B880" s="3" t="s">
        <v>344</v>
      </c>
      <c r="C880" s="4" t="s">
        <v>9</v>
      </c>
      <c r="D880" s="53" t="str">
        <f t="shared" si="98"/>
        <v>Cream</v>
      </c>
      <c r="E880" s="4" t="s">
        <v>292</v>
      </c>
      <c r="F880" s="57" t="s">
        <v>7</v>
      </c>
      <c r="G880" s="4" t="str">
        <f t="shared" si="102"/>
        <v>Bodysuit</v>
      </c>
      <c r="H880" s="38">
        <f t="shared" si="97"/>
        <v>5</v>
      </c>
      <c r="I880" s="54">
        <f t="shared" si="103"/>
        <v>22</v>
      </c>
      <c r="J880" s="14" t="str">
        <f t="shared" si="99"/>
        <v>MothersDay</v>
      </c>
      <c r="K880" s="16" t="str">
        <f t="shared" si="104"/>
        <v>0-3</v>
      </c>
      <c r="L880" s="14" t="str">
        <f t="shared" si="100"/>
        <v>Bodysuit | 0-3 | Cream</v>
      </c>
      <c r="M880" s="16" t="s">
        <v>3610</v>
      </c>
    </row>
    <row r="881" spans="1:13" ht="25" customHeight="1" x14ac:dyDescent="0.45">
      <c r="A881" s="6">
        <v>46167</v>
      </c>
      <c r="B881" s="3" t="s">
        <v>345</v>
      </c>
      <c r="C881" s="4" t="s">
        <v>9</v>
      </c>
      <c r="D881" s="53" t="str">
        <f t="shared" si="98"/>
        <v>Cream</v>
      </c>
      <c r="E881" s="4" t="s">
        <v>289</v>
      </c>
      <c r="F881" s="57"/>
      <c r="G881" s="4" t="str">
        <f t="shared" si="102"/>
        <v>Bodysuit</v>
      </c>
      <c r="H881" s="38">
        <f t="shared" si="97"/>
        <v>5</v>
      </c>
      <c r="I881" s="54">
        <f t="shared" si="103"/>
        <v>22</v>
      </c>
      <c r="J881" s="14" t="str">
        <f t="shared" si="99"/>
        <v>MothersDay</v>
      </c>
      <c r="K881" s="16" t="str">
        <f t="shared" si="104"/>
        <v>3-6</v>
      </c>
      <c r="L881" s="14" t="str">
        <f t="shared" si="100"/>
        <v>Bodysuit | 3-6 | Cream</v>
      </c>
      <c r="M881" s="16" t="s">
        <v>3611</v>
      </c>
    </row>
    <row r="882" spans="1:13" ht="25" customHeight="1" x14ac:dyDescent="0.45">
      <c r="A882" s="6">
        <v>46168</v>
      </c>
      <c r="B882" s="3" t="s">
        <v>346</v>
      </c>
      <c r="C882" s="4" t="s">
        <v>9</v>
      </c>
      <c r="D882" s="53" t="str">
        <f t="shared" si="98"/>
        <v>Cream</v>
      </c>
      <c r="E882" s="4" t="s">
        <v>292</v>
      </c>
      <c r="F882" s="4" t="s">
        <v>7</v>
      </c>
      <c r="G882" s="4" t="str">
        <f t="shared" si="102"/>
        <v>Bodysuit</v>
      </c>
      <c r="H882" s="38">
        <f t="shared" si="97"/>
        <v>5</v>
      </c>
      <c r="I882" s="54">
        <f t="shared" si="103"/>
        <v>22</v>
      </c>
      <c r="J882" s="14" t="str">
        <f t="shared" si="99"/>
        <v>MothersDay</v>
      </c>
      <c r="K882" s="16" t="str">
        <f t="shared" si="104"/>
        <v>0-3</v>
      </c>
      <c r="L882" s="14" t="str">
        <f t="shared" si="100"/>
        <v>Bodysuit | 0-3 | Cream</v>
      </c>
      <c r="M882" s="16" t="s">
        <v>3610</v>
      </c>
    </row>
    <row r="883" spans="1:13" ht="25" customHeight="1" x14ac:dyDescent="0.45">
      <c r="A883" s="6">
        <v>46168</v>
      </c>
      <c r="B883" s="3" t="s">
        <v>347</v>
      </c>
      <c r="C883" s="4" t="s">
        <v>202</v>
      </c>
      <c r="D883" s="53" t="str">
        <f t="shared" si="98"/>
        <v>Cream</v>
      </c>
      <c r="E883" s="4" t="s">
        <v>289</v>
      </c>
      <c r="F883" s="4" t="s">
        <v>7</v>
      </c>
      <c r="G883" s="4" t="str">
        <f t="shared" si="102"/>
        <v>Bodysuit</v>
      </c>
      <c r="H883" s="38">
        <f t="shared" si="97"/>
        <v>5</v>
      </c>
      <c r="I883" s="54">
        <f t="shared" si="103"/>
        <v>22</v>
      </c>
      <c r="J883" s="14" t="str">
        <f t="shared" si="99"/>
        <v>MothersDay</v>
      </c>
      <c r="K883" s="16" t="str">
        <f t="shared" si="104"/>
        <v>3-6</v>
      </c>
      <c r="L883" s="14" t="str">
        <f t="shared" si="100"/>
        <v>Bodysuit | 3-6 | Cream</v>
      </c>
      <c r="M883" s="16" t="s">
        <v>3611</v>
      </c>
    </row>
    <row r="884" spans="1:13" ht="25" customHeight="1" x14ac:dyDescent="0.45">
      <c r="A884" s="6">
        <v>46169</v>
      </c>
      <c r="B884" s="3" t="s">
        <v>348</v>
      </c>
      <c r="C884" s="4" t="s">
        <v>202</v>
      </c>
      <c r="D884" s="53" t="str">
        <f t="shared" si="98"/>
        <v>Cream</v>
      </c>
      <c r="E884" s="4" t="s">
        <v>289</v>
      </c>
      <c r="F884" s="57" t="s">
        <v>7</v>
      </c>
      <c r="G884" s="4" t="str">
        <f t="shared" si="102"/>
        <v>Bodysuit</v>
      </c>
      <c r="H884" s="38">
        <f t="shared" si="97"/>
        <v>5</v>
      </c>
      <c r="I884" s="54">
        <f t="shared" si="103"/>
        <v>22</v>
      </c>
      <c r="J884" s="14" t="str">
        <f t="shared" si="99"/>
        <v>MothersDay</v>
      </c>
      <c r="K884" s="16" t="str">
        <f t="shared" si="104"/>
        <v>3-6</v>
      </c>
      <c r="L884" s="14" t="str">
        <f t="shared" si="100"/>
        <v>Bodysuit | 3-6 | Cream</v>
      </c>
      <c r="M884" s="16" t="s">
        <v>3611</v>
      </c>
    </row>
    <row r="885" spans="1:13" ht="25" customHeight="1" x14ac:dyDescent="0.45">
      <c r="A885" s="6">
        <v>46169</v>
      </c>
      <c r="B885" s="3" t="s">
        <v>349</v>
      </c>
      <c r="C885" s="4" t="s">
        <v>202</v>
      </c>
      <c r="D885" s="53" t="str">
        <f t="shared" si="98"/>
        <v>Cream</v>
      </c>
      <c r="E885" s="4" t="s">
        <v>289</v>
      </c>
      <c r="F885" s="57"/>
      <c r="G885" s="4" t="str">
        <f t="shared" si="102"/>
        <v>Bodysuit</v>
      </c>
      <c r="H885" s="38">
        <f t="shared" si="97"/>
        <v>5</v>
      </c>
      <c r="I885" s="54">
        <f t="shared" si="103"/>
        <v>22</v>
      </c>
      <c r="J885" s="14" t="str">
        <f t="shared" si="99"/>
        <v>MothersDay</v>
      </c>
      <c r="K885" s="16" t="str">
        <f t="shared" si="104"/>
        <v>3-6</v>
      </c>
      <c r="L885" s="14" t="str">
        <f t="shared" si="100"/>
        <v>Bodysuit | 3-6 | Cream</v>
      </c>
      <c r="M885" s="16" t="s">
        <v>3611</v>
      </c>
    </row>
    <row r="886" spans="1:13" ht="25" customHeight="1" x14ac:dyDescent="0.45">
      <c r="A886" s="6">
        <v>46169</v>
      </c>
      <c r="B886" s="3" t="s">
        <v>350</v>
      </c>
      <c r="C886" s="4" t="s">
        <v>202</v>
      </c>
      <c r="D886" s="53" t="str">
        <f t="shared" si="98"/>
        <v>Cream</v>
      </c>
      <c r="E886" s="4" t="s">
        <v>292</v>
      </c>
      <c r="F886" s="4" t="s">
        <v>7</v>
      </c>
      <c r="G886" s="4" t="str">
        <f t="shared" si="102"/>
        <v>Bodysuit</v>
      </c>
      <c r="H886" s="38">
        <f t="shared" si="97"/>
        <v>5</v>
      </c>
      <c r="I886" s="54">
        <f t="shared" si="103"/>
        <v>22</v>
      </c>
      <c r="J886" s="14" t="str">
        <f t="shared" si="99"/>
        <v>MothersDay</v>
      </c>
      <c r="K886" s="16" t="str">
        <f t="shared" si="104"/>
        <v>0-3</v>
      </c>
      <c r="L886" s="14" t="str">
        <f t="shared" si="100"/>
        <v>Bodysuit | 0-3 | Cream</v>
      </c>
      <c r="M886" s="16" t="s">
        <v>3610</v>
      </c>
    </row>
    <row r="887" spans="1:13" ht="25" customHeight="1" x14ac:dyDescent="0.45">
      <c r="A887" s="6">
        <v>46170</v>
      </c>
      <c r="B887" s="3" t="s">
        <v>351</v>
      </c>
      <c r="C887" s="4" t="s">
        <v>87</v>
      </c>
      <c r="D887" s="53" t="str">
        <f t="shared" si="98"/>
        <v>Cream</v>
      </c>
      <c r="E887" s="4" t="s">
        <v>292</v>
      </c>
      <c r="F887" s="4" t="s">
        <v>7</v>
      </c>
      <c r="G887" s="4" t="str">
        <f t="shared" si="102"/>
        <v>Bodysuit</v>
      </c>
      <c r="H887" s="38">
        <f t="shared" si="97"/>
        <v>5</v>
      </c>
      <c r="I887" s="54">
        <f t="shared" si="103"/>
        <v>22</v>
      </c>
      <c r="J887" s="14" t="str">
        <f t="shared" si="99"/>
        <v>MothersDay</v>
      </c>
      <c r="K887" s="16" t="str">
        <f t="shared" si="104"/>
        <v>0-3</v>
      </c>
      <c r="L887" s="14" t="str">
        <f t="shared" si="100"/>
        <v>Bodysuit | 0-3 | Cream</v>
      </c>
      <c r="M887" s="16" t="s">
        <v>3610</v>
      </c>
    </row>
    <row r="888" spans="1:13" ht="25" customHeight="1" x14ac:dyDescent="0.45">
      <c r="A888" s="6">
        <v>46170</v>
      </c>
      <c r="B888" s="3" t="s">
        <v>352</v>
      </c>
      <c r="C888" s="4" t="s">
        <v>5</v>
      </c>
      <c r="D888" s="53" t="str">
        <f t="shared" si="98"/>
        <v>Light Blue</v>
      </c>
      <c r="E888" s="4" t="s">
        <v>289</v>
      </c>
      <c r="F888" s="57" t="s">
        <v>7</v>
      </c>
      <c r="G888" s="4" t="str">
        <f t="shared" si="102"/>
        <v>Bodysuit</v>
      </c>
      <c r="H888" s="38">
        <f t="shared" si="97"/>
        <v>5</v>
      </c>
      <c r="I888" s="54">
        <f t="shared" si="103"/>
        <v>22</v>
      </c>
      <c r="J888" s="14" t="str">
        <f t="shared" si="99"/>
        <v>MothersDay</v>
      </c>
      <c r="K888" s="16" t="str">
        <f t="shared" si="104"/>
        <v>3-6</v>
      </c>
      <c r="L888" s="14" t="str">
        <f t="shared" si="100"/>
        <v>Bodysuit | 3-6 | Light Blue</v>
      </c>
      <c r="M888" s="16" t="s">
        <v>3610</v>
      </c>
    </row>
    <row r="889" spans="1:13" ht="25" customHeight="1" x14ac:dyDescent="0.45">
      <c r="A889" s="6">
        <v>46171</v>
      </c>
      <c r="B889" s="3" t="s">
        <v>353</v>
      </c>
      <c r="C889" s="4" t="s">
        <v>87</v>
      </c>
      <c r="D889" s="53" t="str">
        <f t="shared" si="98"/>
        <v>Cream</v>
      </c>
      <c r="E889" s="4" t="s">
        <v>289</v>
      </c>
      <c r="F889" s="57"/>
      <c r="G889" s="4" t="str">
        <f t="shared" si="102"/>
        <v>Bodysuit</v>
      </c>
      <c r="H889" s="38">
        <f t="shared" si="97"/>
        <v>5</v>
      </c>
      <c r="I889" s="54">
        <f t="shared" si="103"/>
        <v>22</v>
      </c>
      <c r="J889" s="14" t="str">
        <f t="shared" si="99"/>
        <v>MothersDay</v>
      </c>
      <c r="K889" s="16" t="str">
        <f t="shared" si="104"/>
        <v>3-6</v>
      </c>
      <c r="L889" s="14" t="str">
        <f t="shared" si="100"/>
        <v>Bodysuit | 3-6 | Cream</v>
      </c>
      <c r="M889" s="16" t="s">
        <v>3611</v>
      </c>
    </row>
    <row r="890" spans="1:13" ht="25" customHeight="1" x14ac:dyDescent="0.45">
      <c r="A890" s="6">
        <v>46174</v>
      </c>
      <c r="B890" s="3" t="s">
        <v>354</v>
      </c>
      <c r="C890" s="4" t="s">
        <v>87</v>
      </c>
      <c r="D890" s="53" t="str">
        <f t="shared" si="98"/>
        <v>Cream</v>
      </c>
      <c r="E890" s="4" t="s">
        <v>292</v>
      </c>
      <c r="F890" s="4" t="s">
        <v>7</v>
      </c>
      <c r="G890" s="4" t="str">
        <f t="shared" si="102"/>
        <v>Bodysuit</v>
      </c>
      <c r="H890" s="38">
        <f t="shared" si="97"/>
        <v>6</v>
      </c>
      <c r="I890" s="54">
        <f t="shared" si="103"/>
        <v>23</v>
      </c>
      <c r="J890" s="14" t="str">
        <f t="shared" si="99"/>
        <v>FathersDay</v>
      </c>
      <c r="K890" s="16" t="str">
        <f t="shared" si="104"/>
        <v>0-3</v>
      </c>
      <c r="L890" s="14" t="str">
        <f t="shared" si="100"/>
        <v>Bodysuit | 0-3 | Cream</v>
      </c>
      <c r="M890" s="16" t="s">
        <v>3610</v>
      </c>
    </row>
    <row r="891" spans="1:13" ht="25" customHeight="1" x14ac:dyDescent="0.45">
      <c r="A891" s="6">
        <v>46174</v>
      </c>
      <c r="B891" s="3" t="s">
        <v>355</v>
      </c>
      <c r="C891" s="4" t="s">
        <v>87</v>
      </c>
      <c r="D891" s="53" t="str">
        <f t="shared" si="98"/>
        <v>Cream</v>
      </c>
      <c r="E891" s="4" t="s">
        <v>292</v>
      </c>
      <c r="F891" s="4" t="s">
        <v>7</v>
      </c>
      <c r="G891" s="4" t="str">
        <f t="shared" si="102"/>
        <v>Bodysuit</v>
      </c>
      <c r="H891" s="38">
        <f t="shared" si="97"/>
        <v>6</v>
      </c>
      <c r="I891" s="54">
        <f t="shared" si="103"/>
        <v>23</v>
      </c>
      <c r="J891" s="14" t="str">
        <f t="shared" si="99"/>
        <v>FathersDay</v>
      </c>
      <c r="K891" s="16" t="str">
        <f t="shared" si="104"/>
        <v>0-3</v>
      </c>
      <c r="L891" s="14" t="str">
        <f t="shared" si="100"/>
        <v>Bodysuit | 0-3 | Cream</v>
      </c>
      <c r="M891" s="16" t="s">
        <v>3610</v>
      </c>
    </row>
    <row r="892" spans="1:13" ht="25" customHeight="1" x14ac:dyDescent="0.45">
      <c r="A892" s="6">
        <v>46174</v>
      </c>
      <c r="B892" s="3" t="s">
        <v>356</v>
      </c>
      <c r="C892" s="4" t="s">
        <v>5</v>
      </c>
      <c r="D892" s="53" t="str">
        <f t="shared" si="98"/>
        <v>Light Blue</v>
      </c>
      <c r="E892" s="4" t="s">
        <v>289</v>
      </c>
      <c r="F892" s="57" t="s">
        <v>7</v>
      </c>
      <c r="G892" s="4" t="str">
        <f t="shared" si="102"/>
        <v>Bodysuit</v>
      </c>
      <c r="H892" s="38">
        <f t="shared" si="97"/>
        <v>6</v>
      </c>
      <c r="I892" s="54">
        <f t="shared" si="103"/>
        <v>23</v>
      </c>
      <c r="J892" s="14" t="str">
        <f t="shared" si="99"/>
        <v>FathersDay</v>
      </c>
      <c r="K892" s="16" t="str">
        <f t="shared" si="104"/>
        <v>3-6</v>
      </c>
      <c r="L892" s="14" t="str">
        <f t="shared" si="100"/>
        <v>Bodysuit | 3-6 | Light Blue</v>
      </c>
      <c r="M892" s="16" t="s">
        <v>3610</v>
      </c>
    </row>
    <row r="893" spans="1:13" ht="25" customHeight="1" x14ac:dyDescent="0.45">
      <c r="A893" s="6">
        <v>46175</v>
      </c>
      <c r="B893" s="13" t="s">
        <v>357</v>
      </c>
      <c r="C893" s="4" t="s">
        <v>5</v>
      </c>
      <c r="D893" s="53" t="str">
        <f t="shared" si="98"/>
        <v>Light Blue</v>
      </c>
      <c r="E893" s="4" t="s">
        <v>289</v>
      </c>
      <c r="F893" s="57"/>
      <c r="G893" s="4" t="str">
        <f t="shared" si="102"/>
        <v>Bodysuit</v>
      </c>
      <c r="H893" s="38">
        <f t="shared" si="97"/>
        <v>6</v>
      </c>
      <c r="I893" s="54">
        <f t="shared" si="103"/>
        <v>23</v>
      </c>
      <c r="J893" s="14" t="str">
        <f t="shared" si="99"/>
        <v>FathersDay</v>
      </c>
      <c r="K893" s="16" t="str">
        <f t="shared" si="104"/>
        <v>3-6</v>
      </c>
      <c r="L893" s="14" t="str">
        <f t="shared" si="100"/>
        <v>Bodysuit | 3-6 | Light Blue</v>
      </c>
      <c r="M893" s="16" t="s">
        <v>3610</v>
      </c>
    </row>
    <row r="894" spans="1:13" ht="25" customHeight="1" x14ac:dyDescent="0.45">
      <c r="A894" s="6">
        <v>46176</v>
      </c>
      <c r="B894" s="13" t="s">
        <v>358</v>
      </c>
      <c r="C894" s="4" t="s">
        <v>8</v>
      </c>
      <c r="D894" s="53" t="str">
        <f t="shared" si="98"/>
        <v>Light Pink</v>
      </c>
      <c r="E894" s="4" t="s">
        <v>289</v>
      </c>
      <c r="F894" s="4" t="s">
        <v>7</v>
      </c>
      <c r="G894" s="4" t="str">
        <f t="shared" si="102"/>
        <v>Bodysuit</v>
      </c>
      <c r="H894" s="38">
        <f t="shared" si="97"/>
        <v>6</v>
      </c>
      <c r="I894" s="54">
        <f t="shared" si="103"/>
        <v>23</v>
      </c>
      <c r="J894" s="14" t="str">
        <f t="shared" si="99"/>
        <v>FathersDay</v>
      </c>
      <c r="K894" s="16" t="str">
        <f t="shared" si="104"/>
        <v>3-6</v>
      </c>
      <c r="L894" s="14" t="str">
        <f t="shared" si="100"/>
        <v>Bodysuit | 3-6 | Light Pink</v>
      </c>
      <c r="M894" s="16" t="s">
        <v>3610</v>
      </c>
    </row>
    <row r="895" spans="1:13" ht="25" customHeight="1" x14ac:dyDescent="0.45">
      <c r="A895" s="6">
        <v>46176</v>
      </c>
      <c r="B895" s="13" t="s">
        <v>359</v>
      </c>
      <c r="C895" s="4" t="s">
        <v>8</v>
      </c>
      <c r="D895" s="53" t="str">
        <f t="shared" si="98"/>
        <v>Light Pink</v>
      </c>
      <c r="E895" s="4" t="s">
        <v>289</v>
      </c>
      <c r="F895" s="4" t="s">
        <v>7</v>
      </c>
      <c r="G895" s="4" t="str">
        <f t="shared" si="102"/>
        <v>Bodysuit</v>
      </c>
      <c r="H895" s="38">
        <f t="shared" si="97"/>
        <v>6</v>
      </c>
      <c r="I895" s="54">
        <f t="shared" si="103"/>
        <v>23</v>
      </c>
      <c r="J895" s="14" t="str">
        <f t="shared" si="99"/>
        <v>FathersDay</v>
      </c>
      <c r="K895" s="16" t="str">
        <f t="shared" si="104"/>
        <v>3-6</v>
      </c>
      <c r="L895" s="14" t="str">
        <f t="shared" si="100"/>
        <v>Bodysuit | 3-6 | Light Pink</v>
      </c>
      <c r="M895" s="16" t="s">
        <v>3610</v>
      </c>
    </row>
    <row r="896" spans="1:13" ht="25" customHeight="1" x14ac:dyDescent="0.45">
      <c r="A896" s="6">
        <v>46177</v>
      </c>
      <c r="B896" s="3" t="s">
        <v>360</v>
      </c>
      <c r="C896" s="4" t="s">
        <v>87</v>
      </c>
      <c r="D896" s="53" t="str">
        <f t="shared" si="98"/>
        <v>Cream</v>
      </c>
      <c r="E896" s="4" t="s">
        <v>292</v>
      </c>
      <c r="F896" s="57" t="s">
        <v>7</v>
      </c>
      <c r="G896" s="4" t="str">
        <f t="shared" si="102"/>
        <v>Bodysuit</v>
      </c>
      <c r="H896" s="38">
        <f t="shared" si="97"/>
        <v>6</v>
      </c>
      <c r="I896" s="54">
        <f t="shared" si="103"/>
        <v>23</v>
      </c>
      <c r="J896" s="14" t="str">
        <f t="shared" si="99"/>
        <v>FathersDay</v>
      </c>
      <c r="K896" s="16" t="str">
        <f t="shared" si="104"/>
        <v>0-3</v>
      </c>
      <c r="L896" s="14" t="str">
        <f t="shared" si="100"/>
        <v>Bodysuit | 0-3 | Cream</v>
      </c>
      <c r="M896" s="16" t="s">
        <v>3610</v>
      </c>
    </row>
    <row r="897" spans="1:13" ht="25" customHeight="1" x14ac:dyDescent="0.45">
      <c r="A897" s="6">
        <v>46177</v>
      </c>
      <c r="B897" s="13" t="s">
        <v>361</v>
      </c>
      <c r="C897" s="4" t="s">
        <v>5</v>
      </c>
      <c r="D897" s="53" t="str">
        <f t="shared" si="98"/>
        <v>Light Blue</v>
      </c>
      <c r="E897" s="4" t="s">
        <v>289</v>
      </c>
      <c r="F897" s="57"/>
      <c r="G897" s="4" t="str">
        <f t="shared" si="102"/>
        <v>Bodysuit</v>
      </c>
      <c r="H897" s="38">
        <f t="shared" si="97"/>
        <v>6</v>
      </c>
      <c r="I897" s="54">
        <f t="shared" si="103"/>
        <v>23</v>
      </c>
      <c r="J897" s="14" t="str">
        <f t="shared" si="99"/>
        <v>FathersDay</v>
      </c>
      <c r="K897" s="16" t="str">
        <f t="shared" si="104"/>
        <v>3-6</v>
      </c>
      <c r="L897" s="14" t="str">
        <f t="shared" si="100"/>
        <v>Bodysuit | 3-6 | Light Blue</v>
      </c>
      <c r="M897" s="16" t="s">
        <v>3610</v>
      </c>
    </row>
    <row r="898" spans="1:13" ht="25" customHeight="1" x14ac:dyDescent="0.45">
      <c r="A898" s="6">
        <v>46178</v>
      </c>
      <c r="B898" s="3" t="s">
        <v>362</v>
      </c>
      <c r="C898" s="4" t="s">
        <v>299</v>
      </c>
      <c r="D898" s="53" t="str">
        <f t="shared" si="98"/>
        <v>Light Blue</v>
      </c>
      <c r="E898" s="4" t="s">
        <v>289</v>
      </c>
      <c r="F898" s="4" t="s">
        <v>7</v>
      </c>
      <c r="G898" s="4" t="str">
        <f t="shared" si="102"/>
        <v>Bodysuit</v>
      </c>
      <c r="H898" s="38">
        <f t="shared" ref="H898:H961" si="105">MONTH(A898)</f>
        <v>6</v>
      </c>
      <c r="I898" s="54">
        <f t="shared" si="103"/>
        <v>23</v>
      </c>
      <c r="J898" s="14" t="str">
        <f t="shared" si="99"/>
        <v>FathersDay</v>
      </c>
      <c r="K898" s="16" t="str">
        <f t="shared" si="104"/>
        <v>3-6</v>
      </c>
      <c r="L898" s="14" t="str">
        <f t="shared" si="100"/>
        <v>Bodysuit | 3-6 | Light Blue</v>
      </c>
      <c r="M898" s="16" t="s">
        <v>3610</v>
      </c>
    </row>
    <row r="899" spans="1:13" ht="25" customHeight="1" x14ac:dyDescent="0.45">
      <c r="A899" s="6">
        <v>46178</v>
      </c>
      <c r="B899" s="3" t="s">
        <v>363</v>
      </c>
      <c r="C899" s="4" t="s">
        <v>87</v>
      </c>
      <c r="D899" s="53" t="str">
        <f t="shared" ref="D899:D962" si="106">PROPER(C899)</f>
        <v>Cream</v>
      </c>
      <c r="E899" s="4" t="s">
        <v>292</v>
      </c>
      <c r="F899" s="4" t="s">
        <v>7</v>
      </c>
      <c r="G899" s="4" t="str">
        <f t="shared" si="102"/>
        <v>Bodysuit</v>
      </c>
      <c r="H899" s="38">
        <f t="shared" si="105"/>
        <v>6</v>
      </c>
      <c r="I899" s="54">
        <f t="shared" si="103"/>
        <v>23</v>
      </c>
      <c r="J899" s="14" t="str">
        <f t="shared" ref="J899:J962" si="107">IF(H899=1,"NewYear",
IF(H899=2,"Valentine",
IF(OR(H899=3,H899=4),"Easter",
IF(H899=5,"MothersDay",
IF(H899=6,"FathersDay",
IF(OR(H899=7,H899=8),"Summer",
IF(H899=10,"Halloween",
IF(OR(H899=11,H899=12),"Christmas","Normal"))))))))</f>
        <v>FathersDay</v>
      </c>
      <c r="K899" s="16" t="str">
        <f t="shared" si="104"/>
        <v>0-3</v>
      </c>
      <c r="L899" s="14" t="str">
        <f t="shared" ref="L899:L962" si="108">TRIM(G899)&amp;" | "&amp;TRIM(K899)&amp;" | "&amp;PROPER(TRIM(D899))</f>
        <v>Bodysuit | 0-3 | Cream</v>
      </c>
      <c r="M899" s="16" t="s">
        <v>3610</v>
      </c>
    </row>
    <row r="900" spans="1:13" ht="25" customHeight="1" x14ac:dyDescent="0.45">
      <c r="A900" s="6">
        <v>46180</v>
      </c>
      <c r="B900" s="3" t="s">
        <v>364</v>
      </c>
      <c r="C900" s="4" t="s">
        <v>87</v>
      </c>
      <c r="D900" s="53" t="str">
        <f t="shared" si="106"/>
        <v>Cream</v>
      </c>
      <c r="E900" s="4" t="s">
        <v>292</v>
      </c>
      <c r="F900" s="57" t="s">
        <v>7</v>
      </c>
      <c r="G900" s="4" t="str">
        <f t="shared" si="102"/>
        <v>Bodysuit</v>
      </c>
      <c r="H900" s="38">
        <f t="shared" si="105"/>
        <v>6</v>
      </c>
      <c r="I900" s="54">
        <f t="shared" si="103"/>
        <v>24</v>
      </c>
      <c r="J900" s="14" t="str">
        <f t="shared" si="107"/>
        <v>FathersDay</v>
      </c>
      <c r="K900" s="16" t="str">
        <f t="shared" si="104"/>
        <v>0-3</v>
      </c>
      <c r="L900" s="14" t="str">
        <f t="shared" si="108"/>
        <v>Bodysuit | 0-3 | Cream</v>
      </c>
      <c r="M900" s="16" t="s">
        <v>3610</v>
      </c>
    </row>
    <row r="901" spans="1:13" ht="25" customHeight="1" x14ac:dyDescent="0.45">
      <c r="A901" s="6">
        <v>46180</v>
      </c>
      <c r="B901" s="3" t="s">
        <v>365</v>
      </c>
      <c r="C901" s="4" t="s">
        <v>299</v>
      </c>
      <c r="D901" s="53" t="str">
        <f t="shared" si="106"/>
        <v>Light Blue</v>
      </c>
      <c r="E901" s="4" t="s">
        <v>289</v>
      </c>
      <c r="F901" s="57"/>
      <c r="G901" s="4" t="str">
        <f t="shared" si="102"/>
        <v>Bodysuit</v>
      </c>
      <c r="H901" s="38">
        <f t="shared" si="105"/>
        <v>6</v>
      </c>
      <c r="I901" s="54">
        <f t="shared" si="103"/>
        <v>24</v>
      </c>
      <c r="J901" s="14" t="str">
        <f t="shared" si="107"/>
        <v>FathersDay</v>
      </c>
      <c r="K901" s="16" t="str">
        <f t="shared" si="104"/>
        <v>3-6</v>
      </c>
      <c r="L901" s="14" t="str">
        <f t="shared" si="108"/>
        <v>Bodysuit | 3-6 | Light Blue</v>
      </c>
      <c r="M901" s="16" t="s">
        <v>3610</v>
      </c>
    </row>
    <row r="902" spans="1:13" ht="25" customHeight="1" x14ac:dyDescent="0.45">
      <c r="A902" s="6">
        <v>46181</v>
      </c>
      <c r="B902" s="3" t="s">
        <v>366</v>
      </c>
      <c r="C902" s="4" t="s">
        <v>87</v>
      </c>
      <c r="D902" s="53" t="str">
        <f t="shared" si="106"/>
        <v>Cream</v>
      </c>
      <c r="E902" s="4" t="s">
        <v>289</v>
      </c>
      <c r="F902" s="4" t="s">
        <v>7</v>
      </c>
      <c r="G902" s="4" t="str">
        <f t="shared" si="102"/>
        <v>Bodysuit</v>
      </c>
      <c r="H902" s="38">
        <f t="shared" si="105"/>
        <v>6</v>
      </c>
      <c r="I902" s="54">
        <f t="shared" si="103"/>
        <v>24</v>
      </c>
      <c r="J902" s="14" t="str">
        <f t="shared" si="107"/>
        <v>FathersDay</v>
      </c>
      <c r="K902" s="16" t="str">
        <f t="shared" si="104"/>
        <v>3-6</v>
      </c>
      <c r="L902" s="14" t="str">
        <f t="shared" si="108"/>
        <v>Bodysuit | 3-6 | Cream</v>
      </c>
      <c r="M902" s="16" t="s">
        <v>3611</v>
      </c>
    </row>
    <row r="903" spans="1:13" ht="25" customHeight="1" x14ac:dyDescent="0.45">
      <c r="A903" s="6">
        <v>46181</v>
      </c>
      <c r="B903" s="3" t="s">
        <v>367</v>
      </c>
      <c r="C903" s="4" t="s">
        <v>87</v>
      </c>
      <c r="D903" s="53" t="str">
        <f t="shared" si="106"/>
        <v>Cream</v>
      </c>
      <c r="E903" s="4" t="s">
        <v>292</v>
      </c>
      <c r="F903" s="4" t="s">
        <v>7</v>
      </c>
      <c r="G903" s="4" t="str">
        <f t="shared" si="102"/>
        <v>Bodysuit</v>
      </c>
      <c r="H903" s="38">
        <f t="shared" si="105"/>
        <v>6</v>
      </c>
      <c r="I903" s="54">
        <f t="shared" si="103"/>
        <v>24</v>
      </c>
      <c r="J903" s="14" t="str">
        <f t="shared" si="107"/>
        <v>FathersDay</v>
      </c>
      <c r="K903" s="16" t="str">
        <f t="shared" si="104"/>
        <v>0-3</v>
      </c>
      <c r="L903" s="14" t="str">
        <f t="shared" si="108"/>
        <v>Bodysuit | 0-3 | Cream</v>
      </c>
      <c r="M903" s="16" t="s">
        <v>3610</v>
      </c>
    </row>
    <row r="904" spans="1:13" ht="25" customHeight="1" x14ac:dyDescent="0.45">
      <c r="A904" s="6">
        <v>46181</v>
      </c>
      <c r="B904" s="3" t="s">
        <v>368</v>
      </c>
      <c r="C904" s="4" t="s">
        <v>87</v>
      </c>
      <c r="D904" s="53" t="str">
        <f t="shared" si="106"/>
        <v>Cream</v>
      </c>
      <c r="E904" s="4" t="s">
        <v>289</v>
      </c>
      <c r="F904" s="57" t="s">
        <v>7</v>
      </c>
      <c r="G904" s="4" t="str">
        <f t="shared" si="102"/>
        <v>Bodysuit</v>
      </c>
      <c r="H904" s="38">
        <f t="shared" si="105"/>
        <v>6</v>
      </c>
      <c r="I904" s="54">
        <f t="shared" si="103"/>
        <v>24</v>
      </c>
      <c r="J904" s="14" t="str">
        <f t="shared" si="107"/>
        <v>FathersDay</v>
      </c>
      <c r="K904" s="16" t="str">
        <f t="shared" si="104"/>
        <v>3-6</v>
      </c>
      <c r="L904" s="14" t="str">
        <f t="shared" si="108"/>
        <v>Bodysuit | 3-6 | Cream</v>
      </c>
      <c r="M904" s="16" t="s">
        <v>3611</v>
      </c>
    </row>
    <row r="905" spans="1:13" ht="25" customHeight="1" x14ac:dyDescent="0.45">
      <c r="A905" s="6">
        <v>46182</v>
      </c>
      <c r="B905" s="3" t="s">
        <v>369</v>
      </c>
      <c r="C905" s="4" t="s">
        <v>87</v>
      </c>
      <c r="D905" s="53" t="str">
        <f t="shared" si="106"/>
        <v>Cream</v>
      </c>
      <c r="E905" s="4" t="s">
        <v>289</v>
      </c>
      <c r="F905" s="57"/>
      <c r="G905" s="4" t="str">
        <f t="shared" si="102"/>
        <v>Bodysuit</v>
      </c>
      <c r="H905" s="38">
        <f t="shared" si="105"/>
        <v>6</v>
      </c>
      <c r="I905" s="54">
        <f t="shared" si="103"/>
        <v>24</v>
      </c>
      <c r="J905" s="14" t="str">
        <f t="shared" si="107"/>
        <v>FathersDay</v>
      </c>
      <c r="K905" s="16" t="str">
        <f t="shared" si="104"/>
        <v>3-6</v>
      </c>
      <c r="L905" s="14" t="str">
        <f t="shared" si="108"/>
        <v>Bodysuit | 3-6 | Cream</v>
      </c>
      <c r="M905" s="16" t="s">
        <v>3611</v>
      </c>
    </row>
    <row r="906" spans="1:13" ht="25" customHeight="1" x14ac:dyDescent="0.45">
      <c r="A906" s="6">
        <v>46182</v>
      </c>
      <c r="B906" s="3" t="s">
        <v>370</v>
      </c>
      <c r="C906" s="4" t="s">
        <v>299</v>
      </c>
      <c r="D906" s="53" t="str">
        <f t="shared" si="106"/>
        <v>Light Blue</v>
      </c>
      <c r="E906" s="4" t="s">
        <v>289</v>
      </c>
      <c r="F906" s="4" t="s">
        <v>7</v>
      </c>
      <c r="G906" s="4" t="str">
        <f t="shared" si="102"/>
        <v>Bodysuit</v>
      </c>
      <c r="H906" s="38">
        <f t="shared" si="105"/>
        <v>6</v>
      </c>
      <c r="I906" s="54">
        <f t="shared" si="103"/>
        <v>24</v>
      </c>
      <c r="J906" s="14" t="str">
        <f t="shared" si="107"/>
        <v>FathersDay</v>
      </c>
      <c r="K906" s="16" t="str">
        <f t="shared" ref="K906:K915" si="109">TRIM(LEFT(E906,FIND("(",E906&amp;"(")-7))</f>
        <v>3-6</v>
      </c>
      <c r="L906" s="14" t="str">
        <f t="shared" si="108"/>
        <v>Bodysuit | 3-6 | Light Blue</v>
      </c>
      <c r="M906" s="16" t="s">
        <v>3610</v>
      </c>
    </row>
    <row r="907" spans="1:13" ht="25" customHeight="1" x14ac:dyDescent="0.45">
      <c r="A907" s="6">
        <v>46183</v>
      </c>
      <c r="B907" s="3" t="s">
        <v>371</v>
      </c>
      <c r="C907" s="4" t="s">
        <v>299</v>
      </c>
      <c r="D907" s="53" t="str">
        <f t="shared" si="106"/>
        <v>Light Blue</v>
      </c>
      <c r="E907" s="4" t="s">
        <v>292</v>
      </c>
      <c r="F907" s="4" t="s">
        <v>7</v>
      </c>
      <c r="G907" s="4" t="str">
        <f t="shared" si="102"/>
        <v>Bodysuit</v>
      </c>
      <c r="H907" s="38">
        <f t="shared" si="105"/>
        <v>6</v>
      </c>
      <c r="I907" s="54">
        <f t="shared" si="103"/>
        <v>24</v>
      </c>
      <c r="J907" s="14" t="str">
        <f t="shared" si="107"/>
        <v>FathersDay</v>
      </c>
      <c r="K907" s="16" t="str">
        <f t="shared" si="109"/>
        <v>0-3</v>
      </c>
      <c r="L907" s="14" t="str">
        <f t="shared" si="108"/>
        <v>Bodysuit | 0-3 | Light Blue</v>
      </c>
      <c r="M907" s="16" t="s">
        <v>3610</v>
      </c>
    </row>
    <row r="908" spans="1:13" ht="25" customHeight="1" x14ac:dyDescent="0.45">
      <c r="A908" s="6">
        <v>46184</v>
      </c>
      <c r="B908" s="3" t="s">
        <v>372</v>
      </c>
      <c r="C908" s="4" t="s">
        <v>87</v>
      </c>
      <c r="D908" s="53" t="str">
        <f t="shared" si="106"/>
        <v>Cream</v>
      </c>
      <c r="E908" s="4" t="s">
        <v>292</v>
      </c>
      <c r="F908" s="57" t="s">
        <v>7</v>
      </c>
      <c r="G908" s="4" t="str">
        <f t="shared" si="102"/>
        <v>Bodysuit</v>
      </c>
      <c r="H908" s="38">
        <f t="shared" si="105"/>
        <v>6</v>
      </c>
      <c r="I908" s="54">
        <f t="shared" si="103"/>
        <v>24</v>
      </c>
      <c r="J908" s="14" t="str">
        <f t="shared" si="107"/>
        <v>FathersDay</v>
      </c>
      <c r="K908" s="16" t="str">
        <f t="shared" si="109"/>
        <v>0-3</v>
      </c>
      <c r="L908" s="14" t="str">
        <f t="shared" si="108"/>
        <v>Bodysuit | 0-3 | Cream</v>
      </c>
      <c r="M908" s="16" t="s">
        <v>3610</v>
      </c>
    </row>
    <row r="909" spans="1:13" ht="25" customHeight="1" x14ac:dyDescent="0.45">
      <c r="A909" s="6">
        <v>46186</v>
      </c>
      <c r="B909" s="3" t="s">
        <v>373</v>
      </c>
      <c r="C909" s="4" t="s">
        <v>8</v>
      </c>
      <c r="D909" s="53" t="str">
        <f t="shared" si="106"/>
        <v>Light Pink</v>
      </c>
      <c r="E909" s="4" t="s">
        <v>289</v>
      </c>
      <c r="F909" s="57"/>
      <c r="G909" s="4" t="str">
        <f t="shared" si="102"/>
        <v>Bodysuit</v>
      </c>
      <c r="H909" s="38">
        <f t="shared" si="105"/>
        <v>6</v>
      </c>
      <c r="I909" s="54">
        <f t="shared" si="103"/>
        <v>24</v>
      </c>
      <c r="J909" s="14" t="str">
        <f t="shared" si="107"/>
        <v>FathersDay</v>
      </c>
      <c r="K909" s="16" t="str">
        <f t="shared" si="109"/>
        <v>3-6</v>
      </c>
      <c r="L909" s="14" t="str">
        <f t="shared" si="108"/>
        <v>Bodysuit | 3-6 | Light Pink</v>
      </c>
      <c r="M909" s="16" t="s">
        <v>3610</v>
      </c>
    </row>
    <row r="910" spans="1:13" ht="25" customHeight="1" x14ac:dyDescent="0.45">
      <c r="A910" s="6">
        <v>46187</v>
      </c>
      <c r="B910" s="3" t="s">
        <v>374</v>
      </c>
      <c r="C910" s="4" t="s">
        <v>87</v>
      </c>
      <c r="D910" s="53" t="str">
        <f t="shared" si="106"/>
        <v>Cream</v>
      </c>
      <c r="E910" s="4" t="s">
        <v>289</v>
      </c>
      <c r="F910" s="4" t="s">
        <v>7</v>
      </c>
      <c r="G910" s="4" t="str">
        <f t="shared" si="102"/>
        <v>Bodysuit</v>
      </c>
      <c r="H910" s="38">
        <f t="shared" si="105"/>
        <v>6</v>
      </c>
      <c r="I910" s="54">
        <f t="shared" si="103"/>
        <v>25</v>
      </c>
      <c r="J910" s="14" t="str">
        <f t="shared" si="107"/>
        <v>FathersDay</v>
      </c>
      <c r="K910" s="16" t="str">
        <f t="shared" si="109"/>
        <v>3-6</v>
      </c>
      <c r="L910" s="14" t="str">
        <f t="shared" si="108"/>
        <v>Bodysuit | 3-6 | Cream</v>
      </c>
      <c r="M910" s="16" t="s">
        <v>3611</v>
      </c>
    </row>
    <row r="911" spans="1:13" ht="25" customHeight="1" x14ac:dyDescent="0.45">
      <c r="A911" s="6">
        <v>46188</v>
      </c>
      <c r="B911" s="3" t="s">
        <v>375</v>
      </c>
      <c r="C911" s="4" t="s">
        <v>9</v>
      </c>
      <c r="D911" s="53" t="str">
        <f t="shared" si="106"/>
        <v>Cream</v>
      </c>
      <c r="E911" s="4" t="s">
        <v>292</v>
      </c>
      <c r="F911" s="4" t="s">
        <v>7</v>
      </c>
      <c r="G911" s="4" t="str">
        <f t="shared" si="102"/>
        <v>Bodysuit</v>
      </c>
      <c r="H911" s="38">
        <f t="shared" si="105"/>
        <v>6</v>
      </c>
      <c r="I911" s="54">
        <f t="shared" si="103"/>
        <v>25</v>
      </c>
      <c r="J911" s="14" t="str">
        <f t="shared" si="107"/>
        <v>FathersDay</v>
      </c>
      <c r="K911" s="16" t="str">
        <f t="shared" si="109"/>
        <v>0-3</v>
      </c>
      <c r="L911" s="14" t="str">
        <f t="shared" si="108"/>
        <v>Bodysuit | 0-3 | Cream</v>
      </c>
      <c r="M911" s="16" t="s">
        <v>3610</v>
      </c>
    </row>
    <row r="912" spans="1:13" ht="25" customHeight="1" x14ac:dyDescent="0.45">
      <c r="A912" s="6">
        <v>46188</v>
      </c>
      <c r="B912" s="3" t="s">
        <v>376</v>
      </c>
      <c r="C912" s="4" t="s">
        <v>9</v>
      </c>
      <c r="D912" s="53" t="str">
        <f t="shared" si="106"/>
        <v>Cream</v>
      </c>
      <c r="E912" s="4" t="s">
        <v>289</v>
      </c>
      <c r="F912" s="57" t="s">
        <v>7</v>
      </c>
      <c r="G912" s="4" t="str">
        <f t="shared" ref="G912:G975" si="110">IF(ISNUMBER(SEARCH("LONG",E912)),"Romper Longer",IF(ISNUMBER(SEARCH("SHORT",E912)),"Romper Short","Bodysuit"))</f>
        <v>Bodysuit</v>
      </c>
      <c r="H912" s="38">
        <f t="shared" si="105"/>
        <v>6</v>
      </c>
      <c r="I912" s="54">
        <f t="shared" si="103"/>
        <v>25</v>
      </c>
      <c r="J912" s="14" t="str">
        <f t="shared" si="107"/>
        <v>FathersDay</v>
      </c>
      <c r="K912" s="16" t="str">
        <f t="shared" si="109"/>
        <v>3-6</v>
      </c>
      <c r="L912" s="14" t="str">
        <f t="shared" si="108"/>
        <v>Bodysuit | 3-6 | Cream</v>
      </c>
      <c r="M912" s="16" t="s">
        <v>3611</v>
      </c>
    </row>
    <row r="913" spans="1:13" ht="25" customHeight="1" x14ac:dyDescent="0.45">
      <c r="A913" s="6">
        <v>46188</v>
      </c>
      <c r="B913" s="3" t="s">
        <v>377</v>
      </c>
      <c r="C913" s="4" t="s">
        <v>5</v>
      </c>
      <c r="D913" s="53" t="str">
        <f t="shared" si="106"/>
        <v>Light Blue</v>
      </c>
      <c r="E913" s="4" t="s">
        <v>292</v>
      </c>
      <c r="F913" s="57"/>
      <c r="G913" s="4" t="str">
        <f t="shared" si="110"/>
        <v>Bodysuit</v>
      </c>
      <c r="H913" s="38">
        <f t="shared" si="105"/>
        <v>6</v>
      </c>
      <c r="I913" s="54">
        <f t="shared" si="103"/>
        <v>25</v>
      </c>
      <c r="J913" s="14" t="str">
        <f t="shared" si="107"/>
        <v>FathersDay</v>
      </c>
      <c r="K913" s="16" t="str">
        <f t="shared" si="109"/>
        <v>0-3</v>
      </c>
      <c r="L913" s="14" t="str">
        <f t="shared" si="108"/>
        <v>Bodysuit | 0-3 | Light Blue</v>
      </c>
      <c r="M913" s="16" t="s">
        <v>3610</v>
      </c>
    </row>
    <row r="914" spans="1:13" ht="25" customHeight="1" x14ac:dyDescent="0.45">
      <c r="A914" s="6">
        <v>46188</v>
      </c>
      <c r="B914" s="3" t="s">
        <v>378</v>
      </c>
      <c r="C914" s="4" t="s">
        <v>87</v>
      </c>
      <c r="D914" s="53" t="str">
        <f t="shared" si="106"/>
        <v>Cream</v>
      </c>
      <c r="E914" s="4" t="s">
        <v>289</v>
      </c>
      <c r="F914" s="57" t="s">
        <v>7</v>
      </c>
      <c r="G914" s="4" t="str">
        <f t="shared" si="110"/>
        <v>Bodysuit</v>
      </c>
      <c r="H914" s="38">
        <f t="shared" si="105"/>
        <v>6</v>
      </c>
      <c r="I914" s="54">
        <f t="shared" si="103"/>
        <v>25</v>
      </c>
      <c r="J914" s="14" t="str">
        <f t="shared" si="107"/>
        <v>FathersDay</v>
      </c>
      <c r="K914" s="16" t="str">
        <f t="shared" si="109"/>
        <v>3-6</v>
      </c>
      <c r="L914" s="14" t="str">
        <f t="shared" si="108"/>
        <v>Bodysuit | 3-6 | Cream</v>
      </c>
      <c r="M914" s="16" t="s">
        <v>3611</v>
      </c>
    </row>
    <row r="915" spans="1:13" ht="25" customHeight="1" x14ac:dyDescent="0.45">
      <c r="A915" s="6">
        <v>46188</v>
      </c>
      <c r="B915" s="3" t="s">
        <v>379</v>
      </c>
      <c r="C915" s="4" t="s">
        <v>8</v>
      </c>
      <c r="D915" s="53" t="str">
        <f t="shared" si="106"/>
        <v>Light Pink</v>
      </c>
      <c r="E915" s="4" t="s">
        <v>289</v>
      </c>
      <c r="F915" s="57"/>
      <c r="G915" s="4" t="str">
        <f t="shared" si="110"/>
        <v>Bodysuit</v>
      </c>
      <c r="H915" s="38">
        <f t="shared" si="105"/>
        <v>6</v>
      </c>
      <c r="I915" s="54">
        <f t="shared" si="103"/>
        <v>25</v>
      </c>
      <c r="J915" s="14" t="str">
        <f t="shared" si="107"/>
        <v>FathersDay</v>
      </c>
      <c r="K915" s="16" t="str">
        <f t="shared" si="109"/>
        <v>3-6</v>
      </c>
      <c r="L915" s="14" t="str">
        <f t="shared" si="108"/>
        <v>Bodysuit | 3-6 | Light Pink</v>
      </c>
      <c r="M915" s="16" t="s">
        <v>3610</v>
      </c>
    </row>
    <row r="916" spans="1:13" ht="25" customHeight="1" x14ac:dyDescent="0.45">
      <c r="A916" s="7">
        <v>46073</v>
      </c>
      <c r="B916" s="3" t="s">
        <v>469</v>
      </c>
      <c r="C916" s="4" t="s">
        <v>470</v>
      </c>
      <c r="D916" s="53" t="str">
        <f t="shared" si="106"/>
        <v>Caldet Blue</v>
      </c>
      <c r="E916" s="4" t="s">
        <v>471</v>
      </c>
      <c r="F916" s="5" t="s">
        <v>7</v>
      </c>
      <c r="G916" s="4" t="str">
        <f t="shared" si="110"/>
        <v>Romper Short</v>
      </c>
      <c r="H916" s="38">
        <f t="shared" si="105"/>
        <v>2</v>
      </c>
      <c r="I916" s="54">
        <f t="shared" si="103"/>
        <v>8</v>
      </c>
      <c r="J916" s="14" t="str">
        <f t="shared" si="107"/>
        <v>Valentine</v>
      </c>
      <c r="K916" s="16" t="str">
        <f t="shared" ref="K916:K979" si="111">TRIM(LEFT(E916,FIND("(",E916&amp;"(")-2))</f>
        <v>6-12</v>
      </c>
      <c r="L916" s="14" t="str">
        <f t="shared" si="108"/>
        <v>Romper Short | 6-12 | Caldet Blue</v>
      </c>
      <c r="M916" s="16" t="s">
        <v>3610</v>
      </c>
    </row>
    <row r="917" spans="1:13" ht="25" customHeight="1" x14ac:dyDescent="0.45">
      <c r="A917" s="7">
        <v>46077</v>
      </c>
      <c r="B917" s="3" t="s">
        <v>472</v>
      </c>
      <c r="C917" s="4" t="s">
        <v>473</v>
      </c>
      <c r="D917" s="53" t="str">
        <f t="shared" si="106"/>
        <v>Salmon</v>
      </c>
      <c r="E917" s="4" t="s">
        <v>474</v>
      </c>
      <c r="F917" s="5" t="s">
        <v>7</v>
      </c>
      <c r="G917" s="4" t="str">
        <f t="shared" si="110"/>
        <v>Romper Longer</v>
      </c>
      <c r="H917" s="38">
        <f t="shared" si="105"/>
        <v>2</v>
      </c>
      <c r="I917" s="54">
        <f t="shared" si="103"/>
        <v>9</v>
      </c>
      <c r="J917" s="14" t="str">
        <f t="shared" si="107"/>
        <v>Valentine</v>
      </c>
      <c r="K917" s="16" t="str">
        <f t="shared" si="111"/>
        <v>3-6</v>
      </c>
      <c r="L917" s="14" t="str">
        <f t="shared" si="108"/>
        <v>Romper Longer | 3-6 | Salmon</v>
      </c>
      <c r="M917" s="16" t="s">
        <v>3610</v>
      </c>
    </row>
    <row r="918" spans="1:13" ht="25" customHeight="1" x14ac:dyDescent="0.45">
      <c r="A918" s="7">
        <v>46079</v>
      </c>
      <c r="B918" s="3" t="s">
        <v>472</v>
      </c>
      <c r="C918" s="4" t="s">
        <v>87</v>
      </c>
      <c r="D918" s="53" t="str">
        <f t="shared" si="106"/>
        <v>Cream</v>
      </c>
      <c r="E918" s="4" t="s">
        <v>475</v>
      </c>
      <c r="F918" s="5" t="s">
        <v>7</v>
      </c>
      <c r="G918" s="4" t="str">
        <f t="shared" si="110"/>
        <v>Romper Short</v>
      </c>
      <c r="H918" s="38">
        <f t="shared" si="105"/>
        <v>2</v>
      </c>
      <c r="I918" s="54">
        <f t="shared" si="103"/>
        <v>9</v>
      </c>
      <c r="J918" s="14" t="str">
        <f t="shared" si="107"/>
        <v>Valentine</v>
      </c>
      <c r="K918" s="16" t="str">
        <f t="shared" si="111"/>
        <v>12-18</v>
      </c>
      <c r="L918" s="14" t="str">
        <f t="shared" si="108"/>
        <v>Romper Short | 12-18 | Cream</v>
      </c>
      <c r="M918" s="16" t="s">
        <v>3610</v>
      </c>
    </row>
    <row r="919" spans="1:13" ht="25" customHeight="1" x14ac:dyDescent="0.45">
      <c r="A919" s="7">
        <v>46091</v>
      </c>
      <c r="B919" s="3" t="s">
        <v>476</v>
      </c>
      <c r="C919" s="4" t="s">
        <v>87</v>
      </c>
      <c r="D919" s="53" t="str">
        <f t="shared" si="106"/>
        <v>Cream</v>
      </c>
      <c r="E919" s="4" t="s">
        <v>477</v>
      </c>
      <c r="F919" s="5" t="s">
        <v>7</v>
      </c>
      <c r="G919" s="4" t="str">
        <f t="shared" si="110"/>
        <v>Romper Short</v>
      </c>
      <c r="H919" s="38">
        <f t="shared" si="105"/>
        <v>3</v>
      </c>
      <c r="I919" s="54">
        <f t="shared" si="103"/>
        <v>11</v>
      </c>
      <c r="J919" s="14" t="str">
        <f t="shared" si="107"/>
        <v>Easter</v>
      </c>
      <c r="K919" s="16" t="str">
        <f t="shared" si="111"/>
        <v>0-3</v>
      </c>
      <c r="L919" s="14" t="str">
        <f t="shared" si="108"/>
        <v>Romper Short | 0-3 | Cream</v>
      </c>
      <c r="M919" s="16" t="s">
        <v>3609</v>
      </c>
    </row>
    <row r="920" spans="1:13" ht="25" customHeight="1" x14ac:dyDescent="0.45">
      <c r="A920" s="7">
        <v>46093</v>
      </c>
      <c r="B920" s="3" t="s">
        <v>478</v>
      </c>
      <c r="C920" s="4" t="s">
        <v>470</v>
      </c>
      <c r="D920" s="53" t="str">
        <f t="shared" si="106"/>
        <v>Caldet Blue</v>
      </c>
      <c r="E920" s="4" t="s">
        <v>479</v>
      </c>
      <c r="F920" s="5" t="s">
        <v>7</v>
      </c>
      <c r="G920" s="4" t="str">
        <f t="shared" si="110"/>
        <v>Romper Longer</v>
      </c>
      <c r="H920" s="38">
        <f t="shared" si="105"/>
        <v>3</v>
      </c>
      <c r="I920" s="54">
        <f t="shared" si="103"/>
        <v>11</v>
      </c>
      <c r="J920" s="14" t="str">
        <f t="shared" si="107"/>
        <v>Easter</v>
      </c>
      <c r="K920" s="16" t="str">
        <f t="shared" si="111"/>
        <v>6-12</v>
      </c>
      <c r="L920" s="14" t="str">
        <f t="shared" si="108"/>
        <v>Romper Longer | 6-12 | Caldet Blue</v>
      </c>
      <c r="M920" s="16" t="s">
        <v>3610</v>
      </c>
    </row>
    <row r="921" spans="1:13" ht="25" customHeight="1" x14ac:dyDescent="0.45">
      <c r="A921" s="7">
        <v>46105</v>
      </c>
      <c r="B921" s="3" t="s">
        <v>480</v>
      </c>
      <c r="C921" s="4" t="s">
        <v>114</v>
      </c>
      <c r="D921" s="53" t="str">
        <f t="shared" si="106"/>
        <v>White</v>
      </c>
      <c r="E921" s="4" t="s">
        <v>477</v>
      </c>
      <c r="F921" s="5" t="s">
        <v>7</v>
      </c>
      <c r="G921" s="4" t="str">
        <f t="shared" si="110"/>
        <v>Romper Short</v>
      </c>
      <c r="H921" s="38">
        <f t="shared" si="105"/>
        <v>3</v>
      </c>
      <c r="I921" s="54">
        <f t="shared" si="103"/>
        <v>13</v>
      </c>
      <c r="J921" s="14" t="str">
        <f t="shared" si="107"/>
        <v>Easter</v>
      </c>
      <c r="K921" s="16" t="str">
        <f t="shared" si="111"/>
        <v>0-3</v>
      </c>
      <c r="L921" s="14" t="str">
        <f t="shared" si="108"/>
        <v>Romper Short | 0-3 | White</v>
      </c>
      <c r="M921" s="16" t="s">
        <v>3610</v>
      </c>
    </row>
    <row r="922" spans="1:13" ht="25" customHeight="1" x14ac:dyDescent="0.45">
      <c r="A922" s="7">
        <v>46110</v>
      </c>
      <c r="B922" s="59" t="s">
        <v>481</v>
      </c>
      <c r="C922" s="4" t="s">
        <v>470</v>
      </c>
      <c r="D922" s="53" t="str">
        <f t="shared" si="106"/>
        <v>Caldet Blue</v>
      </c>
      <c r="E922" s="4" t="s">
        <v>482</v>
      </c>
      <c r="F922" s="58" t="s">
        <v>7</v>
      </c>
      <c r="G922" s="4" t="str">
        <f t="shared" si="110"/>
        <v>Romper Short</v>
      </c>
      <c r="H922" s="38">
        <f t="shared" si="105"/>
        <v>3</v>
      </c>
      <c r="I922" s="54">
        <f t="shared" si="103"/>
        <v>14</v>
      </c>
      <c r="J922" s="14" t="str">
        <f t="shared" si="107"/>
        <v>Easter</v>
      </c>
      <c r="K922" s="16" t="str">
        <f t="shared" si="111"/>
        <v>0-3</v>
      </c>
      <c r="L922" s="14" t="str">
        <f t="shared" si="108"/>
        <v>Romper Short | 0-3 | Caldet Blue</v>
      </c>
      <c r="M922" s="16" t="s">
        <v>3610</v>
      </c>
    </row>
    <row r="923" spans="1:13" ht="25" customHeight="1" x14ac:dyDescent="0.45">
      <c r="A923" s="7">
        <v>46110</v>
      </c>
      <c r="B923" s="57"/>
      <c r="C923" s="4" t="s">
        <v>483</v>
      </c>
      <c r="D923" s="53" t="str">
        <f t="shared" si="106"/>
        <v>Forest Green</v>
      </c>
      <c r="E923" s="4" t="s">
        <v>477</v>
      </c>
      <c r="F923" s="58"/>
      <c r="G923" s="4" t="str">
        <f t="shared" si="110"/>
        <v>Romper Short</v>
      </c>
      <c r="H923" s="38">
        <f t="shared" si="105"/>
        <v>3</v>
      </c>
      <c r="I923" s="54">
        <f t="shared" si="103"/>
        <v>14</v>
      </c>
      <c r="J923" s="14" t="str">
        <f t="shared" si="107"/>
        <v>Easter</v>
      </c>
      <c r="K923" s="16" t="str">
        <f t="shared" si="111"/>
        <v>0-3</v>
      </c>
      <c r="L923" s="14" t="str">
        <f t="shared" si="108"/>
        <v>Romper Short | 0-3 | Forest Green</v>
      </c>
      <c r="M923" s="16" t="s">
        <v>3610</v>
      </c>
    </row>
    <row r="924" spans="1:13" ht="25" customHeight="1" x14ac:dyDescent="0.45">
      <c r="A924" s="7">
        <v>46110</v>
      </c>
      <c r="B924" s="3" t="s">
        <v>484</v>
      </c>
      <c r="C924" s="4" t="s">
        <v>470</v>
      </c>
      <c r="D924" s="53" t="str">
        <f t="shared" si="106"/>
        <v>Caldet Blue</v>
      </c>
      <c r="E924" s="4" t="s">
        <v>485</v>
      </c>
      <c r="F924" s="4" t="s">
        <v>7</v>
      </c>
      <c r="G924" s="4" t="str">
        <f t="shared" si="110"/>
        <v>Romper Short</v>
      </c>
      <c r="H924" s="38">
        <f t="shared" si="105"/>
        <v>3</v>
      </c>
      <c r="I924" s="54">
        <f t="shared" si="103"/>
        <v>14</v>
      </c>
      <c r="J924" s="14" t="str">
        <f t="shared" si="107"/>
        <v>Easter</v>
      </c>
      <c r="K924" s="16" t="str">
        <f t="shared" si="111"/>
        <v>3-6</v>
      </c>
      <c r="L924" s="14" t="str">
        <f t="shared" si="108"/>
        <v>Romper Short | 3-6 | Caldet Blue</v>
      </c>
      <c r="M924" s="16" t="s">
        <v>3610</v>
      </c>
    </row>
    <row r="925" spans="1:13" ht="25" customHeight="1" x14ac:dyDescent="0.45">
      <c r="A925" s="7">
        <v>46111</v>
      </c>
      <c r="B925" s="3" t="s">
        <v>486</v>
      </c>
      <c r="C925" s="4" t="s">
        <v>114</v>
      </c>
      <c r="D925" s="53" t="str">
        <f t="shared" si="106"/>
        <v>White</v>
      </c>
      <c r="E925" s="4" t="s">
        <v>485</v>
      </c>
      <c r="F925" s="4" t="s">
        <v>7</v>
      </c>
      <c r="G925" s="4" t="str">
        <f t="shared" si="110"/>
        <v>Romper Short</v>
      </c>
      <c r="H925" s="38">
        <f t="shared" si="105"/>
        <v>3</v>
      </c>
      <c r="I925" s="54">
        <f t="shared" si="103"/>
        <v>14</v>
      </c>
      <c r="J925" s="14" t="str">
        <f t="shared" si="107"/>
        <v>Easter</v>
      </c>
      <c r="K925" s="16" t="str">
        <f t="shared" si="111"/>
        <v>3-6</v>
      </c>
      <c r="L925" s="14" t="str">
        <f t="shared" si="108"/>
        <v>Romper Short | 3-6 | White</v>
      </c>
      <c r="M925" s="16" t="s">
        <v>3610</v>
      </c>
    </row>
    <row r="926" spans="1:13" ht="25" customHeight="1" x14ac:dyDescent="0.45">
      <c r="A926" s="7">
        <v>46113</v>
      </c>
      <c r="B926" s="3" t="s">
        <v>487</v>
      </c>
      <c r="C926" s="4" t="s">
        <v>488</v>
      </c>
      <c r="D926" s="53" t="str">
        <f t="shared" si="106"/>
        <v xml:space="preserve"> Cream</v>
      </c>
      <c r="E926" s="4" t="s">
        <v>474</v>
      </c>
      <c r="F926" s="5" t="s">
        <v>7</v>
      </c>
      <c r="G926" s="4" t="str">
        <f t="shared" si="110"/>
        <v>Romper Longer</v>
      </c>
      <c r="H926" s="38">
        <f t="shared" si="105"/>
        <v>4</v>
      </c>
      <c r="I926" s="54">
        <f t="shared" si="103"/>
        <v>14</v>
      </c>
      <c r="J926" s="14" t="str">
        <f t="shared" si="107"/>
        <v>Easter</v>
      </c>
      <c r="K926" s="16" t="str">
        <f t="shared" si="111"/>
        <v>3-6</v>
      </c>
      <c r="L926" s="14" t="str">
        <f t="shared" si="108"/>
        <v>Romper Longer | 3-6 | Cream</v>
      </c>
      <c r="M926" s="16" t="s">
        <v>3609</v>
      </c>
    </row>
    <row r="927" spans="1:13" ht="25" customHeight="1" x14ac:dyDescent="0.45">
      <c r="A927" s="7">
        <v>46114</v>
      </c>
      <c r="B927" s="3" t="s">
        <v>489</v>
      </c>
      <c r="C927" s="4" t="s">
        <v>87</v>
      </c>
      <c r="D927" s="53" t="str">
        <f t="shared" si="106"/>
        <v>Cream</v>
      </c>
      <c r="E927" s="4" t="s">
        <v>490</v>
      </c>
      <c r="F927" s="5" t="s">
        <v>7</v>
      </c>
      <c r="G927" s="4" t="str">
        <f t="shared" si="110"/>
        <v>Romper Longer</v>
      </c>
      <c r="H927" s="38">
        <f t="shared" si="105"/>
        <v>4</v>
      </c>
      <c r="I927" s="54">
        <f t="shared" si="103"/>
        <v>14</v>
      </c>
      <c r="J927" s="14" t="str">
        <f t="shared" si="107"/>
        <v>Easter</v>
      </c>
      <c r="K927" s="16" t="str">
        <f t="shared" si="111"/>
        <v>0-3</v>
      </c>
      <c r="L927" s="14" t="str">
        <f t="shared" si="108"/>
        <v>Romper Longer | 0-3 | Cream</v>
      </c>
      <c r="M927" s="16" t="s">
        <v>3609</v>
      </c>
    </row>
    <row r="928" spans="1:13" ht="25" customHeight="1" x14ac:dyDescent="0.45">
      <c r="A928" s="7">
        <v>46115</v>
      </c>
      <c r="B928" s="3" t="s">
        <v>491</v>
      </c>
      <c r="C928" s="4" t="s">
        <v>87</v>
      </c>
      <c r="D928" s="53" t="str">
        <f t="shared" si="106"/>
        <v>Cream</v>
      </c>
      <c r="E928" s="4" t="s">
        <v>490</v>
      </c>
      <c r="F928" s="5" t="s">
        <v>7</v>
      </c>
      <c r="G928" s="4" t="str">
        <f t="shared" si="110"/>
        <v>Romper Longer</v>
      </c>
      <c r="H928" s="38">
        <f t="shared" si="105"/>
        <v>4</v>
      </c>
      <c r="I928" s="54">
        <f t="shared" si="103"/>
        <v>14</v>
      </c>
      <c r="J928" s="14" t="str">
        <f t="shared" si="107"/>
        <v>Easter</v>
      </c>
      <c r="K928" s="16" t="str">
        <f t="shared" si="111"/>
        <v>0-3</v>
      </c>
      <c r="L928" s="14" t="str">
        <f t="shared" si="108"/>
        <v>Romper Longer | 0-3 | Cream</v>
      </c>
      <c r="M928" s="16" t="s">
        <v>3609</v>
      </c>
    </row>
    <row r="929" spans="1:13" ht="25" customHeight="1" x14ac:dyDescent="0.45">
      <c r="A929" s="7">
        <v>46116</v>
      </c>
      <c r="B929" s="3" t="s">
        <v>492</v>
      </c>
      <c r="C929" s="4" t="s">
        <v>493</v>
      </c>
      <c r="D929" s="53" t="str">
        <f t="shared" si="106"/>
        <v>Texas Orange</v>
      </c>
      <c r="E929" s="4" t="s">
        <v>490</v>
      </c>
      <c r="F929" s="58" t="s">
        <v>7</v>
      </c>
      <c r="G929" s="4" t="str">
        <f t="shared" si="110"/>
        <v>Romper Longer</v>
      </c>
      <c r="H929" s="38">
        <f t="shared" si="105"/>
        <v>4</v>
      </c>
      <c r="I929" s="54">
        <f t="shared" si="103"/>
        <v>14</v>
      </c>
      <c r="J929" s="14" t="str">
        <f t="shared" si="107"/>
        <v>Easter</v>
      </c>
      <c r="K929" s="16" t="str">
        <f t="shared" si="111"/>
        <v>0-3</v>
      </c>
      <c r="L929" s="14" t="str">
        <f t="shared" si="108"/>
        <v>Romper Longer | 0-3 | Texas Orange</v>
      </c>
      <c r="M929" s="16" t="s">
        <v>3610</v>
      </c>
    </row>
    <row r="930" spans="1:13" ht="25" customHeight="1" x14ac:dyDescent="0.45">
      <c r="A930" s="7">
        <v>46116</v>
      </c>
      <c r="B930" s="3" t="s">
        <v>494</v>
      </c>
      <c r="C930" s="4" t="s">
        <v>101</v>
      </c>
      <c r="D930" s="53" t="str">
        <f t="shared" si="106"/>
        <v>Sage Green</v>
      </c>
      <c r="E930" s="4" t="s">
        <v>474</v>
      </c>
      <c r="F930" s="58"/>
      <c r="G930" s="4" t="str">
        <f t="shared" si="110"/>
        <v>Romper Longer</v>
      </c>
      <c r="H930" s="38">
        <f t="shared" si="105"/>
        <v>4</v>
      </c>
      <c r="I930" s="54">
        <f t="shared" si="103"/>
        <v>14</v>
      </c>
      <c r="J930" s="14" t="str">
        <f t="shared" si="107"/>
        <v>Easter</v>
      </c>
      <c r="K930" s="16" t="str">
        <f t="shared" si="111"/>
        <v>3-6</v>
      </c>
      <c r="L930" s="14" t="str">
        <f t="shared" si="108"/>
        <v>Romper Longer | 3-6 | Sage Green</v>
      </c>
      <c r="M930" s="16" t="s">
        <v>3611</v>
      </c>
    </row>
    <row r="931" spans="1:13" ht="25" customHeight="1" x14ac:dyDescent="0.45">
      <c r="A931" s="7">
        <v>46120</v>
      </c>
      <c r="B931" s="3" t="s">
        <v>495</v>
      </c>
      <c r="C931" s="4" t="s">
        <v>114</v>
      </c>
      <c r="D931" s="53" t="str">
        <f t="shared" si="106"/>
        <v>White</v>
      </c>
      <c r="E931" s="4" t="s">
        <v>474</v>
      </c>
      <c r="F931" s="5" t="s">
        <v>7</v>
      </c>
      <c r="G931" s="4" t="str">
        <f t="shared" si="110"/>
        <v>Romper Longer</v>
      </c>
      <c r="H931" s="38">
        <f t="shared" si="105"/>
        <v>4</v>
      </c>
      <c r="I931" s="54">
        <f t="shared" si="103"/>
        <v>15</v>
      </c>
      <c r="J931" s="14" t="str">
        <f t="shared" si="107"/>
        <v>Easter</v>
      </c>
      <c r="K931" s="16" t="str">
        <f t="shared" si="111"/>
        <v>3-6</v>
      </c>
      <c r="L931" s="14" t="str">
        <f t="shared" si="108"/>
        <v>Romper Longer | 3-6 | White</v>
      </c>
      <c r="M931" s="16" t="s">
        <v>3610</v>
      </c>
    </row>
    <row r="932" spans="1:13" ht="25" customHeight="1" x14ac:dyDescent="0.45">
      <c r="A932" s="7">
        <v>46121</v>
      </c>
      <c r="B932" s="3" t="s">
        <v>496</v>
      </c>
      <c r="C932" s="4" t="s">
        <v>87</v>
      </c>
      <c r="D932" s="53" t="str">
        <f t="shared" si="106"/>
        <v>Cream</v>
      </c>
      <c r="E932" s="4" t="s">
        <v>477</v>
      </c>
      <c r="F932" s="5" t="s">
        <v>7</v>
      </c>
      <c r="G932" s="4" t="str">
        <f t="shared" si="110"/>
        <v>Romper Short</v>
      </c>
      <c r="H932" s="38">
        <f t="shared" si="105"/>
        <v>4</v>
      </c>
      <c r="I932" s="54">
        <f t="shared" si="103"/>
        <v>15</v>
      </c>
      <c r="J932" s="14" t="str">
        <f t="shared" si="107"/>
        <v>Easter</v>
      </c>
      <c r="K932" s="16" t="str">
        <f t="shared" si="111"/>
        <v>0-3</v>
      </c>
      <c r="L932" s="14" t="str">
        <f t="shared" si="108"/>
        <v>Romper Short | 0-3 | Cream</v>
      </c>
      <c r="M932" s="16" t="s">
        <v>3609</v>
      </c>
    </row>
    <row r="933" spans="1:13" ht="25" customHeight="1" x14ac:dyDescent="0.45">
      <c r="A933" s="7">
        <v>46122</v>
      </c>
      <c r="B933" s="3" t="s">
        <v>497</v>
      </c>
      <c r="C933" s="4" t="s">
        <v>87</v>
      </c>
      <c r="D933" s="53" t="str">
        <f t="shared" si="106"/>
        <v>Cream</v>
      </c>
      <c r="E933" s="4" t="s">
        <v>490</v>
      </c>
      <c r="F933" s="5" t="s">
        <v>7</v>
      </c>
      <c r="G933" s="4" t="str">
        <f t="shared" si="110"/>
        <v>Romper Longer</v>
      </c>
      <c r="H933" s="38">
        <f t="shared" si="105"/>
        <v>4</v>
      </c>
      <c r="I933" s="54">
        <f t="shared" ref="I933:I996" si="112">WEEKNUM(A933)</f>
        <v>15</v>
      </c>
      <c r="J933" s="14" t="str">
        <f t="shared" si="107"/>
        <v>Easter</v>
      </c>
      <c r="K933" s="16" t="str">
        <f t="shared" si="111"/>
        <v>0-3</v>
      </c>
      <c r="L933" s="14" t="str">
        <f t="shared" si="108"/>
        <v>Romper Longer | 0-3 | Cream</v>
      </c>
      <c r="M933" s="16" t="s">
        <v>3609</v>
      </c>
    </row>
    <row r="934" spans="1:13" ht="25" customHeight="1" x14ac:dyDescent="0.45">
      <c r="A934" s="7">
        <v>46124</v>
      </c>
      <c r="B934" s="3" t="s">
        <v>498</v>
      </c>
      <c r="C934" s="4" t="s">
        <v>87</v>
      </c>
      <c r="D934" s="53" t="str">
        <f t="shared" si="106"/>
        <v>Cream</v>
      </c>
      <c r="E934" s="4" t="s">
        <v>485</v>
      </c>
      <c r="F934" s="5" t="s">
        <v>7</v>
      </c>
      <c r="G934" s="4" t="str">
        <f t="shared" si="110"/>
        <v>Romper Short</v>
      </c>
      <c r="H934" s="38">
        <f t="shared" si="105"/>
        <v>4</v>
      </c>
      <c r="I934" s="54">
        <f t="shared" si="112"/>
        <v>16</v>
      </c>
      <c r="J934" s="14" t="str">
        <f t="shared" si="107"/>
        <v>Easter</v>
      </c>
      <c r="K934" s="16" t="str">
        <f t="shared" si="111"/>
        <v>3-6</v>
      </c>
      <c r="L934" s="14" t="str">
        <f t="shared" si="108"/>
        <v>Romper Short | 3-6 | Cream</v>
      </c>
      <c r="M934" s="16" t="s">
        <v>3609</v>
      </c>
    </row>
    <row r="935" spans="1:13" ht="25" customHeight="1" x14ac:dyDescent="0.45">
      <c r="A935" s="7">
        <v>46126</v>
      </c>
      <c r="B935" s="3" t="s">
        <v>499</v>
      </c>
      <c r="C935" s="4" t="s">
        <v>87</v>
      </c>
      <c r="D935" s="53" t="str">
        <f t="shared" si="106"/>
        <v>Cream</v>
      </c>
      <c r="E935" s="4" t="s">
        <v>479</v>
      </c>
      <c r="F935" s="5" t="s">
        <v>7</v>
      </c>
      <c r="G935" s="4" t="str">
        <f t="shared" si="110"/>
        <v>Romper Longer</v>
      </c>
      <c r="H935" s="38">
        <f t="shared" si="105"/>
        <v>4</v>
      </c>
      <c r="I935" s="54">
        <f t="shared" si="112"/>
        <v>16</v>
      </c>
      <c r="J935" s="14" t="str">
        <f t="shared" si="107"/>
        <v>Easter</v>
      </c>
      <c r="K935" s="16" t="str">
        <f t="shared" si="111"/>
        <v>6-12</v>
      </c>
      <c r="L935" s="14" t="str">
        <f t="shared" si="108"/>
        <v>Romper Longer | 6-12 | Cream</v>
      </c>
      <c r="M935" s="16" t="s">
        <v>3611</v>
      </c>
    </row>
    <row r="936" spans="1:13" ht="25" customHeight="1" x14ac:dyDescent="0.45">
      <c r="A936" s="7">
        <v>46130</v>
      </c>
      <c r="B936" s="3" t="s">
        <v>500</v>
      </c>
      <c r="C936" s="4" t="s">
        <v>87</v>
      </c>
      <c r="D936" s="53" t="str">
        <f t="shared" si="106"/>
        <v>Cream</v>
      </c>
      <c r="E936" s="4" t="s">
        <v>490</v>
      </c>
      <c r="F936" s="5" t="s">
        <v>7</v>
      </c>
      <c r="G936" s="4" t="str">
        <f t="shared" si="110"/>
        <v>Romper Longer</v>
      </c>
      <c r="H936" s="38">
        <f t="shared" si="105"/>
        <v>4</v>
      </c>
      <c r="I936" s="54">
        <f t="shared" si="112"/>
        <v>16</v>
      </c>
      <c r="J936" s="14" t="str">
        <f t="shared" si="107"/>
        <v>Easter</v>
      </c>
      <c r="K936" s="16" t="str">
        <f t="shared" si="111"/>
        <v>0-3</v>
      </c>
      <c r="L936" s="14" t="str">
        <f t="shared" si="108"/>
        <v>Romper Longer | 0-3 | Cream</v>
      </c>
      <c r="M936" s="16" t="s">
        <v>3609</v>
      </c>
    </row>
    <row r="937" spans="1:13" ht="25" customHeight="1" x14ac:dyDescent="0.45">
      <c r="A937" s="7">
        <v>46130</v>
      </c>
      <c r="B937" s="3" t="s">
        <v>501</v>
      </c>
      <c r="C937" s="4" t="s">
        <v>114</v>
      </c>
      <c r="D937" s="53" t="str">
        <f t="shared" si="106"/>
        <v>White</v>
      </c>
      <c r="E937" s="4" t="s">
        <v>474</v>
      </c>
      <c r="F937" s="5" t="s">
        <v>7</v>
      </c>
      <c r="G937" s="4" t="str">
        <f t="shared" si="110"/>
        <v>Romper Longer</v>
      </c>
      <c r="H937" s="38">
        <f t="shared" si="105"/>
        <v>4</v>
      </c>
      <c r="I937" s="54">
        <f t="shared" si="112"/>
        <v>16</v>
      </c>
      <c r="J937" s="14" t="str">
        <f t="shared" si="107"/>
        <v>Easter</v>
      </c>
      <c r="K937" s="16" t="str">
        <f t="shared" si="111"/>
        <v>3-6</v>
      </c>
      <c r="L937" s="14" t="str">
        <f t="shared" si="108"/>
        <v>Romper Longer | 3-6 | White</v>
      </c>
      <c r="M937" s="16" t="s">
        <v>3610</v>
      </c>
    </row>
    <row r="938" spans="1:13" ht="25" customHeight="1" x14ac:dyDescent="0.45">
      <c r="A938" s="7">
        <v>46130</v>
      </c>
      <c r="B938" s="3" t="s">
        <v>502</v>
      </c>
      <c r="C938" s="4" t="s">
        <v>87</v>
      </c>
      <c r="D938" s="53" t="str">
        <f t="shared" si="106"/>
        <v>Cream</v>
      </c>
      <c r="E938" s="4" t="s">
        <v>474</v>
      </c>
      <c r="F938" s="5" t="s">
        <v>19</v>
      </c>
      <c r="G938" s="4" t="str">
        <f t="shared" si="110"/>
        <v>Romper Longer</v>
      </c>
      <c r="H938" s="38">
        <f t="shared" si="105"/>
        <v>4</v>
      </c>
      <c r="I938" s="54">
        <f t="shared" si="112"/>
        <v>16</v>
      </c>
      <c r="J938" s="14" t="str">
        <f t="shared" si="107"/>
        <v>Easter</v>
      </c>
      <c r="K938" s="16" t="str">
        <f t="shared" si="111"/>
        <v>3-6</v>
      </c>
      <c r="L938" s="14" t="str">
        <f t="shared" si="108"/>
        <v>Romper Longer | 3-6 | Cream</v>
      </c>
      <c r="M938" s="16" t="s">
        <v>3609</v>
      </c>
    </row>
    <row r="939" spans="1:13" ht="25" customHeight="1" x14ac:dyDescent="0.45">
      <c r="A939" s="7">
        <v>46131</v>
      </c>
      <c r="B939" s="3" t="s">
        <v>503</v>
      </c>
      <c r="C939" s="4" t="s">
        <v>87</v>
      </c>
      <c r="D939" s="53" t="str">
        <f t="shared" si="106"/>
        <v>Cream</v>
      </c>
      <c r="E939" s="4" t="s">
        <v>504</v>
      </c>
      <c r="F939" s="5" t="s">
        <v>7</v>
      </c>
      <c r="G939" s="4" t="str">
        <f t="shared" si="110"/>
        <v>Romper Longer</v>
      </c>
      <c r="H939" s="38">
        <f t="shared" si="105"/>
        <v>4</v>
      </c>
      <c r="I939" s="54">
        <f t="shared" si="112"/>
        <v>17</v>
      </c>
      <c r="J939" s="14" t="str">
        <f t="shared" si="107"/>
        <v>Easter</v>
      </c>
      <c r="K939" s="16" t="str">
        <f t="shared" si="111"/>
        <v>18-24</v>
      </c>
      <c r="L939" s="14" t="str">
        <f t="shared" si="108"/>
        <v>Romper Longer | 18-24 | Cream</v>
      </c>
      <c r="M939" s="16" t="s">
        <v>3610</v>
      </c>
    </row>
    <row r="940" spans="1:13" ht="25" customHeight="1" x14ac:dyDescent="0.45">
      <c r="A940" s="7">
        <v>46134</v>
      </c>
      <c r="B940" s="3" t="s">
        <v>505</v>
      </c>
      <c r="C940" s="4" t="s">
        <v>470</v>
      </c>
      <c r="D940" s="53" t="str">
        <f t="shared" si="106"/>
        <v>Caldet Blue</v>
      </c>
      <c r="E940" s="4" t="s">
        <v>471</v>
      </c>
      <c r="F940" s="5" t="s">
        <v>7</v>
      </c>
      <c r="G940" s="4" t="str">
        <f t="shared" si="110"/>
        <v>Romper Short</v>
      </c>
      <c r="H940" s="38">
        <f t="shared" si="105"/>
        <v>4</v>
      </c>
      <c r="I940" s="54">
        <f t="shared" si="112"/>
        <v>17</v>
      </c>
      <c r="J940" s="14" t="str">
        <f t="shared" si="107"/>
        <v>Easter</v>
      </c>
      <c r="K940" s="16" t="str">
        <f t="shared" si="111"/>
        <v>6-12</v>
      </c>
      <c r="L940" s="14" t="str">
        <f t="shared" si="108"/>
        <v>Romper Short | 6-12 | Caldet Blue</v>
      </c>
      <c r="M940" s="16" t="s">
        <v>3610</v>
      </c>
    </row>
    <row r="941" spans="1:13" ht="25" customHeight="1" x14ac:dyDescent="0.45">
      <c r="A941" s="7">
        <v>46136</v>
      </c>
      <c r="B941" s="3" t="s">
        <v>506</v>
      </c>
      <c r="C941" s="4" t="s">
        <v>202</v>
      </c>
      <c r="D941" s="53" t="str">
        <f t="shared" si="106"/>
        <v>Cream</v>
      </c>
      <c r="E941" s="4" t="s">
        <v>474</v>
      </c>
      <c r="F941" s="5" t="s">
        <v>7</v>
      </c>
      <c r="G941" s="4" t="str">
        <f t="shared" si="110"/>
        <v>Romper Longer</v>
      </c>
      <c r="H941" s="38">
        <f t="shared" si="105"/>
        <v>4</v>
      </c>
      <c r="I941" s="54">
        <f t="shared" si="112"/>
        <v>17</v>
      </c>
      <c r="J941" s="14" t="str">
        <f t="shared" si="107"/>
        <v>Easter</v>
      </c>
      <c r="K941" s="16" t="str">
        <f t="shared" si="111"/>
        <v>3-6</v>
      </c>
      <c r="L941" s="14" t="str">
        <f t="shared" si="108"/>
        <v>Romper Longer | 3-6 | Cream</v>
      </c>
      <c r="M941" s="16" t="s">
        <v>3609</v>
      </c>
    </row>
    <row r="942" spans="1:13" ht="25" customHeight="1" x14ac:dyDescent="0.45">
      <c r="A942" s="7">
        <v>46136</v>
      </c>
      <c r="B942" s="3" t="s">
        <v>507</v>
      </c>
      <c r="C942" s="4" t="s">
        <v>508</v>
      </c>
      <c r="D942" s="53" t="str">
        <f t="shared" si="106"/>
        <v>Dusty Pink</v>
      </c>
      <c r="E942" s="4" t="s">
        <v>474</v>
      </c>
      <c r="F942" s="5" t="s">
        <v>19</v>
      </c>
      <c r="G942" s="4" t="str">
        <f t="shared" si="110"/>
        <v>Romper Longer</v>
      </c>
      <c r="H942" s="38">
        <f t="shared" si="105"/>
        <v>4</v>
      </c>
      <c r="I942" s="54">
        <f t="shared" si="112"/>
        <v>17</v>
      </c>
      <c r="J942" s="14" t="str">
        <f t="shared" si="107"/>
        <v>Easter</v>
      </c>
      <c r="K942" s="16" t="str">
        <f t="shared" si="111"/>
        <v>3-6</v>
      </c>
      <c r="L942" s="14" t="str">
        <f t="shared" si="108"/>
        <v>Romper Longer | 3-6 | Dusty Pink</v>
      </c>
      <c r="M942" s="16" t="s">
        <v>3610</v>
      </c>
    </row>
    <row r="943" spans="1:13" ht="25" customHeight="1" x14ac:dyDescent="0.45">
      <c r="A943" s="7">
        <v>46136</v>
      </c>
      <c r="B943" s="3" t="s">
        <v>509</v>
      </c>
      <c r="C943" s="4" t="s">
        <v>114</v>
      </c>
      <c r="D943" s="53" t="str">
        <f t="shared" si="106"/>
        <v>White</v>
      </c>
      <c r="E943" s="4" t="s">
        <v>510</v>
      </c>
      <c r="F943" s="5" t="s">
        <v>7</v>
      </c>
      <c r="G943" s="4" t="str">
        <f t="shared" si="110"/>
        <v>Romper Short</v>
      </c>
      <c r="H943" s="38">
        <f t="shared" si="105"/>
        <v>4</v>
      </c>
      <c r="I943" s="54">
        <f t="shared" si="112"/>
        <v>17</v>
      </c>
      <c r="J943" s="14" t="str">
        <f t="shared" si="107"/>
        <v>Easter</v>
      </c>
      <c r="K943" s="16" t="str">
        <f t="shared" si="111"/>
        <v>3-6</v>
      </c>
      <c r="L943" s="14" t="str">
        <f t="shared" si="108"/>
        <v>Romper Short | 3-6 | White</v>
      </c>
      <c r="M943" s="16" t="s">
        <v>3610</v>
      </c>
    </row>
    <row r="944" spans="1:13" ht="25" customHeight="1" x14ac:dyDescent="0.45">
      <c r="A944" s="7">
        <v>46136</v>
      </c>
      <c r="B944" s="3" t="s">
        <v>511</v>
      </c>
      <c r="C944" s="4" t="s">
        <v>87</v>
      </c>
      <c r="D944" s="53" t="str">
        <f t="shared" si="106"/>
        <v>Cream</v>
      </c>
      <c r="E944" s="4" t="s">
        <v>477</v>
      </c>
      <c r="F944" s="5" t="s">
        <v>7</v>
      </c>
      <c r="G944" s="4" t="str">
        <f t="shared" si="110"/>
        <v>Romper Short</v>
      </c>
      <c r="H944" s="38">
        <f t="shared" si="105"/>
        <v>4</v>
      </c>
      <c r="I944" s="54">
        <f t="shared" si="112"/>
        <v>17</v>
      </c>
      <c r="J944" s="14" t="str">
        <f t="shared" si="107"/>
        <v>Easter</v>
      </c>
      <c r="K944" s="16" t="str">
        <f t="shared" si="111"/>
        <v>0-3</v>
      </c>
      <c r="L944" s="14" t="str">
        <f t="shared" si="108"/>
        <v>Romper Short | 0-3 | Cream</v>
      </c>
      <c r="M944" s="16" t="s">
        <v>3609</v>
      </c>
    </row>
    <row r="945" spans="1:13" ht="25" customHeight="1" x14ac:dyDescent="0.45">
      <c r="A945" s="7">
        <v>46137</v>
      </c>
      <c r="B945" s="3" t="s">
        <v>512</v>
      </c>
      <c r="C945" s="4" t="s">
        <v>87</v>
      </c>
      <c r="D945" s="53" t="str">
        <f t="shared" si="106"/>
        <v>Cream</v>
      </c>
      <c r="E945" s="4" t="s">
        <v>490</v>
      </c>
      <c r="F945" s="5" t="s">
        <v>7</v>
      </c>
      <c r="G945" s="4" t="str">
        <f t="shared" si="110"/>
        <v>Romper Longer</v>
      </c>
      <c r="H945" s="38">
        <f t="shared" si="105"/>
        <v>4</v>
      </c>
      <c r="I945" s="54">
        <f t="shared" si="112"/>
        <v>17</v>
      </c>
      <c r="J945" s="14" t="str">
        <f t="shared" si="107"/>
        <v>Easter</v>
      </c>
      <c r="K945" s="16" t="str">
        <f t="shared" si="111"/>
        <v>0-3</v>
      </c>
      <c r="L945" s="14" t="str">
        <f t="shared" si="108"/>
        <v>Romper Longer | 0-3 | Cream</v>
      </c>
      <c r="M945" s="16" t="s">
        <v>3609</v>
      </c>
    </row>
    <row r="946" spans="1:13" ht="25" customHeight="1" x14ac:dyDescent="0.45">
      <c r="A946" s="7">
        <v>46138</v>
      </c>
      <c r="B946" s="3" t="s">
        <v>513</v>
      </c>
      <c r="C946" s="4" t="s">
        <v>87</v>
      </c>
      <c r="D946" s="53" t="str">
        <f t="shared" si="106"/>
        <v>Cream</v>
      </c>
      <c r="E946" s="4" t="s">
        <v>471</v>
      </c>
      <c r="F946" s="5" t="s">
        <v>7</v>
      </c>
      <c r="G946" s="4" t="str">
        <f t="shared" si="110"/>
        <v>Romper Short</v>
      </c>
      <c r="H946" s="38">
        <f t="shared" si="105"/>
        <v>4</v>
      </c>
      <c r="I946" s="54">
        <f t="shared" si="112"/>
        <v>18</v>
      </c>
      <c r="J946" s="14" t="str">
        <f t="shared" si="107"/>
        <v>Easter</v>
      </c>
      <c r="K946" s="16" t="str">
        <f t="shared" si="111"/>
        <v>6-12</v>
      </c>
      <c r="L946" s="14" t="str">
        <f t="shared" si="108"/>
        <v>Romper Short | 6-12 | Cream</v>
      </c>
      <c r="M946" s="16" t="s">
        <v>3611</v>
      </c>
    </row>
    <row r="947" spans="1:13" ht="25" customHeight="1" x14ac:dyDescent="0.45">
      <c r="A947" s="7">
        <v>46139</v>
      </c>
      <c r="B947" s="3" t="s">
        <v>514</v>
      </c>
      <c r="C947" s="4" t="s">
        <v>87</v>
      </c>
      <c r="D947" s="53" t="str">
        <f t="shared" si="106"/>
        <v>Cream</v>
      </c>
      <c r="E947" s="4" t="s">
        <v>479</v>
      </c>
      <c r="F947" s="5" t="s">
        <v>7</v>
      </c>
      <c r="G947" s="4" t="str">
        <f t="shared" si="110"/>
        <v>Romper Longer</v>
      </c>
      <c r="H947" s="38">
        <f t="shared" si="105"/>
        <v>4</v>
      </c>
      <c r="I947" s="54">
        <f t="shared" si="112"/>
        <v>18</v>
      </c>
      <c r="J947" s="14" t="str">
        <f t="shared" si="107"/>
        <v>Easter</v>
      </c>
      <c r="K947" s="16" t="str">
        <f t="shared" si="111"/>
        <v>6-12</v>
      </c>
      <c r="L947" s="14" t="str">
        <f t="shared" si="108"/>
        <v>Romper Longer | 6-12 | Cream</v>
      </c>
      <c r="M947" s="16" t="s">
        <v>3611</v>
      </c>
    </row>
    <row r="948" spans="1:13" ht="25" customHeight="1" x14ac:dyDescent="0.45">
      <c r="A948" s="7">
        <v>46139</v>
      </c>
      <c r="B948" s="3" t="s">
        <v>515</v>
      </c>
      <c r="C948" s="4" t="s">
        <v>87</v>
      </c>
      <c r="D948" s="53" t="str">
        <f t="shared" si="106"/>
        <v>Cream</v>
      </c>
      <c r="E948" s="4" t="s">
        <v>471</v>
      </c>
      <c r="F948" s="5" t="s">
        <v>7</v>
      </c>
      <c r="G948" s="4" t="str">
        <f t="shared" si="110"/>
        <v>Romper Short</v>
      </c>
      <c r="H948" s="38">
        <f t="shared" si="105"/>
        <v>4</v>
      </c>
      <c r="I948" s="54">
        <f t="shared" si="112"/>
        <v>18</v>
      </c>
      <c r="J948" s="14" t="str">
        <f t="shared" si="107"/>
        <v>Easter</v>
      </c>
      <c r="K948" s="16" t="str">
        <f t="shared" si="111"/>
        <v>6-12</v>
      </c>
      <c r="L948" s="14" t="str">
        <f t="shared" si="108"/>
        <v>Romper Short | 6-12 | Cream</v>
      </c>
      <c r="M948" s="16" t="s">
        <v>3611</v>
      </c>
    </row>
    <row r="949" spans="1:13" ht="25" customHeight="1" x14ac:dyDescent="0.45">
      <c r="A949" s="7">
        <v>46141</v>
      </c>
      <c r="B949" s="3" t="s">
        <v>516</v>
      </c>
      <c r="C949" s="4" t="s">
        <v>508</v>
      </c>
      <c r="D949" s="53" t="str">
        <f t="shared" si="106"/>
        <v>Dusty Pink</v>
      </c>
      <c r="E949" s="4" t="s">
        <v>474</v>
      </c>
      <c r="F949" s="5" t="s">
        <v>7</v>
      </c>
      <c r="G949" s="4" t="str">
        <f t="shared" si="110"/>
        <v>Romper Longer</v>
      </c>
      <c r="H949" s="38">
        <f t="shared" si="105"/>
        <v>4</v>
      </c>
      <c r="I949" s="54">
        <f t="shared" si="112"/>
        <v>18</v>
      </c>
      <c r="J949" s="14" t="str">
        <f t="shared" si="107"/>
        <v>Easter</v>
      </c>
      <c r="K949" s="16" t="str">
        <f t="shared" si="111"/>
        <v>3-6</v>
      </c>
      <c r="L949" s="14" t="str">
        <f t="shared" si="108"/>
        <v>Romper Longer | 3-6 | Dusty Pink</v>
      </c>
      <c r="M949" s="16" t="s">
        <v>3610</v>
      </c>
    </row>
    <row r="950" spans="1:13" ht="25" customHeight="1" x14ac:dyDescent="0.45">
      <c r="A950" s="7">
        <v>46141</v>
      </c>
      <c r="B950" s="3" t="s">
        <v>517</v>
      </c>
      <c r="C950" s="4" t="s">
        <v>87</v>
      </c>
      <c r="D950" s="53" t="str">
        <f t="shared" si="106"/>
        <v>Cream</v>
      </c>
      <c r="E950" s="4" t="s">
        <v>485</v>
      </c>
      <c r="F950" s="5" t="s">
        <v>7</v>
      </c>
      <c r="G950" s="4" t="str">
        <f t="shared" si="110"/>
        <v>Romper Short</v>
      </c>
      <c r="H950" s="38">
        <f t="shared" si="105"/>
        <v>4</v>
      </c>
      <c r="I950" s="54">
        <f t="shared" si="112"/>
        <v>18</v>
      </c>
      <c r="J950" s="14" t="str">
        <f t="shared" si="107"/>
        <v>Easter</v>
      </c>
      <c r="K950" s="16" t="str">
        <f t="shared" si="111"/>
        <v>3-6</v>
      </c>
      <c r="L950" s="14" t="str">
        <f t="shared" si="108"/>
        <v>Romper Short | 3-6 | Cream</v>
      </c>
      <c r="M950" s="16" t="s">
        <v>3609</v>
      </c>
    </row>
    <row r="951" spans="1:13" ht="25" customHeight="1" x14ac:dyDescent="0.45">
      <c r="A951" s="7">
        <v>46143</v>
      </c>
      <c r="B951" s="3" t="s">
        <v>518</v>
      </c>
      <c r="C951" s="4" t="s">
        <v>87</v>
      </c>
      <c r="D951" s="53" t="str">
        <f t="shared" si="106"/>
        <v>Cream</v>
      </c>
      <c r="E951" s="4" t="s">
        <v>474</v>
      </c>
      <c r="F951" s="5" t="s">
        <v>7</v>
      </c>
      <c r="G951" s="4" t="str">
        <f t="shared" si="110"/>
        <v>Romper Longer</v>
      </c>
      <c r="H951" s="38">
        <f t="shared" si="105"/>
        <v>5</v>
      </c>
      <c r="I951" s="54">
        <f t="shared" si="112"/>
        <v>18</v>
      </c>
      <c r="J951" s="14" t="str">
        <f t="shared" si="107"/>
        <v>MothersDay</v>
      </c>
      <c r="K951" s="16" t="str">
        <f t="shared" si="111"/>
        <v>3-6</v>
      </c>
      <c r="L951" s="14" t="str">
        <f t="shared" si="108"/>
        <v>Romper Longer | 3-6 | Cream</v>
      </c>
      <c r="M951" s="16" t="s">
        <v>3609</v>
      </c>
    </row>
    <row r="952" spans="1:13" ht="25" customHeight="1" x14ac:dyDescent="0.45">
      <c r="A952" s="7">
        <v>46145</v>
      </c>
      <c r="B952" s="3" t="s">
        <v>519</v>
      </c>
      <c r="C952" s="4" t="s">
        <v>520</v>
      </c>
      <c r="D952" s="53" t="str">
        <f t="shared" si="106"/>
        <v xml:space="preserve"> Caldet Blue</v>
      </c>
      <c r="E952" s="4" t="s">
        <v>475</v>
      </c>
      <c r="F952" s="58" t="s">
        <v>7</v>
      </c>
      <c r="G952" s="4" t="str">
        <f t="shared" si="110"/>
        <v>Romper Short</v>
      </c>
      <c r="H952" s="38">
        <f t="shared" si="105"/>
        <v>5</v>
      </c>
      <c r="I952" s="54">
        <f t="shared" si="112"/>
        <v>19</v>
      </c>
      <c r="J952" s="14" t="str">
        <f t="shared" si="107"/>
        <v>MothersDay</v>
      </c>
      <c r="K952" s="16" t="str">
        <f t="shared" si="111"/>
        <v>12-18</v>
      </c>
      <c r="L952" s="14" t="str">
        <f t="shared" si="108"/>
        <v>Romper Short | 12-18 | Caldet Blue</v>
      </c>
      <c r="M952" s="16" t="s">
        <v>3610</v>
      </c>
    </row>
    <row r="953" spans="1:13" ht="25" customHeight="1" x14ac:dyDescent="0.45">
      <c r="A953" s="7">
        <v>46145</v>
      </c>
      <c r="B953" s="3" t="s">
        <v>519</v>
      </c>
      <c r="C953" s="4" t="s">
        <v>520</v>
      </c>
      <c r="D953" s="53" t="str">
        <f t="shared" si="106"/>
        <v xml:space="preserve"> Caldet Blue</v>
      </c>
      <c r="E953" s="4" t="s">
        <v>479</v>
      </c>
      <c r="F953" s="58"/>
      <c r="G953" s="4" t="str">
        <f t="shared" si="110"/>
        <v>Romper Longer</v>
      </c>
      <c r="H953" s="38">
        <f t="shared" si="105"/>
        <v>5</v>
      </c>
      <c r="I953" s="54">
        <f t="shared" si="112"/>
        <v>19</v>
      </c>
      <c r="J953" s="14" t="str">
        <f t="shared" si="107"/>
        <v>MothersDay</v>
      </c>
      <c r="K953" s="16" t="str">
        <f t="shared" si="111"/>
        <v>6-12</v>
      </c>
      <c r="L953" s="14" t="str">
        <f t="shared" si="108"/>
        <v>Romper Longer | 6-12 | Caldet Blue</v>
      </c>
      <c r="M953" s="16" t="s">
        <v>3610</v>
      </c>
    </row>
    <row r="954" spans="1:13" ht="25" customHeight="1" x14ac:dyDescent="0.45">
      <c r="A954" s="7">
        <v>46146</v>
      </c>
      <c r="B954" s="3" t="s">
        <v>521</v>
      </c>
      <c r="C954" s="4" t="s">
        <v>101</v>
      </c>
      <c r="D954" s="53" t="str">
        <f t="shared" si="106"/>
        <v>Sage Green</v>
      </c>
      <c r="E954" s="4" t="s">
        <v>479</v>
      </c>
      <c r="F954" s="4" t="s">
        <v>7</v>
      </c>
      <c r="G954" s="4" t="str">
        <f t="shared" si="110"/>
        <v>Romper Longer</v>
      </c>
      <c r="H954" s="38">
        <f t="shared" si="105"/>
        <v>5</v>
      </c>
      <c r="I954" s="54">
        <f t="shared" si="112"/>
        <v>19</v>
      </c>
      <c r="J954" s="14" t="str">
        <f t="shared" si="107"/>
        <v>MothersDay</v>
      </c>
      <c r="K954" s="16" t="str">
        <f t="shared" si="111"/>
        <v>6-12</v>
      </c>
      <c r="L954" s="14" t="str">
        <f t="shared" si="108"/>
        <v>Romper Longer | 6-12 | Sage Green</v>
      </c>
      <c r="M954" s="16" t="s">
        <v>3610</v>
      </c>
    </row>
    <row r="955" spans="1:13" ht="25" customHeight="1" x14ac:dyDescent="0.45">
      <c r="A955" s="7">
        <v>46147</v>
      </c>
      <c r="B955" s="3" t="s">
        <v>522</v>
      </c>
      <c r="C955" s="4" t="s">
        <v>87</v>
      </c>
      <c r="D955" s="53" t="str">
        <f t="shared" si="106"/>
        <v>Cream</v>
      </c>
      <c r="E955" s="4" t="s">
        <v>485</v>
      </c>
      <c r="F955" s="4" t="s">
        <v>7</v>
      </c>
      <c r="G955" s="4" t="str">
        <f t="shared" si="110"/>
        <v>Romper Short</v>
      </c>
      <c r="H955" s="38">
        <f t="shared" si="105"/>
        <v>5</v>
      </c>
      <c r="I955" s="54">
        <f t="shared" si="112"/>
        <v>19</v>
      </c>
      <c r="J955" s="14" t="str">
        <f t="shared" si="107"/>
        <v>MothersDay</v>
      </c>
      <c r="K955" s="16" t="str">
        <f t="shared" si="111"/>
        <v>3-6</v>
      </c>
      <c r="L955" s="14" t="str">
        <f t="shared" si="108"/>
        <v>Romper Short | 3-6 | Cream</v>
      </c>
      <c r="M955" s="16" t="s">
        <v>3609</v>
      </c>
    </row>
    <row r="956" spans="1:13" ht="25" customHeight="1" x14ac:dyDescent="0.45">
      <c r="A956" s="7">
        <v>46148</v>
      </c>
      <c r="B956" s="3" t="s">
        <v>523</v>
      </c>
      <c r="C956" s="4" t="s">
        <v>87</v>
      </c>
      <c r="D956" s="53" t="str">
        <f t="shared" si="106"/>
        <v>Cream</v>
      </c>
      <c r="E956" s="4" t="s">
        <v>477</v>
      </c>
      <c r="F956" s="4" t="s">
        <v>7</v>
      </c>
      <c r="G956" s="4" t="str">
        <f t="shared" si="110"/>
        <v>Romper Short</v>
      </c>
      <c r="H956" s="38">
        <f t="shared" si="105"/>
        <v>5</v>
      </c>
      <c r="I956" s="54">
        <f t="shared" si="112"/>
        <v>19</v>
      </c>
      <c r="J956" s="14" t="str">
        <f t="shared" si="107"/>
        <v>MothersDay</v>
      </c>
      <c r="K956" s="16" t="str">
        <f t="shared" si="111"/>
        <v>0-3</v>
      </c>
      <c r="L956" s="14" t="str">
        <f t="shared" si="108"/>
        <v>Romper Short | 0-3 | Cream</v>
      </c>
      <c r="M956" s="16" t="s">
        <v>3609</v>
      </c>
    </row>
    <row r="957" spans="1:13" ht="25" customHeight="1" x14ac:dyDescent="0.45">
      <c r="A957" s="7">
        <v>46155</v>
      </c>
      <c r="B957" s="3" t="s">
        <v>524</v>
      </c>
      <c r="C957" s="4" t="s">
        <v>520</v>
      </c>
      <c r="D957" s="53" t="str">
        <f t="shared" si="106"/>
        <v xml:space="preserve"> Caldet Blue</v>
      </c>
      <c r="E957" s="4" t="s">
        <v>485</v>
      </c>
      <c r="F957" s="4" t="s">
        <v>7</v>
      </c>
      <c r="G957" s="4" t="str">
        <f t="shared" si="110"/>
        <v>Romper Short</v>
      </c>
      <c r="H957" s="38">
        <f t="shared" si="105"/>
        <v>5</v>
      </c>
      <c r="I957" s="54">
        <f t="shared" si="112"/>
        <v>20</v>
      </c>
      <c r="J957" s="14" t="str">
        <f t="shared" si="107"/>
        <v>MothersDay</v>
      </c>
      <c r="K957" s="16" t="str">
        <f t="shared" si="111"/>
        <v>3-6</v>
      </c>
      <c r="L957" s="14" t="str">
        <f t="shared" si="108"/>
        <v>Romper Short | 3-6 | Caldet Blue</v>
      </c>
      <c r="M957" s="16" t="s">
        <v>3610</v>
      </c>
    </row>
    <row r="958" spans="1:13" ht="25" customHeight="1" x14ac:dyDescent="0.45">
      <c r="A958" s="7">
        <v>46155</v>
      </c>
      <c r="B958" s="3" t="s">
        <v>525</v>
      </c>
      <c r="C958" s="4" t="s">
        <v>470</v>
      </c>
      <c r="D958" s="53" t="str">
        <f t="shared" si="106"/>
        <v>Caldet Blue</v>
      </c>
      <c r="E958" s="4" t="s">
        <v>474</v>
      </c>
      <c r="F958" s="4">
        <v>17058178558</v>
      </c>
      <c r="G958" s="4" t="str">
        <f t="shared" si="110"/>
        <v>Romper Longer</v>
      </c>
      <c r="H958" s="38">
        <f t="shared" si="105"/>
        <v>5</v>
      </c>
      <c r="I958" s="54">
        <f t="shared" si="112"/>
        <v>20</v>
      </c>
      <c r="J958" s="14" t="str">
        <f t="shared" si="107"/>
        <v>MothersDay</v>
      </c>
      <c r="K958" s="16" t="str">
        <f t="shared" si="111"/>
        <v>3-6</v>
      </c>
      <c r="L958" s="14" t="str">
        <f t="shared" si="108"/>
        <v>Romper Longer | 3-6 | Caldet Blue</v>
      </c>
      <c r="M958" s="16" t="s">
        <v>3610</v>
      </c>
    </row>
    <row r="959" spans="1:13" ht="25" customHeight="1" x14ac:dyDescent="0.45">
      <c r="A959" s="7">
        <v>46155</v>
      </c>
      <c r="B959" s="3" t="s">
        <v>526</v>
      </c>
      <c r="C959" s="4" t="s">
        <v>470</v>
      </c>
      <c r="D959" s="53" t="str">
        <f t="shared" si="106"/>
        <v>Caldet Blue</v>
      </c>
      <c r="E959" s="4" t="s">
        <v>485</v>
      </c>
      <c r="F959" s="4" t="s">
        <v>7</v>
      </c>
      <c r="G959" s="4" t="str">
        <f t="shared" si="110"/>
        <v>Romper Short</v>
      </c>
      <c r="H959" s="38">
        <f t="shared" si="105"/>
        <v>5</v>
      </c>
      <c r="I959" s="54">
        <f t="shared" si="112"/>
        <v>20</v>
      </c>
      <c r="J959" s="14" t="str">
        <f t="shared" si="107"/>
        <v>MothersDay</v>
      </c>
      <c r="K959" s="16" t="str">
        <f t="shared" si="111"/>
        <v>3-6</v>
      </c>
      <c r="L959" s="14" t="str">
        <f t="shared" si="108"/>
        <v>Romper Short | 3-6 | Caldet Blue</v>
      </c>
      <c r="M959" s="16" t="s">
        <v>3610</v>
      </c>
    </row>
    <row r="960" spans="1:13" ht="25" customHeight="1" x14ac:dyDescent="0.45">
      <c r="A960" s="7">
        <v>46165</v>
      </c>
      <c r="B960" s="3" t="s">
        <v>527</v>
      </c>
      <c r="C960" s="4" t="s">
        <v>528</v>
      </c>
      <c r="D960" s="53" t="str">
        <f t="shared" si="106"/>
        <v>Watermelon</v>
      </c>
      <c r="E960" s="4" t="s">
        <v>471</v>
      </c>
      <c r="F960" s="4" t="s">
        <v>7</v>
      </c>
      <c r="G960" s="4" t="str">
        <f t="shared" si="110"/>
        <v>Romper Short</v>
      </c>
      <c r="H960" s="38">
        <f t="shared" si="105"/>
        <v>5</v>
      </c>
      <c r="I960" s="54">
        <f t="shared" si="112"/>
        <v>21</v>
      </c>
      <c r="J960" s="14" t="str">
        <f t="shared" si="107"/>
        <v>MothersDay</v>
      </c>
      <c r="K960" s="16" t="str">
        <f t="shared" si="111"/>
        <v>6-12</v>
      </c>
      <c r="L960" s="14" t="str">
        <f t="shared" si="108"/>
        <v>Romper Short | 6-12 | Watermelon</v>
      </c>
      <c r="M960" s="16" t="s">
        <v>3610</v>
      </c>
    </row>
    <row r="961" spans="1:13" ht="25" customHeight="1" x14ac:dyDescent="0.45">
      <c r="A961" s="7">
        <v>46167</v>
      </c>
      <c r="B961" s="3" t="s">
        <v>529</v>
      </c>
      <c r="C961" s="4" t="s">
        <v>87</v>
      </c>
      <c r="D961" s="53" t="str">
        <f t="shared" si="106"/>
        <v>Cream</v>
      </c>
      <c r="E961" s="4" t="s">
        <v>474</v>
      </c>
      <c r="F961" s="4" t="s">
        <v>7</v>
      </c>
      <c r="G961" s="4" t="str">
        <f t="shared" si="110"/>
        <v>Romper Longer</v>
      </c>
      <c r="H961" s="38">
        <f t="shared" si="105"/>
        <v>5</v>
      </c>
      <c r="I961" s="54">
        <f t="shared" si="112"/>
        <v>22</v>
      </c>
      <c r="J961" s="14" t="str">
        <f t="shared" si="107"/>
        <v>MothersDay</v>
      </c>
      <c r="K961" s="16" t="str">
        <f t="shared" si="111"/>
        <v>3-6</v>
      </c>
      <c r="L961" s="14" t="str">
        <f t="shared" si="108"/>
        <v>Romper Longer | 3-6 | Cream</v>
      </c>
      <c r="M961" s="16" t="s">
        <v>3609</v>
      </c>
    </row>
    <row r="962" spans="1:13" ht="25" customHeight="1" x14ac:dyDescent="0.45">
      <c r="A962" s="7">
        <v>46170</v>
      </c>
      <c r="B962" s="3" t="s">
        <v>530</v>
      </c>
      <c r="C962" s="4" t="s">
        <v>87</v>
      </c>
      <c r="D962" s="53" t="str">
        <f t="shared" si="106"/>
        <v>Cream</v>
      </c>
      <c r="E962" s="4" t="s">
        <v>477</v>
      </c>
      <c r="F962" s="4" t="s">
        <v>7</v>
      </c>
      <c r="G962" s="4" t="str">
        <f t="shared" si="110"/>
        <v>Romper Short</v>
      </c>
      <c r="H962" s="38">
        <f t="shared" ref="H962:H1025" si="113">MONTH(A962)</f>
        <v>5</v>
      </c>
      <c r="I962" s="54">
        <f t="shared" si="112"/>
        <v>22</v>
      </c>
      <c r="J962" s="14" t="str">
        <f t="shared" si="107"/>
        <v>MothersDay</v>
      </c>
      <c r="K962" s="16" t="str">
        <f t="shared" si="111"/>
        <v>0-3</v>
      </c>
      <c r="L962" s="14" t="str">
        <f t="shared" si="108"/>
        <v>Romper Short | 0-3 | Cream</v>
      </c>
      <c r="M962" s="16" t="s">
        <v>3609</v>
      </c>
    </row>
    <row r="963" spans="1:13" ht="25" customHeight="1" x14ac:dyDescent="0.45">
      <c r="A963" s="7">
        <v>46170</v>
      </c>
      <c r="B963" s="3" t="s">
        <v>531</v>
      </c>
      <c r="C963" s="4" t="s">
        <v>532</v>
      </c>
      <c r="D963" s="53" t="str">
        <f t="shared" ref="D963:D1026" si="114">PROPER(C963)</f>
        <v xml:space="preserve"> Dusty Pink</v>
      </c>
      <c r="E963" s="4" t="s">
        <v>474</v>
      </c>
      <c r="F963" s="4" t="s">
        <v>7</v>
      </c>
      <c r="G963" s="4" t="str">
        <f t="shared" si="110"/>
        <v>Romper Longer</v>
      </c>
      <c r="H963" s="38">
        <f t="shared" si="113"/>
        <v>5</v>
      </c>
      <c r="I963" s="54">
        <f t="shared" si="112"/>
        <v>22</v>
      </c>
      <c r="J963" s="14" t="str">
        <f t="shared" ref="J963:J1026" si="115">IF(H963=1,"NewYear",
IF(H963=2,"Valentine",
IF(OR(H963=3,H963=4),"Easter",
IF(H963=5,"MothersDay",
IF(H963=6,"FathersDay",
IF(OR(H963=7,H963=8),"Summer",
IF(H963=10,"Halloween",
IF(OR(H963=11,H963=12),"Christmas","Normal"))))))))</f>
        <v>MothersDay</v>
      </c>
      <c r="K963" s="16" t="str">
        <f t="shared" si="111"/>
        <v>3-6</v>
      </c>
      <c r="L963" s="14" t="str">
        <f t="shared" ref="L963:L1026" si="116">TRIM(G963)&amp;" | "&amp;TRIM(K963)&amp;" | "&amp;PROPER(TRIM(D963))</f>
        <v>Romper Longer | 3-6 | Dusty Pink</v>
      </c>
      <c r="M963" s="16" t="s">
        <v>3610</v>
      </c>
    </row>
    <row r="964" spans="1:13" ht="25" customHeight="1" x14ac:dyDescent="0.45">
      <c r="A964" s="7">
        <v>46170</v>
      </c>
      <c r="B964" s="3" t="s">
        <v>533</v>
      </c>
      <c r="C964" s="4" t="s">
        <v>473</v>
      </c>
      <c r="D964" s="53" t="str">
        <f t="shared" si="114"/>
        <v>Salmon</v>
      </c>
      <c r="E964" s="4" t="s">
        <v>477</v>
      </c>
      <c r="F964" s="4" t="s">
        <v>7</v>
      </c>
      <c r="G964" s="4" t="str">
        <f t="shared" si="110"/>
        <v>Romper Short</v>
      </c>
      <c r="H964" s="38">
        <f t="shared" si="113"/>
        <v>5</v>
      </c>
      <c r="I964" s="54">
        <f t="shared" si="112"/>
        <v>22</v>
      </c>
      <c r="J964" s="14" t="str">
        <f t="shared" si="115"/>
        <v>MothersDay</v>
      </c>
      <c r="K964" s="16" t="str">
        <f t="shared" si="111"/>
        <v>0-3</v>
      </c>
      <c r="L964" s="14" t="str">
        <f t="shared" si="116"/>
        <v>Romper Short | 0-3 | Salmon</v>
      </c>
      <c r="M964" s="16" t="s">
        <v>3610</v>
      </c>
    </row>
    <row r="965" spans="1:13" ht="25" customHeight="1" x14ac:dyDescent="0.45">
      <c r="A965" s="7">
        <v>46174</v>
      </c>
      <c r="B965" s="3" t="s">
        <v>534</v>
      </c>
      <c r="C965" s="4" t="s">
        <v>87</v>
      </c>
      <c r="D965" s="53" t="str">
        <f t="shared" si="114"/>
        <v>Cream</v>
      </c>
      <c r="E965" s="4" t="s">
        <v>471</v>
      </c>
      <c r="F965" s="4" t="s">
        <v>7</v>
      </c>
      <c r="G965" s="4" t="str">
        <f t="shared" si="110"/>
        <v>Romper Short</v>
      </c>
      <c r="H965" s="38">
        <f t="shared" si="113"/>
        <v>6</v>
      </c>
      <c r="I965" s="54">
        <f t="shared" si="112"/>
        <v>23</v>
      </c>
      <c r="J965" s="14" t="str">
        <f t="shared" si="115"/>
        <v>FathersDay</v>
      </c>
      <c r="K965" s="16" t="str">
        <f t="shared" si="111"/>
        <v>6-12</v>
      </c>
      <c r="L965" s="14" t="str">
        <f t="shared" si="116"/>
        <v>Romper Short | 6-12 | Cream</v>
      </c>
      <c r="M965" s="16" t="s">
        <v>3611</v>
      </c>
    </row>
    <row r="966" spans="1:13" ht="25" customHeight="1" x14ac:dyDescent="0.45">
      <c r="A966" s="7">
        <v>46174</v>
      </c>
      <c r="B966" s="3" t="s">
        <v>535</v>
      </c>
      <c r="C966" s="4" t="s">
        <v>87</v>
      </c>
      <c r="D966" s="53" t="str">
        <f t="shared" si="114"/>
        <v>Cream</v>
      </c>
      <c r="E966" s="4" t="s">
        <v>471</v>
      </c>
      <c r="F966" s="4" t="s">
        <v>7</v>
      </c>
      <c r="G966" s="4" t="str">
        <f t="shared" si="110"/>
        <v>Romper Short</v>
      </c>
      <c r="H966" s="38">
        <f t="shared" si="113"/>
        <v>6</v>
      </c>
      <c r="I966" s="54">
        <f t="shared" si="112"/>
        <v>23</v>
      </c>
      <c r="J966" s="14" t="str">
        <f t="shared" si="115"/>
        <v>FathersDay</v>
      </c>
      <c r="K966" s="16" t="str">
        <f t="shared" si="111"/>
        <v>6-12</v>
      </c>
      <c r="L966" s="14" t="str">
        <f t="shared" si="116"/>
        <v>Romper Short | 6-12 | Cream</v>
      </c>
      <c r="M966" s="16" t="s">
        <v>3611</v>
      </c>
    </row>
    <row r="967" spans="1:13" ht="25" customHeight="1" x14ac:dyDescent="0.45">
      <c r="A967" s="7">
        <v>46175</v>
      </c>
      <c r="B967" s="3" t="s">
        <v>536</v>
      </c>
      <c r="C967" s="4" t="s">
        <v>470</v>
      </c>
      <c r="D967" s="53" t="str">
        <f t="shared" si="114"/>
        <v>Caldet Blue</v>
      </c>
      <c r="E967" s="4" t="s">
        <v>471</v>
      </c>
      <c r="F967" s="4" t="s">
        <v>7</v>
      </c>
      <c r="G967" s="4" t="str">
        <f t="shared" si="110"/>
        <v>Romper Short</v>
      </c>
      <c r="H967" s="38">
        <f t="shared" si="113"/>
        <v>6</v>
      </c>
      <c r="I967" s="54">
        <f t="shared" si="112"/>
        <v>23</v>
      </c>
      <c r="J967" s="14" t="str">
        <f t="shared" si="115"/>
        <v>FathersDay</v>
      </c>
      <c r="K967" s="16" t="str">
        <f t="shared" si="111"/>
        <v>6-12</v>
      </c>
      <c r="L967" s="14" t="str">
        <f t="shared" si="116"/>
        <v>Romper Short | 6-12 | Caldet Blue</v>
      </c>
      <c r="M967" s="16" t="s">
        <v>3610</v>
      </c>
    </row>
    <row r="968" spans="1:13" ht="25" customHeight="1" x14ac:dyDescent="0.45">
      <c r="A968" s="7">
        <v>46176</v>
      </c>
      <c r="B968" s="3" t="s">
        <v>537</v>
      </c>
      <c r="C968" s="4" t="s">
        <v>538</v>
      </c>
      <c r="D968" s="53" t="str">
        <f t="shared" si="114"/>
        <v xml:space="preserve"> Forest Green</v>
      </c>
      <c r="E968" s="4" t="s">
        <v>474</v>
      </c>
      <c r="F968" s="4" t="s">
        <v>7</v>
      </c>
      <c r="G968" s="4" t="str">
        <f t="shared" si="110"/>
        <v>Romper Longer</v>
      </c>
      <c r="H968" s="38">
        <f t="shared" si="113"/>
        <v>6</v>
      </c>
      <c r="I968" s="54">
        <f t="shared" si="112"/>
        <v>23</v>
      </c>
      <c r="J968" s="14" t="str">
        <f t="shared" si="115"/>
        <v>FathersDay</v>
      </c>
      <c r="K968" s="16" t="str">
        <f t="shared" si="111"/>
        <v>3-6</v>
      </c>
      <c r="L968" s="14" t="str">
        <f t="shared" si="116"/>
        <v>Romper Longer | 3-6 | Forest Green</v>
      </c>
      <c r="M968" s="16" t="s">
        <v>3610</v>
      </c>
    </row>
    <row r="969" spans="1:13" ht="25" customHeight="1" x14ac:dyDescent="0.45">
      <c r="A969" s="7">
        <v>46177</v>
      </c>
      <c r="B969" s="3" t="s">
        <v>539</v>
      </c>
      <c r="C969" s="4" t="s">
        <v>508</v>
      </c>
      <c r="D969" s="53" t="str">
        <f t="shared" si="114"/>
        <v>Dusty Pink</v>
      </c>
      <c r="E969" s="4" t="s">
        <v>490</v>
      </c>
      <c r="F969" s="4" t="s">
        <v>7</v>
      </c>
      <c r="G969" s="4" t="str">
        <f t="shared" si="110"/>
        <v>Romper Longer</v>
      </c>
      <c r="H969" s="38">
        <f t="shared" si="113"/>
        <v>6</v>
      </c>
      <c r="I969" s="54">
        <f t="shared" si="112"/>
        <v>23</v>
      </c>
      <c r="J969" s="14" t="str">
        <f t="shared" si="115"/>
        <v>FathersDay</v>
      </c>
      <c r="K969" s="16" t="str">
        <f t="shared" si="111"/>
        <v>0-3</v>
      </c>
      <c r="L969" s="14" t="str">
        <f t="shared" si="116"/>
        <v>Romper Longer | 0-3 | Dusty Pink</v>
      </c>
      <c r="M969" s="16" t="s">
        <v>3610</v>
      </c>
    </row>
    <row r="970" spans="1:13" ht="25" customHeight="1" x14ac:dyDescent="0.45">
      <c r="A970" s="7">
        <v>46178</v>
      </c>
      <c r="B970" s="3" t="s">
        <v>540</v>
      </c>
      <c r="C970" s="4" t="s">
        <v>87</v>
      </c>
      <c r="D970" s="53" t="str">
        <f t="shared" si="114"/>
        <v>Cream</v>
      </c>
      <c r="E970" s="4" t="s">
        <v>490</v>
      </c>
      <c r="F970" s="4" t="s">
        <v>7</v>
      </c>
      <c r="G970" s="4" t="str">
        <f t="shared" si="110"/>
        <v>Romper Longer</v>
      </c>
      <c r="H970" s="38">
        <f t="shared" si="113"/>
        <v>6</v>
      </c>
      <c r="I970" s="54">
        <f t="shared" si="112"/>
        <v>23</v>
      </c>
      <c r="J970" s="14" t="str">
        <f t="shared" si="115"/>
        <v>FathersDay</v>
      </c>
      <c r="K970" s="16" t="str">
        <f t="shared" si="111"/>
        <v>0-3</v>
      </c>
      <c r="L970" s="14" t="str">
        <f t="shared" si="116"/>
        <v>Romper Longer | 0-3 | Cream</v>
      </c>
      <c r="M970" s="16" t="s">
        <v>3609</v>
      </c>
    </row>
    <row r="971" spans="1:13" ht="25" customHeight="1" x14ac:dyDescent="0.45">
      <c r="A971" s="7">
        <v>46180</v>
      </c>
      <c r="B971" s="3" t="s">
        <v>541</v>
      </c>
      <c r="C971" s="4" t="s">
        <v>87</v>
      </c>
      <c r="D971" s="53" t="str">
        <f t="shared" si="114"/>
        <v>Cream</v>
      </c>
      <c r="E971" s="4" t="s">
        <v>471</v>
      </c>
      <c r="F971" s="57" t="s">
        <v>7</v>
      </c>
      <c r="G971" s="4" t="str">
        <f t="shared" si="110"/>
        <v>Romper Short</v>
      </c>
      <c r="H971" s="38">
        <f t="shared" si="113"/>
        <v>6</v>
      </c>
      <c r="I971" s="54">
        <f t="shared" si="112"/>
        <v>24</v>
      </c>
      <c r="J971" s="14" t="str">
        <f t="shared" si="115"/>
        <v>FathersDay</v>
      </c>
      <c r="K971" s="16" t="str">
        <f t="shared" si="111"/>
        <v>6-12</v>
      </c>
      <c r="L971" s="14" t="str">
        <f t="shared" si="116"/>
        <v>Romper Short | 6-12 | Cream</v>
      </c>
      <c r="M971" s="16" t="s">
        <v>3611</v>
      </c>
    </row>
    <row r="972" spans="1:13" ht="25" customHeight="1" x14ac:dyDescent="0.45">
      <c r="A972" s="7">
        <v>46180</v>
      </c>
      <c r="B972" s="3" t="s">
        <v>542</v>
      </c>
      <c r="C972" s="4" t="s">
        <v>87</v>
      </c>
      <c r="D972" s="53" t="str">
        <f t="shared" si="114"/>
        <v>Cream</v>
      </c>
      <c r="E972" s="4" t="s">
        <v>471</v>
      </c>
      <c r="F972" s="57"/>
      <c r="G972" s="4" t="str">
        <f t="shared" si="110"/>
        <v>Romper Short</v>
      </c>
      <c r="H972" s="38">
        <f t="shared" si="113"/>
        <v>6</v>
      </c>
      <c r="I972" s="54">
        <f t="shared" si="112"/>
        <v>24</v>
      </c>
      <c r="J972" s="14" t="str">
        <f t="shared" si="115"/>
        <v>FathersDay</v>
      </c>
      <c r="K972" s="16" t="str">
        <f t="shared" si="111"/>
        <v>6-12</v>
      </c>
      <c r="L972" s="14" t="str">
        <f t="shared" si="116"/>
        <v>Romper Short | 6-12 | Cream</v>
      </c>
      <c r="M972" s="16" t="s">
        <v>3611</v>
      </c>
    </row>
    <row r="973" spans="1:13" ht="25" customHeight="1" x14ac:dyDescent="0.45">
      <c r="A973" s="7">
        <v>46181</v>
      </c>
      <c r="B973" s="3" t="s">
        <v>543</v>
      </c>
      <c r="C973" s="4" t="s">
        <v>544</v>
      </c>
      <c r="D973" s="53" t="str">
        <f t="shared" si="114"/>
        <v xml:space="preserve"> Watermelon</v>
      </c>
      <c r="E973" s="4" t="s">
        <v>471</v>
      </c>
      <c r="F973" s="4" t="s">
        <v>7</v>
      </c>
      <c r="G973" s="4" t="str">
        <f t="shared" si="110"/>
        <v>Romper Short</v>
      </c>
      <c r="H973" s="38">
        <f t="shared" si="113"/>
        <v>6</v>
      </c>
      <c r="I973" s="54">
        <f t="shared" si="112"/>
        <v>24</v>
      </c>
      <c r="J973" s="14" t="str">
        <f t="shared" si="115"/>
        <v>FathersDay</v>
      </c>
      <c r="K973" s="16" t="str">
        <f t="shared" si="111"/>
        <v>6-12</v>
      </c>
      <c r="L973" s="14" t="str">
        <f t="shared" si="116"/>
        <v>Romper Short | 6-12 | Watermelon</v>
      </c>
      <c r="M973" s="16" t="s">
        <v>3610</v>
      </c>
    </row>
    <row r="974" spans="1:13" ht="25" customHeight="1" x14ac:dyDescent="0.45">
      <c r="A974" s="7">
        <v>46182</v>
      </c>
      <c r="B974" s="3" t="s">
        <v>545</v>
      </c>
      <c r="C974" s="4" t="s">
        <v>470</v>
      </c>
      <c r="D974" s="53" t="str">
        <f t="shared" si="114"/>
        <v>Caldet Blue</v>
      </c>
      <c r="E974" s="4" t="s">
        <v>477</v>
      </c>
      <c r="F974" s="4" t="s">
        <v>7</v>
      </c>
      <c r="G974" s="4" t="str">
        <f t="shared" si="110"/>
        <v>Romper Short</v>
      </c>
      <c r="H974" s="38">
        <f t="shared" si="113"/>
        <v>6</v>
      </c>
      <c r="I974" s="54">
        <f t="shared" si="112"/>
        <v>24</v>
      </c>
      <c r="J974" s="14" t="str">
        <f t="shared" si="115"/>
        <v>FathersDay</v>
      </c>
      <c r="K974" s="16" t="str">
        <f t="shared" si="111"/>
        <v>0-3</v>
      </c>
      <c r="L974" s="14" t="str">
        <f t="shared" si="116"/>
        <v>Romper Short | 0-3 | Caldet Blue</v>
      </c>
      <c r="M974" s="16" t="s">
        <v>3610</v>
      </c>
    </row>
    <row r="975" spans="1:13" ht="25" customHeight="1" x14ac:dyDescent="0.45">
      <c r="A975" s="7">
        <v>46183</v>
      </c>
      <c r="B975" s="3" t="s">
        <v>546</v>
      </c>
      <c r="C975" s="4" t="s">
        <v>528</v>
      </c>
      <c r="D975" s="53" t="str">
        <f t="shared" si="114"/>
        <v>Watermelon</v>
      </c>
      <c r="E975" s="4" t="s">
        <v>490</v>
      </c>
      <c r="F975" s="4" t="s">
        <v>7</v>
      </c>
      <c r="G975" s="4" t="str">
        <f t="shared" si="110"/>
        <v>Romper Longer</v>
      </c>
      <c r="H975" s="38">
        <f t="shared" si="113"/>
        <v>6</v>
      </c>
      <c r="I975" s="54">
        <f t="shared" si="112"/>
        <v>24</v>
      </c>
      <c r="J975" s="14" t="str">
        <f t="shared" si="115"/>
        <v>FathersDay</v>
      </c>
      <c r="K975" s="16" t="str">
        <f t="shared" si="111"/>
        <v>0-3</v>
      </c>
      <c r="L975" s="14" t="str">
        <f t="shared" si="116"/>
        <v>Romper Longer | 0-3 | Watermelon</v>
      </c>
      <c r="M975" s="16" t="s">
        <v>3610</v>
      </c>
    </row>
    <row r="976" spans="1:13" ht="25" customHeight="1" x14ac:dyDescent="0.45">
      <c r="A976" s="7">
        <v>46183</v>
      </c>
      <c r="B976" s="3" t="s">
        <v>547</v>
      </c>
      <c r="C976" s="4" t="s">
        <v>114</v>
      </c>
      <c r="D976" s="53" t="str">
        <f t="shared" si="114"/>
        <v>White</v>
      </c>
      <c r="E976" s="4" t="s">
        <v>479</v>
      </c>
      <c r="F976" s="4" t="s">
        <v>7</v>
      </c>
      <c r="G976" s="4" t="str">
        <f t="shared" ref="G976:G1039" si="117">IF(ISNUMBER(SEARCH("LONG",E976)),"Romper Longer",IF(ISNUMBER(SEARCH("SHORT",E976)),"Romper Short","Bodysuit"))</f>
        <v>Romper Longer</v>
      </c>
      <c r="H976" s="38">
        <f t="shared" si="113"/>
        <v>6</v>
      </c>
      <c r="I976" s="54">
        <f t="shared" si="112"/>
        <v>24</v>
      </c>
      <c r="J976" s="14" t="str">
        <f t="shared" si="115"/>
        <v>FathersDay</v>
      </c>
      <c r="K976" s="16" t="str">
        <f t="shared" si="111"/>
        <v>6-12</v>
      </c>
      <c r="L976" s="14" t="str">
        <f t="shared" si="116"/>
        <v>Romper Longer | 6-12 | White</v>
      </c>
      <c r="M976" s="16" t="s">
        <v>3610</v>
      </c>
    </row>
    <row r="977" spans="1:13" ht="25" customHeight="1" x14ac:dyDescent="0.45">
      <c r="A977" s="7">
        <v>46185</v>
      </c>
      <c r="B977" s="3" t="s">
        <v>548</v>
      </c>
      <c r="C977" s="4" t="s">
        <v>87</v>
      </c>
      <c r="D977" s="53" t="str">
        <f t="shared" si="114"/>
        <v>Cream</v>
      </c>
      <c r="E977" s="4" t="s">
        <v>471</v>
      </c>
      <c r="F977" s="4" t="s">
        <v>7</v>
      </c>
      <c r="G977" s="4" t="str">
        <f t="shared" si="117"/>
        <v>Romper Short</v>
      </c>
      <c r="H977" s="38">
        <f t="shared" si="113"/>
        <v>6</v>
      </c>
      <c r="I977" s="54">
        <f t="shared" si="112"/>
        <v>24</v>
      </c>
      <c r="J977" s="14" t="str">
        <f t="shared" si="115"/>
        <v>FathersDay</v>
      </c>
      <c r="K977" s="16" t="str">
        <f t="shared" si="111"/>
        <v>6-12</v>
      </c>
      <c r="L977" s="14" t="str">
        <f t="shared" si="116"/>
        <v>Romper Short | 6-12 | Cream</v>
      </c>
      <c r="M977" s="16" t="s">
        <v>3611</v>
      </c>
    </row>
    <row r="978" spans="1:13" ht="25" customHeight="1" x14ac:dyDescent="0.45">
      <c r="A978" s="7">
        <v>46185</v>
      </c>
      <c r="B978" s="3" t="s">
        <v>549</v>
      </c>
      <c r="C978" s="4" t="s">
        <v>87</v>
      </c>
      <c r="D978" s="53" t="str">
        <f t="shared" si="114"/>
        <v>Cream</v>
      </c>
      <c r="E978" s="4" t="s">
        <v>477</v>
      </c>
      <c r="F978" s="4" t="s">
        <v>7</v>
      </c>
      <c r="G978" s="4" t="str">
        <f t="shared" si="117"/>
        <v>Romper Short</v>
      </c>
      <c r="H978" s="38">
        <f t="shared" si="113"/>
        <v>6</v>
      </c>
      <c r="I978" s="54">
        <f t="shared" si="112"/>
        <v>24</v>
      </c>
      <c r="J978" s="14" t="str">
        <f t="shared" si="115"/>
        <v>FathersDay</v>
      </c>
      <c r="K978" s="16" t="str">
        <f t="shared" si="111"/>
        <v>0-3</v>
      </c>
      <c r="L978" s="14" t="str">
        <f t="shared" si="116"/>
        <v>Romper Short | 0-3 | Cream</v>
      </c>
      <c r="M978" s="16" t="s">
        <v>3609</v>
      </c>
    </row>
    <row r="979" spans="1:13" ht="25" customHeight="1" x14ac:dyDescent="0.45">
      <c r="A979" s="7">
        <v>46186</v>
      </c>
      <c r="B979" s="3" t="s">
        <v>550</v>
      </c>
      <c r="C979" s="4" t="s">
        <v>87</v>
      </c>
      <c r="D979" s="53" t="str">
        <f t="shared" si="114"/>
        <v>Cream</v>
      </c>
      <c r="E979" s="4" t="s">
        <v>485</v>
      </c>
      <c r="F979" s="4" t="s">
        <v>7</v>
      </c>
      <c r="G979" s="4" t="str">
        <f t="shared" si="117"/>
        <v>Romper Short</v>
      </c>
      <c r="H979" s="38">
        <f t="shared" si="113"/>
        <v>6</v>
      </c>
      <c r="I979" s="54">
        <f t="shared" si="112"/>
        <v>24</v>
      </c>
      <c r="J979" s="14" t="str">
        <f t="shared" si="115"/>
        <v>FathersDay</v>
      </c>
      <c r="K979" s="16" t="str">
        <f t="shared" si="111"/>
        <v>3-6</v>
      </c>
      <c r="L979" s="14" t="str">
        <f t="shared" si="116"/>
        <v>Romper Short | 3-6 | Cream</v>
      </c>
      <c r="M979" s="16" t="s">
        <v>3609</v>
      </c>
    </row>
    <row r="980" spans="1:13" ht="25" customHeight="1" x14ac:dyDescent="0.45">
      <c r="A980" s="7">
        <v>46187</v>
      </c>
      <c r="B980" s="3" t="s">
        <v>551</v>
      </c>
      <c r="C980" s="4" t="s">
        <v>508</v>
      </c>
      <c r="D980" s="53" t="str">
        <f t="shared" si="114"/>
        <v>Dusty Pink</v>
      </c>
      <c r="E980" s="4" t="s">
        <v>485</v>
      </c>
      <c r="F980" s="4" t="s">
        <v>7</v>
      </c>
      <c r="G980" s="4" t="str">
        <f t="shared" si="117"/>
        <v>Romper Short</v>
      </c>
      <c r="H980" s="38">
        <f t="shared" si="113"/>
        <v>6</v>
      </c>
      <c r="I980" s="54">
        <f t="shared" si="112"/>
        <v>25</v>
      </c>
      <c r="J980" s="14" t="str">
        <f t="shared" si="115"/>
        <v>FathersDay</v>
      </c>
      <c r="K980" s="16" t="str">
        <f t="shared" ref="K980:K1043" si="118">TRIM(LEFT(E980,FIND("(",E980&amp;"(")-2))</f>
        <v>3-6</v>
      </c>
      <c r="L980" s="14" t="str">
        <f t="shared" si="116"/>
        <v>Romper Short | 3-6 | Dusty Pink</v>
      </c>
      <c r="M980" s="16" t="s">
        <v>3610</v>
      </c>
    </row>
    <row r="981" spans="1:13" ht="25" customHeight="1" x14ac:dyDescent="0.45">
      <c r="A981" s="7">
        <v>46188</v>
      </c>
      <c r="B981" s="3" t="s">
        <v>552</v>
      </c>
      <c r="C981" s="4" t="s">
        <v>87</v>
      </c>
      <c r="D981" s="53" t="str">
        <f t="shared" si="114"/>
        <v>Cream</v>
      </c>
      <c r="E981" s="4" t="s">
        <v>490</v>
      </c>
      <c r="F981" s="4" t="s">
        <v>7</v>
      </c>
      <c r="G981" s="4" t="str">
        <f t="shared" si="117"/>
        <v>Romper Longer</v>
      </c>
      <c r="H981" s="38">
        <f t="shared" si="113"/>
        <v>6</v>
      </c>
      <c r="I981" s="54">
        <f t="shared" si="112"/>
        <v>25</v>
      </c>
      <c r="J981" s="14" t="str">
        <f t="shared" si="115"/>
        <v>FathersDay</v>
      </c>
      <c r="K981" s="16" t="str">
        <f t="shared" si="118"/>
        <v>0-3</v>
      </c>
      <c r="L981" s="14" t="str">
        <f t="shared" si="116"/>
        <v>Romper Longer | 0-3 | Cream</v>
      </c>
      <c r="M981" s="16" t="s">
        <v>3609</v>
      </c>
    </row>
    <row r="982" spans="1:13" ht="25" customHeight="1" x14ac:dyDescent="0.45">
      <c r="A982" s="7">
        <v>46033</v>
      </c>
      <c r="B982" s="3" t="s">
        <v>380</v>
      </c>
      <c r="C982" s="4" t="s">
        <v>79</v>
      </c>
      <c r="D982" s="53" t="str">
        <f t="shared" si="114"/>
        <v>White</v>
      </c>
      <c r="E982" s="4" t="s">
        <v>381</v>
      </c>
      <c r="F982" s="5" t="s">
        <v>7</v>
      </c>
      <c r="G982" s="4" t="str">
        <f t="shared" si="117"/>
        <v>Romper Longer</v>
      </c>
      <c r="H982" s="38">
        <f t="shared" si="113"/>
        <v>1</v>
      </c>
      <c r="I982" s="54">
        <f t="shared" si="112"/>
        <v>3</v>
      </c>
      <c r="J982" s="14" t="str">
        <f t="shared" si="115"/>
        <v>NewYear</v>
      </c>
      <c r="K982" s="16" t="str">
        <f t="shared" si="118"/>
        <v>18-24</v>
      </c>
      <c r="L982" s="14" t="str">
        <f t="shared" si="116"/>
        <v>Romper Longer | 18-24 | White</v>
      </c>
      <c r="M982" s="16" t="s">
        <v>3610</v>
      </c>
    </row>
    <row r="983" spans="1:13" ht="25" customHeight="1" x14ac:dyDescent="0.45">
      <c r="A983" s="7">
        <v>46036</v>
      </c>
      <c r="B983" s="3" t="s">
        <v>382</v>
      </c>
      <c r="C983" s="4" t="s">
        <v>81</v>
      </c>
      <c r="D983" s="53" t="str">
        <f t="shared" si="114"/>
        <v>Dusty Pink</v>
      </c>
      <c r="E983" s="4" t="s">
        <v>88</v>
      </c>
      <c r="F983" s="5" t="s">
        <v>7</v>
      </c>
      <c r="G983" s="4" t="str">
        <f t="shared" si="117"/>
        <v>Romper Longer</v>
      </c>
      <c r="H983" s="38">
        <f t="shared" si="113"/>
        <v>1</v>
      </c>
      <c r="I983" s="54">
        <f t="shared" si="112"/>
        <v>3</v>
      </c>
      <c r="J983" s="14" t="str">
        <f t="shared" si="115"/>
        <v>NewYear</v>
      </c>
      <c r="K983" s="16" t="str">
        <f t="shared" si="118"/>
        <v>0-3</v>
      </c>
      <c r="L983" s="14" t="str">
        <f t="shared" si="116"/>
        <v>Romper Longer | 0-3 | Dusty Pink</v>
      </c>
      <c r="M983" s="16" t="s">
        <v>3610</v>
      </c>
    </row>
    <row r="984" spans="1:13" ht="25" customHeight="1" x14ac:dyDescent="0.45">
      <c r="A984" s="7">
        <v>46185</v>
      </c>
      <c r="B984" s="3" t="s">
        <v>383</v>
      </c>
      <c r="C984" s="4" t="s">
        <v>224</v>
      </c>
      <c r="D984" s="53" t="str">
        <f t="shared" si="114"/>
        <v>Salmon</v>
      </c>
      <c r="E984" s="4" t="s">
        <v>72</v>
      </c>
      <c r="F984" s="5" t="s">
        <v>7</v>
      </c>
      <c r="G984" s="4" t="str">
        <f t="shared" si="117"/>
        <v>Romper Short</v>
      </c>
      <c r="H984" s="38">
        <f t="shared" si="113"/>
        <v>6</v>
      </c>
      <c r="I984" s="54">
        <f t="shared" si="112"/>
        <v>24</v>
      </c>
      <c r="J984" s="14" t="str">
        <f t="shared" si="115"/>
        <v>FathersDay</v>
      </c>
      <c r="K984" s="16" t="str">
        <f t="shared" si="118"/>
        <v>3-6</v>
      </c>
      <c r="L984" s="14" t="str">
        <f t="shared" si="116"/>
        <v>Romper Short | 3-6 | Salmon</v>
      </c>
      <c r="M984" s="16" t="s">
        <v>3610</v>
      </c>
    </row>
    <row r="985" spans="1:13" ht="25" customHeight="1" x14ac:dyDescent="0.45">
      <c r="A985" s="7">
        <v>46038</v>
      </c>
      <c r="B985" s="3" t="s">
        <v>384</v>
      </c>
      <c r="C985" s="4" t="s">
        <v>79</v>
      </c>
      <c r="D985" s="53" t="str">
        <f t="shared" si="114"/>
        <v>White</v>
      </c>
      <c r="E985" s="4" t="s">
        <v>72</v>
      </c>
      <c r="F985" s="5" t="s">
        <v>7</v>
      </c>
      <c r="G985" s="4" t="str">
        <f t="shared" si="117"/>
        <v>Romper Short</v>
      </c>
      <c r="H985" s="38">
        <f t="shared" si="113"/>
        <v>1</v>
      </c>
      <c r="I985" s="54">
        <f t="shared" si="112"/>
        <v>3</v>
      </c>
      <c r="J985" s="14" t="str">
        <f t="shared" si="115"/>
        <v>NewYear</v>
      </c>
      <c r="K985" s="16" t="str">
        <f t="shared" si="118"/>
        <v>3-6</v>
      </c>
      <c r="L985" s="14" t="str">
        <f t="shared" si="116"/>
        <v>Romper Short | 3-6 | White</v>
      </c>
      <c r="M985" s="16" t="s">
        <v>3610</v>
      </c>
    </row>
    <row r="986" spans="1:13" ht="25" customHeight="1" x14ac:dyDescent="0.45">
      <c r="A986" s="7">
        <v>46038</v>
      </c>
      <c r="B986" s="3" t="s">
        <v>385</v>
      </c>
      <c r="C986" s="4" t="s">
        <v>9</v>
      </c>
      <c r="D986" s="53" t="str">
        <f t="shared" si="114"/>
        <v>Cream</v>
      </c>
      <c r="E986" s="4" t="s">
        <v>72</v>
      </c>
      <c r="F986" s="5" t="s">
        <v>7</v>
      </c>
      <c r="G986" s="4" t="str">
        <f t="shared" si="117"/>
        <v>Romper Short</v>
      </c>
      <c r="H986" s="38">
        <f t="shared" si="113"/>
        <v>1</v>
      </c>
      <c r="I986" s="54">
        <f t="shared" si="112"/>
        <v>3</v>
      </c>
      <c r="J986" s="14" t="str">
        <f t="shared" si="115"/>
        <v>NewYear</v>
      </c>
      <c r="K986" s="16" t="str">
        <f t="shared" si="118"/>
        <v>3-6</v>
      </c>
      <c r="L986" s="14" t="str">
        <f t="shared" si="116"/>
        <v>Romper Short | 3-6 | Cream</v>
      </c>
      <c r="M986" s="16" t="s">
        <v>3609</v>
      </c>
    </row>
    <row r="987" spans="1:13" ht="25" customHeight="1" x14ac:dyDescent="0.45">
      <c r="A987" s="7">
        <v>46038</v>
      </c>
      <c r="B987" s="3" t="s">
        <v>386</v>
      </c>
      <c r="C987" s="4" t="s">
        <v>71</v>
      </c>
      <c r="D987" s="53" t="str">
        <f t="shared" si="114"/>
        <v>Coffee</v>
      </c>
      <c r="E987" s="4" t="s">
        <v>75</v>
      </c>
      <c r="F987" s="5" t="s">
        <v>7</v>
      </c>
      <c r="G987" s="4" t="str">
        <f t="shared" si="117"/>
        <v>Romper Longer</v>
      </c>
      <c r="H987" s="38">
        <f t="shared" si="113"/>
        <v>1</v>
      </c>
      <c r="I987" s="54">
        <f t="shared" si="112"/>
        <v>3</v>
      </c>
      <c r="J987" s="14" t="str">
        <f t="shared" si="115"/>
        <v>NewYear</v>
      </c>
      <c r="K987" s="16" t="str">
        <f t="shared" si="118"/>
        <v>3-6</v>
      </c>
      <c r="L987" s="14" t="str">
        <f t="shared" si="116"/>
        <v>Romper Longer | 3-6 | Coffee</v>
      </c>
      <c r="M987" s="16" t="s">
        <v>3610</v>
      </c>
    </row>
    <row r="988" spans="1:13" ht="25" customHeight="1" x14ac:dyDescent="0.45">
      <c r="A988" s="7">
        <v>46043</v>
      </c>
      <c r="B988" s="3" t="s">
        <v>387</v>
      </c>
      <c r="C988" s="4" t="s">
        <v>79</v>
      </c>
      <c r="D988" s="53" t="str">
        <f t="shared" si="114"/>
        <v>White</v>
      </c>
      <c r="E988" s="4" t="s">
        <v>154</v>
      </c>
      <c r="F988" s="5" t="s">
        <v>7</v>
      </c>
      <c r="G988" s="4" t="str">
        <f t="shared" si="117"/>
        <v>Romper Longer</v>
      </c>
      <c r="H988" s="38">
        <f t="shared" si="113"/>
        <v>1</v>
      </c>
      <c r="I988" s="54">
        <f t="shared" si="112"/>
        <v>4</v>
      </c>
      <c r="J988" s="14" t="str">
        <f t="shared" si="115"/>
        <v>NewYear</v>
      </c>
      <c r="K988" s="16" t="str">
        <f t="shared" si="118"/>
        <v>12-18</v>
      </c>
      <c r="L988" s="14" t="str">
        <f t="shared" si="116"/>
        <v>Romper Longer | 12-18 | White</v>
      </c>
      <c r="M988" s="16" t="s">
        <v>3610</v>
      </c>
    </row>
    <row r="989" spans="1:13" ht="25" customHeight="1" x14ac:dyDescent="0.45">
      <c r="A989" s="7">
        <v>46044</v>
      </c>
      <c r="B989" s="3" t="s">
        <v>388</v>
      </c>
      <c r="C989" s="4" t="s">
        <v>79</v>
      </c>
      <c r="D989" s="53" t="str">
        <f t="shared" si="114"/>
        <v>White</v>
      </c>
      <c r="E989" s="4" t="s">
        <v>94</v>
      </c>
      <c r="F989" s="5" t="s">
        <v>7</v>
      </c>
      <c r="G989" s="4" t="str">
        <f t="shared" si="117"/>
        <v>Romper Longer</v>
      </c>
      <c r="H989" s="38">
        <f t="shared" si="113"/>
        <v>1</v>
      </c>
      <c r="I989" s="54">
        <f t="shared" si="112"/>
        <v>4</v>
      </c>
      <c r="J989" s="14" t="str">
        <f t="shared" si="115"/>
        <v>NewYear</v>
      </c>
      <c r="K989" s="16" t="str">
        <f t="shared" si="118"/>
        <v>6-12</v>
      </c>
      <c r="L989" s="14" t="str">
        <f t="shared" si="116"/>
        <v>Romper Longer | 6-12 | White</v>
      </c>
      <c r="M989" s="16" t="s">
        <v>3610</v>
      </c>
    </row>
    <row r="990" spans="1:13" ht="25" customHeight="1" x14ac:dyDescent="0.45">
      <c r="A990" s="7">
        <v>46045</v>
      </c>
      <c r="B990" s="3" t="s">
        <v>389</v>
      </c>
      <c r="C990" s="4" t="s">
        <v>224</v>
      </c>
      <c r="D990" s="53" t="str">
        <f t="shared" si="114"/>
        <v>Salmon</v>
      </c>
      <c r="E990" s="4" t="s">
        <v>82</v>
      </c>
      <c r="F990" s="58" t="s">
        <v>7</v>
      </c>
      <c r="G990" s="4" t="str">
        <f t="shared" si="117"/>
        <v>Romper Short</v>
      </c>
      <c r="H990" s="38">
        <f t="shared" si="113"/>
        <v>1</v>
      </c>
      <c r="I990" s="54">
        <f t="shared" si="112"/>
        <v>4</v>
      </c>
      <c r="J990" s="14" t="str">
        <f t="shared" si="115"/>
        <v>NewYear</v>
      </c>
      <c r="K990" s="16" t="str">
        <f t="shared" si="118"/>
        <v>0-3</v>
      </c>
      <c r="L990" s="14" t="str">
        <f t="shared" si="116"/>
        <v>Romper Short | 0-3 | Salmon</v>
      </c>
      <c r="M990" s="16" t="s">
        <v>3610</v>
      </c>
    </row>
    <row r="991" spans="1:13" ht="25" customHeight="1" x14ac:dyDescent="0.45">
      <c r="A991" s="7">
        <v>46045</v>
      </c>
      <c r="B991" s="3" t="s">
        <v>390</v>
      </c>
      <c r="C991" s="4" t="s">
        <v>81</v>
      </c>
      <c r="D991" s="53" t="str">
        <f t="shared" si="114"/>
        <v>Dusty Pink</v>
      </c>
      <c r="E991" s="4" t="s">
        <v>82</v>
      </c>
      <c r="F991" s="58"/>
      <c r="G991" s="4" t="str">
        <f t="shared" si="117"/>
        <v>Romper Short</v>
      </c>
      <c r="H991" s="38">
        <f t="shared" si="113"/>
        <v>1</v>
      </c>
      <c r="I991" s="54">
        <f t="shared" si="112"/>
        <v>4</v>
      </c>
      <c r="J991" s="14" t="str">
        <f t="shared" si="115"/>
        <v>NewYear</v>
      </c>
      <c r="K991" s="16" t="str">
        <f t="shared" si="118"/>
        <v>0-3</v>
      </c>
      <c r="L991" s="14" t="str">
        <f t="shared" si="116"/>
        <v>Romper Short | 0-3 | Dusty Pink</v>
      </c>
      <c r="M991" s="16" t="s">
        <v>3610</v>
      </c>
    </row>
    <row r="992" spans="1:13" ht="25" customHeight="1" x14ac:dyDescent="0.45">
      <c r="A992" s="7">
        <v>46048</v>
      </c>
      <c r="B992" s="3" t="s">
        <v>391</v>
      </c>
      <c r="C992" s="4" t="s">
        <v>81</v>
      </c>
      <c r="D992" s="53" t="str">
        <f t="shared" si="114"/>
        <v>Dusty Pink</v>
      </c>
      <c r="E992" s="4" t="s">
        <v>72</v>
      </c>
      <c r="F992" s="5" t="s">
        <v>13</v>
      </c>
      <c r="G992" s="4" t="str">
        <f t="shared" si="117"/>
        <v>Romper Short</v>
      </c>
      <c r="H992" s="38">
        <f t="shared" si="113"/>
        <v>1</v>
      </c>
      <c r="I992" s="54">
        <f t="shared" si="112"/>
        <v>5</v>
      </c>
      <c r="J992" s="14" t="str">
        <f t="shared" si="115"/>
        <v>NewYear</v>
      </c>
      <c r="K992" s="16" t="str">
        <f t="shared" si="118"/>
        <v>3-6</v>
      </c>
      <c r="L992" s="14" t="str">
        <f t="shared" si="116"/>
        <v>Romper Short | 3-6 | Dusty Pink</v>
      </c>
      <c r="M992" s="16" t="s">
        <v>3610</v>
      </c>
    </row>
    <row r="993" spans="1:13" ht="25" customHeight="1" x14ac:dyDescent="0.45">
      <c r="A993" s="7">
        <v>46049</v>
      </c>
      <c r="B993" s="3" t="s">
        <v>392</v>
      </c>
      <c r="C993" s="4" t="s">
        <v>81</v>
      </c>
      <c r="D993" s="53" t="str">
        <f t="shared" si="114"/>
        <v>Dusty Pink</v>
      </c>
      <c r="E993" s="4" t="s">
        <v>169</v>
      </c>
      <c r="F993" s="5" t="s">
        <v>7</v>
      </c>
      <c r="G993" s="4" t="str">
        <f t="shared" si="117"/>
        <v>Romper Short</v>
      </c>
      <c r="H993" s="38">
        <f t="shared" si="113"/>
        <v>1</v>
      </c>
      <c r="I993" s="54">
        <f t="shared" si="112"/>
        <v>5</v>
      </c>
      <c r="J993" s="14" t="str">
        <f t="shared" si="115"/>
        <v>NewYear</v>
      </c>
      <c r="K993" s="16" t="str">
        <f t="shared" si="118"/>
        <v>18-24</v>
      </c>
      <c r="L993" s="14" t="str">
        <f t="shared" si="116"/>
        <v>Romper Short | 18-24 | Dusty Pink</v>
      </c>
      <c r="M993" s="16" t="s">
        <v>3610</v>
      </c>
    </row>
    <row r="994" spans="1:13" ht="25" customHeight="1" x14ac:dyDescent="0.45">
      <c r="A994" s="7">
        <v>46050</v>
      </c>
      <c r="B994" s="3" t="s">
        <v>393</v>
      </c>
      <c r="C994" s="4" t="s">
        <v>224</v>
      </c>
      <c r="D994" s="53" t="str">
        <f t="shared" si="114"/>
        <v>Salmon</v>
      </c>
      <c r="E994" s="4" t="s">
        <v>75</v>
      </c>
      <c r="F994" s="5" t="s">
        <v>7</v>
      </c>
      <c r="G994" s="4" t="str">
        <f t="shared" si="117"/>
        <v>Romper Longer</v>
      </c>
      <c r="H994" s="38">
        <f t="shared" si="113"/>
        <v>1</v>
      </c>
      <c r="I994" s="54">
        <f t="shared" si="112"/>
        <v>5</v>
      </c>
      <c r="J994" s="14" t="str">
        <f t="shared" si="115"/>
        <v>NewYear</v>
      </c>
      <c r="K994" s="16" t="str">
        <f t="shared" si="118"/>
        <v>3-6</v>
      </c>
      <c r="L994" s="14" t="str">
        <f t="shared" si="116"/>
        <v>Romper Longer | 3-6 | Salmon</v>
      </c>
      <c r="M994" s="16" t="s">
        <v>3610</v>
      </c>
    </row>
    <row r="995" spans="1:13" ht="25" customHeight="1" x14ac:dyDescent="0.45">
      <c r="A995" s="7">
        <v>46051</v>
      </c>
      <c r="B995" s="3" t="s">
        <v>394</v>
      </c>
      <c r="C995" s="4" t="s">
        <v>9</v>
      </c>
      <c r="D995" s="53" t="str">
        <f t="shared" si="114"/>
        <v>Cream</v>
      </c>
      <c r="E995" s="4" t="s">
        <v>154</v>
      </c>
      <c r="F995" s="5" t="s">
        <v>7</v>
      </c>
      <c r="G995" s="4" t="str">
        <f t="shared" si="117"/>
        <v>Romper Longer</v>
      </c>
      <c r="H995" s="38">
        <f t="shared" si="113"/>
        <v>1</v>
      </c>
      <c r="I995" s="54">
        <f t="shared" si="112"/>
        <v>5</v>
      </c>
      <c r="J995" s="14" t="str">
        <f t="shared" si="115"/>
        <v>NewYear</v>
      </c>
      <c r="K995" s="16" t="str">
        <f t="shared" si="118"/>
        <v>12-18</v>
      </c>
      <c r="L995" s="14" t="str">
        <f t="shared" si="116"/>
        <v>Romper Longer | 12-18 | Cream</v>
      </c>
      <c r="M995" s="16" t="s">
        <v>3610</v>
      </c>
    </row>
    <row r="996" spans="1:13" ht="25" customHeight="1" x14ac:dyDescent="0.45">
      <c r="A996" s="7">
        <v>46051</v>
      </c>
      <c r="B996" s="3" t="s">
        <v>395</v>
      </c>
      <c r="C996" s="4" t="s">
        <v>110</v>
      </c>
      <c r="D996" s="53" t="str">
        <f t="shared" si="114"/>
        <v>Sage Green</v>
      </c>
      <c r="E996" s="4" t="s">
        <v>94</v>
      </c>
      <c r="F996" s="5" t="s">
        <v>7</v>
      </c>
      <c r="G996" s="4" t="str">
        <f t="shared" si="117"/>
        <v>Romper Longer</v>
      </c>
      <c r="H996" s="38">
        <f t="shared" si="113"/>
        <v>1</v>
      </c>
      <c r="I996" s="54">
        <f t="shared" si="112"/>
        <v>5</v>
      </c>
      <c r="J996" s="14" t="str">
        <f t="shared" si="115"/>
        <v>NewYear</v>
      </c>
      <c r="K996" s="16" t="str">
        <f t="shared" si="118"/>
        <v>6-12</v>
      </c>
      <c r="L996" s="14" t="str">
        <f t="shared" si="116"/>
        <v>Romper Longer | 6-12 | Sage Green</v>
      </c>
      <c r="M996" s="16" t="s">
        <v>3610</v>
      </c>
    </row>
    <row r="997" spans="1:13" ht="25" customHeight="1" x14ac:dyDescent="0.45">
      <c r="A997" s="7">
        <v>46053</v>
      </c>
      <c r="B997" s="3" t="s">
        <v>396</v>
      </c>
      <c r="C997" s="4" t="s">
        <v>71</v>
      </c>
      <c r="D997" s="53" t="str">
        <f t="shared" si="114"/>
        <v>Coffee</v>
      </c>
      <c r="E997" s="4" t="s">
        <v>88</v>
      </c>
      <c r="F997" s="5" t="s">
        <v>7</v>
      </c>
      <c r="G997" s="4" t="str">
        <f t="shared" si="117"/>
        <v>Romper Longer</v>
      </c>
      <c r="H997" s="38">
        <f t="shared" si="113"/>
        <v>1</v>
      </c>
      <c r="I997" s="54">
        <f t="shared" ref="I997:I1060" si="119">WEEKNUM(A997)</f>
        <v>5</v>
      </c>
      <c r="J997" s="14" t="str">
        <f t="shared" si="115"/>
        <v>NewYear</v>
      </c>
      <c r="K997" s="16" t="str">
        <f t="shared" si="118"/>
        <v>0-3</v>
      </c>
      <c r="L997" s="14" t="str">
        <f t="shared" si="116"/>
        <v>Romper Longer | 0-3 | Coffee</v>
      </c>
      <c r="M997" s="16" t="s">
        <v>3610</v>
      </c>
    </row>
    <row r="998" spans="1:13" ht="25" customHeight="1" x14ac:dyDescent="0.45">
      <c r="A998" s="7">
        <v>46057</v>
      </c>
      <c r="B998" s="3" t="s">
        <v>397</v>
      </c>
      <c r="C998" s="4" t="s">
        <v>9</v>
      </c>
      <c r="D998" s="53" t="str">
        <f t="shared" si="114"/>
        <v>Cream</v>
      </c>
      <c r="E998" s="4" t="s">
        <v>94</v>
      </c>
      <c r="F998" s="5" t="s">
        <v>7</v>
      </c>
      <c r="G998" s="4" t="str">
        <f t="shared" si="117"/>
        <v>Romper Longer</v>
      </c>
      <c r="H998" s="38">
        <f t="shared" si="113"/>
        <v>2</v>
      </c>
      <c r="I998" s="54">
        <f t="shared" si="119"/>
        <v>6</v>
      </c>
      <c r="J998" s="14" t="str">
        <f t="shared" si="115"/>
        <v>Valentine</v>
      </c>
      <c r="K998" s="16" t="str">
        <f t="shared" si="118"/>
        <v>6-12</v>
      </c>
      <c r="L998" s="14" t="str">
        <f t="shared" si="116"/>
        <v>Romper Longer | 6-12 | Cream</v>
      </c>
      <c r="M998" s="16" t="s">
        <v>3611</v>
      </c>
    </row>
    <row r="999" spans="1:13" ht="25" customHeight="1" x14ac:dyDescent="0.45">
      <c r="A999" s="7">
        <v>46058</v>
      </c>
      <c r="B999" s="3" t="s">
        <v>398</v>
      </c>
      <c r="C999" s="4" t="s">
        <v>79</v>
      </c>
      <c r="D999" s="53" t="str">
        <f t="shared" si="114"/>
        <v>White</v>
      </c>
      <c r="E999" s="4" t="s">
        <v>399</v>
      </c>
      <c r="F999" s="5" t="s">
        <v>7</v>
      </c>
      <c r="G999" s="4" t="str">
        <f t="shared" si="117"/>
        <v>Romper Longer</v>
      </c>
      <c r="H999" s="38">
        <f t="shared" si="113"/>
        <v>2</v>
      </c>
      <c r="I999" s="54">
        <f t="shared" si="119"/>
        <v>6</v>
      </c>
      <c r="J999" s="14" t="str">
        <f t="shared" si="115"/>
        <v>Valentine</v>
      </c>
      <c r="K999" s="16" t="str">
        <f t="shared" si="118"/>
        <v>6-12</v>
      </c>
      <c r="L999" s="14" t="str">
        <f t="shared" si="116"/>
        <v>Romper Longer | 6-12 | White</v>
      </c>
      <c r="M999" s="16" t="s">
        <v>3610</v>
      </c>
    </row>
    <row r="1000" spans="1:13" ht="25" customHeight="1" x14ac:dyDescent="0.45">
      <c r="A1000" s="7">
        <v>46058</v>
      </c>
      <c r="B1000" s="3" t="s">
        <v>400</v>
      </c>
      <c r="C1000" s="4" t="s">
        <v>81</v>
      </c>
      <c r="D1000" s="53" t="str">
        <f t="shared" si="114"/>
        <v>Dusty Pink</v>
      </c>
      <c r="E1000" s="4" t="s">
        <v>82</v>
      </c>
      <c r="F1000" s="5" t="s">
        <v>7</v>
      </c>
      <c r="G1000" s="4" t="str">
        <f t="shared" si="117"/>
        <v>Romper Short</v>
      </c>
      <c r="H1000" s="38">
        <f t="shared" si="113"/>
        <v>2</v>
      </c>
      <c r="I1000" s="54">
        <f t="shared" si="119"/>
        <v>6</v>
      </c>
      <c r="J1000" s="14" t="str">
        <f t="shared" si="115"/>
        <v>Valentine</v>
      </c>
      <c r="K1000" s="16" t="str">
        <f t="shared" si="118"/>
        <v>0-3</v>
      </c>
      <c r="L1000" s="14" t="str">
        <f t="shared" si="116"/>
        <v>Romper Short | 0-3 | Dusty Pink</v>
      </c>
      <c r="M1000" s="16" t="s">
        <v>3610</v>
      </c>
    </row>
    <row r="1001" spans="1:13" ht="25" customHeight="1" x14ac:dyDescent="0.45">
      <c r="A1001" s="7">
        <v>46059</v>
      </c>
      <c r="B1001" s="3" t="s">
        <v>401</v>
      </c>
      <c r="C1001" s="4" t="s">
        <v>110</v>
      </c>
      <c r="D1001" s="53" t="str">
        <f t="shared" si="114"/>
        <v>Sage Green</v>
      </c>
      <c r="E1001" s="4" t="s">
        <v>72</v>
      </c>
      <c r="F1001" s="5" t="s">
        <v>7</v>
      </c>
      <c r="G1001" s="4" t="str">
        <f t="shared" si="117"/>
        <v>Romper Short</v>
      </c>
      <c r="H1001" s="38">
        <f t="shared" si="113"/>
        <v>2</v>
      </c>
      <c r="I1001" s="54">
        <f t="shared" si="119"/>
        <v>6</v>
      </c>
      <c r="J1001" s="14" t="str">
        <f t="shared" si="115"/>
        <v>Valentine</v>
      </c>
      <c r="K1001" s="16" t="str">
        <f t="shared" si="118"/>
        <v>3-6</v>
      </c>
      <c r="L1001" s="14" t="str">
        <f t="shared" si="116"/>
        <v>Romper Short | 3-6 | Sage Green</v>
      </c>
      <c r="M1001" s="16" t="s">
        <v>3611</v>
      </c>
    </row>
    <row r="1002" spans="1:13" ht="25" customHeight="1" x14ac:dyDescent="0.45">
      <c r="A1002" s="7">
        <v>46059</v>
      </c>
      <c r="B1002" s="3" t="s">
        <v>402</v>
      </c>
      <c r="C1002" s="4" t="s">
        <v>76</v>
      </c>
      <c r="D1002" s="53" t="str">
        <f t="shared" si="114"/>
        <v>Caldet Blue</v>
      </c>
      <c r="E1002" s="4" t="s">
        <v>82</v>
      </c>
      <c r="F1002" s="5" t="s">
        <v>18</v>
      </c>
      <c r="G1002" s="4" t="str">
        <f t="shared" si="117"/>
        <v>Romper Short</v>
      </c>
      <c r="H1002" s="38">
        <f t="shared" si="113"/>
        <v>2</v>
      </c>
      <c r="I1002" s="54">
        <f t="shared" si="119"/>
        <v>6</v>
      </c>
      <c r="J1002" s="14" t="str">
        <f t="shared" si="115"/>
        <v>Valentine</v>
      </c>
      <c r="K1002" s="16" t="str">
        <f t="shared" si="118"/>
        <v>0-3</v>
      </c>
      <c r="L1002" s="14" t="str">
        <f t="shared" si="116"/>
        <v>Romper Short | 0-3 | Caldet Blue</v>
      </c>
      <c r="M1002" s="16" t="s">
        <v>3610</v>
      </c>
    </row>
    <row r="1003" spans="1:13" ht="25" customHeight="1" x14ac:dyDescent="0.45">
      <c r="A1003" s="7">
        <v>46061</v>
      </c>
      <c r="B1003" s="3" t="s">
        <v>403</v>
      </c>
      <c r="C1003" s="4" t="s">
        <v>81</v>
      </c>
      <c r="D1003" s="53" t="str">
        <f t="shared" si="114"/>
        <v>Dusty Pink</v>
      </c>
      <c r="E1003" s="4" t="s">
        <v>90</v>
      </c>
      <c r="F1003" s="5" t="s">
        <v>7</v>
      </c>
      <c r="G1003" s="4" t="str">
        <f t="shared" si="117"/>
        <v>Romper Short</v>
      </c>
      <c r="H1003" s="38">
        <f t="shared" si="113"/>
        <v>2</v>
      </c>
      <c r="I1003" s="54">
        <f t="shared" si="119"/>
        <v>7</v>
      </c>
      <c r="J1003" s="14" t="str">
        <f t="shared" si="115"/>
        <v>Valentine</v>
      </c>
      <c r="K1003" s="16" t="str">
        <f t="shared" si="118"/>
        <v>6-12</v>
      </c>
      <c r="L1003" s="14" t="str">
        <f t="shared" si="116"/>
        <v>Romper Short | 6-12 | Dusty Pink</v>
      </c>
      <c r="M1003" s="16" t="s">
        <v>3610</v>
      </c>
    </row>
    <row r="1004" spans="1:13" ht="25" customHeight="1" x14ac:dyDescent="0.45">
      <c r="A1004" s="7">
        <v>46062</v>
      </c>
      <c r="B1004" s="3" t="s">
        <v>404</v>
      </c>
      <c r="C1004" s="4" t="s">
        <v>79</v>
      </c>
      <c r="D1004" s="53" t="str">
        <f t="shared" si="114"/>
        <v>White</v>
      </c>
      <c r="E1004" s="4" t="s">
        <v>82</v>
      </c>
      <c r="F1004" s="5" t="s">
        <v>7</v>
      </c>
      <c r="G1004" s="4" t="str">
        <f t="shared" si="117"/>
        <v>Romper Short</v>
      </c>
      <c r="H1004" s="38">
        <f t="shared" si="113"/>
        <v>2</v>
      </c>
      <c r="I1004" s="54">
        <f t="shared" si="119"/>
        <v>7</v>
      </c>
      <c r="J1004" s="14" t="str">
        <f t="shared" si="115"/>
        <v>Valentine</v>
      </c>
      <c r="K1004" s="16" t="str">
        <f t="shared" si="118"/>
        <v>0-3</v>
      </c>
      <c r="L1004" s="14" t="str">
        <f t="shared" si="116"/>
        <v>Romper Short | 0-3 | White</v>
      </c>
      <c r="M1004" s="16" t="s">
        <v>3610</v>
      </c>
    </row>
    <row r="1005" spans="1:13" ht="25" customHeight="1" x14ac:dyDescent="0.45">
      <c r="A1005" s="7">
        <v>46062</v>
      </c>
      <c r="B1005" s="3" t="s">
        <v>405</v>
      </c>
      <c r="C1005" s="4" t="s">
        <v>85</v>
      </c>
      <c r="D1005" s="53" t="str">
        <f t="shared" si="114"/>
        <v>Forest Green</v>
      </c>
      <c r="E1005" s="4" t="s">
        <v>94</v>
      </c>
      <c r="F1005" s="5" t="s">
        <v>13</v>
      </c>
      <c r="G1005" s="4" t="str">
        <f t="shared" si="117"/>
        <v>Romper Longer</v>
      </c>
      <c r="H1005" s="38">
        <f t="shared" si="113"/>
        <v>2</v>
      </c>
      <c r="I1005" s="54">
        <f t="shared" si="119"/>
        <v>7</v>
      </c>
      <c r="J1005" s="14" t="str">
        <f t="shared" si="115"/>
        <v>Valentine</v>
      </c>
      <c r="K1005" s="16" t="str">
        <f t="shared" si="118"/>
        <v>6-12</v>
      </c>
      <c r="L1005" s="14" t="str">
        <f t="shared" si="116"/>
        <v>Romper Longer | 6-12 | Forest Green</v>
      </c>
      <c r="M1005" s="16" t="s">
        <v>3610</v>
      </c>
    </row>
    <row r="1006" spans="1:13" ht="25" customHeight="1" x14ac:dyDescent="0.45">
      <c r="A1006" s="7">
        <v>46063</v>
      </c>
      <c r="B1006" s="3" t="s">
        <v>406</v>
      </c>
      <c r="C1006" s="4" t="s">
        <v>407</v>
      </c>
      <c r="D1006" s="53" t="str">
        <f t="shared" si="114"/>
        <v>Texas Orange</v>
      </c>
      <c r="E1006" s="4" t="s">
        <v>75</v>
      </c>
      <c r="F1006" s="5" t="s">
        <v>7</v>
      </c>
      <c r="G1006" s="4" t="str">
        <f t="shared" si="117"/>
        <v>Romper Longer</v>
      </c>
      <c r="H1006" s="38">
        <f t="shared" si="113"/>
        <v>2</v>
      </c>
      <c r="I1006" s="54">
        <f t="shared" si="119"/>
        <v>7</v>
      </c>
      <c r="J1006" s="14" t="str">
        <f t="shared" si="115"/>
        <v>Valentine</v>
      </c>
      <c r="K1006" s="16" t="str">
        <f t="shared" si="118"/>
        <v>3-6</v>
      </c>
      <c r="L1006" s="14" t="str">
        <f t="shared" si="116"/>
        <v>Romper Longer | 3-6 | Texas Orange</v>
      </c>
      <c r="M1006" s="16" t="s">
        <v>3610</v>
      </c>
    </row>
    <row r="1007" spans="1:13" ht="25" customHeight="1" x14ac:dyDescent="0.45">
      <c r="A1007" s="7">
        <v>46066</v>
      </c>
      <c r="B1007" s="3" t="s">
        <v>408</v>
      </c>
      <c r="C1007" s="4" t="s">
        <v>71</v>
      </c>
      <c r="D1007" s="53" t="str">
        <f t="shared" si="114"/>
        <v>Coffee</v>
      </c>
      <c r="E1007" s="4" t="s">
        <v>72</v>
      </c>
      <c r="F1007" s="5" t="s">
        <v>7</v>
      </c>
      <c r="G1007" s="4" t="str">
        <f t="shared" si="117"/>
        <v>Romper Short</v>
      </c>
      <c r="H1007" s="38">
        <f t="shared" si="113"/>
        <v>2</v>
      </c>
      <c r="I1007" s="54">
        <f t="shared" si="119"/>
        <v>7</v>
      </c>
      <c r="J1007" s="14" t="str">
        <f t="shared" si="115"/>
        <v>Valentine</v>
      </c>
      <c r="K1007" s="16" t="str">
        <f t="shared" si="118"/>
        <v>3-6</v>
      </c>
      <c r="L1007" s="14" t="str">
        <f t="shared" si="116"/>
        <v>Romper Short | 3-6 | Coffee</v>
      </c>
      <c r="M1007" s="16" t="s">
        <v>3610</v>
      </c>
    </row>
    <row r="1008" spans="1:13" ht="25" customHeight="1" x14ac:dyDescent="0.45">
      <c r="A1008" s="7">
        <v>46066</v>
      </c>
      <c r="B1008" s="3" t="s">
        <v>409</v>
      </c>
      <c r="C1008" s="4" t="s">
        <v>81</v>
      </c>
      <c r="D1008" s="53" t="str">
        <f t="shared" si="114"/>
        <v>Dusty Pink</v>
      </c>
      <c r="E1008" s="4" t="s">
        <v>72</v>
      </c>
      <c r="F1008" s="5" t="s">
        <v>7</v>
      </c>
      <c r="G1008" s="4" t="str">
        <f t="shared" si="117"/>
        <v>Romper Short</v>
      </c>
      <c r="H1008" s="38">
        <f t="shared" si="113"/>
        <v>2</v>
      </c>
      <c r="I1008" s="54">
        <f t="shared" si="119"/>
        <v>7</v>
      </c>
      <c r="J1008" s="14" t="str">
        <f t="shared" si="115"/>
        <v>Valentine</v>
      </c>
      <c r="K1008" s="16" t="str">
        <f t="shared" si="118"/>
        <v>3-6</v>
      </c>
      <c r="L1008" s="14" t="str">
        <f t="shared" si="116"/>
        <v>Romper Short | 3-6 | Dusty Pink</v>
      </c>
      <c r="M1008" s="16" t="s">
        <v>3610</v>
      </c>
    </row>
    <row r="1009" spans="1:13" ht="25" customHeight="1" x14ac:dyDescent="0.45">
      <c r="A1009" s="7">
        <v>46067</v>
      </c>
      <c r="B1009" s="3" t="s">
        <v>410</v>
      </c>
      <c r="C1009" s="4" t="s">
        <v>110</v>
      </c>
      <c r="D1009" s="53" t="str">
        <f t="shared" si="114"/>
        <v>Sage Green</v>
      </c>
      <c r="E1009" s="4" t="s">
        <v>88</v>
      </c>
      <c r="F1009" s="5" t="s">
        <v>7</v>
      </c>
      <c r="G1009" s="4" t="str">
        <f t="shared" si="117"/>
        <v>Romper Longer</v>
      </c>
      <c r="H1009" s="38">
        <f t="shared" si="113"/>
        <v>2</v>
      </c>
      <c r="I1009" s="54">
        <f t="shared" si="119"/>
        <v>7</v>
      </c>
      <c r="J1009" s="14" t="str">
        <f t="shared" si="115"/>
        <v>Valentine</v>
      </c>
      <c r="K1009" s="16" t="str">
        <f t="shared" si="118"/>
        <v>0-3</v>
      </c>
      <c r="L1009" s="14" t="str">
        <f t="shared" si="116"/>
        <v>Romper Longer | 0-3 | Sage Green</v>
      </c>
      <c r="M1009" s="16" t="s">
        <v>3611</v>
      </c>
    </row>
    <row r="1010" spans="1:13" ht="25" customHeight="1" x14ac:dyDescent="0.45">
      <c r="A1010" s="7">
        <v>46071</v>
      </c>
      <c r="B1010" s="3" t="s">
        <v>411</v>
      </c>
      <c r="C1010" s="4" t="s">
        <v>9</v>
      </c>
      <c r="D1010" s="53" t="str">
        <f t="shared" si="114"/>
        <v>Cream</v>
      </c>
      <c r="E1010" s="4" t="s">
        <v>88</v>
      </c>
      <c r="F1010" s="5" t="s">
        <v>7</v>
      </c>
      <c r="G1010" s="4" t="str">
        <f t="shared" si="117"/>
        <v>Romper Longer</v>
      </c>
      <c r="H1010" s="38">
        <f t="shared" si="113"/>
        <v>2</v>
      </c>
      <c r="I1010" s="54">
        <f t="shared" si="119"/>
        <v>8</v>
      </c>
      <c r="J1010" s="14" t="str">
        <f t="shared" si="115"/>
        <v>Valentine</v>
      </c>
      <c r="K1010" s="16" t="str">
        <f t="shared" si="118"/>
        <v>0-3</v>
      </c>
      <c r="L1010" s="14" t="str">
        <f t="shared" si="116"/>
        <v>Romper Longer | 0-3 | Cream</v>
      </c>
      <c r="M1010" s="16" t="s">
        <v>3609</v>
      </c>
    </row>
    <row r="1011" spans="1:13" ht="25" customHeight="1" x14ac:dyDescent="0.45">
      <c r="A1011" s="7">
        <v>46074</v>
      </c>
      <c r="B1011" s="3" t="s">
        <v>412</v>
      </c>
      <c r="C1011" s="4" t="s">
        <v>178</v>
      </c>
      <c r="D1011" s="53" t="str">
        <f t="shared" si="114"/>
        <v>Mauve Taupe</v>
      </c>
      <c r="E1011" s="4" t="s">
        <v>94</v>
      </c>
      <c r="F1011" s="5" t="s">
        <v>7</v>
      </c>
      <c r="G1011" s="4" t="str">
        <f t="shared" si="117"/>
        <v>Romper Longer</v>
      </c>
      <c r="H1011" s="38">
        <f t="shared" si="113"/>
        <v>2</v>
      </c>
      <c r="I1011" s="54">
        <f t="shared" si="119"/>
        <v>8</v>
      </c>
      <c r="J1011" s="14" t="str">
        <f t="shared" si="115"/>
        <v>Valentine</v>
      </c>
      <c r="K1011" s="16" t="str">
        <f t="shared" si="118"/>
        <v>6-12</v>
      </c>
      <c r="L1011" s="14" t="str">
        <f t="shared" si="116"/>
        <v>Romper Longer | 6-12 | Mauve Taupe</v>
      </c>
      <c r="M1011" s="16" t="s">
        <v>3610</v>
      </c>
    </row>
    <row r="1012" spans="1:13" ht="25" customHeight="1" x14ac:dyDescent="0.45">
      <c r="A1012" s="7">
        <v>46078</v>
      </c>
      <c r="B1012" s="59" t="s">
        <v>413</v>
      </c>
      <c r="C1012" s="4" t="s">
        <v>81</v>
      </c>
      <c r="D1012" s="53" t="str">
        <f t="shared" si="114"/>
        <v>Dusty Pink</v>
      </c>
      <c r="E1012" s="4" t="s">
        <v>82</v>
      </c>
      <c r="F1012" s="58" t="s">
        <v>7</v>
      </c>
      <c r="G1012" s="4" t="str">
        <f t="shared" si="117"/>
        <v>Romper Short</v>
      </c>
      <c r="H1012" s="38">
        <f t="shared" si="113"/>
        <v>2</v>
      </c>
      <c r="I1012" s="54">
        <f t="shared" si="119"/>
        <v>9</v>
      </c>
      <c r="J1012" s="14" t="str">
        <f t="shared" si="115"/>
        <v>Valentine</v>
      </c>
      <c r="K1012" s="16" t="str">
        <f t="shared" si="118"/>
        <v>0-3</v>
      </c>
      <c r="L1012" s="14" t="str">
        <f t="shared" si="116"/>
        <v>Romper Short | 0-3 | Dusty Pink</v>
      </c>
      <c r="M1012" s="16" t="s">
        <v>3610</v>
      </c>
    </row>
    <row r="1013" spans="1:13" ht="25" customHeight="1" x14ac:dyDescent="0.45">
      <c r="A1013" s="7">
        <v>46078</v>
      </c>
      <c r="B1013" s="57"/>
      <c r="C1013" s="4" t="s">
        <v>81</v>
      </c>
      <c r="D1013" s="53" t="str">
        <f t="shared" si="114"/>
        <v>Dusty Pink</v>
      </c>
      <c r="E1013" s="4" t="s">
        <v>169</v>
      </c>
      <c r="F1013" s="58"/>
      <c r="G1013" s="4" t="str">
        <f t="shared" si="117"/>
        <v>Romper Short</v>
      </c>
      <c r="H1013" s="38">
        <f t="shared" si="113"/>
        <v>2</v>
      </c>
      <c r="I1013" s="54">
        <f t="shared" si="119"/>
        <v>9</v>
      </c>
      <c r="J1013" s="14" t="str">
        <f t="shared" si="115"/>
        <v>Valentine</v>
      </c>
      <c r="K1013" s="16" t="str">
        <f t="shared" si="118"/>
        <v>18-24</v>
      </c>
      <c r="L1013" s="14" t="str">
        <f t="shared" si="116"/>
        <v>Romper Short | 18-24 | Dusty Pink</v>
      </c>
      <c r="M1013" s="16" t="s">
        <v>3610</v>
      </c>
    </row>
    <row r="1014" spans="1:13" ht="25" customHeight="1" x14ac:dyDescent="0.45">
      <c r="A1014" s="7">
        <v>46081</v>
      </c>
      <c r="B1014" s="3" t="s">
        <v>414</v>
      </c>
      <c r="C1014" s="4" t="s">
        <v>81</v>
      </c>
      <c r="D1014" s="53" t="str">
        <f t="shared" si="114"/>
        <v>Dusty Pink</v>
      </c>
      <c r="E1014" s="4" t="s">
        <v>94</v>
      </c>
      <c r="F1014" s="4" t="s">
        <v>7</v>
      </c>
      <c r="G1014" s="4" t="str">
        <f t="shared" si="117"/>
        <v>Romper Longer</v>
      </c>
      <c r="H1014" s="38">
        <f t="shared" si="113"/>
        <v>2</v>
      </c>
      <c r="I1014" s="54">
        <f t="shared" si="119"/>
        <v>9</v>
      </c>
      <c r="J1014" s="14" t="str">
        <f t="shared" si="115"/>
        <v>Valentine</v>
      </c>
      <c r="K1014" s="16" t="str">
        <f t="shared" si="118"/>
        <v>6-12</v>
      </c>
      <c r="L1014" s="14" t="str">
        <f t="shared" si="116"/>
        <v>Romper Longer | 6-12 | Dusty Pink</v>
      </c>
      <c r="M1014" s="16" t="s">
        <v>3610</v>
      </c>
    </row>
    <row r="1015" spans="1:13" ht="25" customHeight="1" x14ac:dyDescent="0.45">
      <c r="A1015" s="7">
        <v>46098</v>
      </c>
      <c r="B1015" s="3" t="s">
        <v>415</v>
      </c>
      <c r="C1015" s="4" t="s">
        <v>114</v>
      </c>
      <c r="D1015" s="53" t="str">
        <f t="shared" si="114"/>
        <v>White</v>
      </c>
      <c r="E1015" s="4" t="s">
        <v>106</v>
      </c>
      <c r="F1015" s="4" t="s">
        <v>7</v>
      </c>
      <c r="G1015" s="4" t="str">
        <f t="shared" si="117"/>
        <v>Romper Short</v>
      </c>
      <c r="H1015" s="38">
        <f t="shared" si="113"/>
        <v>3</v>
      </c>
      <c r="I1015" s="54">
        <f t="shared" si="119"/>
        <v>12</v>
      </c>
      <c r="J1015" s="14" t="str">
        <f t="shared" si="115"/>
        <v>Easter</v>
      </c>
      <c r="K1015" s="16" t="str">
        <f t="shared" si="118"/>
        <v>12-18</v>
      </c>
      <c r="L1015" s="14" t="str">
        <f t="shared" si="116"/>
        <v>Romper Short | 12-18 | White</v>
      </c>
      <c r="M1015" s="16" t="s">
        <v>3610</v>
      </c>
    </row>
    <row r="1016" spans="1:13" ht="25" customHeight="1" x14ac:dyDescent="0.45">
      <c r="A1016" s="7">
        <v>46099</v>
      </c>
      <c r="B1016" s="3" t="s">
        <v>416</v>
      </c>
      <c r="C1016" s="4" t="s">
        <v>101</v>
      </c>
      <c r="D1016" s="53" t="str">
        <f t="shared" si="114"/>
        <v>Sage Green</v>
      </c>
      <c r="E1016" s="4" t="s">
        <v>75</v>
      </c>
      <c r="F1016" s="4" t="s">
        <v>7</v>
      </c>
      <c r="G1016" s="4" t="str">
        <f t="shared" si="117"/>
        <v>Romper Longer</v>
      </c>
      <c r="H1016" s="38">
        <f t="shared" si="113"/>
        <v>3</v>
      </c>
      <c r="I1016" s="54">
        <f t="shared" si="119"/>
        <v>12</v>
      </c>
      <c r="J1016" s="14" t="str">
        <f t="shared" si="115"/>
        <v>Easter</v>
      </c>
      <c r="K1016" s="16" t="str">
        <f t="shared" si="118"/>
        <v>3-6</v>
      </c>
      <c r="L1016" s="14" t="str">
        <f t="shared" si="116"/>
        <v>Romper Longer | 3-6 | Sage Green</v>
      </c>
      <c r="M1016" s="16" t="s">
        <v>3611</v>
      </c>
    </row>
    <row r="1017" spans="1:13" ht="25" customHeight="1" x14ac:dyDescent="0.45">
      <c r="A1017" s="7">
        <v>46099</v>
      </c>
      <c r="B1017" s="3" t="s">
        <v>417</v>
      </c>
      <c r="C1017" s="4" t="s">
        <v>87</v>
      </c>
      <c r="D1017" s="53" t="str">
        <f t="shared" si="114"/>
        <v>Cream</v>
      </c>
      <c r="E1017" s="4" t="s">
        <v>90</v>
      </c>
      <c r="F1017" s="4" t="s">
        <v>7</v>
      </c>
      <c r="G1017" s="4" t="str">
        <f t="shared" si="117"/>
        <v>Romper Short</v>
      </c>
      <c r="H1017" s="38">
        <f t="shared" si="113"/>
        <v>3</v>
      </c>
      <c r="I1017" s="54">
        <f t="shared" si="119"/>
        <v>12</v>
      </c>
      <c r="J1017" s="14" t="str">
        <f t="shared" si="115"/>
        <v>Easter</v>
      </c>
      <c r="K1017" s="16" t="str">
        <f t="shared" si="118"/>
        <v>6-12</v>
      </c>
      <c r="L1017" s="14" t="str">
        <f t="shared" si="116"/>
        <v>Romper Short | 6-12 | Cream</v>
      </c>
      <c r="M1017" s="16" t="s">
        <v>3611</v>
      </c>
    </row>
    <row r="1018" spans="1:13" ht="25" customHeight="1" x14ac:dyDescent="0.45">
      <c r="A1018" s="7">
        <v>46100</v>
      </c>
      <c r="B1018" s="3" t="s">
        <v>418</v>
      </c>
      <c r="C1018" s="4" t="s">
        <v>407</v>
      </c>
      <c r="D1018" s="53" t="str">
        <f t="shared" si="114"/>
        <v>Texas Orange</v>
      </c>
      <c r="E1018" s="4" t="s">
        <v>94</v>
      </c>
      <c r="F1018" s="57" t="s">
        <v>7</v>
      </c>
      <c r="G1018" s="4" t="str">
        <f t="shared" si="117"/>
        <v>Romper Longer</v>
      </c>
      <c r="H1018" s="38">
        <f t="shared" si="113"/>
        <v>3</v>
      </c>
      <c r="I1018" s="54">
        <f t="shared" si="119"/>
        <v>12</v>
      </c>
      <c r="J1018" s="14" t="str">
        <f t="shared" si="115"/>
        <v>Easter</v>
      </c>
      <c r="K1018" s="16" t="str">
        <f t="shared" si="118"/>
        <v>6-12</v>
      </c>
      <c r="L1018" s="14" t="str">
        <f t="shared" si="116"/>
        <v>Romper Longer | 6-12 | Texas Orange</v>
      </c>
      <c r="M1018" s="16" t="s">
        <v>3610</v>
      </c>
    </row>
    <row r="1019" spans="1:13" ht="25" customHeight="1" x14ac:dyDescent="0.45">
      <c r="A1019" s="7">
        <v>46100</v>
      </c>
      <c r="B1019" s="3" t="s">
        <v>419</v>
      </c>
      <c r="C1019" s="4" t="s">
        <v>76</v>
      </c>
      <c r="D1019" s="53" t="str">
        <f t="shared" si="114"/>
        <v>Caldet Blue</v>
      </c>
      <c r="E1019" s="4" t="s">
        <v>90</v>
      </c>
      <c r="F1019" s="57"/>
      <c r="G1019" s="4" t="str">
        <f t="shared" si="117"/>
        <v>Romper Short</v>
      </c>
      <c r="H1019" s="38">
        <f t="shared" si="113"/>
        <v>3</v>
      </c>
      <c r="I1019" s="54">
        <f t="shared" si="119"/>
        <v>12</v>
      </c>
      <c r="J1019" s="14" t="str">
        <f t="shared" si="115"/>
        <v>Easter</v>
      </c>
      <c r="K1019" s="16" t="str">
        <f t="shared" si="118"/>
        <v>6-12</v>
      </c>
      <c r="L1019" s="14" t="str">
        <f t="shared" si="116"/>
        <v>Romper Short | 6-12 | Caldet Blue</v>
      </c>
      <c r="M1019" s="16" t="s">
        <v>3610</v>
      </c>
    </row>
    <row r="1020" spans="1:13" ht="25" customHeight="1" x14ac:dyDescent="0.45">
      <c r="A1020" s="7">
        <v>46101</v>
      </c>
      <c r="B1020" s="3" t="s">
        <v>420</v>
      </c>
      <c r="C1020" s="4" t="s">
        <v>81</v>
      </c>
      <c r="D1020" s="53" t="str">
        <f t="shared" si="114"/>
        <v>Dusty Pink</v>
      </c>
      <c r="E1020" s="4" t="s">
        <v>72</v>
      </c>
      <c r="F1020" s="4" t="s">
        <v>7</v>
      </c>
      <c r="G1020" s="4" t="str">
        <f t="shared" si="117"/>
        <v>Romper Short</v>
      </c>
      <c r="H1020" s="38">
        <f t="shared" si="113"/>
        <v>3</v>
      </c>
      <c r="I1020" s="54">
        <f t="shared" si="119"/>
        <v>12</v>
      </c>
      <c r="J1020" s="14" t="str">
        <f t="shared" si="115"/>
        <v>Easter</v>
      </c>
      <c r="K1020" s="16" t="str">
        <f t="shared" si="118"/>
        <v>3-6</v>
      </c>
      <c r="L1020" s="14" t="str">
        <f t="shared" si="116"/>
        <v>Romper Short | 3-6 | Dusty Pink</v>
      </c>
      <c r="M1020" s="16" t="s">
        <v>3610</v>
      </c>
    </row>
    <row r="1021" spans="1:13" ht="25" customHeight="1" x14ac:dyDescent="0.45">
      <c r="A1021" s="7">
        <v>46108</v>
      </c>
      <c r="B1021" s="3" t="s">
        <v>421</v>
      </c>
      <c r="C1021" s="4" t="s">
        <v>422</v>
      </c>
      <c r="D1021" s="53" t="str">
        <f t="shared" si="114"/>
        <v xml:space="preserve"> Texas Orange</v>
      </c>
      <c r="E1021" s="4" t="s">
        <v>82</v>
      </c>
      <c r="F1021" s="4" t="s">
        <v>7</v>
      </c>
      <c r="G1021" s="4" t="str">
        <f t="shared" si="117"/>
        <v>Romper Short</v>
      </c>
      <c r="H1021" s="38">
        <f t="shared" si="113"/>
        <v>3</v>
      </c>
      <c r="I1021" s="54">
        <f t="shared" si="119"/>
        <v>13</v>
      </c>
      <c r="J1021" s="14" t="str">
        <f t="shared" si="115"/>
        <v>Easter</v>
      </c>
      <c r="K1021" s="16" t="str">
        <f t="shared" si="118"/>
        <v>0-3</v>
      </c>
      <c r="L1021" s="14" t="str">
        <f t="shared" si="116"/>
        <v>Romper Short | 0-3 | Texas Orange</v>
      </c>
      <c r="M1021" s="16" t="s">
        <v>3610</v>
      </c>
    </row>
    <row r="1022" spans="1:13" ht="25" customHeight="1" x14ac:dyDescent="0.45">
      <c r="A1022" s="7">
        <v>46108</v>
      </c>
      <c r="B1022" s="3" t="s">
        <v>423</v>
      </c>
      <c r="C1022" s="4" t="s">
        <v>79</v>
      </c>
      <c r="D1022" s="53" t="str">
        <f t="shared" si="114"/>
        <v>White</v>
      </c>
      <c r="E1022" s="4" t="s">
        <v>154</v>
      </c>
      <c r="F1022" s="4" t="s">
        <v>7</v>
      </c>
      <c r="G1022" s="4" t="str">
        <f t="shared" si="117"/>
        <v>Romper Longer</v>
      </c>
      <c r="H1022" s="38">
        <f t="shared" si="113"/>
        <v>3</v>
      </c>
      <c r="I1022" s="54">
        <f t="shared" si="119"/>
        <v>13</v>
      </c>
      <c r="J1022" s="14" t="str">
        <f t="shared" si="115"/>
        <v>Easter</v>
      </c>
      <c r="K1022" s="16" t="str">
        <f t="shared" si="118"/>
        <v>12-18</v>
      </c>
      <c r="L1022" s="14" t="str">
        <f t="shared" si="116"/>
        <v>Romper Longer | 12-18 | White</v>
      </c>
      <c r="M1022" s="16" t="s">
        <v>3610</v>
      </c>
    </row>
    <row r="1023" spans="1:13" ht="25" customHeight="1" x14ac:dyDescent="0.45">
      <c r="A1023" s="7">
        <v>46115</v>
      </c>
      <c r="B1023" s="3" t="s">
        <v>424</v>
      </c>
      <c r="C1023" s="4" t="s">
        <v>425</v>
      </c>
      <c r="D1023" s="53" t="str">
        <f t="shared" si="114"/>
        <v>Sage Green</v>
      </c>
      <c r="E1023" s="4" t="s">
        <v>72</v>
      </c>
      <c r="F1023" s="4" t="s">
        <v>7</v>
      </c>
      <c r="G1023" s="4" t="str">
        <f t="shared" si="117"/>
        <v>Romper Short</v>
      </c>
      <c r="H1023" s="38">
        <f t="shared" si="113"/>
        <v>4</v>
      </c>
      <c r="I1023" s="54">
        <f t="shared" si="119"/>
        <v>14</v>
      </c>
      <c r="J1023" s="14" t="str">
        <f t="shared" si="115"/>
        <v>Easter</v>
      </c>
      <c r="K1023" s="16" t="str">
        <f t="shared" si="118"/>
        <v>3-6</v>
      </c>
      <c r="L1023" s="14" t="str">
        <f t="shared" si="116"/>
        <v>Romper Short | 3-6 | Sage Green</v>
      </c>
      <c r="M1023" s="16" t="s">
        <v>3611</v>
      </c>
    </row>
    <row r="1024" spans="1:13" ht="25" customHeight="1" x14ac:dyDescent="0.45">
      <c r="A1024" s="7">
        <v>46118</v>
      </c>
      <c r="B1024" s="3" t="s">
        <v>426</v>
      </c>
      <c r="C1024" s="4" t="s">
        <v>224</v>
      </c>
      <c r="D1024" s="53" t="str">
        <f t="shared" si="114"/>
        <v>Salmon</v>
      </c>
      <c r="E1024" s="4" t="s">
        <v>72</v>
      </c>
      <c r="F1024" s="4" t="s">
        <v>19</v>
      </c>
      <c r="G1024" s="4" t="str">
        <f t="shared" si="117"/>
        <v>Romper Short</v>
      </c>
      <c r="H1024" s="38">
        <f t="shared" si="113"/>
        <v>4</v>
      </c>
      <c r="I1024" s="54">
        <f t="shared" si="119"/>
        <v>15</v>
      </c>
      <c r="J1024" s="14" t="str">
        <f t="shared" si="115"/>
        <v>Easter</v>
      </c>
      <c r="K1024" s="16" t="str">
        <f t="shared" si="118"/>
        <v>3-6</v>
      </c>
      <c r="L1024" s="14" t="str">
        <f t="shared" si="116"/>
        <v>Romper Short | 3-6 | Salmon</v>
      </c>
      <c r="M1024" s="16" t="s">
        <v>3610</v>
      </c>
    </row>
    <row r="1025" spans="1:13" ht="25" customHeight="1" x14ac:dyDescent="0.45">
      <c r="A1025" s="7">
        <v>46122</v>
      </c>
      <c r="B1025" s="3" t="s">
        <v>1321</v>
      </c>
      <c r="C1025" s="4" t="s">
        <v>9</v>
      </c>
      <c r="D1025" s="53" t="str">
        <f t="shared" si="114"/>
        <v>Cream</v>
      </c>
      <c r="E1025" s="4" t="s">
        <v>106</v>
      </c>
      <c r="F1025" s="4" t="s">
        <v>7</v>
      </c>
      <c r="G1025" s="4" t="str">
        <f t="shared" si="117"/>
        <v>Romper Short</v>
      </c>
      <c r="H1025" s="38">
        <f t="shared" si="113"/>
        <v>4</v>
      </c>
      <c r="I1025" s="54">
        <f t="shared" si="119"/>
        <v>15</v>
      </c>
      <c r="J1025" s="14" t="str">
        <f t="shared" si="115"/>
        <v>Easter</v>
      </c>
      <c r="K1025" s="16" t="str">
        <f t="shared" si="118"/>
        <v>12-18</v>
      </c>
      <c r="L1025" s="14" t="str">
        <f t="shared" si="116"/>
        <v>Romper Short | 12-18 | Cream</v>
      </c>
      <c r="M1025" s="16" t="s">
        <v>3610</v>
      </c>
    </row>
    <row r="1026" spans="1:13" ht="25" customHeight="1" x14ac:dyDescent="0.45">
      <c r="A1026" s="7">
        <v>46122</v>
      </c>
      <c r="B1026" s="3" t="s">
        <v>427</v>
      </c>
      <c r="C1026" s="4" t="s">
        <v>81</v>
      </c>
      <c r="D1026" s="53" t="str">
        <f t="shared" si="114"/>
        <v>Dusty Pink</v>
      </c>
      <c r="E1026" s="4" t="s">
        <v>75</v>
      </c>
      <c r="F1026" s="4" t="s">
        <v>13</v>
      </c>
      <c r="G1026" s="4" t="str">
        <f t="shared" si="117"/>
        <v>Romper Longer</v>
      </c>
      <c r="H1026" s="38">
        <f t="shared" ref="H1026:H1089" si="120">MONTH(A1026)</f>
        <v>4</v>
      </c>
      <c r="I1026" s="54">
        <f t="shared" si="119"/>
        <v>15</v>
      </c>
      <c r="J1026" s="14" t="str">
        <f t="shared" si="115"/>
        <v>Easter</v>
      </c>
      <c r="K1026" s="16" t="str">
        <f t="shared" si="118"/>
        <v>3-6</v>
      </c>
      <c r="L1026" s="14" t="str">
        <f t="shared" si="116"/>
        <v>Romper Longer | 3-6 | Dusty Pink</v>
      </c>
      <c r="M1026" s="16" t="s">
        <v>3610</v>
      </c>
    </row>
    <row r="1027" spans="1:13" ht="25" customHeight="1" x14ac:dyDescent="0.45">
      <c r="A1027" s="7">
        <v>46122</v>
      </c>
      <c r="B1027" s="3" t="s">
        <v>428</v>
      </c>
      <c r="C1027" s="4" t="s">
        <v>9</v>
      </c>
      <c r="D1027" s="53" t="str">
        <f t="shared" ref="D1027:D1090" si="121">PROPER(C1027)</f>
        <v>Cream</v>
      </c>
      <c r="E1027" s="4" t="s">
        <v>88</v>
      </c>
      <c r="F1027" s="4" t="s">
        <v>7</v>
      </c>
      <c r="G1027" s="4" t="str">
        <f t="shared" si="117"/>
        <v>Romper Longer</v>
      </c>
      <c r="H1027" s="38">
        <f t="shared" si="120"/>
        <v>4</v>
      </c>
      <c r="I1027" s="54">
        <f t="shared" si="119"/>
        <v>15</v>
      </c>
      <c r="J1027" s="14" t="str">
        <f t="shared" ref="J1027:J1090" si="122">IF(H1027=1,"NewYear",
IF(H1027=2,"Valentine",
IF(OR(H1027=3,H1027=4),"Easter",
IF(H1027=5,"MothersDay",
IF(H1027=6,"FathersDay",
IF(OR(H1027=7,H1027=8),"Summer",
IF(H1027=10,"Halloween",
IF(OR(H1027=11,H1027=12),"Christmas","Normal"))))))))</f>
        <v>Easter</v>
      </c>
      <c r="K1027" s="16" t="str">
        <f t="shared" si="118"/>
        <v>0-3</v>
      </c>
      <c r="L1027" s="14" t="str">
        <f t="shared" ref="L1027:L1090" si="123">TRIM(G1027)&amp;" | "&amp;TRIM(K1027)&amp;" | "&amp;PROPER(TRIM(D1027))</f>
        <v>Romper Longer | 0-3 | Cream</v>
      </c>
      <c r="M1027" s="16" t="s">
        <v>3609</v>
      </c>
    </row>
    <row r="1028" spans="1:13" ht="25" customHeight="1" x14ac:dyDescent="0.45">
      <c r="A1028" s="7">
        <v>46124</v>
      </c>
      <c r="B1028" s="3" t="s">
        <v>429</v>
      </c>
      <c r="C1028" s="4" t="s">
        <v>114</v>
      </c>
      <c r="D1028" s="53" t="str">
        <f t="shared" si="121"/>
        <v>White</v>
      </c>
      <c r="E1028" s="4" t="s">
        <v>169</v>
      </c>
      <c r="F1028" s="4" t="s">
        <v>7</v>
      </c>
      <c r="G1028" s="4" t="str">
        <f t="shared" si="117"/>
        <v>Romper Short</v>
      </c>
      <c r="H1028" s="38">
        <f t="shared" si="120"/>
        <v>4</v>
      </c>
      <c r="I1028" s="54">
        <f t="shared" si="119"/>
        <v>16</v>
      </c>
      <c r="J1028" s="14" t="str">
        <f t="shared" si="122"/>
        <v>Easter</v>
      </c>
      <c r="K1028" s="16" t="str">
        <f t="shared" si="118"/>
        <v>18-24</v>
      </c>
      <c r="L1028" s="14" t="str">
        <f t="shared" si="123"/>
        <v>Romper Short | 18-24 | White</v>
      </c>
      <c r="M1028" s="16" t="s">
        <v>3610</v>
      </c>
    </row>
    <row r="1029" spans="1:13" ht="25" customHeight="1" x14ac:dyDescent="0.45">
      <c r="A1029" s="7">
        <v>46124</v>
      </c>
      <c r="B1029" s="3" t="s">
        <v>430</v>
      </c>
      <c r="C1029" s="4" t="s">
        <v>81</v>
      </c>
      <c r="D1029" s="53" t="str">
        <f t="shared" si="121"/>
        <v>Dusty Pink</v>
      </c>
      <c r="E1029" s="4" t="s">
        <v>75</v>
      </c>
      <c r="F1029" s="4" t="s">
        <v>7</v>
      </c>
      <c r="G1029" s="4" t="str">
        <f t="shared" si="117"/>
        <v>Romper Longer</v>
      </c>
      <c r="H1029" s="38">
        <f t="shared" si="120"/>
        <v>4</v>
      </c>
      <c r="I1029" s="54">
        <f t="shared" si="119"/>
        <v>16</v>
      </c>
      <c r="J1029" s="14" t="str">
        <f t="shared" si="122"/>
        <v>Easter</v>
      </c>
      <c r="K1029" s="16" t="str">
        <f t="shared" si="118"/>
        <v>3-6</v>
      </c>
      <c r="L1029" s="14" t="str">
        <f t="shared" si="123"/>
        <v>Romper Longer | 3-6 | Dusty Pink</v>
      </c>
      <c r="M1029" s="16" t="s">
        <v>3610</v>
      </c>
    </row>
    <row r="1030" spans="1:13" ht="25" customHeight="1" x14ac:dyDescent="0.45">
      <c r="A1030" s="7">
        <v>46127</v>
      </c>
      <c r="B1030" s="3" t="s">
        <v>431</v>
      </c>
      <c r="C1030" s="4" t="s">
        <v>81</v>
      </c>
      <c r="D1030" s="53" t="str">
        <f t="shared" si="121"/>
        <v>Dusty Pink</v>
      </c>
      <c r="E1030" s="4" t="s">
        <v>154</v>
      </c>
      <c r="F1030" s="4" t="s">
        <v>7</v>
      </c>
      <c r="G1030" s="4" t="str">
        <f t="shared" si="117"/>
        <v>Romper Longer</v>
      </c>
      <c r="H1030" s="38">
        <f t="shared" si="120"/>
        <v>4</v>
      </c>
      <c r="I1030" s="54">
        <f t="shared" si="119"/>
        <v>16</v>
      </c>
      <c r="J1030" s="14" t="str">
        <f t="shared" si="122"/>
        <v>Easter</v>
      </c>
      <c r="K1030" s="16" t="str">
        <f t="shared" si="118"/>
        <v>12-18</v>
      </c>
      <c r="L1030" s="14" t="str">
        <f t="shared" si="123"/>
        <v>Romper Longer | 12-18 | Dusty Pink</v>
      </c>
      <c r="M1030" s="16" t="s">
        <v>3610</v>
      </c>
    </row>
    <row r="1031" spans="1:13" ht="25" customHeight="1" x14ac:dyDescent="0.45">
      <c r="A1031" s="7">
        <v>46127</v>
      </c>
      <c r="B1031" s="3" t="s">
        <v>432</v>
      </c>
      <c r="C1031" s="4" t="s">
        <v>9</v>
      </c>
      <c r="D1031" s="53" t="str">
        <f t="shared" si="121"/>
        <v>Cream</v>
      </c>
      <c r="E1031" s="4" t="s">
        <v>94</v>
      </c>
      <c r="F1031" s="4" t="s">
        <v>7</v>
      </c>
      <c r="G1031" s="4" t="str">
        <f t="shared" si="117"/>
        <v>Romper Longer</v>
      </c>
      <c r="H1031" s="38">
        <f t="shared" si="120"/>
        <v>4</v>
      </c>
      <c r="I1031" s="54">
        <f t="shared" si="119"/>
        <v>16</v>
      </c>
      <c r="J1031" s="14" t="str">
        <f t="shared" si="122"/>
        <v>Easter</v>
      </c>
      <c r="K1031" s="16" t="str">
        <f t="shared" si="118"/>
        <v>6-12</v>
      </c>
      <c r="L1031" s="14" t="str">
        <f t="shared" si="123"/>
        <v>Romper Longer | 6-12 | Cream</v>
      </c>
      <c r="M1031" s="16" t="s">
        <v>3611</v>
      </c>
    </row>
    <row r="1032" spans="1:13" ht="25" customHeight="1" x14ac:dyDescent="0.45">
      <c r="A1032" s="6">
        <v>46128</v>
      </c>
      <c r="B1032" s="3" t="s">
        <v>433</v>
      </c>
      <c r="C1032" s="4" t="s">
        <v>9</v>
      </c>
      <c r="D1032" s="53" t="str">
        <f t="shared" si="121"/>
        <v>Cream</v>
      </c>
      <c r="E1032" s="4" t="s">
        <v>72</v>
      </c>
      <c r="F1032" s="4" t="s">
        <v>7</v>
      </c>
      <c r="G1032" s="4" t="str">
        <f t="shared" si="117"/>
        <v>Romper Short</v>
      </c>
      <c r="H1032" s="38">
        <f t="shared" si="120"/>
        <v>4</v>
      </c>
      <c r="I1032" s="54">
        <f t="shared" si="119"/>
        <v>16</v>
      </c>
      <c r="J1032" s="14" t="str">
        <f t="shared" si="122"/>
        <v>Easter</v>
      </c>
      <c r="K1032" s="16" t="str">
        <f t="shared" si="118"/>
        <v>3-6</v>
      </c>
      <c r="L1032" s="14" t="str">
        <f t="shared" si="123"/>
        <v>Romper Short | 3-6 | Cream</v>
      </c>
      <c r="M1032" s="16" t="s">
        <v>3609</v>
      </c>
    </row>
    <row r="1033" spans="1:13" ht="25" customHeight="1" x14ac:dyDescent="0.45">
      <c r="A1033" s="6">
        <v>46128</v>
      </c>
      <c r="B1033" s="3" t="s">
        <v>434</v>
      </c>
      <c r="C1033" s="4" t="s">
        <v>81</v>
      </c>
      <c r="D1033" s="53" t="str">
        <f t="shared" si="121"/>
        <v>Dusty Pink</v>
      </c>
      <c r="E1033" s="4" t="s">
        <v>106</v>
      </c>
      <c r="F1033" s="4" t="s">
        <v>7</v>
      </c>
      <c r="G1033" s="4" t="str">
        <f t="shared" si="117"/>
        <v>Romper Short</v>
      </c>
      <c r="H1033" s="38">
        <f t="shared" si="120"/>
        <v>4</v>
      </c>
      <c r="I1033" s="54">
        <f t="shared" si="119"/>
        <v>16</v>
      </c>
      <c r="J1033" s="14" t="str">
        <f t="shared" si="122"/>
        <v>Easter</v>
      </c>
      <c r="K1033" s="16" t="str">
        <f t="shared" si="118"/>
        <v>12-18</v>
      </c>
      <c r="L1033" s="14" t="str">
        <f t="shared" si="123"/>
        <v>Romper Short | 12-18 | Dusty Pink</v>
      </c>
      <c r="M1033" s="16" t="s">
        <v>3610</v>
      </c>
    </row>
    <row r="1034" spans="1:13" ht="25" customHeight="1" x14ac:dyDescent="0.45">
      <c r="A1034" s="7">
        <v>46129</v>
      </c>
      <c r="B1034" s="3" t="s">
        <v>435</v>
      </c>
      <c r="C1034" s="4" t="s">
        <v>114</v>
      </c>
      <c r="D1034" s="53" t="str">
        <f t="shared" si="121"/>
        <v>White</v>
      </c>
      <c r="E1034" s="4" t="s">
        <v>94</v>
      </c>
      <c r="F1034" s="4" t="s">
        <v>7</v>
      </c>
      <c r="G1034" s="4" t="str">
        <f t="shared" si="117"/>
        <v>Romper Longer</v>
      </c>
      <c r="H1034" s="38">
        <f t="shared" si="120"/>
        <v>4</v>
      </c>
      <c r="I1034" s="54">
        <f t="shared" si="119"/>
        <v>16</v>
      </c>
      <c r="J1034" s="14" t="str">
        <f t="shared" si="122"/>
        <v>Easter</v>
      </c>
      <c r="K1034" s="16" t="str">
        <f t="shared" si="118"/>
        <v>6-12</v>
      </c>
      <c r="L1034" s="14" t="str">
        <f t="shared" si="123"/>
        <v>Romper Longer | 6-12 | White</v>
      </c>
      <c r="M1034" s="16" t="s">
        <v>3610</v>
      </c>
    </row>
    <row r="1035" spans="1:13" ht="25" customHeight="1" x14ac:dyDescent="0.45">
      <c r="A1035" s="7">
        <v>46130</v>
      </c>
      <c r="B1035" s="3" t="s">
        <v>436</v>
      </c>
      <c r="C1035" s="4" t="s">
        <v>114</v>
      </c>
      <c r="D1035" s="53" t="str">
        <f t="shared" si="121"/>
        <v>White</v>
      </c>
      <c r="E1035" s="4" t="s">
        <v>82</v>
      </c>
      <c r="F1035" s="4" t="s">
        <v>11</v>
      </c>
      <c r="G1035" s="4" t="str">
        <f t="shared" si="117"/>
        <v>Romper Short</v>
      </c>
      <c r="H1035" s="38">
        <f t="shared" si="120"/>
        <v>4</v>
      </c>
      <c r="I1035" s="54">
        <f t="shared" si="119"/>
        <v>16</v>
      </c>
      <c r="J1035" s="14" t="str">
        <f t="shared" si="122"/>
        <v>Easter</v>
      </c>
      <c r="K1035" s="16" t="str">
        <f t="shared" si="118"/>
        <v>0-3</v>
      </c>
      <c r="L1035" s="14" t="str">
        <f t="shared" si="123"/>
        <v>Romper Short | 0-3 | White</v>
      </c>
      <c r="M1035" s="16" t="s">
        <v>3610</v>
      </c>
    </row>
    <row r="1036" spans="1:13" ht="25" customHeight="1" x14ac:dyDescent="0.45">
      <c r="A1036" s="7">
        <v>46134</v>
      </c>
      <c r="B1036" s="3" t="s">
        <v>437</v>
      </c>
      <c r="C1036" s="4" t="s">
        <v>407</v>
      </c>
      <c r="D1036" s="53" t="str">
        <f t="shared" si="121"/>
        <v>Texas Orange</v>
      </c>
      <c r="E1036" s="4" t="s">
        <v>75</v>
      </c>
      <c r="F1036" s="4" t="s">
        <v>7</v>
      </c>
      <c r="G1036" s="4" t="str">
        <f t="shared" si="117"/>
        <v>Romper Longer</v>
      </c>
      <c r="H1036" s="38">
        <f t="shared" si="120"/>
        <v>4</v>
      </c>
      <c r="I1036" s="54">
        <f t="shared" si="119"/>
        <v>17</v>
      </c>
      <c r="J1036" s="14" t="str">
        <f t="shared" si="122"/>
        <v>Easter</v>
      </c>
      <c r="K1036" s="16" t="str">
        <f t="shared" si="118"/>
        <v>3-6</v>
      </c>
      <c r="L1036" s="14" t="str">
        <f t="shared" si="123"/>
        <v>Romper Longer | 3-6 | Texas Orange</v>
      </c>
      <c r="M1036" s="16" t="s">
        <v>3610</v>
      </c>
    </row>
    <row r="1037" spans="1:13" ht="25" customHeight="1" x14ac:dyDescent="0.45">
      <c r="A1037" s="7">
        <v>46135</v>
      </c>
      <c r="B1037" s="3" t="s">
        <v>438</v>
      </c>
      <c r="C1037" s="4" t="s">
        <v>79</v>
      </c>
      <c r="D1037" s="53" t="str">
        <f t="shared" si="121"/>
        <v>White</v>
      </c>
      <c r="E1037" s="4" t="s">
        <v>94</v>
      </c>
      <c r="F1037" s="4" t="s">
        <v>7</v>
      </c>
      <c r="G1037" s="4" t="str">
        <f t="shared" si="117"/>
        <v>Romper Longer</v>
      </c>
      <c r="H1037" s="38">
        <f t="shared" si="120"/>
        <v>4</v>
      </c>
      <c r="I1037" s="54">
        <f t="shared" si="119"/>
        <v>17</v>
      </c>
      <c r="J1037" s="14" t="str">
        <f t="shared" si="122"/>
        <v>Easter</v>
      </c>
      <c r="K1037" s="16" t="str">
        <f t="shared" si="118"/>
        <v>6-12</v>
      </c>
      <c r="L1037" s="14" t="str">
        <f t="shared" si="123"/>
        <v>Romper Longer | 6-12 | White</v>
      </c>
      <c r="M1037" s="16" t="s">
        <v>3610</v>
      </c>
    </row>
    <row r="1038" spans="1:13" ht="25" customHeight="1" x14ac:dyDescent="0.45">
      <c r="A1038" s="7">
        <v>46136</v>
      </c>
      <c r="B1038" s="3" t="s">
        <v>439</v>
      </c>
      <c r="C1038" s="4" t="s">
        <v>440</v>
      </c>
      <c r="D1038" s="53" t="str">
        <f t="shared" si="121"/>
        <v xml:space="preserve"> Watermelon</v>
      </c>
      <c r="E1038" s="4" t="s">
        <v>94</v>
      </c>
      <c r="F1038" s="4" t="s">
        <v>7</v>
      </c>
      <c r="G1038" s="4" t="str">
        <f t="shared" si="117"/>
        <v>Romper Longer</v>
      </c>
      <c r="H1038" s="38">
        <f t="shared" si="120"/>
        <v>4</v>
      </c>
      <c r="I1038" s="54">
        <f t="shared" si="119"/>
        <v>17</v>
      </c>
      <c r="J1038" s="14" t="str">
        <f t="shared" si="122"/>
        <v>Easter</v>
      </c>
      <c r="K1038" s="16" t="str">
        <f t="shared" si="118"/>
        <v>6-12</v>
      </c>
      <c r="L1038" s="14" t="str">
        <f t="shared" si="123"/>
        <v>Romper Longer | 6-12 | Watermelon</v>
      </c>
      <c r="M1038" s="16" t="s">
        <v>3610</v>
      </c>
    </row>
    <row r="1039" spans="1:13" ht="25" customHeight="1" x14ac:dyDescent="0.45">
      <c r="A1039" s="7">
        <v>46136</v>
      </c>
      <c r="B1039" s="3" t="s">
        <v>441</v>
      </c>
      <c r="C1039" s="4" t="s">
        <v>9</v>
      </c>
      <c r="D1039" s="53" t="str">
        <f t="shared" si="121"/>
        <v>Cream</v>
      </c>
      <c r="E1039" s="4" t="s">
        <v>169</v>
      </c>
      <c r="F1039" s="4" t="s">
        <v>7</v>
      </c>
      <c r="G1039" s="4" t="str">
        <f t="shared" si="117"/>
        <v>Romper Short</v>
      </c>
      <c r="H1039" s="38">
        <f t="shared" si="120"/>
        <v>4</v>
      </c>
      <c r="I1039" s="54">
        <f t="shared" si="119"/>
        <v>17</v>
      </c>
      <c r="J1039" s="14" t="str">
        <f t="shared" si="122"/>
        <v>Easter</v>
      </c>
      <c r="K1039" s="16" t="str">
        <f t="shared" si="118"/>
        <v>18-24</v>
      </c>
      <c r="L1039" s="14" t="str">
        <f t="shared" si="123"/>
        <v>Romper Short | 18-24 | Cream</v>
      </c>
      <c r="M1039" s="16" t="s">
        <v>3610</v>
      </c>
    </row>
    <row r="1040" spans="1:13" ht="25" customHeight="1" x14ac:dyDescent="0.45">
      <c r="A1040" s="7">
        <v>46138</v>
      </c>
      <c r="B1040" s="3" t="s">
        <v>442</v>
      </c>
      <c r="C1040" s="4" t="s">
        <v>110</v>
      </c>
      <c r="D1040" s="53" t="str">
        <f t="shared" si="121"/>
        <v>Sage Green</v>
      </c>
      <c r="E1040" s="4" t="s">
        <v>94</v>
      </c>
      <c r="F1040" s="4" t="s">
        <v>7</v>
      </c>
      <c r="G1040" s="4" t="str">
        <f t="shared" ref="G1040:G1103" si="124">IF(ISNUMBER(SEARCH("LONG",E1040)),"Romper Longer",IF(ISNUMBER(SEARCH("SHORT",E1040)),"Romper Short","Bodysuit"))</f>
        <v>Romper Longer</v>
      </c>
      <c r="H1040" s="38">
        <f t="shared" si="120"/>
        <v>4</v>
      </c>
      <c r="I1040" s="54">
        <f t="shared" si="119"/>
        <v>18</v>
      </c>
      <c r="J1040" s="14" t="str">
        <f t="shared" si="122"/>
        <v>Easter</v>
      </c>
      <c r="K1040" s="16" t="str">
        <f t="shared" si="118"/>
        <v>6-12</v>
      </c>
      <c r="L1040" s="14" t="str">
        <f t="shared" si="123"/>
        <v>Romper Longer | 6-12 | Sage Green</v>
      </c>
      <c r="M1040" s="16" t="s">
        <v>3610</v>
      </c>
    </row>
    <row r="1041" spans="1:13" ht="25" customHeight="1" x14ac:dyDescent="0.45">
      <c r="A1041" s="7">
        <v>46139</v>
      </c>
      <c r="B1041" s="3" t="s">
        <v>443</v>
      </c>
      <c r="C1041" s="4" t="s">
        <v>81</v>
      </c>
      <c r="D1041" s="53" t="str">
        <f t="shared" si="121"/>
        <v>Dusty Pink</v>
      </c>
      <c r="E1041" s="4" t="s">
        <v>72</v>
      </c>
      <c r="F1041" s="4" t="s">
        <v>7</v>
      </c>
      <c r="G1041" s="4" t="str">
        <f t="shared" si="124"/>
        <v>Romper Short</v>
      </c>
      <c r="H1041" s="38">
        <f t="shared" si="120"/>
        <v>4</v>
      </c>
      <c r="I1041" s="54">
        <f t="shared" si="119"/>
        <v>18</v>
      </c>
      <c r="J1041" s="14" t="str">
        <f t="shared" si="122"/>
        <v>Easter</v>
      </c>
      <c r="K1041" s="16" t="str">
        <f t="shared" si="118"/>
        <v>3-6</v>
      </c>
      <c r="L1041" s="14" t="str">
        <f t="shared" si="123"/>
        <v>Romper Short | 3-6 | Dusty Pink</v>
      </c>
      <c r="M1041" s="16" t="s">
        <v>3610</v>
      </c>
    </row>
    <row r="1042" spans="1:13" ht="25" customHeight="1" x14ac:dyDescent="0.45">
      <c r="A1042" s="7">
        <v>46139</v>
      </c>
      <c r="B1042" s="3" t="s">
        <v>444</v>
      </c>
      <c r="C1042" s="4" t="s">
        <v>9</v>
      </c>
      <c r="D1042" s="53" t="str">
        <f t="shared" si="121"/>
        <v>Cream</v>
      </c>
      <c r="E1042" s="4" t="s">
        <v>75</v>
      </c>
      <c r="F1042" s="4" t="s">
        <v>7</v>
      </c>
      <c r="G1042" s="4" t="str">
        <f t="shared" si="124"/>
        <v>Romper Longer</v>
      </c>
      <c r="H1042" s="38">
        <f t="shared" si="120"/>
        <v>4</v>
      </c>
      <c r="I1042" s="54">
        <f t="shared" si="119"/>
        <v>18</v>
      </c>
      <c r="J1042" s="14" t="str">
        <f t="shared" si="122"/>
        <v>Easter</v>
      </c>
      <c r="K1042" s="16" t="str">
        <f t="shared" si="118"/>
        <v>3-6</v>
      </c>
      <c r="L1042" s="14" t="str">
        <f t="shared" si="123"/>
        <v>Romper Longer | 3-6 | Cream</v>
      </c>
      <c r="M1042" s="16" t="s">
        <v>3609</v>
      </c>
    </row>
    <row r="1043" spans="1:13" ht="25" customHeight="1" x14ac:dyDescent="0.45">
      <c r="A1043" s="7">
        <v>46155</v>
      </c>
      <c r="B1043" s="3" t="s">
        <v>445</v>
      </c>
      <c r="C1043" s="4" t="s">
        <v>79</v>
      </c>
      <c r="D1043" s="53" t="str">
        <f t="shared" si="121"/>
        <v>White</v>
      </c>
      <c r="E1043" s="4" t="s">
        <v>75</v>
      </c>
      <c r="F1043" s="4" t="s">
        <v>18</v>
      </c>
      <c r="G1043" s="4" t="str">
        <f t="shared" si="124"/>
        <v>Romper Longer</v>
      </c>
      <c r="H1043" s="38">
        <f t="shared" si="120"/>
        <v>5</v>
      </c>
      <c r="I1043" s="54">
        <f t="shared" si="119"/>
        <v>20</v>
      </c>
      <c r="J1043" s="14" t="str">
        <f t="shared" si="122"/>
        <v>MothersDay</v>
      </c>
      <c r="K1043" s="16" t="str">
        <f t="shared" si="118"/>
        <v>3-6</v>
      </c>
      <c r="L1043" s="14" t="str">
        <f t="shared" si="123"/>
        <v>Romper Longer | 3-6 | White</v>
      </c>
      <c r="M1043" s="16" t="s">
        <v>3610</v>
      </c>
    </row>
    <row r="1044" spans="1:13" ht="25" customHeight="1" x14ac:dyDescent="0.45">
      <c r="A1044" s="7">
        <v>46156</v>
      </c>
      <c r="B1044" s="3" t="s">
        <v>446</v>
      </c>
      <c r="C1044" s="4" t="s">
        <v>9</v>
      </c>
      <c r="D1044" s="53" t="str">
        <f t="shared" si="121"/>
        <v>Cream</v>
      </c>
      <c r="E1044" s="4" t="s">
        <v>88</v>
      </c>
      <c r="F1044" s="57" t="s">
        <v>7</v>
      </c>
      <c r="G1044" s="4" t="str">
        <f t="shared" si="124"/>
        <v>Romper Longer</v>
      </c>
      <c r="H1044" s="38">
        <f t="shared" si="120"/>
        <v>5</v>
      </c>
      <c r="I1044" s="54">
        <f t="shared" si="119"/>
        <v>20</v>
      </c>
      <c r="J1044" s="14" t="str">
        <f t="shared" si="122"/>
        <v>MothersDay</v>
      </c>
      <c r="K1044" s="16" t="str">
        <f t="shared" ref="K1044:K1107" si="125">TRIM(LEFT(E1044,FIND("(",E1044&amp;"(")-2))</f>
        <v>0-3</v>
      </c>
      <c r="L1044" s="14" t="str">
        <f t="shared" si="123"/>
        <v>Romper Longer | 0-3 | Cream</v>
      </c>
      <c r="M1044" s="16" t="s">
        <v>3609</v>
      </c>
    </row>
    <row r="1045" spans="1:13" ht="25" customHeight="1" x14ac:dyDescent="0.45">
      <c r="A1045" s="7">
        <v>46156</v>
      </c>
      <c r="B1045" s="3" t="s">
        <v>447</v>
      </c>
      <c r="C1045" s="4" t="s">
        <v>79</v>
      </c>
      <c r="D1045" s="53" t="str">
        <f t="shared" si="121"/>
        <v>White</v>
      </c>
      <c r="E1045" s="4" t="s">
        <v>75</v>
      </c>
      <c r="F1045" s="57"/>
      <c r="G1045" s="4" t="str">
        <f t="shared" si="124"/>
        <v>Romper Longer</v>
      </c>
      <c r="H1045" s="38">
        <f t="shared" si="120"/>
        <v>5</v>
      </c>
      <c r="I1045" s="54">
        <f t="shared" si="119"/>
        <v>20</v>
      </c>
      <c r="J1045" s="14" t="str">
        <f t="shared" si="122"/>
        <v>MothersDay</v>
      </c>
      <c r="K1045" s="16" t="str">
        <f t="shared" si="125"/>
        <v>3-6</v>
      </c>
      <c r="L1045" s="14" t="str">
        <f t="shared" si="123"/>
        <v>Romper Longer | 3-6 | White</v>
      </c>
      <c r="M1045" s="16" t="s">
        <v>3610</v>
      </c>
    </row>
    <row r="1046" spans="1:13" ht="25" customHeight="1" x14ac:dyDescent="0.45">
      <c r="A1046" s="7">
        <v>46159</v>
      </c>
      <c r="B1046" s="3" t="s">
        <v>448</v>
      </c>
      <c r="C1046" s="4" t="s">
        <v>110</v>
      </c>
      <c r="D1046" s="53" t="str">
        <f t="shared" si="121"/>
        <v>Sage Green</v>
      </c>
      <c r="E1046" s="4" t="s">
        <v>88</v>
      </c>
      <c r="F1046" s="4" t="s">
        <v>7</v>
      </c>
      <c r="G1046" s="4" t="str">
        <f t="shared" si="124"/>
        <v>Romper Longer</v>
      </c>
      <c r="H1046" s="38">
        <f t="shared" si="120"/>
        <v>5</v>
      </c>
      <c r="I1046" s="54">
        <f t="shared" si="119"/>
        <v>21</v>
      </c>
      <c r="J1046" s="14" t="str">
        <f t="shared" si="122"/>
        <v>MothersDay</v>
      </c>
      <c r="K1046" s="16" t="str">
        <f t="shared" si="125"/>
        <v>0-3</v>
      </c>
      <c r="L1046" s="14" t="str">
        <f t="shared" si="123"/>
        <v>Romper Longer | 0-3 | Sage Green</v>
      </c>
      <c r="M1046" s="16" t="s">
        <v>3611</v>
      </c>
    </row>
    <row r="1047" spans="1:13" ht="25" customHeight="1" x14ac:dyDescent="0.45">
      <c r="A1047" s="7">
        <v>46160</v>
      </c>
      <c r="B1047" s="3" t="s">
        <v>449</v>
      </c>
      <c r="C1047" s="4" t="s">
        <v>76</v>
      </c>
      <c r="D1047" s="53" t="str">
        <f t="shared" si="121"/>
        <v>Caldet Blue</v>
      </c>
      <c r="E1047" s="4" t="s">
        <v>82</v>
      </c>
      <c r="F1047" s="4" t="s">
        <v>7</v>
      </c>
      <c r="G1047" s="4" t="str">
        <f t="shared" si="124"/>
        <v>Romper Short</v>
      </c>
      <c r="H1047" s="38">
        <f t="shared" si="120"/>
        <v>5</v>
      </c>
      <c r="I1047" s="54">
        <f t="shared" si="119"/>
        <v>21</v>
      </c>
      <c r="J1047" s="14" t="str">
        <f t="shared" si="122"/>
        <v>MothersDay</v>
      </c>
      <c r="K1047" s="16" t="str">
        <f t="shared" si="125"/>
        <v>0-3</v>
      </c>
      <c r="L1047" s="14" t="str">
        <f t="shared" si="123"/>
        <v>Romper Short | 0-3 | Caldet Blue</v>
      </c>
      <c r="M1047" s="16" t="s">
        <v>3610</v>
      </c>
    </row>
    <row r="1048" spans="1:13" ht="25" customHeight="1" x14ac:dyDescent="0.45">
      <c r="A1048" s="7">
        <v>46161</v>
      </c>
      <c r="B1048" s="3" t="s">
        <v>450</v>
      </c>
      <c r="C1048" s="4" t="s">
        <v>110</v>
      </c>
      <c r="D1048" s="53" t="str">
        <f t="shared" si="121"/>
        <v>Sage Green</v>
      </c>
      <c r="E1048" s="4" t="s">
        <v>75</v>
      </c>
      <c r="F1048" s="4" t="s">
        <v>7</v>
      </c>
      <c r="G1048" s="4" t="str">
        <f t="shared" si="124"/>
        <v>Romper Longer</v>
      </c>
      <c r="H1048" s="38">
        <f t="shared" si="120"/>
        <v>5</v>
      </c>
      <c r="I1048" s="54">
        <f t="shared" si="119"/>
        <v>21</v>
      </c>
      <c r="J1048" s="14" t="str">
        <f t="shared" si="122"/>
        <v>MothersDay</v>
      </c>
      <c r="K1048" s="16" t="str">
        <f t="shared" si="125"/>
        <v>3-6</v>
      </c>
      <c r="L1048" s="14" t="str">
        <f t="shared" si="123"/>
        <v>Romper Longer | 3-6 | Sage Green</v>
      </c>
      <c r="M1048" s="16" t="s">
        <v>3611</v>
      </c>
    </row>
    <row r="1049" spans="1:13" ht="25" customHeight="1" x14ac:dyDescent="0.45">
      <c r="A1049" s="7">
        <v>46161</v>
      </c>
      <c r="B1049" s="3" t="s">
        <v>451</v>
      </c>
      <c r="C1049" s="4" t="s">
        <v>110</v>
      </c>
      <c r="D1049" s="53" t="str">
        <f t="shared" si="121"/>
        <v>Sage Green</v>
      </c>
      <c r="E1049" s="4" t="s">
        <v>75</v>
      </c>
      <c r="F1049" s="4" t="s">
        <v>7</v>
      </c>
      <c r="G1049" s="4" t="str">
        <f t="shared" si="124"/>
        <v>Romper Longer</v>
      </c>
      <c r="H1049" s="38">
        <f t="shared" si="120"/>
        <v>5</v>
      </c>
      <c r="I1049" s="54">
        <f t="shared" si="119"/>
        <v>21</v>
      </c>
      <c r="J1049" s="14" t="str">
        <f t="shared" si="122"/>
        <v>MothersDay</v>
      </c>
      <c r="K1049" s="16" t="str">
        <f t="shared" si="125"/>
        <v>3-6</v>
      </c>
      <c r="L1049" s="14" t="str">
        <f t="shared" si="123"/>
        <v>Romper Longer | 3-6 | Sage Green</v>
      </c>
      <c r="M1049" s="16" t="s">
        <v>3611</v>
      </c>
    </row>
    <row r="1050" spans="1:13" ht="25" customHeight="1" x14ac:dyDescent="0.45">
      <c r="A1050" s="7">
        <v>46166</v>
      </c>
      <c r="B1050" s="3" t="s">
        <v>452</v>
      </c>
      <c r="C1050" s="4" t="s">
        <v>85</v>
      </c>
      <c r="D1050" s="53" t="str">
        <f t="shared" si="121"/>
        <v>Forest Green</v>
      </c>
      <c r="E1050" s="4" t="s">
        <v>82</v>
      </c>
      <c r="F1050" s="4" t="s">
        <v>7</v>
      </c>
      <c r="G1050" s="4" t="str">
        <f t="shared" si="124"/>
        <v>Romper Short</v>
      </c>
      <c r="H1050" s="38">
        <f t="shared" si="120"/>
        <v>5</v>
      </c>
      <c r="I1050" s="54">
        <f t="shared" si="119"/>
        <v>22</v>
      </c>
      <c r="J1050" s="14" t="str">
        <f t="shared" si="122"/>
        <v>MothersDay</v>
      </c>
      <c r="K1050" s="16" t="str">
        <f t="shared" si="125"/>
        <v>0-3</v>
      </c>
      <c r="L1050" s="14" t="str">
        <f t="shared" si="123"/>
        <v>Romper Short | 0-3 | Forest Green</v>
      </c>
      <c r="M1050" s="16" t="s">
        <v>3610</v>
      </c>
    </row>
    <row r="1051" spans="1:13" ht="25" customHeight="1" x14ac:dyDescent="0.45">
      <c r="A1051" s="7">
        <v>46170</v>
      </c>
      <c r="B1051" s="3" t="s">
        <v>453</v>
      </c>
      <c r="C1051" s="4" t="s">
        <v>114</v>
      </c>
      <c r="D1051" s="53" t="str">
        <f t="shared" si="121"/>
        <v>White</v>
      </c>
      <c r="E1051" s="4" t="s">
        <v>72</v>
      </c>
      <c r="F1051" s="4" t="s">
        <v>40</v>
      </c>
      <c r="G1051" s="4" t="str">
        <f t="shared" si="124"/>
        <v>Romper Short</v>
      </c>
      <c r="H1051" s="38">
        <f t="shared" si="120"/>
        <v>5</v>
      </c>
      <c r="I1051" s="54">
        <f t="shared" si="119"/>
        <v>22</v>
      </c>
      <c r="J1051" s="14" t="str">
        <f t="shared" si="122"/>
        <v>MothersDay</v>
      </c>
      <c r="K1051" s="16" t="str">
        <f t="shared" si="125"/>
        <v>3-6</v>
      </c>
      <c r="L1051" s="14" t="str">
        <f t="shared" si="123"/>
        <v>Romper Short | 3-6 | White</v>
      </c>
      <c r="M1051" s="16" t="s">
        <v>3610</v>
      </c>
    </row>
    <row r="1052" spans="1:13" ht="25" customHeight="1" x14ac:dyDescent="0.45">
      <c r="A1052" s="7">
        <v>46170</v>
      </c>
      <c r="B1052" s="3" t="s">
        <v>454</v>
      </c>
      <c r="C1052" s="4" t="s">
        <v>440</v>
      </c>
      <c r="D1052" s="53" t="str">
        <f t="shared" si="121"/>
        <v xml:space="preserve"> Watermelon</v>
      </c>
      <c r="E1052" s="4" t="s">
        <v>72</v>
      </c>
      <c r="F1052" s="4" t="s">
        <v>7</v>
      </c>
      <c r="G1052" s="4" t="str">
        <f t="shared" si="124"/>
        <v>Romper Short</v>
      </c>
      <c r="H1052" s="38">
        <f t="shared" si="120"/>
        <v>5</v>
      </c>
      <c r="I1052" s="54">
        <f t="shared" si="119"/>
        <v>22</v>
      </c>
      <c r="J1052" s="14" t="str">
        <f t="shared" si="122"/>
        <v>MothersDay</v>
      </c>
      <c r="K1052" s="16" t="str">
        <f t="shared" si="125"/>
        <v>3-6</v>
      </c>
      <c r="L1052" s="14" t="str">
        <f t="shared" si="123"/>
        <v>Romper Short | 3-6 | Watermelon</v>
      </c>
      <c r="M1052" s="16" t="s">
        <v>3610</v>
      </c>
    </row>
    <row r="1053" spans="1:13" ht="25" customHeight="1" x14ac:dyDescent="0.45">
      <c r="A1053" s="7">
        <v>46171</v>
      </c>
      <c r="B1053" s="3" t="s">
        <v>455</v>
      </c>
      <c r="C1053" s="4" t="s">
        <v>81</v>
      </c>
      <c r="D1053" s="53" t="str">
        <f t="shared" si="121"/>
        <v>Dusty Pink</v>
      </c>
      <c r="E1053" s="4" t="s">
        <v>72</v>
      </c>
      <c r="F1053" s="4" t="s">
        <v>18</v>
      </c>
      <c r="G1053" s="4" t="str">
        <f t="shared" si="124"/>
        <v>Romper Short</v>
      </c>
      <c r="H1053" s="38">
        <f t="shared" si="120"/>
        <v>5</v>
      </c>
      <c r="I1053" s="54">
        <f t="shared" si="119"/>
        <v>22</v>
      </c>
      <c r="J1053" s="14" t="str">
        <f t="shared" si="122"/>
        <v>MothersDay</v>
      </c>
      <c r="K1053" s="16" t="str">
        <f t="shared" si="125"/>
        <v>3-6</v>
      </c>
      <c r="L1053" s="14" t="str">
        <f t="shared" si="123"/>
        <v>Romper Short | 3-6 | Dusty Pink</v>
      </c>
      <c r="M1053" s="16" t="s">
        <v>3610</v>
      </c>
    </row>
    <row r="1054" spans="1:13" ht="25" customHeight="1" x14ac:dyDescent="0.45">
      <c r="A1054" s="7">
        <v>46171</v>
      </c>
      <c r="B1054" s="3" t="s">
        <v>456</v>
      </c>
      <c r="C1054" s="4" t="s">
        <v>178</v>
      </c>
      <c r="D1054" s="53" t="str">
        <f t="shared" si="121"/>
        <v>Mauve Taupe</v>
      </c>
      <c r="E1054" s="4" t="s">
        <v>75</v>
      </c>
      <c r="F1054" s="4" t="s">
        <v>7</v>
      </c>
      <c r="G1054" s="4" t="str">
        <f t="shared" si="124"/>
        <v>Romper Longer</v>
      </c>
      <c r="H1054" s="38">
        <f t="shared" si="120"/>
        <v>5</v>
      </c>
      <c r="I1054" s="54">
        <f t="shared" si="119"/>
        <v>22</v>
      </c>
      <c r="J1054" s="14" t="str">
        <f t="shared" si="122"/>
        <v>MothersDay</v>
      </c>
      <c r="K1054" s="16" t="str">
        <f t="shared" si="125"/>
        <v>3-6</v>
      </c>
      <c r="L1054" s="14" t="str">
        <f t="shared" si="123"/>
        <v>Romper Longer | 3-6 | Mauve Taupe</v>
      </c>
      <c r="M1054" s="16" t="s">
        <v>3610</v>
      </c>
    </row>
    <row r="1055" spans="1:13" ht="25" customHeight="1" x14ac:dyDescent="0.45">
      <c r="A1055" s="7">
        <v>46171</v>
      </c>
      <c r="B1055" s="3" t="s">
        <v>457</v>
      </c>
      <c r="C1055" s="4" t="s">
        <v>110</v>
      </c>
      <c r="D1055" s="53" t="str">
        <f t="shared" si="121"/>
        <v>Sage Green</v>
      </c>
      <c r="E1055" s="4" t="s">
        <v>75</v>
      </c>
      <c r="F1055" s="4" t="s">
        <v>7</v>
      </c>
      <c r="G1055" s="4" t="str">
        <f t="shared" si="124"/>
        <v>Romper Longer</v>
      </c>
      <c r="H1055" s="38">
        <f t="shared" si="120"/>
        <v>5</v>
      </c>
      <c r="I1055" s="54">
        <f t="shared" si="119"/>
        <v>22</v>
      </c>
      <c r="J1055" s="14" t="str">
        <f t="shared" si="122"/>
        <v>MothersDay</v>
      </c>
      <c r="K1055" s="16" t="str">
        <f t="shared" si="125"/>
        <v>3-6</v>
      </c>
      <c r="L1055" s="14" t="str">
        <f t="shared" si="123"/>
        <v>Romper Longer | 3-6 | Sage Green</v>
      </c>
      <c r="M1055" s="16" t="s">
        <v>3611</v>
      </c>
    </row>
    <row r="1056" spans="1:13" ht="25" customHeight="1" x14ac:dyDescent="0.45">
      <c r="A1056" s="7">
        <v>46174</v>
      </c>
      <c r="B1056" s="3" t="s">
        <v>458</v>
      </c>
      <c r="C1056" s="4" t="s">
        <v>87</v>
      </c>
      <c r="D1056" s="53" t="str">
        <f t="shared" si="121"/>
        <v>Cream</v>
      </c>
      <c r="E1056" s="4" t="s">
        <v>88</v>
      </c>
      <c r="F1056" s="4" t="s">
        <v>7</v>
      </c>
      <c r="G1056" s="4" t="str">
        <f t="shared" si="124"/>
        <v>Romper Longer</v>
      </c>
      <c r="H1056" s="38">
        <f t="shared" si="120"/>
        <v>6</v>
      </c>
      <c r="I1056" s="54">
        <f t="shared" si="119"/>
        <v>23</v>
      </c>
      <c r="J1056" s="14" t="str">
        <f t="shared" si="122"/>
        <v>FathersDay</v>
      </c>
      <c r="K1056" s="16" t="str">
        <f t="shared" si="125"/>
        <v>0-3</v>
      </c>
      <c r="L1056" s="14" t="str">
        <f t="shared" si="123"/>
        <v>Romper Longer | 0-3 | Cream</v>
      </c>
      <c r="M1056" s="16" t="s">
        <v>3609</v>
      </c>
    </row>
    <row r="1057" spans="1:13" ht="25" customHeight="1" x14ac:dyDescent="0.45">
      <c r="A1057" s="7">
        <v>46174</v>
      </c>
      <c r="B1057" s="3" t="s">
        <v>459</v>
      </c>
      <c r="C1057" s="4" t="s">
        <v>114</v>
      </c>
      <c r="D1057" s="53" t="str">
        <f t="shared" si="121"/>
        <v>White</v>
      </c>
      <c r="E1057" s="4" t="s">
        <v>88</v>
      </c>
      <c r="F1057" s="4" t="s">
        <v>7</v>
      </c>
      <c r="G1057" s="4" t="str">
        <f t="shared" si="124"/>
        <v>Romper Longer</v>
      </c>
      <c r="H1057" s="38">
        <f t="shared" si="120"/>
        <v>6</v>
      </c>
      <c r="I1057" s="54">
        <f t="shared" si="119"/>
        <v>23</v>
      </c>
      <c r="J1057" s="14" t="str">
        <f t="shared" si="122"/>
        <v>FathersDay</v>
      </c>
      <c r="K1057" s="16" t="str">
        <f t="shared" si="125"/>
        <v>0-3</v>
      </c>
      <c r="L1057" s="14" t="str">
        <f t="shared" si="123"/>
        <v>Romper Longer | 0-3 | White</v>
      </c>
      <c r="M1057" s="16" t="s">
        <v>3610</v>
      </c>
    </row>
    <row r="1058" spans="1:13" ht="25" customHeight="1" x14ac:dyDescent="0.45">
      <c r="A1058" s="7">
        <v>46175</v>
      </c>
      <c r="B1058" s="3" t="s">
        <v>460</v>
      </c>
      <c r="C1058" s="4" t="s">
        <v>76</v>
      </c>
      <c r="D1058" s="53" t="str">
        <f t="shared" si="121"/>
        <v>Caldet Blue</v>
      </c>
      <c r="E1058" s="4" t="s">
        <v>106</v>
      </c>
      <c r="F1058" s="4" t="s">
        <v>7</v>
      </c>
      <c r="G1058" s="4" t="str">
        <f t="shared" si="124"/>
        <v>Romper Short</v>
      </c>
      <c r="H1058" s="38">
        <f t="shared" si="120"/>
        <v>6</v>
      </c>
      <c r="I1058" s="54">
        <f t="shared" si="119"/>
        <v>23</v>
      </c>
      <c r="J1058" s="14" t="str">
        <f t="shared" si="122"/>
        <v>FathersDay</v>
      </c>
      <c r="K1058" s="16" t="str">
        <f t="shared" si="125"/>
        <v>12-18</v>
      </c>
      <c r="L1058" s="14" t="str">
        <f t="shared" si="123"/>
        <v>Romper Short | 12-18 | Caldet Blue</v>
      </c>
      <c r="M1058" s="16" t="s">
        <v>3610</v>
      </c>
    </row>
    <row r="1059" spans="1:13" ht="25" customHeight="1" x14ac:dyDescent="0.45">
      <c r="A1059" s="7">
        <v>46179</v>
      </c>
      <c r="B1059" s="3" t="s">
        <v>461</v>
      </c>
      <c r="C1059" s="4" t="s">
        <v>462</v>
      </c>
      <c r="D1059" s="53" t="str">
        <f t="shared" si="121"/>
        <v xml:space="preserve"> Dusty Pink</v>
      </c>
      <c r="E1059" s="4" t="s">
        <v>75</v>
      </c>
      <c r="F1059" s="4" t="s">
        <v>7</v>
      </c>
      <c r="G1059" s="4" t="str">
        <f t="shared" si="124"/>
        <v>Romper Longer</v>
      </c>
      <c r="H1059" s="38">
        <f t="shared" si="120"/>
        <v>6</v>
      </c>
      <c r="I1059" s="54">
        <f t="shared" si="119"/>
        <v>23</v>
      </c>
      <c r="J1059" s="14" t="str">
        <f t="shared" si="122"/>
        <v>FathersDay</v>
      </c>
      <c r="K1059" s="16" t="str">
        <f t="shared" si="125"/>
        <v>3-6</v>
      </c>
      <c r="L1059" s="14" t="str">
        <f t="shared" si="123"/>
        <v>Romper Longer | 3-6 | Dusty Pink</v>
      </c>
      <c r="M1059" s="16" t="s">
        <v>3610</v>
      </c>
    </row>
    <row r="1060" spans="1:13" ht="25" customHeight="1" x14ac:dyDescent="0.45">
      <c r="A1060" s="7">
        <v>46180</v>
      </c>
      <c r="B1060" s="3" t="s">
        <v>463</v>
      </c>
      <c r="C1060" s="4" t="s">
        <v>114</v>
      </c>
      <c r="D1060" s="53" t="str">
        <f t="shared" si="121"/>
        <v>White</v>
      </c>
      <c r="E1060" s="4" t="s">
        <v>72</v>
      </c>
      <c r="F1060" s="4" t="s">
        <v>15</v>
      </c>
      <c r="G1060" s="4" t="str">
        <f t="shared" si="124"/>
        <v>Romper Short</v>
      </c>
      <c r="H1060" s="38">
        <f t="shared" si="120"/>
        <v>6</v>
      </c>
      <c r="I1060" s="54">
        <f t="shared" si="119"/>
        <v>24</v>
      </c>
      <c r="J1060" s="14" t="str">
        <f t="shared" si="122"/>
        <v>FathersDay</v>
      </c>
      <c r="K1060" s="16" t="str">
        <f t="shared" si="125"/>
        <v>3-6</v>
      </c>
      <c r="L1060" s="14" t="str">
        <f t="shared" si="123"/>
        <v>Romper Short | 3-6 | White</v>
      </c>
      <c r="M1060" s="16" t="s">
        <v>3610</v>
      </c>
    </row>
    <row r="1061" spans="1:13" ht="25" customHeight="1" x14ac:dyDescent="0.45">
      <c r="A1061" s="7">
        <v>46181</v>
      </c>
      <c r="B1061" s="3" t="s">
        <v>464</v>
      </c>
      <c r="C1061" s="4" t="s">
        <v>462</v>
      </c>
      <c r="D1061" s="53" t="str">
        <f t="shared" si="121"/>
        <v xml:space="preserve"> Dusty Pink</v>
      </c>
      <c r="E1061" s="4" t="s">
        <v>82</v>
      </c>
      <c r="F1061" s="4" t="s">
        <v>7</v>
      </c>
      <c r="G1061" s="4" t="str">
        <f t="shared" si="124"/>
        <v>Romper Short</v>
      </c>
      <c r="H1061" s="38">
        <f t="shared" si="120"/>
        <v>6</v>
      </c>
      <c r="I1061" s="54">
        <f t="shared" ref="I1061:I1068" si="126">WEEKNUM(A1061)</f>
        <v>24</v>
      </c>
      <c r="J1061" s="14" t="str">
        <f t="shared" si="122"/>
        <v>FathersDay</v>
      </c>
      <c r="K1061" s="16" t="str">
        <f t="shared" si="125"/>
        <v>0-3</v>
      </c>
      <c r="L1061" s="14" t="str">
        <f t="shared" si="123"/>
        <v>Romper Short | 0-3 | Dusty Pink</v>
      </c>
      <c r="M1061" s="16" t="s">
        <v>3610</v>
      </c>
    </row>
    <row r="1062" spans="1:13" ht="25" customHeight="1" x14ac:dyDescent="0.45">
      <c r="A1062" s="7">
        <v>46182</v>
      </c>
      <c r="B1062" s="3" t="s">
        <v>464</v>
      </c>
      <c r="C1062" s="4" t="s">
        <v>87</v>
      </c>
      <c r="D1062" s="53" t="str">
        <f t="shared" si="121"/>
        <v>Cream</v>
      </c>
      <c r="E1062" s="4" t="s">
        <v>82</v>
      </c>
      <c r="F1062" s="4" t="s">
        <v>7</v>
      </c>
      <c r="G1062" s="4" t="str">
        <f t="shared" si="124"/>
        <v>Romper Short</v>
      </c>
      <c r="H1062" s="38">
        <f t="shared" si="120"/>
        <v>6</v>
      </c>
      <c r="I1062" s="54">
        <f t="shared" si="126"/>
        <v>24</v>
      </c>
      <c r="J1062" s="14" t="str">
        <f t="shared" si="122"/>
        <v>FathersDay</v>
      </c>
      <c r="K1062" s="16" t="str">
        <f t="shared" si="125"/>
        <v>0-3</v>
      </c>
      <c r="L1062" s="14" t="str">
        <f t="shared" si="123"/>
        <v>Romper Short | 0-3 | Cream</v>
      </c>
      <c r="M1062" s="16" t="s">
        <v>3609</v>
      </c>
    </row>
    <row r="1063" spans="1:13" ht="25" customHeight="1" x14ac:dyDescent="0.45">
      <c r="A1063" s="7">
        <v>46182</v>
      </c>
      <c r="B1063" s="3" t="s">
        <v>465</v>
      </c>
      <c r="C1063" s="4" t="s">
        <v>87</v>
      </c>
      <c r="D1063" s="53" t="str">
        <f t="shared" si="121"/>
        <v>Cream</v>
      </c>
      <c r="E1063" s="4" t="s">
        <v>75</v>
      </c>
      <c r="F1063" s="4" t="s">
        <v>7</v>
      </c>
      <c r="G1063" s="4" t="str">
        <f t="shared" si="124"/>
        <v>Romper Longer</v>
      </c>
      <c r="H1063" s="38">
        <f t="shared" si="120"/>
        <v>6</v>
      </c>
      <c r="I1063" s="54">
        <f t="shared" si="126"/>
        <v>24</v>
      </c>
      <c r="J1063" s="14" t="str">
        <f t="shared" si="122"/>
        <v>FathersDay</v>
      </c>
      <c r="K1063" s="16" t="str">
        <f t="shared" si="125"/>
        <v>3-6</v>
      </c>
      <c r="L1063" s="14" t="str">
        <f t="shared" si="123"/>
        <v>Romper Longer | 3-6 | Cream</v>
      </c>
      <c r="M1063" s="16" t="s">
        <v>3609</v>
      </c>
    </row>
    <row r="1064" spans="1:13" ht="25" customHeight="1" x14ac:dyDescent="0.45">
      <c r="A1064" s="7">
        <v>46183</v>
      </c>
      <c r="B1064" s="3" t="s">
        <v>466</v>
      </c>
      <c r="C1064" s="4" t="s">
        <v>76</v>
      </c>
      <c r="D1064" s="53" t="str">
        <f t="shared" si="121"/>
        <v>Caldet Blue</v>
      </c>
      <c r="E1064" s="4" t="s">
        <v>88</v>
      </c>
      <c r="F1064" s="4" t="s">
        <v>7</v>
      </c>
      <c r="G1064" s="4" t="str">
        <f t="shared" si="124"/>
        <v>Romper Longer</v>
      </c>
      <c r="H1064" s="38">
        <f t="shared" si="120"/>
        <v>6</v>
      </c>
      <c r="I1064" s="54">
        <f t="shared" si="126"/>
        <v>24</v>
      </c>
      <c r="J1064" s="14" t="str">
        <f t="shared" si="122"/>
        <v>FathersDay</v>
      </c>
      <c r="K1064" s="16" t="str">
        <f t="shared" si="125"/>
        <v>0-3</v>
      </c>
      <c r="L1064" s="14" t="str">
        <f t="shared" si="123"/>
        <v>Romper Longer | 0-3 | Caldet Blue</v>
      </c>
      <c r="M1064" s="16" t="s">
        <v>3610</v>
      </c>
    </row>
    <row r="1065" spans="1:13" ht="25" customHeight="1" x14ac:dyDescent="0.45">
      <c r="A1065" s="7">
        <v>46183</v>
      </c>
      <c r="B1065" s="3" t="s">
        <v>466</v>
      </c>
      <c r="C1065" s="4" t="s">
        <v>87</v>
      </c>
      <c r="D1065" s="53" t="str">
        <f t="shared" si="121"/>
        <v>Cream</v>
      </c>
      <c r="E1065" s="4" t="s">
        <v>75</v>
      </c>
      <c r="F1065" s="4" t="s">
        <v>7</v>
      </c>
      <c r="G1065" s="4" t="str">
        <f t="shared" si="124"/>
        <v>Romper Longer</v>
      </c>
      <c r="H1065" s="38">
        <f t="shared" si="120"/>
        <v>6</v>
      </c>
      <c r="I1065" s="54">
        <f t="shared" si="126"/>
        <v>24</v>
      </c>
      <c r="J1065" s="14" t="str">
        <f t="shared" si="122"/>
        <v>FathersDay</v>
      </c>
      <c r="K1065" s="16" t="str">
        <f t="shared" si="125"/>
        <v>3-6</v>
      </c>
      <c r="L1065" s="14" t="str">
        <f t="shared" si="123"/>
        <v>Romper Longer | 3-6 | Cream</v>
      </c>
      <c r="M1065" s="16" t="s">
        <v>3609</v>
      </c>
    </row>
    <row r="1066" spans="1:13" ht="25" customHeight="1" x14ac:dyDescent="0.45">
      <c r="A1066" s="7">
        <v>46183</v>
      </c>
      <c r="B1066" s="3" t="s">
        <v>466</v>
      </c>
      <c r="C1066" s="4" t="s">
        <v>87</v>
      </c>
      <c r="D1066" s="53" t="str">
        <f t="shared" si="121"/>
        <v>Cream</v>
      </c>
      <c r="E1066" s="4" t="s">
        <v>75</v>
      </c>
      <c r="F1066" s="4" t="s">
        <v>7</v>
      </c>
      <c r="G1066" s="4" t="str">
        <f t="shared" si="124"/>
        <v>Romper Longer</v>
      </c>
      <c r="H1066" s="38">
        <f t="shared" si="120"/>
        <v>6</v>
      </c>
      <c r="I1066" s="54">
        <f t="shared" si="126"/>
        <v>24</v>
      </c>
      <c r="J1066" s="14" t="str">
        <f t="shared" si="122"/>
        <v>FathersDay</v>
      </c>
      <c r="K1066" s="16" t="str">
        <f t="shared" si="125"/>
        <v>3-6</v>
      </c>
      <c r="L1066" s="14" t="str">
        <f t="shared" si="123"/>
        <v>Romper Longer | 3-6 | Cream</v>
      </c>
      <c r="M1066" s="16" t="s">
        <v>3609</v>
      </c>
    </row>
    <row r="1067" spans="1:13" ht="25" customHeight="1" x14ac:dyDescent="0.45">
      <c r="A1067" s="7">
        <v>46186</v>
      </c>
      <c r="B1067" s="3" t="s">
        <v>467</v>
      </c>
      <c r="C1067" s="4" t="s">
        <v>87</v>
      </c>
      <c r="D1067" s="53" t="str">
        <f t="shared" si="121"/>
        <v>Cream</v>
      </c>
      <c r="E1067" s="4" t="s">
        <v>75</v>
      </c>
      <c r="F1067" s="4" t="s">
        <v>18</v>
      </c>
      <c r="G1067" s="4" t="str">
        <f t="shared" si="124"/>
        <v>Romper Longer</v>
      </c>
      <c r="H1067" s="38">
        <f t="shared" si="120"/>
        <v>6</v>
      </c>
      <c r="I1067" s="54">
        <f t="shared" si="126"/>
        <v>24</v>
      </c>
      <c r="J1067" s="14" t="str">
        <f t="shared" si="122"/>
        <v>FathersDay</v>
      </c>
      <c r="K1067" s="16" t="str">
        <f t="shared" si="125"/>
        <v>3-6</v>
      </c>
      <c r="L1067" s="14" t="str">
        <f t="shared" si="123"/>
        <v>Romper Longer | 3-6 | Cream</v>
      </c>
      <c r="M1067" s="16" t="s">
        <v>3609</v>
      </c>
    </row>
    <row r="1068" spans="1:13" ht="25" customHeight="1" x14ac:dyDescent="0.45">
      <c r="A1068" s="7">
        <v>46186</v>
      </c>
      <c r="B1068" s="3" t="s">
        <v>468</v>
      </c>
      <c r="C1068" s="4" t="s">
        <v>114</v>
      </c>
      <c r="D1068" s="53" t="str">
        <f t="shared" si="121"/>
        <v>White</v>
      </c>
      <c r="E1068" s="4" t="s">
        <v>88</v>
      </c>
      <c r="F1068" s="4" t="s">
        <v>7</v>
      </c>
      <c r="G1068" s="4" t="str">
        <f t="shared" si="124"/>
        <v>Romper Longer</v>
      </c>
      <c r="H1068" s="38">
        <f t="shared" si="120"/>
        <v>6</v>
      </c>
      <c r="I1068" s="54">
        <f t="shared" si="126"/>
        <v>24</v>
      </c>
      <c r="J1068" s="14" t="str">
        <f t="shared" si="122"/>
        <v>FathersDay</v>
      </c>
      <c r="K1068" s="16" t="str">
        <f t="shared" si="125"/>
        <v>0-3</v>
      </c>
      <c r="L1068" s="14" t="str">
        <f t="shared" si="123"/>
        <v>Romper Longer | 0-3 | White</v>
      </c>
      <c r="M1068" s="16" t="s">
        <v>3610</v>
      </c>
    </row>
    <row r="1069" spans="1:13" ht="25" customHeight="1" x14ac:dyDescent="0.45">
      <c r="A1069" s="7">
        <v>46187</v>
      </c>
      <c r="B1069" s="3" t="s">
        <v>468</v>
      </c>
      <c r="C1069" s="4" t="s">
        <v>87</v>
      </c>
      <c r="D1069" s="53" t="str">
        <f t="shared" si="121"/>
        <v>Cream</v>
      </c>
      <c r="E1069" s="4" t="s">
        <v>88</v>
      </c>
      <c r="F1069" s="4" t="s">
        <v>7</v>
      </c>
      <c r="G1069" s="4" t="str">
        <f t="shared" si="124"/>
        <v>Romper Longer</v>
      </c>
      <c r="H1069" s="38">
        <f t="shared" si="120"/>
        <v>6</v>
      </c>
      <c r="I1069" s="54">
        <f>WEEKNUM(A1069)</f>
        <v>25</v>
      </c>
      <c r="J1069" s="14" t="str">
        <f t="shared" si="122"/>
        <v>FathersDay</v>
      </c>
      <c r="K1069" s="16" t="str">
        <f t="shared" si="125"/>
        <v>0-3</v>
      </c>
      <c r="L1069" s="14" t="str">
        <f t="shared" si="123"/>
        <v>Romper Longer | 0-3 | Cream</v>
      </c>
      <c r="M1069" s="16" t="s">
        <v>3609</v>
      </c>
    </row>
    <row r="1070" spans="1:13" ht="25" customHeight="1" x14ac:dyDescent="0.45">
      <c r="A1070" s="7">
        <v>46188</v>
      </c>
      <c r="B1070" s="3" t="s">
        <v>468</v>
      </c>
      <c r="C1070" s="4" t="s">
        <v>114</v>
      </c>
      <c r="D1070" s="53" t="str">
        <f t="shared" si="121"/>
        <v>White</v>
      </c>
      <c r="E1070" s="4" t="s">
        <v>88</v>
      </c>
      <c r="F1070" s="4" t="s">
        <v>7</v>
      </c>
      <c r="G1070" s="4" t="str">
        <f t="shared" si="124"/>
        <v>Romper Longer</v>
      </c>
      <c r="H1070" s="38">
        <f t="shared" si="120"/>
        <v>6</v>
      </c>
      <c r="I1070" s="54">
        <f>WEEKNUM(A1070)</f>
        <v>25</v>
      </c>
      <c r="J1070" s="14" t="str">
        <f t="shared" si="122"/>
        <v>FathersDay</v>
      </c>
      <c r="K1070" s="16" t="str">
        <f t="shared" si="125"/>
        <v>0-3</v>
      </c>
      <c r="L1070" s="14" t="str">
        <f t="shared" si="123"/>
        <v>Romper Longer | 0-3 | White</v>
      </c>
      <c r="M1070" s="16" t="s">
        <v>3610</v>
      </c>
    </row>
    <row r="1071" spans="1:13" ht="25" customHeight="1" x14ac:dyDescent="0.45">
      <c r="A1071" s="6">
        <v>46050</v>
      </c>
      <c r="B1071" s="3" t="s">
        <v>70</v>
      </c>
      <c r="C1071" s="4" t="s">
        <v>71</v>
      </c>
      <c r="D1071" s="53" t="str">
        <f t="shared" si="121"/>
        <v>Coffee</v>
      </c>
      <c r="E1071" s="4" t="s">
        <v>72</v>
      </c>
      <c r="F1071" s="5" t="s">
        <v>7</v>
      </c>
      <c r="G1071" s="4" t="str">
        <f t="shared" si="124"/>
        <v>Romper Short</v>
      </c>
      <c r="H1071" s="38">
        <f t="shared" si="120"/>
        <v>1</v>
      </c>
      <c r="I1071" s="54">
        <f t="shared" ref="I1071:I1134" si="127">WEEKNUM(A1071)</f>
        <v>5</v>
      </c>
      <c r="J1071" s="14" t="str">
        <f t="shared" si="122"/>
        <v>NewYear</v>
      </c>
      <c r="K1071" s="16" t="str">
        <f t="shared" si="125"/>
        <v>3-6</v>
      </c>
      <c r="L1071" s="14" t="str">
        <f t="shared" si="123"/>
        <v>Romper Short | 3-6 | Coffee</v>
      </c>
      <c r="M1071" s="16" t="s">
        <v>3610</v>
      </c>
    </row>
    <row r="1072" spans="1:13" ht="25" customHeight="1" x14ac:dyDescent="0.45">
      <c r="A1072" s="6">
        <v>46052</v>
      </c>
      <c r="B1072" s="59" t="s">
        <v>73</v>
      </c>
      <c r="C1072" s="4" t="s">
        <v>74</v>
      </c>
      <c r="D1072" s="53" t="str">
        <f t="shared" si="121"/>
        <v>Watermelon</v>
      </c>
      <c r="E1072" s="4" t="s">
        <v>75</v>
      </c>
      <c r="F1072" s="58" t="s">
        <v>7</v>
      </c>
      <c r="G1072" s="4" t="str">
        <f t="shared" si="124"/>
        <v>Romper Longer</v>
      </c>
      <c r="H1072" s="38">
        <f t="shared" si="120"/>
        <v>1</v>
      </c>
      <c r="I1072" s="54">
        <f t="shared" si="127"/>
        <v>5</v>
      </c>
      <c r="J1072" s="14" t="str">
        <f t="shared" si="122"/>
        <v>NewYear</v>
      </c>
      <c r="K1072" s="16" t="str">
        <f t="shared" si="125"/>
        <v>3-6</v>
      </c>
      <c r="L1072" s="14" t="str">
        <f t="shared" si="123"/>
        <v>Romper Longer | 3-6 | Watermelon</v>
      </c>
      <c r="M1072" s="16" t="s">
        <v>3610</v>
      </c>
    </row>
    <row r="1073" spans="1:13" ht="25" customHeight="1" x14ac:dyDescent="0.45">
      <c r="A1073" s="6">
        <v>46052</v>
      </c>
      <c r="B1073" s="57"/>
      <c r="C1073" s="4" t="s">
        <v>76</v>
      </c>
      <c r="D1073" s="53" t="str">
        <f t="shared" si="121"/>
        <v>Caldet Blue</v>
      </c>
      <c r="E1073" s="4" t="s">
        <v>75</v>
      </c>
      <c r="F1073" s="58"/>
      <c r="G1073" s="4" t="str">
        <f t="shared" si="124"/>
        <v>Romper Longer</v>
      </c>
      <c r="H1073" s="38">
        <f t="shared" si="120"/>
        <v>1</v>
      </c>
      <c r="I1073" s="54">
        <f t="shared" si="127"/>
        <v>5</v>
      </c>
      <c r="J1073" s="14" t="str">
        <f t="shared" si="122"/>
        <v>NewYear</v>
      </c>
      <c r="K1073" s="16" t="str">
        <f t="shared" si="125"/>
        <v>3-6</v>
      </c>
      <c r="L1073" s="14" t="str">
        <f t="shared" si="123"/>
        <v>Romper Longer | 3-6 | Caldet Blue</v>
      </c>
      <c r="M1073" s="16" t="s">
        <v>3610</v>
      </c>
    </row>
    <row r="1074" spans="1:13" ht="25" customHeight="1" x14ac:dyDescent="0.45">
      <c r="A1074" s="6">
        <v>46052</v>
      </c>
      <c r="B1074" s="3" t="s">
        <v>77</v>
      </c>
      <c r="C1074" s="4" t="s">
        <v>71</v>
      </c>
      <c r="D1074" s="53" t="str">
        <f t="shared" si="121"/>
        <v>Coffee</v>
      </c>
      <c r="E1074" s="4" t="s">
        <v>72</v>
      </c>
      <c r="F1074" s="5" t="s">
        <v>7</v>
      </c>
      <c r="G1074" s="4" t="str">
        <f t="shared" si="124"/>
        <v>Romper Short</v>
      </c>
      <c r="H1074" s="38">
        <f t="shared" si="120"/>
        <v>1</v>
      </c>
      <c r="I1074" s="54">
        <f t="shared" si="127"/>
        <v>5</v>
      </c>
      <c r="J1074" s="14" t="str">
        <f t="shared" si="122"/>
        <v>NewYear</v>
      </c>
      <c r="K1074" s="16" t="str">
        <f t="shared" si="125"/>
        <v>3-6</v>
      </c>
      <c r="L1074" s="14" t="str">
        <f t="shared" si="123"/>
        <v>Romper Short | 3-6 | Coffee</v>
      </c>
      <c r="M1074" s="16" t="s">
        <v>3610</v>
      </c>
    </row>
    <row r="1075" spans="1:13" ht="25" customHeight="1" x14ac:dyDescent="0.45">
      <c r="A1075" s="6">
        <v>46053</v>
      </c>
      <c r="B1075" s="3" t="s">
        <v>78</v>
      </c>
      <c r="C1075" s="4" t="s">
        <v>79</v>
      </c>
      <c r="D1075" s="53" t="str">
        <f t="shared" si="121"/>
        <v>White</v>
      </c>
      <c r="E1075" s="4" t="s">
        <v>75</v>
      </c>
      <c r="F1075" s="5" t="s">
        <v>14</v>
      </c>
      <c r="G1075" s="4" t="str">
        <f t="shared" si="124"/>
        <v>Romper Longer</v>
      </c>
      <c r="H1075" s="38">
        <f t="shared" si="120"/>
        <v>1</v>
      </c>
      <c r="I1075" s="54">
        <f t="shared" si="127"/>
        <v>5</v>
      </c>
      <c r="J1075" s="14" t="str">
        <f t="shared" si="122"/>
        <v>NewYear</v>
      </c>
      <c r="K1075" s="16" t="str">
        <f t="shared" si="125"/>
        <v>3-6</v>
      </c>
      <c r="L1075" s="14" t="str">
        <f t="shared" si="123"/>
        <v>Romper Longer | 3-6 | White</v>
      </c>
      <c r="M1075" s="16" t="s">
        <v>3610</v>
      </c>
    </row>
    <row r="1076" spans="1:13" ht="25" customHeight="1" x14ac:dyDescent="0.45">
      <c r="A1076" s="6">
        <v>46064</v>
      </c>
      <c r="B1076" s="3" t="s">
        <v>80</v>
      </c>
      <c r="C1076" s="4" t="s">
        <v>81</v>
      </c>
      <c r="D1076" s="53" t="str">
        <f t="shared" si="121"/>
        <v>Dusty Pink</v>
      </c>
      <c r="E1076" s="4" t="s">
        <v>82</v>
      </c>
      <c r="F1076" s="5" t="s">
        <v>11</v>
      </c>
      <c r="G1076" s="4" t="str">
        <f t="shared" si="124"/>
        <v>Romper Short</v>
      </c>
      <c r="H1076" s="38">
        <f t="shared" si="120"/>
        <v>2</v>
      </c>
      <c r="I1076" s="54">
        <f t="shared" si="127"/>
        <v>7</v>
      </c>
      <c r="J1076" s="14" t="str">
        <f t="shared" si="122"/>
        <v>Valentine</v>
      </c>
      <c r="K1076" s="16" t="str">
        <f t="shared" si="125"/>
        <v>0-3</v>
      </c>
      <c r="L1076" s="14" t="str">
        <f t="shared" si="123"/>
        <v>Romper Short | 0-3 | Dusty Pink</v>
      </c>
      <c r="M1076" s="16" t="s">
        <v>3610</v>
      </c>
    </row>
    <row r="1077" spans="1:13" ht="25" customHeight="1" x14ac:dyDescent="0.45">
      <c r="A1077" s="6">
        <v>46067</v>
      </c>
      <c r="B1077" s="3" t="s">
        <v>83</v>
      </c>
      <c r="C1077" s="4" t="s">
        <v>79</v>
      </c>
      <c r="D1077" s="53" t="str">
        <f t="shared" si="121"/>
        <v>White</v>
      </c>
      <c r="E1077" s="4" t="s">
        <v>72</v>
      </c>
      <c r="F1077" s="5" t="s">
        <v>11</v>
      </c>
      <c r="G1077" s="4" t="str">
        <f t="shared" si="124"/>
        <v>Romper Short</v>
      </c>
      <c r="H1077" s="38">
        <f t="shared" si="120"/>
        <v>2</v>
      </c>
      <c r="I1077" s="54">
        <f t="shared" si="127"/>
        <v>7</v>
      </c>
      <c r="J1077" s="14" t="str">
        <f t="shared" si="122"/>
        <v>Valentine</v>
      </c>
      <c r="K1077" s="16" t="str">
        <f t="shared" si="125"/>
        <v>3-6</v>
      </c>
      <c r="L1077" s="14" t="str">
        <f t="shared" si="123"/>
        <v>Romper Short | 3-6 | White</v>
      </c>
      <c r="M1077" s="16" t="s">
        <v>3610</v>
      </c>
    </row>
    <row r="1078" spans="1:13" ht="25" customHeight="1" x14ac:dyDescent="0.45">
      <c r="A1078" s="6">
        <v>46068</v>
      </c>
      <c r="B1078" s="3" t="s">
        <v>84</v>
      </c>
      <c r="C1078" s="4" t="s">
        <v>85</v>
      </c>
      <c r="D1078" s="53" t="str">
        <f t="shared" si="121"/>
        <v>Forest Green</v>
      </c>
      <c r="E1078" s="4" t="s">
        <v>72</v>
      </c>
      <c r="F1078" s="5" t="s">
        <v>11</v>
      </c>
      <c r="G1078" s="4" t="str">
        <f t="shared" si="124"/>
        <v>Romper Short</v>
      </c>
      <c r="H1078" s="38">
        <f t="shared" si="120"/>
        <v>2</v>
      </c>
      <c r="I1078" s="54">
        <f t="shared" si="127"/>
        <v>8</v>
      </c>
      <c r="J1078" s="14" t="str">
        <f t="shared" si="122"/>
        <v>Valentine</v>
      </c>
      <c r="K1078" s="16" t="str">
        <f t="shared" si="125"/>
        <v>3-6</v>
      </c>
      <c r="L1078" s="14" t="str">
        <f t="shared" si="123"/>
        <v>Romper Short | 3-6 | Forest Green</v>
      </c>
      <c r="M1078" s="16" t="s">
        <v>3610</v>
      </c>
    </row>
    <row r="1079" spans="1:13" ht="25" customHeight="1" x14ac:dyDescent="0.45">
      <c r="A1079" s="6">
        <v>46082</v>
      </c>
      <c r="B1079" s="3" t="s">
        <v>86</v>
      </c>
      <c r="C1079" s="4" t="s">
        <v>87</v>
      </c>
      <c r="D1079" s="53" t="str">
        <f t="shared" si="121"/>
        <v>Cream</v>
      </c>
      <c r="E1079" s="4" t="s">
        <v>88</v>
      </c>
      <c r="F1079" s="5" t="s">
        <v>7</v>
      </c>
      <c r="G1079" s="4" t="str">
        <f t="shared" si="124"/>
        <v>Romper Longer</v>
      </c>
      <c r="H1079" s="38">
        <f t="shared" si="120"/>
        <v>3</v>
      </c>
      <c r="I1079" s="54">
        <f t="shared" si="127"/>
        <v>10</v>
      </c>
      <c r="J1079" s="14" t="str">
        <f t="shared" si="122"/>
        <v>Easter</v>
      </c>
      <c r="K1079" s="16" t="str">
        <f t="shared" si="125"/>
        <v>0-3</v>
      </c>
      <c r="L1079" s="14" t="str">
        <f t="shared" si="123"/>
        <v>Romper Longer | 0-3 | Cream</v>
      </c>
      <c r="M1079" s="16" t="s">
        <v>3609</v>
      </c>
    </row>
    <row r="1080" spans="1:13" ht="25" customHeight="1" x14ac:dyDescent="0.45">
      <c r="A1080" s="6">
        <v>46083</v>
      </c>
      <c r="B1080" s="3" t="s">
        <v>89</v>
      </c>
      <c r="C1080" s="4" t="s">
        <v>87</v>
      </c>
      <c r="D1080" s="53" t="str">
        <f t="shared" si="121"/>
        <v>Cream</v>
      </c>
      <c r="E1080" s="4" t="s">
        <v>90</v>
      </c>
      <c r="F1080" s="5" t="s">
        <v>7</v>
      </c>
      <c r="G1080" s="4" t="str">
        <f t="shared" si="124"/>
        <v>Romper Short</v>
      </c>
      <c r="H1080" s="38">
        <f t="shared" si="120"/>
        <v>3</v>
      </c>
      <c r="I1080" s="54">
        <f t="shared" si="127"/>
        <v>10</v>
      </c>
      <c r="J1080" s="14" t="str">
        <f t="shared" si="122"/>
        <v>Easter</v>
      </c>
      <c r="K1080" s="16" t="str">
        <f t="shared" si="125"/>
        <v>6-12</v>
      </c>
      <c r="L1080" s="14" t="str">
        <f t="shared" si="123"/>
        <v>Romper Short | 6-12 | Cream</v>
      </c>
      <c r="M1080" s="16" t="s">
        <v>3611</v>
      </c>
    </row>
    <row r="1081" spans="1:13" ht="25" customHeight="1" x14ac:dyDescent="0.45">
      <c r="A1081" s="6">
        <v>46083</v>
      </c>
      <c r="B1081" s="3" t="s">
        <v>91</v>
      </c>
      <c r="C1081" s="4" t="s">
        <v>87</v>
      </c>
      <c r="D1081" s="53" t="str">
        <f t="shared" si="121"/>
        <v>Cream</v>
      </c>
      <c r="E1081" s="4" t="s">
        <v>82</v>
      </c>
      <c r="F1081" s="5" t="s">
        <v>7</v>
      </c>
      <c r="G1081" s="4" t="str">
        <f t="shared" si="124"/>
        <v>Romper Short</v>
      </c>
      <c r="H1081" s="38">
        <f t="shared" si="120"/>
        <v>3</v>
      </c>
      <c r="I1081" s="54">
        <f t="shared" si="127"/>
        <v>10</v>
      </c>
      <c r="J1081" s="14" t="str">
        <f t="shared" si="122"/>
        <v>Easter</v>
      </c>
      <c r="K1081" s="16" t="str">
        <f t="shared" si="125"/>
        <v>0-3</v>
      </c>
      <c r="L1081" s="14" t="str">
        <f t="shared" si="123"/>
        <v>Romper Short | 0-3 | Cream</v>
      </c>
      <c r="M1081" s="16" t="s">
        <v>3609</v>
      </c>
    </row>
    <row r="1082" spans="1:13" ht="25" customHeight="1" x14ac:dyDescent="0.45">
      <c r="A1082" s="6">
        <v>46085</v>
      </c>
      <c r="B1082" s="3" t="s">
        <v>92</v>
      </c>
      <c r="C1082" s="4" t="s">
        <v>71</v>
      </c>
      <c r="D1082" s="53" t="str">
        <f t="shared" si="121"/>
        <v>Coffee</v>
      </c>
      <c r="E1082" s="4" t="s">
        <v>88</v>
      </c>
      <c r="F1082" s="5" t="s">
        <v>7</v>
      </c>
      <c r="G1082" s="4" t="str">
        <f t="shared" si="124"/>
        <v>Romper Longer</v>
      </c>
      <c r="H1082" s="38">
        <f t="shared" si="120"/>
        <v>3</v>
      </c>
      <c r="I1082" s="54">
        <f t="shared" si="127"/>
        <v>10</v>
      </c>
      <c r="J1082" s="14" t="str">
        <f t="shared" si="122"/>
        <v>Easter</v>
      </c>
      <c r="K1082" s="16" t="str">
        <f t="shared" si="125"/>
        <v>0-3</v>
      </c>
      <c r="L1082" s="14" t="str">
        <f t="shared" si="123"/>
        <v>Romper Longer | 0-3 | Coffee</v>
      </c>
      <c r="M1082" s="16" t="s">
        <v>3610</v>
      </c>
    </row>
    <row r="1083" spans="1:13" ht="25" customHeight="1" x14ac:dyDescent="0.45">
      <c r="A1083" s="6">
        <v>46086</v>
      </c>
      <c r="B1083" s="3" t="s">
        <v>93</v>
      </c>
      <c r="C1083" s="4" t="s">
        <v>71</v>
      </c>
      <c r="D1083" s="53" t="str">
        <f t="shared" si="121"/>
        <v>Coffee</v>
      </c>
      <c r="E1083" s="4" t="s">
        <v>94</v>
      </c>
      <c r="F1083" s="5" t="s">
        <v>7</v>
      </c>
      <c r="G1083" s="4" t="str">
        <f t="shared" si="124"/>
        <v>Romper Longer</v>
      </c>
      <c r="H1083" s="38">
        <f t="shared" si="120"/>
        <v>3</v>
      </c>
      <c r="I1083" s="54">
        <f t="shared" si="127"/>
        <v>10</v>
      </c>
      <c r="J1083" s="14" t="str">
        <f t="shared" si="122"/>
        <v>Easter</v>
      </c>
      <c r="K1083" s="16" t="str">
        <f t="shared" si="125"/>
        <v>6-12</v>
      </c>
      <c r="L1083" s="14" t="str">
        <f t="shared" si="123"/>
        <v>Romper Longer | 6-12 | Coffee</v>
      </c>
      <c r="M1083" s="16" t="s">
        <v>3610</v>
      </c>
    </row>
    <row r="1084" spans="1:13" ht="25" customHeight="1" x14ac:dyDescent="0.45">
      <c r="A1084" s="6">
        <v>46086</v>
      </c>
      <c r="B1084" s="3" t="s">
        <v>95</v>
      </c>
      <c r="C1084" s="4" t="s">
        <v>85</v>
      </c>
      <c r="D1084" s="53" t="str">
        <f t="shared" si="121"/>
        <v>Forest Green</v>
      </c>
      <c r="E1084" s="4" t="s">
        <v>88</v>
      </c>
      <c r="F1084" s="58" t="s">
        <v>7</v>
      </c>
      <c r="G1084" s="4" t="str">
        <f t="shared" si="124"/>
        <v>Romper Longer</v>
      </c>
      <c r="H1084" s="38">
        <f t="shared" si="120"/>
        <v>3</v>
      </c>
      <c r="I1084" s="54">
        <f t="shared" si="127"/>
        <v>10</v>
      </c>
      <c r="J1084" s="14" t="str">
        <f t="shared" si="122"/>
        <v>Easter</v>
      </c>
      <c r="K1084" s="16" t="str">
        <f t="shared" si="125"/>
        <v>0-3</v>
      </c>
      <c r="L1084" s="14" t="str">
        <f t="shared" si="123"/>
        <v>Romper Longer | 0-3 | Forest Green</v>
      </c>
      <c r="M1084" s="16" t="s">
        <v>3610</v>
      </c>
    </row>
    <row r="1085" spans="1:13" ht="25" customHeight="1" x14ac:dyDescent="0.45">
      <c r="A1085" s="6">
        <v>46086</v>
      </c>
      <c r="B1085" s="3" t="s">
        <v>95</v>
      </c>
      <c r="C1085" s="4" t="s">
        <v>85</v>
      </c>
      <c r="D1085" s="53" t="str">
        <f t="shared" si="121"/>
        <v>Forest Green</v>
      </c>
      <c r="E1085" s="4" t="s">
        <v>88</v>
      </c>
      <c r="F1085" s="58"/>
      <c r="G1085" s="4" t="str">
        <f t="shared" si="124"/>
        <v>Romper Longer</v>
      </c>
      <c r="H1085" s="38">
        <f t="shared" si="120"/>
        <v>3</v>
      </c>
      <c r="I1085" s="54">
        <f t="shared" si="127"/>
        <v>10</v>
      </c>
      <c r="J1085" s="14" t="str">
        <f t="shared" si="122"/>
        <v>Easter</v>
      </c>
      <c r="K1085" s="16" t="str">
        <f t="shared" si="125"/>
        <v>0-3</v>
      </c>
      <c r="L1085" s="14" t="str">
        <f t="shared" si="123"/>
        <v>Romper Longer | 0-3 | Forest Green</v>
      </c>
      <c r="M1085" s="16" t="s">
        <v>3610</v>
      </c>
    </row>
    <row r="1086" spans="1:13" ht="25" customHeight="1" x14ac:dyDescent="0.45">
      <c r="A1086" s="6">
        <v>46088</v>
      </c>
      <c r="B1086" s="3" t="s">
        <v>96</v>
      </c>
      <c r="C1086" s="4" t="s">
        <v>81</v>
      </c>
      <c r="D1086" s="53" t="str">
        <f t="shared" si="121"/>
        <v>Dusty Pink</v>
      </c>
      <c r="E1086" s="4" t="s">
        <v>72</v>
      </c>
      <c r="F1086" s="5" t="s">
        <v>18</v>
      </c>
      <c r="G1086" s="4" t="str">
        <f t="shared" si="124"/>
        <v>Romper Short</v>
      </c>
      <c r="H1086" s="38">
        <f t="shared" si="120"/>
        <v>3</v>
      </c>
      <c r="I1086" s="54">
        <f t="shared" si="127"/>
        <v>10</v>
      </c>
      <c r="J1086" s="14" t="str">
        <f t="shared" si="122"/>
        <v>Easter</v>
      </c>
      <c r="K1086" s="16" t="str">
        <f t="shared" si="125"/>
        <v>3-6</v>
      </c>
      <c r="L1086" s="14" t="str">
        <f t="shared" si="123"/>
        <v>Romper Short | 3-6 | Dusty Pink</v>
      </c>
      <c r="M1086" s="16" t="s">
        <v>3610</v>
      </c>
    </row>
    <row r="1087" spans="1:13" ht="25" customHeight="1" x14ac:dyDescent="0.45">
      <c r="A1087" s="6">
        <v>46092</v>
      </c>
      <c r="B1087" s="3" t="s">
        <v>97</v>
      </c>
      <c r="C1087" s="4" t="s">
        <v>87</v>
      </c>
      <c r="D1087" s="53" t="str">
        <f t="shared" si="121"/>
        <v>Cream</v>
      </c>
      <c r="E1087" s="4" t="s">
        <v>72</v>
      </c>
      <c r="F1087" s="5" t="s">
        <v>7</v>
      </c>
      <c r="G1087" s="4" t="str">
        <f t="shared" si="124"/>
        <v>Romper Short</v>
      </c>
      <c r="H1087" s="38">
        <f t="shared" si="120"/>
        <v>3</v>
      </c>
      <c r="I1087" s="54">
        <f t="shared" si="127"/>
        <v>11</v>
      </c>
      <c r="J1087" s="14" t="str">
        <f t="shared" si="122"/>
        <v>Easter</v>
      </c>
      <c r="K1087" s="16" t="str">
        <f t="shared" si="125"/>
        <v>3-6</v>
      </c>
      <c r="L1087" s="14" t="str">
        <f t="shared" si="123"/>
        <v>Romper Short | 3-6 | Cream</v>
      </c>
      <c r="M1087" s="16" t="s">
        <v>3609</v>
      </c>
    </row>
    <row r="1088" spans="1:13" ht="25" customHeight="1" x14ac:dyDescent="0.45">
      <c r="A1088" s="6">
        <v>46095</v>
      </c>
      <c r="B1088" s="3" t="s">
        <v>98</v>
      </c>
      <c r="C1088" s="4" t="s">
        <v>81</v>
      </c>
      <c r="D1088" s="53" t="str">
        <f t="shared" si="121"/>
        <v>Dusty Pink</v>
      </c>
      <c r="E1088" s="4" t="s">
        <v>72</v>
      </c>
      <c r="F1088" s="5" t="s">
        <v>7</v>
      </c>
      <c r="G1088" s="4" t="str">
        <f t="shared" si="124"/>
        <v>Romper Short</v>
      </c>
      <c r="H1088" s="38">
        <f t="shared" si="120"/>
        <v>3</v>
      </c>
      <c r="I1088" s="54">
        <f t="shared" si="127"/>
        <v>11</v>
      </c>
      <c r="J1088" s="14" t="str">
        <f t="shared" si="122"/>
        <v>Easter</v>
      </c>
      <c r="K1088" s="16" t="str">
        <f t="shared" si="125"/>
        <v>3-6</v>
      </c>
      <c r="L1088" s="14" t="str">
        <f t="shared" si="123"/>
        <v>Romper Short | 3-6 | Dusty Pink</v>
      </c>
      <c r="M1088" s="16" t="s">
        <v>3610</v>
      </c>
    </row>
    <row r="1089" spans="1:13" ht="25" customHeight="1" x14ac:dyDescent="0.45">
      <c r="A1089" s="6">
        <v>46095</v>
      </c>
      <c r="B1089" s="3" t="s">
        <v>99</v>
      </c>
      <c r="C1089" s="4" t="s">
        <v>71</v>
      </c>
      <c r="D1089" s="53" t="str">
        <f t="shared" si="121"/>
        <v>Coffee</v>
      </c>
      <c r="E1089" s="4" t="s">
        <v>94</v>
      </c>
      <c r="F1089" s="5" t="s">
        <v>7</v>
      </c>
      <c r="G1089" s="4" t="str">
        <f t="shared" si="124"/>
        <v>Romper Longer</v>
      </c>
      <c r="H1089" s="38">
        <f t="shared" si="120"/>
        <v>3</v>
      </c>
      <c r="I1089" s="54">
        <f t="shared" si="127"/>
        <v>11</v>
      </c>
      <c r="J1089" s="14" t="str">
        <f t="shared" si="122"/>
        <v>Easter</v>
      </c>
      <c r="K1089" s="16" t="str">
        <f t="shared" si="125"/>
        <v>6-12</v>
      </c>
      <c r="L1089" s="14" t="str">
        <f t="shared" si="123"/>
        <v>Romper Longer | 6-12 | Coffee</v>
      </c>
      <c r="M1089" s="16" t="s">
        <v>3610</v>
      </c>
    </row>
    <row r="1090" spans="1:13" ht="25" customHeight="1" x14ac:dyDescent="0.45">
      <c r="A1090" s="6">
        <v>46098</v>
      </c>
      <c r="B1090" s="3" t="s">
        <v>100</v>
      </c>
      <c r="C1090" s="4" t="s">
        <v>101</v>
      </c>
      <c r="D1090" s="53" t="str">
        <f t="shared" si="121"/>
        <v>Sage Green</v>
      </c>
      <c r="E1090" s="4" t="s">
        <v>94</v>
      </c>
      <c r="F1090" s="5" t="s">
        <v>7</v>
      </c>
      <c r="G1090" s="4" t="str">
        <f t="shared" si="124"/>
        <v>Romper Longer</v>
      </c>
      <c r="H1090" s="38">
        <f t="shared" ref="H1090:H1153" si="128">MONTH(A1090)</f>
        <v>3</v>
      </c>
      <c r="I1090" s="54">
        <f t="shared" si="127"/>
        <v>12</v>
      </c>
      <c r="J1090" s="14" t="str">
        <f t="shared" si="122"/>
        <v>Easter</v>
      </c>
      <c r="K1090" s="16" t="str">
        <f t="shared" si="125"/>
        <v>6-12</v>
      </c>
      <c r="L1090" s="14" t="str">
        <f t="shared" si="123"/>
        <v>Romper Longer | 6-12 | Sage Green</v>
      </c>
      <c r="M1090" s="16" t="s">
        <v>3610</v>
      </c>
    </row>
    <row r="1091" spans="1:13" ht="25" customHeight="1" x14ac:dyDescent="0.45">
      <c r="A1091" s="6">
        <v>46099</v>
      </c>
      <c r="B1091" s="3" t="s">
        <v>102</v>
      </c>
      <c r="C1091" s="4" t="s">
        <v>87</v>
      </c>
      <c r="D1091" s="53" t="str">
        <f t="shared" ref="D1091:D1154" si="129">PROPER(C1091)</f>
        <v>Cream</v>
      </c>
      <c r="E1091" s="4" t="s">
        <v>72</v>
      </c>
      <c r="F1091" s="5" t="s">
        <v>7</v>
      </c>
      <c r="G1091" s="4" t="str">
        <f t="shared" si="124"/>
        <v>Romper Short</v>
      </c>
      <c r="H1091" s="38">
        <f t="shared" si="128"/>
        <v>3</v>
      </c>
      <c r="I1091" s="54">
        <f t="shared" si="127"/>
        <v>12</v>
      </c>
      <c r="J1091" s="14" t="str">
        <f t="shared" ref="J1091:J1154" si="130">IF(H1091=1,"NewYear",
IF(H1091=2,"Valentine",
IF(OR(H1091=3,H1091=4),"Easter",
IF(H1091=5,"MothersDay",
IF(H1091=6,"FathersDay",
IF(OR(H1091=7,H1091=8),"Summer",
IF(H1091=10,"Halloween",
IF(OR(H1091=11,H1091=12),"Christmas","Normal"))))))))</f>
        <v>Easter</v>
      </c>
      <c r="K1091" s="16" t="str">
        <f t="shared" si="125"/>
        <v>3-6</v>
      </c>
      <c r="L1091" s="14" t="str">
        <f t="shared" ref="L1091:L1154" si="131">TRIM(G1091)&amp;" | "&amp;TRIM(K1091)&amp;" | "&amp;PROPER(TRIM(D1091))</f>
        <v>Romper Short | 3-6 | Cream</v>
      </c>
      <c r="M1091" s="16" t="s">
        <v>3609</v>
      </c>
    </row>
    <row r="1092" spans="1:13" ht="25" customHeight="1" x14ac:dyDescent="0.45">
      <c r="A1092" s="6">
        <v>46100</v>
      </c>
      <c r="B1092" s="3" t="s">
        <v>103</v>
      </c>
      <c r="C1092" s="4" t="s">
        <v>79</v>
      </c>
      <c r="D1092" s="53" t="str">
        <f t="shared" si="129"/>
        <v>White</v>
      </c>
      <c r="E1092" s="4" t="s">
        <v>72</v>
      </c>
      <c r="F1092" s="5">
        <v>22078831</v>
      </c>
      <c r="G1092" s="4" t="str">
        <f t="shared" si="124"/>
        <v>Romper Short</v>
      </c>
      <c r="H1092" s="38">
        <f t="shared" si="128"/>
        <v>3</v>
      </c>
      <c r="I1092" s="54">
        <f t="shared" si="127"/>
        <v>12</v>
      </c>
      <c r="J1092" s="14" t="str">
        <f t="shared" si="130"/>
        <v>Easter</v>
      </c>
      <c r="K1092" s="16" t="str">
        <f t="shared" si="125"/>
        <v>3-6</v>
      </c>
      <c r="L1092" s="14" t="str">
        <f t="shared" si="131"/>
        <v>Romper Short | 3-6 | White</v>
      </c>
      <c r="M1092" s="16" t="s">
        <v>3610</v>
      </c>
    </row>
    <row r="1093" spans="1:13" ht="25" customHeight="1" x14ac:dyDescent="0.45">
      <c r="A1093" s="6">
        <v>46100</v>
      </c>
      <c r="B1093" s="3" t="s">
        <v>104</v>
      </c>
      <c r="C1093" s="4" t="s">
        <v>9</v>
      </c>
      <c r="D1093" s="53" t="str">
        <f t="shared" si="129"/>
        <v>Cream</v>
      </c>
      <c r="E1093" s="4" t="s">
        <v>90</v>
      </c>
      <c r="F1093" s="5" t="s">
        <v>7</v>
      </c>
      <c r="G1093" s="4" t="str">
        <f t="shared" si="124"/>
        <v>Romper Short</v>
      </c>
      <c r="H1093" s="38">
        <f t="shared" si="128"/>
        <v>3</v>
      </c>
      <c r="I1093" s="54">
        <f t="shared" si="127"/>
        <v>12</v>
      </c>
      <c r="J1093" s="14" t="str">
        <f t="shared" si="130"/>
        <v>Easter</v>
      </c>
      <c r="K1093" s="16" t="str">
        <f t="shared" si="125"/>
        <v>6-12</v>
      </c>
      <c r="L1093" s="14" t="str">
        <f t="shared" si="131"/>
        <v>Romper Short | 6-12 | Cream</v>
      </c>
      <c r="M1093" s="16" t="s">
        <v>3611</v>
      </c>
    </row>
    <row r="1094" spans="1:13" ht="25" customHeight="1" x14ac:dyDescent="0.45">
      <c r="A1094" s="6">
        <v>46101</v>
      </c>
      <c r="B1094" s="3" t="s">
        <v>105</v>
      </c>
      <c r="C1094" s="4" t="s">
        <v>76</v>
      </c>
      <c r="D1094" s="53" t="str">
        <f t="shared" si="129"/>
        <v>Caldet Blue</v>
      </c>
      <c r="E1094" s="4" t="s">
        <v>106</v>
      </c>
      <c r="F1094" s="5" t="s">
        <v>7</v>
      </c>
      <c r="G1094" s="4" t="str">
        <f t="shared" si="124"/>
        <v>Romper Short</v>
      </c>
      <c r="H1094" s="38">
        <f t="shared" si="128"/>
        <v>3</v>
      </c>
      <c r="I1094" s="54">
        <f t="shared" si="127"/>
        <v>12</v>
      </c>
      <c r="J1094" s="14" t="str">
        <f t="shared" si="130"/>
        <v>Easter</v>
      </c>
      <c r="K1094" s="16" t="str">
        <f t="shared" si="125"/>
        <v>12-18</v>
      </c>
      <c r="L1094" s="14" t="str">
        <f t="shared" si="131"/>
        <v>Romper Short | 12-18 | Caldet Blue</v>
      </c>
      <c r="M1094" s="16" t="s">
        <v>3610</v>
      </c>
    </row>
    <row r="1095" spans="1:13" ht="25" customHeight="1" x14ac:dyDescent="0.45">
      <c r="A1095" s="6">
        <v>46102</v>
      </c>
      <c r="B1095" s="3" t="s">
        <v>107</v>
      </c>
      <c r="C1095" s="4" t="s">
        <v>79</v>
      </c>
      <c r="D1095" s="53" t="str">
        <f t="shared" si="129"/>
        <v>White</v>
      </c>
      <c r="E1095" s="4" t="s">
        <v>75</v>
      </c>
      <c r="F1095" s="5" t="s">
        <v>7</v>
      </c>
      <c r="G1095" s="4" t="str">
        <f t="shared" si="124"/>
        <v>Romper Longer</v>
      </c>
      <c r="H1095" s="38">
        <f t="shared" si="128"/>
        <v>3</v>
      </c>
      <c r="I1095" s="54">
        <f t="shared" si="127"/>
        <v>12</v>
      </c>
      <c r="J1095" s="14" t="str">
        <f t="shared" si="130"/>
        <v>Easter</v>
      </c>
      <c r="K1095" s="16" t="str">
        <f t="shared" si="125"/>
        <v>3-6</v>
      </c>
      <c r="L1095" s="14" t="str">
        <f t="shared" si="131"/>
        <v>Romper Longer | 3-6 | White</v>
      </c>
      <c r="M1095" s="16" t="s">
        <v>3610</v>
      </c>
    </row>
    <row r="1096" spans="1:13" ht="25" customHeight="1" x14ac:dyDescent="0.45">
      <c r="A1096" s="6">
        <v>46103</v>
      </c>
      <c r="B1096" s="3" t="s">
        <v>108</v>
      </c>
      <c r="C1096" s="4" t="s">
        <v>79</v>
      </c>
      <c r="D1096" s="53" t="str">
        <f t="shared" si="129"/>
        <v>White</v>
      </c>
      <c r="E1096" s="4" t="s">
        <v>72</v>
      </c>
      <c r="F1096" s="5" t="s">
        <v>7</v>
      </c>
      <c r="G1096" s="4" t="str">
        <f t="shared" si="124"/>
        <v>Romper Short</v>
      </c>
      <c r="H1096" s="38">
        <f t="shared" si="128"/>
        <v>3</v>
      </c>
      <c r="I1096" s="54">
        <f t="shared" si="127"/>
        <v>13</v>
      </c>
      <c r="J1096" s="14" t="str">
        <f t="shared" si="130"/>
        <v>Easter</v>
      </c>
      <c r="K1096" s="16" t="str">
        <f t="shared" si="125"/>
        <v>3-6</v>
      </c>
      <c r="L1096" s="14" t="str">
        <f t="shared" si="131"/>
        <v>Romper Short | 3-6 | White</v>
      </c>
      <c r="M1096" s="16" t="s">
        <v>3610</v>
      </c>
    </row>
    <row r="1097" spans="1:13" ht="25" customHeight="1" x14ac:dyDescent="0.45">
      <c r="A1097" s="6">
        <v>46104</v>
      </c>
      <c r="B1097" s="3" t="s">
        <v>109</v>
      </c>
      <c r="C1097" s="4" t="s">
        <v>110</v>
      </c>
      <c r="D1097" s="53" t="str">
        <f t="shared" si="129"/>
        <v>Sage Green</v>
      </c>
      <c r="E1097" s="4" t="s">
        <v>111</v>
      </c>
      <c r="F1097" s="5" t="s">
        <v>7</v>
      </c>
      <c r="G1097" s="4" t="str">
        <f t="shared" si="124"/>
        <v>Romper Short</v>
      </c>
      <c r="H1097" s="38">
        <f t="shared" si="128"/>
        <v>3</v>
      </c>
      <c r="I1097" s="54">
        <f t="shared" si="127"/>
        <v>13</v>
      </c>
      <c r="J1097" s="14" t="str">
        <f t="shared" si="130"/>
        <v>Easter</v>
      </c>
      <c r="K1097" s="16" t="str">
        <f t="shared" si="125"/>
        <v>0-3</v>
      </c>
      <c r="L1097" s="14" t="str">
        <f t="shared" si="131"/>
        <v>Romper Short | 0-3 | Sage Green</v>
      </c>
      <c r="M1097" s="16" t="s">
        <v>3610</v>
      </c>
    </row>
    <row r="1098" spans="1:13" ht="25" customHeight="1" x14ac:dyDescent="0.45">
      <c r="A1098" s="6">
        <v>46104</v>
      </c>
      <c r="B1098" s="3" t="s">
        <v>112</v>
      </c>
      <c r="C1098" s="4" t="s">
        <v>9</v>
      </c>
      <c r="D1098" s="53" t="str">
        <f t="shared" si="129"/>
        <v>Cream</v>
      </c>
      <c r="E1098" s="4" t="s">
        <v>90</v>
      </c>
      <c r="F1098" s="5" t="s">
        <v>7</v>
      </c>
      <c r="G1098" s="4" t="str">
        <f t="shared" si="124"/>
        <v>Romper Short</v>
      </c>
      <c r="H1098" s="38">
        <f t="shared" si="128"/>
        <v>3</v>
      </c>
      <c r="I1098" s="54">
        <f t="shared" si="127"/>
        <v>13</v>
      </c>
      <c r="J1098" s="14" t="str">
        <f t="shared" si="130"/>
        <v>Easter</v>
      </c>
      <c r="K1098" s="16" t="str">
        <f t="shared" si="125"/>
        <v>6-12</v>
      </c>
      <c r="L1098" s="14" t="str">
        <f t="shared" si="131"/>
        <v>Romper Short | 6-12 | Cream</v>
      </c>
      <c r="M1098" s="16" t="s">
        <v>3611</v>
      </c>
    </row>
    <row r="1099" spans="1:13" ht="25" customHeight="1" x14ac:dyDescent="0.45">
      <c r="A1099" s="6">
        <v>46116</v>
      </c>
      <c r="B1099" s="3" t="s">
        <v>112</v>
      </c>
      <c r="C1099" s="4" t="s">
        <v>87</v>
      </c>
      <c r="D1099" s="53" t="str">
        <f t="shared" si="129"/>
        <v>Cream</v>
      </c>
      <c r="E1099" s="4" t="s">
        <v>90</v>
      </c>
      <c r="F1099" s="5" t="s">
        <v>7</v>
      </c>
      <c r="G1099" s="4" t="str">
        <f t="shared" si="124"/>
        <v>Romper Short</v>
      </c>
      <c r="H1099" s="38">
        <f t="shared" si="128"/>
        <v>4</v>
      </c>
      <c r="I1099" s="54">
        <f t="shared" si="127"/>
        <v>14</v>
      </c>
      <c r="J1099" s="14" t="str">
        <f t="shared" si="130"/>
        <v>Easter</v>
      </c>
      <c r="K1099" s="16" t="str">
        <f t="shared" si="125"/>
        <v>6-12</v>
      </c>
      <c r="L1099" s="14" t="str">
        <f t="shared" si="131"/>
        <v>Romper Short | 6-12 | Cream</v>
      </c>
      <c r="M1099" s="16" t="s">
        <v>3611</v>
      </c>
    </row>
    <row r="1100" spans="1:13" ht="25" customHeight="1" x14ac:dyDescent="0.45">
      <c r="A1100" s="6">
        <v>46121</v>
      </c>
      <c r="B1100" s="3" t="s">
        <v>113</v>
      </c>
      <c r="C1100" s="4" t="s">
        <v>114</v>
      </c>
      <c r="D1100" s="53" t="str">
        <f t="shared" si="129"/>
        <v>White</v>
      </c>
      <c r="E1100" s="4" t="s">
        <v>72</v>
      </c>
      <c r="F1100" s="5" t="s">
        <v>7</v>
      </c>
      <c r="G1100" s="4" t="str">
        <f t="shared" si="124"/>
        <v>Romper Short</v>
      </c>
      <c r="H1100" s="38">
        <f t="shared" si="128"/>
        <v>4</v>
      </c>
      <c r="I1100" s="54">
        <f t="shared" si="127"/>
        <v>15</v>
      </c>
      <c r="J1100" s="14" t="str">
        <f t="shared" si="130"/>
        <v>Easter</v>
      </c>
      <c r="K1100" s="16" t="str">
        <f t="shared" si="125"/>
        <v>3-6</v>
      </c>
      <c r="L1100" s="14" t="str">
        <f t="shared" si="131"/>
        <v>Romper Short | 3-6 | White</v>
      </c>
      <c r="M1100" s="16" t="s">
        <v>3610</v>
      </c>
    </row>
    <row r="1101" spans="1:13" ht="25" customHeight="1" x14ac:dyDescent="0.45">
      <c r="A1101" s="6">
        <v>46123</v>
      </c>
      <c r="B1101" s="3" t="s">
        <v>115</v>
      </c>
      <c r="C1101" s="4" t="s">
        <v>81</v>
      </c>
      <c r="D1101" s="53" t="str">
        <f t="shared" si="129"/>
        <v>Dusty Pink</v>
      </c>
      <c r="E1101" s="4" t="s">
        <v>75</v>
      </c>
      <c r="F1101" s="5" t="s">
        <v>7</v>
      </c>
      <c r="G1101" s="4" t="str">
        <f t="shared" si="124"/>
        <v>Romper Longer</v>
      </c>
      <c r="H1101" s="38">
        <f t="shared" si="128"/>
        <v>4</v>
      </c>
      <c r="I1101" s="54">
        <f t="shared" si="127"/>
        <v>15</v>
      </c>
      <c r="J1101" s="14" t="str">
        <f t="shared" si="130"/>
        <v>Easter</v>
      </c>
      <c r="K1101" s="16" t="str">
        <f t="shared" si="125"/>
        <v>3-6</v>
      </c>
      <c r="L1101" s="14" t="str">
        <f t="shared" si="131"/>
        <v>Romper Longer | 3-6 | Dusty Pink</v>
      </c>
      <c r="M1101" s="16" t="s">
        <v>3610</v>
      </c>
    </row>
    <row r="1102" spans="1:13" ht="25" customHeight="1" x14ac:dyDescent="0.45">
      <c r="A1102" s="6">
        <v>46123</v>
      </c>
      <c r="B1102" s="3" t="s">
        <v>116</v>
      </c>
      <c r="C1102" s="4" t="s">
        <v>114</v>
      </c>
      <c r="D1102" s="53" t="str">
        <f t="shared" si="129"/>
        <v>White</v>
      </c>
      <c r="E1102" s="4" t="s">
        <v>90</v>
      </c>
      <c r="F1102" s="5" t="s">
        <v>7</v>
      </c>
      <c r="G1102" s="4" t="str">
        <f t="shared" si="124"/>
        <v>Romper Short</v>
      </c>
      <c r="H1102" s="38">
        <f t="shared" si="128"/>
        <v>4</v>
      </c>
      <c r="I1102" s="54">
        <f t="shared" si="127"/>
        <v>15</v>
      </c>
      <c r="J1102" s="14" t="str">
        <f t="shared" si="130"/>
        <v>Easter</v>
      </c>
      <c r="K1102" s="16" t="str">
        <f t="shared" si="125"/>
        <v>6-12</v>
      </c>
      <c r="L1102" s="14" t="str">
        <f t="shared" si="131"/>
        <v>Romper Short | 6-12 | White</v>
      </c>
      <c r="M1102" s="16" t="s">
        <v>3610</v>
      </c>
    </row>
    <row r="1103" spans="1:13" ht="25" customHeight="1" x14ac:dyDescent="0.45">
      <c r="A1103" s="6">
        <v>46123</v>
      </c>
      <c r="B1103" s="3" t="s">
        <v>117</v>
      </c>
      <c r="C1103" s="4" t="s">
        <v>81</v>
      </c>
      <c r="D1103" s="53" t="str">
        <f t="shared" si="129"/>
        <v>Dusty Pink</v>
      </c>
      <c r="E1103" s="4" t="s">
        <v>94</v>
      </c>
      <c r="F1103" s="5" t="s">
        <v>7</v>
      </c>
      <c r="G1103" s="4" t="str">
        <f t="shared" si="124"/>
        <v>Romper Longer</v>
      </c>
      <c r="H1103" s="38">
        <f t="shared" si="128"/>
        <v>4</v>
      </c>
      <c r="I1103" s="54">
        <f t="shared" si="127"/>
        <v>15</v>
      </c>
      <c r="J1103" s="14" t="str">
        <f t="shared" si="130"/>
        <v>Easter</v>
      </c>
      <c r="K1103" s="16" t="str">
        <f t="shared" si="125"/>
        <v>6-12</v>
      </c>
      <c r="L1103" s="14" t="str">
        <f t="shared" si="131"/>
        <v>Romper Longer | 6-12 | Dusty Pink</v>
      </c>
      <c r="M1103" s="16" t="s">
        <v>3610</v>
      </c>
    </row>
    <row r="1104" spans="1:13" ht="25" customHeight="1" x14ac:dyDescent="0.45">
      <c r="A1104" s="6">
        <v>46124</v>
      </c>
      <c r="B1104" s="3" t="s">
        <v>118</v>
      </c>
      <c r="C1104" s="4" t="s">
        <v>114</v>
      </c>
      <c r="D1104" s="53" t="str">
        <f t="shared" si="129"/>
        <v>White</v>
      </c>
      <c r="E1104" s="4" t="s">
        <v>72</v>
      </c>
      <c r="F1104" s="5" t="s">
        <v>7</v>
      </c>
      <c r="G1104" s="4" t="str">
        <f t="shared" ref="G1104:G1167" si="132">IF(ISNUMBER(SEARCH("LONG",E1104)),"Romper Longer",IF(ISNUMBER(SEARCH("SHORT",E1104)),"Romper Short","Bodysuit"))</f>
        <v>Romper Short</v>
      </c>
      <c r="H1104" s="38">
        <f t="shared" si="128"/>
        <v>4</v>
      </c>
      <c r="I1104" s="54">
        <f t="shared" si="127"/>
        <v>16</v>
      </c>
      <c r="J1104" s="14" t="str">
        <f t="shared" si="130"/>
        <v>Easter</v>
      </c>
      <c r="K1104" s="16" t="str">
        <f t="shared" si="125"/>
        <v>3-6</v>
      </c>
      <c r="L1104" s="14" t="str">
        <f t="shared" si="131"/>
        <v>Romper Short | 3-6 | White</v>
      </c>
      <c r="M1104" s="16" t="s">
        <v>3610</v>
      </c>
    </row>
    <row r="1105" spans="1:13" ht="25" customHeight="1" x14ac:dyDescent="0.45">
      <c r="A1105" s="6">
        <v>46125</v>
      </c>
      <c r="B1105" s="3" t="s">
        <v>119</v>
      </c>
      <c r="C1105" s="4" t="s">
        <v>114</v>
      </c>
      <c r="D1105" s="53" t="str">
        <f t="shared" si="129"/>
        <v>White</v>
      </c>
      <c r="E1105" s="4" t="s">
        <v>82</v>
      </c>
      <c r="F1105" s="5" t="s">
        <v>7</v>
      </c>
      <c r="G1105" s="4" t="str">
        <f t="shared" si="132"/>
        <v>Romper Short</v>
      </c>
      <c r="H1105" s="38">
        <f t="shared" si="128"/>
        <v>4</v>
      </c>
      <c r="I1105" s="54">
        <f t="shared" si="127"/>
        <v>16</v>
      </c>
      <c r="J1105" s="14" t="str">
        <f t="shared" si="130"/>
        <v>Easter</v>
      </c>
      <c r="K1105" s="16" t="str">
        <f t="shared" si="125"/>
        <v>0-3</v>
      </c>
      <c r="L1105" s="14" t="str">
        <f t="shared" si="131"/>
        <v>Romper Short | 0-3 | White</v>
      </c>
      <c r="M1105" s="16" t="s">
        <v>3610</v>
      </c>
    </row>
    <row r="1106" spans="1:13" ht="25" customHeight="1" x14ac:dyDescent="0.45">
      <c r="A1106" s="6">
        <v>46126</v>
      </c>
      <c r="B1106" s="3" t="s">
        <v>120</v>
      </c>
      <c r="C1106" s="4" t="s">
        <v>114</v>
      </c>
      <c r="D1106" s="53" t="str">
        <f t="shared" si="129"/>
        <v>White</v>
      </c>
      <c r="E1106" s="4" t="s">
        <v>72</v>
      </c>
      <c r="F1106" s="5" t="s">
        <v>14</v>
      </c>
      <c r="G1106" s="4" t="str">
        <f t="shared" si="132"/>
        <v>Romper Short</v>
      </c>
      <c r="H1106" s="38">
        <f t="shared" si="128"/>
        <v>4</v>
      </c>
      <c r="I1106" s="54">
        <f t="shared" si="127"/>
        <v>16</v>
      </c>
      <c r="J1106" s="14" t="str">
        <f t="shared" si="130"/>
        <v>Easter</v>
      </c>
      <c r="K1106" s="16" t="str">
        <f t="shared" si="125"/>
        <v>3-6</v>
      </c>
      <c r="L1106" s="14" t="str">
        <f t="shared" si="131"/>
        <v>Romper Short | 3-6 | White</v>
      </c>
      <c r="M1106" s="16" t="s">
        <v>3610</v>
      </c>
    </row>
    <row r="1107" spans="1:13" ht="25" customHeight="1" x14ac:dyDescent="0.45">
      <c r="A1107" s="6">
        <v>46127</v>
      </c>
      <c r="B1107" s="3" t="s">
        <v>121</v>
      </c>
      <c r="C1107" s="4" t="s">
        <v>184</v>
      </c>
      <c r="D1107" s="53" t="str">
        <f>PROPER(C1107)</f>
        <v>Coffee</v>
      </c>
      <c r="E1107" s="4" t="s">
        <v>88</v>
      </c>
      <c r="F1107" s="5" t="s">
        <v>7</v>
      </c>
      <c r="G1107" s="4" t="str">
        <f t="shared" si="132"/>
        <v>Romper Longer</v>
      </c>
      <c r="H1107" s="38">
        <f t="shared" si="128"/>
        <v>4</v>
      </c>
      <c r="I1107" s="54">
        <f t="shared" si="127"/>
        <v>16</v>
      </c>
      <c r="J1107" s="14" t="str">
        <f t="shared" si="130"/>
        <v>Easter</v>
      </c>
      <c r="K1107" s="16" t="str">
        <f t="shared" si="125"/>
        <v>0-3</v>
      </c>
      <c r="L1107" s="14" t="str">
        <f t="shared" si="131"/>
        <v>Romper Longer | 0-3 | Coffee</v>
      </c>
      <c r="M1107" s="16" t="s">
        <v>3610</v>
      </c>
    </row>
    <row r="1108" spans="1:13" ht="25" customHeight="1" x14ac:dyDescent="0.45">
      <c r="A1108" s="6">
        <v>46127</v>
      </c>
      <c r="B1108" s="3" t="s">
        <v>122</v>
      </c>
      <c r="C1108" s="4" t="s">
        <v>114</v>
      </c>
      <c r="D1108" s="53" t="str">
        <f t="shared" si="129"/>
        <v>White</v>
      </c>
      <c r="E1108" s="4" t="s">
        <v>82</v>
      </c>
      <c r="F1108" s="5" t="s">
        <v>18</v>
      </c>
      <c r="G1108" s="4" t="str">
        <f t="shared" si="132"/>
        <v>Romper Short</v>
      </c>
      <c r="H1108" s="38">
        <f t="shared" si="128"/>
        <v>4</v>
      </c>
      <c r="I1108" s="54">
        <f t="shared" si="127"/>
        <v>16</v>
      </c>
      <c r="J1108" s="14" t="str">
        <f t="shared" si="130"/>
        <v>Easter</v>
      </c>
      <c r="K1108" s="16" t="str">
        <f t="shared" ref="K1108:K1171" si="133">TRIM(LEFT(E1108,FIND("(",E1108&amp;"(")-2))</f>
        <v>0-3</v>
      </c>
      <c r="L1108" s="14" t="str">
        <f t="shared" si="131"/>
        <v>Romper Short | 0-3 | White</v>
      </c>
      <c r="M1108" s="16" t="s">
        <v>3610</v>
      </c>
    </row>
    <row r="1109" spans="1:13" ht="25" customHeight="1" x14ac:dyDescent="0.45">
      <c r="A1109" s="6">
        <v>46127</v>
      </c>
      <c r="B1109" s="3" t="s">
        <v>123</v>
      </c>
      <c r="C1109" s="4" t="s">
        <v>85</v>
      </c>
      <c r="D1109" s="53" t="str">
        <f t="shared" si="129"/>
        <v>Forest Green</v>
      </c>
      <c r="E1109" s="4" t="s">
        <v>75</v>
      </c>
      <c r="F1109" s="5" t="s">
        <v>37</v>
      </c>
      <c r="G1109" s="4" t="str">
        <f t="shared" si="132"/>
        <v>Romper Longer</v>
      </c>
      <c r="H1109" s="38">
        <f t="shared" si="128"/>
        <v>4</v>
      </c>
      <c r="I1109" s="54">
        <f t="shared" si="127"/>
        <v>16</v>
      </c>
      <c r="J1109" s="14" t="str">
        <f t="shared" si="130"/>
        <v>Easter</v>
      </c>
      <c r="K1109" s="16" t="str">
        <f t="shared" si="133"/>
        <v>3-6</v>
      </c>
      <c r="L1109" s="14" t="str">
        <f t="shared" si="131"/>
        <v>Romper Longer | 3-6 | Forest Green</v>
      </c>
      <c r="M1109" s="16" t="s">
        <v>3610</v>
      </c>
    </row>
    <row r="1110" spans="1:13" ht="25" customHeight="1" x14ac:dyDescent="0.45">
      <c r="A1110" s="6">
        <v>46134</v>
      </c>
      <c r="B1110" s="3" t="s">
        <v>124</v>
      </c>
      <c r="C1110" s="4" t="s">
        <v>81</v>
      </c>
      <c r="D1110" s="53" t="str">
        <f t="shared" si="129"/>
        <v>Dusty Pink</v>
      </c>
      <c r="E1110" s="4" t="s">
        <v>90</v>
      </c>
      <c r="F1110" s="5" t="s">
        <v>7</v>
      </c>
      <c r="G1110" s="4" t="str">
        <f t="shared" si="132"/>
        <v>Romper Short</v>
      </c>
      <c r="H1110" s="38">
        <f t="shared" si="128"/>
        <v>4</v>
      </c>
      <c r="I1110" s="54">
        <f t="shared" si="127"/>
        <v>17</v>
      </c>
      <c r="J1110" s="14" t="str">
        <f t="shared" si="130"/>
        <v>Easter</v>
      </c>
      <c r="K1110" s="16" t="str">
        <f t="shared" si="133"/>
        <v>6-12</v>
      </c>
      <c r="L1110" s="14" t="str">
        <f t="shared" si="131"/>
        <v>Romper Short | 6-12 | Dusty Pink</v>
      </c>
      <c r="M1110" s="16" t="s">
        <v>3610</v>
      </c>
    </row>
    <row r="1111" spans="1:13" ht="25" customHeight="1" x14ac:dyDescent="0.45">
      <c r="A1111" s="6">
        <v>46137</v>
      </c>
      <c r="B1111" s="3" t="s">
        <v>125</v>
      </c>
      <c r="C1111" s="4" t="s">
        <v>126</v>
      </c>
      <c r="D1111" s="53" t="str">
        <f t="shared" si="129"/>
        <v xml:space="preserve"> Sage Green</v>
      </c>
      <c r="E1111" s="4" t="s">
        <v>82</v>
      </c>
      <c r="F1111" s="5" t="s">
        <v>7</v>
      </c>
      <c r="G1111" s="4" t="str">
        <f t="shared" si="132"/>
        <v>Romper Short</v>
      </c>
      <c r="H1111" s="38">
        <f t="shared" si="128"/>
        <v>4</v>
      </c>
      <c r="I1111" s="54">
        <f t="shared" si="127"/>
        <v>17</v>
      </c>
      <c r="J1111" s="14" t="str">
        <f t="shared" si="130"/>
        <v>Easter</v>
      </c>
      <c r="K1111" s="16" t="str">
        <f t="shared" si="133"/>
        <v>0-3</v>
      </c>
      <c r="L1111" s="14" t="str">
        <f t="shared" si="131"/>
        <v>Romper Short | 0-3 | Sage Green</v>
      </c>
      <c r="M1111" s="16" t="s">
        <v>3610</v>
      </c>
    </row>
    <row r="1112" spans="1:13" ht="25" customHeight="1" x14ac:dyDescent="0.45">
      <c r="A1112" s="6">
        <v>46140</v>
      </c>
      <c r="B1112" s="3" t="s">
        <v>127</v>
      </c>
      <c r="C1112" s="4" t="s">
        <v>87</v>
      </c>
      <c r="D1112" s="53" t="str">
        <f t="shared" si="129"/>
        <v>Cream</v>
      </c>
      <c r="E1112" s="4" t="s">
        <v>88</v>
      </c>
      <c r="F1112" s="5" t="s">
        <v>7</v>
      </c>
      <c r="G1112" s="4" t="str">
        <f t="shared" si="132"/>
        <v>Romper Longer</v>
      </c>
      <c r="H1112" s="38">
        <f t="shared" si="128"/>
        <v>4</v>
      </c>
      <c r="I1112" s="54">
        <f t="shared" si="127"/>
        <v>18</v>
      </c>
      <c r="J1112" s="14" t="str">
        <f t="shared" si="130"/>
        <v>Easter</v>
      </c>
      <c r="K1112" s="16" t="str">
        <f t="shared" si="133"/>
        <v>0-3</v>
      </c>
      <c r="L1112" s="14" t="str">
        <f t="shared" si="131"/>
        <v>Romper Longer | 0-3 | Cream</v>
      </c>
      <c r="M1112" s="16" t="s">
        <v>3609</v>
      </c>
    </row>
    <row r="1113" spans="1:13" ht="25" customHeight="1" x14ac:dyDescent="0.45">
      <c r="A1113" s="6">
        <v>46142</v>
      </c>
      <c r="B1113" s="3" t="s">
        <v>128</v>
      </c>
      <c r="C1113" s="4" t="s">
        <v>110</v>
      </c>
      <c r="D1113" s="53" t="str">
        <f t="shared" si="129"/>
        <v>Sage Green</v>
      </c>
      <c r="E1113" s="4" t="s">
        <v>106</v>
      </c>
      <c r="F1113" s="5" t="s">
        <v>7</v>
      </c>
      <c r="G1113" s="4" t="str">
        <f t="shared" si="132"/>
        <v>Romper Short</v>
      </c>
      <c r="H1113" s="38">
        <f t="shared" si="128"/>
        <v>4</v>
      </c>
      <c r="I1113" s="54">
        <f t="shared" si="127"/>
        <v>18</v>
      </c>
      <c r="J1113" s="14" t="str">
        <f t="shared" si="130"/>
        <v>Easter</v>
      </c>
      <c r="K1113" s="16" t="str">
        <f t="shared" si="133"/>
        <v>12-18</v>
      </c>
      <c r="L1113" s="14" t="str">
        <f t="shared" si="131"/>
        <v>Romper Short | 12-18 | Sage Green</v>
      </c>
      <c r="M1113" s="16" t="s">
        <v>3610</v>
      </c>
    </row>
    <row r="1114" spans="1:13" ht="25" customHeight="1" x14ac:dyDescent="0.45">
      <c r="A1114" s="6">
        <v>46142</v>
      </c>
      <c r="B1114" s="3" t="s">
        <v>127</v>
      </c>
      <c r="C1114" s="4" t="s">
        <v>9</v>
      </c>
      <c r="D1114" s="53" t="str">
        <f t="shared" si="129"/>
        <v>Cream</v>
      </c>
      <c r="E1114" s="4" t="s">
        <v>88</v>
      </c>
      <c r="F1114" s="5" t="s">
        <v>7</v>
      </c>
      <c r="G1114" s="4" t="str">
        <f t="shared" si="132"/>
        <v>Romper Longer</v>
      </c>
      <c r="H1114" s="38">
        <f t="shared" si="128"/>
        <v>4</v>
      </c>
      <c r="I1114" s="54">
        <f t="shared" si="127"/>
        <v>18</v>
      </c>
      <c r="J1114" s="14" t="str">
        <f t="shared" si="130"/>
        <v>Easter</v>
      </c>
      <c r="K1114" s="16" t="str">
        <f t="shared" si="133"/>
        <v>0-3</v>
      </c>
      <c r="L1114" s="14" t="str">
        <f t="shared" si="131"/>
        <v>Romper Longer | 0-3 | Cream</v>
      </c>
      <c r="M1114" s="16" t="s">
        <v>3609</v>
      </c>
    </row>
    <row r="1115" spans="1:13" ht="25" customHeight="1" x14ac:dyDescent="0.45">
      <c r="A1115" s="6">
        <v>46142</v>
      </c>
      <c r="B1115" s="3" t="s">
        <v>129</v>
      </c>
      <c r="C1115" s="4" t="s">
        <v>81</v>
      </c>
      <c r="D1115" s="53" t="str">
        <f t="shared" si="129"/>
        <v>Dusty Pink</v>
      </c>
      <c r="E1115" s="4" t="s">
        <v>94</v>
      </c>
      <c r="F1115" s="5" t="s">
        <v>7</v>
      </c>
      <c r="G1115" s="4" t="str">
        <f t="shared" si="132"/>
        <v>Romper Longer</v>
      </c>
      <c r="H1115" s="38">
        <f t="shared" si="128"/>
        <v>4</v>
      </c>
      <c r="I1115" s="54">
        <f t="shared" si="127"/>
        <v>18</v>
      </c>
      <c r="J1115" s="14" t="str">
        <f t="shared" si="130"/>
        <v>Easter</v>
      </c>
      <c r="K1115" s="16" t="str">
        <f t="shared" si="133"/>
        <v>6-12</v>
      </c>
      <c r="L1115" s="14" t="str">
        <f t="shared" si="131"/>
        <v>Romper Longer | 6-12 | Dusty Pink</v>
      </c>
      <c r="M1115" s="16" t="s">
        <v>3610</v>
      </c>
    </row>
    <row r="1116" spans="1:13" ht="25" customHeight="1" x14ac:dyDescent="0.45">
      <c r="A1116" s="6">
        <v>46142</v>
      </c>
      <c r="B1116" s="3" t="s">
        <v>130</v>
      </c>
      <c r="C1116" s="4" t="s">
        <v>79</v>
      </c>
      <c r="D1116" s="53" t="str">
        <f t="shared" si="129"/>
        <v>White</v>
      </c>
      <c r="E1116" s="4" t="s">
        <v>88</v>
      </c>
      <c r="F1116" s="5" t="s">
        <v>11</v>
      </c>
      <c r="G1116" s="4" t="str">
        <f t="shared" si="132"/>
        <v>Romper Longer</v>
      </c>
      <c r="H1116" s="38">
        <f t="shared" si="128"/>
        <v>4</v>
      </c>
      <c r="I1116" s="54">
        <f t="shared" si="127"/>
        <v>18</v>
      </c>
      <c r="J1116" s="14" t="str">
        <f t="shared" si="130"/>
        <v>Easter</v>
      </c>
      <c r="K1116" s="16" t="str">
        <f t="shared" si="133"/>
        <v>0-3</v>
      </c>
      <c r="L1116" s="14" t="str">
        <f t="shared" si="131"/>
        <v>Romper Longer | 0-3 | White</v>
      </c>
      <c r="M1116" s="16" t="s">
        <v>3610</v>
      </c>
    </row>
    <row r="1117" spans="1:13" ht="25" customHeight="1" x14ac:dyDescent="0.45">
      <c r="A1117" s="6">
        <v>46143</v>
      </c>
      <c r="B1117" s="3" t="s">
        <v>131</v>
      </c>
      <c r="C1117" s="4" t="s">
        <v>81</v>
      </c>
      <c r="D1117" s="53" t="str">
        <f t="shared" si="129"/>
        <v>Dusty Pink</v>
      </c>
      <c r="E1117" s="4" t="s">
        <v>82</v>
      </c>
      <c r="F1117" s="5" t="s">
        <v>11</v>
      </c>
      <c r="G1117" s="4" t="str">
        <f t="shared" si="132"/>
        <v>Romper Short</v>
      </c>
      <c r="H1117" s="38">
        <f t="shared" si="128"/>
        <v>5</v>
      </c>
      <c r="I1117" s="54">
        <f t="shared" si="127"/>
        <v>18</v>
      </c>
      <c r="J1117" s="14" t="str">
        <f t="shared" si="130"/>
        <v>MothersDay</v>
      </c>
      <c r="K1117" s="16" t="str">
        <f t="shared" si="133"/>
        <v>0-3</v>
      </c>
      <c r="L1117" s="14" t="str">
        <f t="shared" si="131"/>
        <v>Romper Short | 0-3 | Dusty Pink</v>
      </c>
      <c r="M1117" s="16" t="s">
        <v>3610</v>
      </c>
    </row>
    <row r="1118" spans="1:13" ht="25" customHeight="1" x14ac:dyDescent="0.45">
      <c r="A1118" s="6">
        <v>46149</v>
      </c>
      <c r="B1118" s="3" t="s">
        <v>132</v>
      </c>
      <c r="C1118" s="4" t="s">
        <v>81</v>
      </c>
      <c r="D1118" s="53" t="str">
        <f t="shared" si="129"/>
        <v>Dusty Pink</v>
      </c>
      <c r="E1118" s="4" t="s">
        <v>133</v>
      </c>
      <c r="F1118" s="5" t="s">
        <v>7</v>
      </c>
      <c r="G1118" s="4" t="str">
        <f t="shared" si="132"/>
        <v>Romper Short</v>
      </c>
      <c r="H1118" s="38">
        <f t="shared" si="128"/>
        <v>5</v>
      </c>
      <c r="I1118" s="54">
        <f t="shared" si="127"/>
        <v>19</v>
      </c>
      <c r="J1118" s="14" t="str">
        <f t="shared" si="130"/>
        <v>MothersDay</v>
      </c>
      <c r="K1118" s="16" t="str">
        <f t="shared" si="133"/>
        <v>6-12</v>
      </c>
      <c r="L1118" s="14" t="str">
        <f t="shared" si="131"/>
        <v>Romper Short | 6-12 | Dusty Pink</v>
      </c>
      <c r="M1118" s="16" t="s">
        <v>3610</v>
      </c>
    </row>
    <row r="1119" spans="1:13" ht="25" customHeight="1" x14ac:dyDescent="0.45">
      <c r="A1119" s="6">
        <v>46152</v>
      </c>
      <c r="B1119" s="3" t="s">
        <v>134</v>
      </c>
      <c r="C1119" s="4" t="s">
        <v>85</v>
      </c>
      <c r="D1119" s="53" t="str">
        <f t="shared" si="129"/>
        <v>Forest Green</v>
      </c>
      <c r="E1119" s="4" t="s">
        <v>75</v>
      </c>
      <c r="F1119" s="5" t="s">
        <v>11</v>
      </c>
      <c r="G1119" s="4" t="str">
        <f t="shared" si="132"/>
        <v>Romper Longer</v>
      </c>
      <c r="H1119" s="38">
        <f t="shared" si="128"/>
        <v>5</v>
      </c>
      <c r="I1119" s="54">
        <f t="shared" si="127"/>
        <v>20</v>
      </c>
      <c r="J1119" s="14" t="str">
        <f t="shared" si="130"/>
        <v>MothersDay</v>
      </c>
      <c r="K1119" s="16" t="str">
        <f t="shared" si="133"/>
        <v>3-6</v>
      </c>
      <c r="L1119" s="14" t="str">
        <f t="shared" si="131"/>
        <v>Romper Longer | 3-6 | Forest Green</v>
      </c>
      <c r="M1119" s="16" t="s">
        <v>3610</v>
      </c>
    </row>
    <row r="1120" spans="1:13" ht="25" customHeight="1" x14ac:dyDescent="0.45">
      <c r="A1120" s="6">
        <v>46152</v>
      </c>
      <c r="B1120" s="3" t="s">
        <v>135</v>
      </c>
      <c r="C1120" s="4" t="s">
        <v>110</v>
      </c>
      <c r="D1120" s="53" t="str">
        <f t="shared" si="129"/>
        <v>Sage Green</v>
      </c>
      <c r="E1120" s="4" t="s">
        <v>90</v>
      </c>
      <c r="F1120" s="5" t="s">
        <v>18</v>
      </c>
      <c r="G1120" s="4" t="str">
        <f t="shared" si="132"/>
        <v>Romper Short</v>
      </c>
      <c r="H1120" s="38">
        <f t="shared" si="128"/>
        <v>5</v>
      </c>
      <c r="I1120" s="54">
        <f t="shared" si="127"/>
        <v>20</v>
      </c>
      <c r="J1120" s="14" t="str">
        <f t="shared" si="130"/>
        <v>MothersDay</v>
      </c>
      <c r="K1120" s="16" t="str">
        <f t="shared" si="133"/>
        <v>6-12</v>
      </c>
      <c r="L1120" s="14" t="str">
        <f t="shared" si="131"/>
        <v>Romper Short | 6-12 | Sage Green</v>
      </c>
      <c r="M1120" s="16" t="s">
        <v>3610</v>
      </c>
    </row>
    <row r="1121" spans="1:13" ht="25" customHeight="1" x14ac:dyDescent="0.45">
      <c r="A1121" s="6">
        <v>46153</v>
      </c>
      <c r="B1121" s="3" t="s">
        <v>136</v>
      </c>
      <c r="C1121" s="4" t="s">
        <v>71</v>
      </c>
      <c r="D1121" s="53" t="str">
        <f t="shared" si="129"/>
        <v>Coffee</v>
      </c>
      <c r="E1121" s="4" t="s">
        <v>106</v>
      </c>
      <c r="F1121" s="5" t="s">
        <v>7</v>
      </c>
      <c r="G1121" s="4" t="str">
        <f t="shared" si="132"/>
        <v>Romper Short</v>
      </c>
      <c r="H1121" s="38">
        <f t="shared" si="128"/>
        <v>5</v>
      </c>
      <c r="I1121" s="54">
        <f t="shared" si="127"/>
        <v>20</v>
      </c>
      <c r="J1121" s="14" t="str">
        <f t="shared" si="130"/>
        <v>MothersDay</v>
      </c>
      <c r="K1121" s="16" t="str">
        <f t="shared" si="133"/>
        <v>12-18</v>
      </c>
      <c r="L1121" s="14" t="str">
        <f t="shared" si="131"/>
        <v>Romper Short | 12-18 | Coffee</v>
      </c>
      <c r="M1121" s="16" t="s">
        <v>3610</v>
      </c>
    </row>
    <row r="1122" spans="1:13" ht="25" customHeight="1" x14ac:dyDescent="0.45">
      <c r="A1122" s="6">
        <v>46155</v>
      </c>
      <c r="B1122" s="3" t="s">
        <v>137</v>
      </c>
      <c r="C1122" s="4" t="s">
        <v>85</v>
      </c>
      <c r="D1122" s="53" t="str">
        <f t="shared" si="129"/>
        <v>Forest Green</v>
      </c>
      <c r="E1122" s="4" t="s">
        <v>88</v>
      </c>
      <c r="F1122" s="5" t="s">
        <v>7</v>
      </c>
      <c r="G1122" s="4" t="str">
        <f t="shared" si="132"/>
        <v>Romper Longer</v>
      </c>
      <c r="H1122" s="38">
        <f t="shared" si="128"/>
        <v>5</v>
      </c>
      <c r="I1122" s="54">
        <f t="shared" si="127"/>
        <v>20</v>
      </c>
      <c r="J1122" s="14" t="str">
        <f t="shared" si="130"/>
        <v>MothersDay</v>
      </c>
      <c r="K1122" s="16" t="str">
        <f t="shared" si="133"/>
        <v>0-3</v>
      </c>
      <c r="L1122" s="14" t="str">
        <f t="shared" si="131"/>
        <v>Romper Longer | 0-3 | Forest Green</v>
      </c>
      <c r="M1122" s="16" t="s">
        <v>3610</v>
      </c>
    </row>
    <row r="1123" spans="1:13" ht="25" customHeight="1" x14ac:dyDescent="0.45">
      <c r="A1123" s="6">
        <v>46155</v>
      </c>
      <c r="B1123" s="3" t="s">
        <v>138</v>
      </c>
      <c r="C1123" s="4" t="s">
        <v>110</v>
      </c>
      <c r="D1123" s="53" t="str">
        <f t="shared" si="129"/>
        <v>Sage Green</v>
      </c>
      <c r="E1123" s="4" t="s">
        <v>75</v>
      </c>
      <c r="F1123" s="5" t="s">
        <v>7</v>
      </c>
      <c r="G1123" s="4" t="str">
        <f t="shared" si="132"/>
        <v>Romper Longer</v>
      </c>
      <c r="H1123" s="38">
        <f t="shared" si="128"/>
        <v>5</v>
      </c>
      <c r="I1123" s="54">
        <f t="shared" si="127"/>
        <v>20</v>
      </c>
      <c r="J1123" s="14" t="str">
        <f t="shared" si="130"/>
        <v>MothersDay</v>
      </c>
      <c r="K1123" s="16" t="str">
        <f t="shared" si="133"/>
        <v>3-6</v>
      </c>
      <c r="L1123" s="14" t="str">
        <f t="shared" si="131"/>
        <v>Romper Longer | 3-6 | Sage Green</v>
      </c>
      <c r="M1123" s="16" t="s">
        <v>3611</v>
      </c>
    </row>
    <row r="1124" spans="1:13" ht="25" customHeight="1" x14ac:dyDescent="0.45">
      <c r="A1124" s="6">
        <v>46156</v>
      </c>
      <c r="B1124" s="3" t="s">
        <v>139</v>
      </c>
      <c r="C1124" s="4" t="s">
        <v>85</v>
      </c>
      <c r="D1124" s="53" t="str">
        <f t="shared" si="129"/>
        <v>Forest Green</v>
      </c>
      <c r="E1124" s="4" t="s">
        <v>88</v>
      </c>
      <c r="F1124" s="5" t="s">
        <v>13</v>
      </c>
      <c r="G1124" s="4" t="str">
        <f t="shared" si="132"/>
        <v>Romper Longer</v>
      </c>
      <c r="H1124" s="38">
        <f t="shared" si="128"/>
        <v>5</v>
      </c>
      <c r="I1124" s="54">
        <f t="shared" si="127"/>
        <v>20</v>
      </c>
      <c r="J1124" s="14" t="str">
        <f t="shared" si="130"/>
        <v>MothersDay</v>
      </c>
      <c r="K1124" s="16" t="str">
        <f t="shared" si="133"/>
        <v>0-3</v>
      </c>
      <c r="L1124" s="14" t="str">
        <f t="shared" si="131"/>
        <v>Romper Longer | 0-3 | Forest Green</v>
      </c>
      <c r="M1124" s="16" t="s">
        <v>3610</v>
      </c>
    </row>
    <row r="1125" spans="1:13" ht="25" customHeight="1" x14ac:dyDescent="0.45">
      <c r="A1125" s="6">
        <v>46156</v>
      </c>
      <c r="B1125" s="3" t="s">
        <v>140</v>
      </c>
      <c r="C1125" s="4" t="s">
        <v>85</v>
      </c>
      <c r="D1125" s="53" t="str">
        <f t="shared" si="129"/>
        <v>Forest Green</v>
      </c>
      <c r="E1125" s="4" t="s">
        <v>88</v>
      </c>
      <c r="F1125" s="5" t="s">
        <v>7</v>
      </c>
      <c r="G1125" s="4" t="str">
        <f t="shared" si="132"/>
        <v>Romper Longer</v>
      </c>
      <c r="H1125" s="38">
        <f t="shared" si="128"/>
        <v>5</v>
      </c>
      <c r="I1125" s="54">
        <f t="shared" si="127"/>
        <v>20</v>
      </c>
      <c r="J1125" s="14" t="str">
        <f t="shared" si="130"/>
        <v>MothersDay</v>
      </c>
      <c r="K1125" s="16" t="str">
        <f t="shared" si="133"/>
        <v>0-3</v>
      </c>
      <c r="L1125" s="14" t="str">
        <f t="shared" si="131"/>
        <v>Romper Longer | 0-3 | Forest Green</v>
      </c>
      <c r="M1125" s="16" t="s">
        <v>3610</v>
      </c>
    </row>
    <row r="1126" spans="1:13" ht="25" customHeight="1" x14ac:dyDescent="0.45">
      <c r="A1126" s="6">
        <v>46158</v>
      </c>
      <c r="B1126" s="3" t="s">
        <v>141</v>
      </c>
      <c r="C1126" s="4" t="s">
        <v>110</v>
      </c>
      <c r="D1126" s="53" t="str">
        <f t="shared" si="129"/>
        <v>Sage Green</v>
      </c>
      <c r="E1126" s="4" t="s">
        <v>72</v>
      </c>
      <c r="F1126" s="5" t="s">
        <v>142</v>
      </c>
      <c r="G1126" s="4" t="str">
        <f t="shared" si="132"/>
        <v>Romper Short</v>
      </c>
      <c r="H1126" s="38">
        <f t="shared" si="128"/>
        <v>5</v>
      </c>
      <c r="I1126" s="54">
        <f t="shared" si="127"/>
        <v>20</v>
      </c>
      <c r="J1126" s="14" t="str">
        <f t="shared" si="130"/>
        <v>MothersDay</v>
      </c>
      <c r="K1126" s="16" t="str">
        <f t="shared" si="133"/>
        <v>3-6</v>
      </c>
      <c r="L1126" s="14" t="str">
        <f t="shared" si="131"/>
        <v>Romper Short | 3-6 | Sage Green</v>
      </c>
      <c r="M1126" s="16" t="s">
        <v>3611</v>
      </c>
    </row>
    <row r="1127" spans="1:13" ht="25" customHeight="1" x14ac:dyDescent="0.45">
      <c r="A1127" s="6">
        <v>46158</v>
      </c>
      <c r="B1127" s="3" t="s">
        <v>143</v>
      </c>
      <c r="C1127" s="4" t="s">
        <v>110</v>
      </c>
      <c r="D1127" s="53" t="str">
        <f t="shared" si="129"/>
        <v>Sage Green</v>
      </c>
      <c r="E1127" s="4" t="s">
        <v>72</v>
      </c>
      <c r="F1127" s="5" t="s">
        <v>7</v>
      </c>
      <c r="G1127" s="4" t="str">
        <f t="shared" si="132"/>
        <v>Romper Short</v>
      </c>
      <c r="H1127" s="38">
        <f t="shared" si="128"/>
        <v>5</v>
      </c>
      <c r="I1127" s="54">
        <f t="shared" si="127"/>
        <v>20</v>
      </c>
      <c r="J1127" s="14" t="str">
        <f t="shared" si="130"/>
        <v>MothersDay</v>
      </c>
      <c r="K1127" s="16" t="str">
        <f t="shared" si="133"/>
        <v>3-6</v>
      </c>
      <c r="L1127" s="14" t="str">
        <f t="shared" si="131"/>
        <v>Romper Short | 3-6 | Sage Green</v>
      </c>
      <c r="M1127" s="16" t="s">
        <v>3611</v>
      </c>
    </row>
    <row r="1128" spans="1:13" ht="25" customHeight="1" x14ac:dyDescent="0.45">
      <c r="A1128" s="6">
        <v>46158</v>
      </c>
      <c r="B1128" s="3" t="s">
        <v>144</v>
      </c>
      <c r="C1128" s="4" t="s">
        <v>110</v>
      </c>
      <c r="D1128" s="53" t="str">
        <f t="shared" si="129"/>
        <v>Sage Green</v>
      </c>
      <c r="E1128" s="4" t="s">
        <v>72</v>
      </c>
      <c r="F1128" s="5" t="s">
        <v>7</v>
      </c>
      <c r="G1128" s="4" t="str">
        <f t="shared" si="132"/>
        <v>Romper Short</v>
      </c>
      <c r="H1128" s="38">
        <f t="shared" si="128"/>
        <v>5</v>
      </c>
      <c r="I1128" s="54">
        <f t="shared" si="127"/>
        <v>20</v>
      </c>
      <c r="J1128" s="14" t="str">
        <f t="shared" si="130"/>
        <v>MothersDay</v>
      </c>
      <c r="K1128" s="16" t="str">
        <f t="shared" si="133"/>
        <v>3-6</v>
      </c>
      <c r="L1128" s="14" t="str">
        <f t="shared" si="131"/>
        <v>Romper Short | 3-6 | Sage Green</v>
      </c>
      <c r="M1128" s="16" t="s">
        <v>3611</v>
      </c>
    </row>
    <row r="1129" spans="1:13" ht="25" customHeight="1" x14ac:dyDescent="0.45">
      <c r="A1129" s="6">
        <v>46159</v>
      </c>
      <c r="B1129" s="3" t="s">
        <v>145</v>
      </c>
      <c r="C1129" s="4" t="s">
        <v>9</v>
      </c>
      <c r="D1129" s="53" t="str">
        <f t="shared" si="129"/>
        <v>Cream</v>
      </c>
      <c r="E1129" s="4" t="s">
        <v>72</v>
      </c>
      <c r="F1129" s="5" t="s">
        <v>7</v>
      </c>
      <c r="G1129" s="4" t="str">
        <f t="shared" si="132"/>
        <v>Romper Short</v>
      </c>
      <c r="H1129" s="38">
        <f t="shared" si="128"/>
        <v>5</v>
      </c>
      <c r="I1129" s="54">
        <f t="shared" si="127"/>
        <v>21</v>
      </c>
      <c r="J1129" s="14" t="str">
        <f t="shared" si="130"/>
        <v>MothersDay</v>
      </c>
      <c r="K1129" s="16" t="str">
        <f t="shared" si="133"/>
        <v>3-6</v>
      </c>
      <c r="L1129" s="14" t="str">
        <f t="shared" si="131"/>
        <v>Romper Short | 3-6 | Cream</v>
      </c>
      <c r="M1129" s="16" t="s">
        <v>3609</v>
      </c>
    </row>
    <row r="1130" spans="1:13" ht="25" customHeight="1" x14ac:dyDescent="0.45">
      <c r="A1130" s="6">
        <v>46159</v>
      </c>
      <c r="B1130" s="3" t="s">
        <v>146</v>
      </c>
      <c r="C1130" s="4" t="s">
        <v>74</v>
      </c>
      <c r="D1130" s="53" t="str">
        <f t="shared" si="129"/>
        <v>Watermelon</v>
      </c>
      <c r="E1130" s="4" t="s">
        <v>72</v>
      </c>
      <c r="F1130" s="5" t="s">
        <v>7</v>
      </c>
      <c r="G1130" s="4" t="str">
        <f t="shared" si="132"/>
        <v>Romper Short</v>
      </c>
      <c r="H1130" s="38">
        <f t="shared" si="128"/>
        <v>5</v>
      </c>
      <c r="I1130" s="54">
        <f t="shared" si="127"/>
        <v>21</v>
      </c>
      <c r="J1130" s="14" t="str">
        <f t="shared" si="130"/>
        <v>MothersDay</v>
      </c>
      <c r="K1130" s="16" t="str">
        <f t="shared" si="133"/>
        <v>3-6</v>
      </c>
      <c r="L1130" s="14" t="str">
        <f t="shared" si="131"/>
        <v>Romper Short | 3-6 | Watermelon</v>
      </c>
      <c r="M1130" s="16" t="s">
        <v>3610</v>
      </c>
    </row>
    <row r="1131" spans="1:13" ht="25" customHeight="1" x14ac:dyDescent="0.45">
      <c r="A1131" s="6">
        <v>46160</v>
      </c>
      <c r="B1131" s="3" t="s">
        <v>147</v>
      </c>
      <c r="C1131" s="4" t="s">
        <v>148</v>
      </c>
      <c r="D1131" s="53" t="str">
        <f t="shared" si="129"/>
        <v xml:space="preserve"> Caldet Blue</v>
      </c>
      <c r="E1131" s="4" t="s">
        <v>75</v>
      </c>
      <c r="F1131" s="5" t="s">
        <v>7</v>
      </c>
      <c r="G1131" s="4" t="str">
        <f t="shared" si="132"/>
        <v>Romper Longer</v>
      </c>
      <c r="H1131" s="38">
        <f t="shared" si="128"/>
        <v>5</v>
      </c>
      <c r="I1131" s="54">
        <f t="shared" si="127"/>
        <v>21</v>
      </c>
      <c r="J1131" s="14" t="str">
        <f t="shared" si="130"/>
        <v>MothersDay</v>
      </c>
      <c r="K1131" s="16" t="str">
        <f t="shared" si="133"/>
        <v>3-6</v>
      </c>
      <c r="L1131" s="14" t="str">
        <f t="shared" si="131"/>
        <v>Romper Longer | 3-6 | Caldet Blue</v>
      </c>
      <c r="M1131" s="16" t="s">
        <v>3610</v>
      </c>
    </row>
    <row r="1132" spans="1:13" ht="25" customHeight="1" x14ac:dyDescent="0.45">
      <c r="A1132" s="6">
        <v>46162</v>
      </c>
      <c r="B1132" s="3" t="s">
        <v>149</v>
      </c>
      <c r="C1132" s="4" t="s">
        <v>87</v>
      </c>
      <c r="D1132" s="53" t="str">
        <f t="shared" si="129"/>
        <v>Cream</v>
      </c>
      <c r="E1132" s="4" t="s">
        <v>88</v>
      </c>
      <c r="F1132" s="5" t="s">
        <v>7</v>
      </c>
      <c r="G1132" s="4" t="str">
        <f t="shared" si="132"/>
        <v>Romper Longer</v>
      </c>
      <c r="H1132" s="38">
        <f t="shared" si="128"/>
        <v>5</v>
      </c>
      <c r="I1132" s="54">
        <f t="shared" si="127"/>
        <v>21</v>
      </c>
      <c r="J1132" s="14" t="str">
        <f t="shared" si="130"/>
        <v>MothersDay</v>
      </c>
      <c r="K1132" s="16" t="str">
        <f t="shared" si="133"/>
        <v>0-3</v>
      </c>
      <c r="L1132" s="14" t="str">
        <f t="shared" si="131"/>
        <v>Romper Longer | 0-3 | Cream</v>
      </c>
      <c r="M1132" s="16" t="s">
        <v>3609</v>
      </c>
    </row>
    <row r="1133" spans="1:13" ht="25" customHeight="1" x14ac:dyDescent="0.45">
      <c r="A1133" s="6">
        <v>46165</v>
      </c>
      <c r="B1133" s="3" t="s">
        <v>150</v>
      </c>
      <c r="C1133" s="4" t="s">
        <v>110</v>
      </c>
      <c r="D1133" s="53" t="str">
        <f t="shared" si="129"/>
        <v>Sage Green</v>
      </c>
      <c r="E1133" s="4" t="s">
        <v>72</v>
      </c>
      <c r="F1133" s="5" t="s">
        <v>37</v>
      </c>
      <c r="G1133" s="4" t="str">
        <f t="shared" si="132"/>
        <v>Romper Short</v>
      </c>
      <c r="H1133" s="38">
        <f t="shared" si="128"/>
        <v>5</v>
      </c>
      <c r="I1133" s="54">
        <f t="shared" si="127"/>
        <v>21</v>
      </c>
      <c r="J1133" s="14" t="str">
        <f t="shared" si="130"/>
        <v>MothersDay</v>
      </c>
      <c r="K1133" s="16" t="str">
        <f t="shared" si="133"/>
        <v>3-6</v>
      </c>
      <c r="L1133" s="14" t="str">
        <f t="shared" si="131"/>
        <v>Romper Short | 3-6 | Sage Green</v>
      </c>
      <c r="M1133" s="16" t="s">
        <v>3611</v>
      </c>
    </row>
    <row r="1134" spans="1:13" ht="25" customHeight="1" x14ac:dyDescent="0.45">
      <c r="A1134" s="6">
        <v>46166</v>
      </c>
      <c r="B1134" s="3" t="s">
        <v>151</v>
      </c>
      <c r="C1134" s="4" t="s">
        <v>79</v>
      </c>
      <c r="D1134" s="53" t="str">
        <f t="shared" si="129"/>
        <v>White</v>
      </c>
      <c r="E1134" s="4" t="s">
        <v>82</v>
      </c>
      <c r="F1134" s="5" t="s">
        <v>19</v>
      </c>
      <c r="G1134" s="4" t="str">
        <f t="shared" si="132"/>
        <v>Romper Short</v>
      </c>
      <c r="H1134" s="38">
        <f t="shared" si="128"/>
        <v>5</v>
      </c>
      <c r="I1134" s="54">
        <f t="shared" si="127"/>
        <v>22</v>
      </c>
      <c r="J1134" s="14" t="str">
        <f t="shared" si="130"/>
        <v>MothersDay</v>
      </c>
      <c r="K1134" s="16" t="str">
        <f t="shared" si="133"/>
        <v>0-3</v>
      </c>
      <c r="L1134" s="14" t="str">
        <f t="shared" si="131"/>
        <v>Romper Short | 0-3 | White</v>
      </c>
      <c r="M1134" s="16" t="s">
        <v>3610</v>
      </c>
    </row>
    <row r="1135" spans="1:13" ht="25" customHeight="1" x14ac:dyDescent="0.45">
      <c r="A1135" s="6">
        <v>46168</v>
      </c>
      <c r="B1135" s="3" t="s">
        <v>152</v>
      </c>
      <c r="C1135" s="4" t="s">
        <v>87</v>
      </c>
      <c r="D1135" s="53" t="str">
        <f t="shared" si="129"/>
        <v>Cream</v>
      </c>
      <c r="E1135" s="4" t="s">
        <v>72</v>
      </c>
      <c r="F1135" s="5" t="s">
        <v>18</v>
      </c>
      <c r="G1135" s="4" t="str">
        <f t="shared" si="132"/>
        <v>Romper Short</v>
      </c>
      <c r="H1135" s="38">
        <f t="shared" si="128"/>
        <v>5</v>
      </c>
      <c r="I1135" s="54">
        <f t="shared" ref="I1135:I1198" si="134">WEEKNUM(A1135)</f>
        <v>22</v>
      </c>
      <c r="J1135" s="14" t="str">
        <f t="shared" si="130"/>
        <v>MothersDay</v>
      </c>
      <c r="K1135" s="16" t="str">
        <f t="shared" si="133"/>
        <v>3-6</v>
      </c>
      <c r="L1135" s="14" t="str">
        <f t="shared" si="131"/>
        <v>Romper Short | 3-6 | Cream</v>
      </c>
      <c r="M1135" s="16" t="s">
        <v>3609</v>
      </c>
    </row>
    <row r="1136" spans="1:13" ht="25" customHeight="1" x14ac:dyDescent="0.45">
      <c r="A1136" s="6">
        <v>46170</v>
      </c>
      <c r="B1136" s="3" t="s">
        <v>153</v>
      </c>
      <c r="C1136" s="4" t="s">
        <v>76</v>
      </c>
      <c r="D1136" s="53" t="str">
        <f t="shared" si="129"/>
        <v>Caldet Blue</v>
      </c>
      <c r="E1136" s="4" t="s">
        <v>154</v>
      </c>
      <c r="F1136" s="5" t="s">
        <v>19</v>
      </c>
      <c r="G1136" s="4" t="str">
        <f t="shared" si="132"/>
        <v>Romper Longer</v>
      </c>
      <c r="H1136" s="38">
        <f t="shared" si="128"/>
        <v>5</v>
      </c>
      <c r="I1136" s="54">
        <f t="shared" si="134"/>
        <v>22</v>
      </c>
      <c r="J1136" s="14" t="str">
        <f t="shared" si="130"/>
        <v>MothersDay</v>
      </c>
      <c r="K1136" s="16" t="str">
        <f t="shared" si="133"/>
        <v>12-18</v>
      </c>
      <c r="L1136" s="14" t="str">
        <f t="shared" si="131"/>
        <v>Romper Longer | 12-18 | Caldet Blue</v>
      </c>
      <c r="M1136" s="16" t="s">
        <v>3610</v>
      </c>
    </row>
    <row r="1137" spans="1:13" ht="25" customHeight="1" x14ac:dyDescent="0.45">
      <c r="A1137" s="6">
        <v>46170</v>
      </c>
      <c r="B1137" s="3" t="s">
        <v>155</v>
      </c>
      <c r="C1137" s="4" t="s">
        <v>156</v>
      </c>
      <c r="D1137" s="53" t="str">
        <f t="shared" si="129"/>
        <v>Sage Green</v>
      </c>
      <c r="E1137" s="4" t="s">
        <v>72</v>
      </c>
      <c r="F1137" s="5" t="s">
        <v>13</v>
      </c>
      <c r="G1137" s="4" t="str">
        <f t="shared" si="132"/>
        <v>Romper Short</v>
      </c>
      <c r="H1137" s="38">
        <f t="shared" si="128"/>
        <v>5</v>
      </c>
      <c r="I1137" s="54">
        <f t="shared" si="134"/>
        <v>22</v>
      </c>
      <c r="J1137" s="14" t="str">
        <f t="shared" si="130"/>
        <v>MothersDay</v>
      </c>
      <c r="K1137" s="16" t="str">
        <f t="shared" si="133"/>
        <v>3-6</v>
      </c>
      <c r="L1137" s="14" t="str">
        <f t="shared" si="131"/>
        <v>Romper Short | 3-6 | Sage Green</v>
      </c>
      <c r="M1137" s="16" t="s">
        <v>3611</v>
      </c>
    </row>
    <row r="1138" spans="1:13" ht="25" customHeight="1" x14ac:dyDescent="0.45">
      <c r="A1138" s="6">
        <v>46171</v>
      </c>
      <c r="B1138" s="3" t="s">
        <v>157</v>
      </c>
      <c r="C1138" s="4" t="s">
        <v>81</v>
      </c>
      <c r="D1138" s="53" t="str">
        <f t="shared" si="129"/>
        <v>Dusty Pink</v>
      </c>
      <c r="E1138" s="4" t="s">
        <v>94</v>
      </c>
      <c r="F1138" s="5" t="s">
        <v>7</v>
      </c>
      <c r="G1138" s="4" t="str">
        <f t="shared" si="132"/>
        <v>Romper Longer</v>
      </c>
      <c r="H1138" s="38">
        <f t="shared" si="128"/>
        <v>5</v>
      </c>
      <c r="I1138" s="54">
        <f t="shared" si="134"/>
        <v>22</v>
      </c>
      <c r="J1138" s="14" t="str">
        <f t="shared" si="130"/>
        <v>MothersDay</v>
      </c>
      <c r="K1138" s="16" t="str">
        <f t="shared" si="133"/>
        <v>6-12</v>
      </c>
      <c r="L1138" s="14" t="str">
        <f t="shared" si="131"/>
        <v>Romper Longer | 6-12 | Dusty Pink</v>
      </c>
      <c r="M1138" s="16" t="s">
        <v>3610</v>
      </c>
    </row>
    <row r="1139" spans="1:13" ht="25" customHeight="1" x14ac:dyDescent="0.45">
      <c r="A1139" s="6">
        <v>46171</v>
      </c>
      <c r="B1139" s="3" t="s">
        <v>158</v>
      </c>
      <c r="C1139" s="4" t="s">
        <v>87</v>
      </c>
      <c r="D1139" s="53" t="str">
        <f t="shared" si="129"/>
        <v>Cream</v>
      </c>
      <c r="E1139" s="4" t="s">
        <v>72</v>
      </c>
      <c r="F1139" s="5" t="s">
        <v>7</v>
      </c>
      <c r="G1139" s="4" t="str">
        <f t="shared" si="132"/>
        <v>Romper Short</v>
      </c>
      <c r="H1139" s="38">
        <f t="shared" si="128"/>
        <v>5</v>
      </c>
      <c r="I1139" s="54">
        <f t="shared" si="134"/>
        <v>22</v>
      </c>
      <c r="J1139" s="14" t="str">
        <f t="shared" si="130"/>
        <v>MothersDay</v>
      </c>
      <c r="K1139" s="16" t="str">
        <f t="shared" si="133"/>
        <v>3-6</v>
      </c>
      <c r="L1139" s="14" t="str">
        <f t="shared" si="131"/>
        <v>Romper Short | 3-6 | Cream</v>
      </c>
      <c r="M1139" s="16" t="s">
        <v>3609</v>
      </c>
    </row>
    <row r="1140" spans="1:13" ht="25" customHeight="1" x14ac:dyDescent="0.45">
      <c r="A1140" s="6">
        <v>46174</v>
      </c>
      <c r="B1140" s="3" t="s">
        <v>159</v>
      </c>
      <c r="C1140" s="4" t="s">
        <v>81</v>
      </c>
      <c r="D1140" s="53" t="str">
        <f t="shared" si="129"/>
        <v>Dusty Pink</v>
      </c>
      <c r="E1140" s="4" t="s">
        <v>106</v>
      </c>
      <c r="F1140" s="5" t="s">
        <v>7</v>
      </c>
      <c r="G1140" s="4" t="str">
        <f t="shared" si="132"/>
        <v>Romper Short</v>
      </c>
      <c r="H1140" s="38">
        <f t="shared" si="128"/>
        <v>6</v>
      </c>
      <c r="I1140" s="54">
        <f t="shared" si="134"/>
        <v>23</v>
      </c>
      <c r="J1140" s="14" t="str">
        <f t="shared" si="130"/>
        <v>FathersDay</v>
      </c>
      <c r="K1140" s="16" t="str">
        <f t="shared" si="133"/>
        <v>12-18</v>
      </c>
      <c r="L1140" s="14" t="str">
        <f t="shared" si="131"/>
        <v>Romper Short | 12-18 | Dusty Pink</v>
      </c>
      <c r="M1140" s="16" t="s">
        <v>3610</v>
      </c>
    </row>
    <row r="1141" spans="1:13" ht="25" customHeight="1" x14ac:dyDescent="0.45">
      <c r="A1141" s="6">
        <v>46174</v>
      </c>
      <c r="B1141" s="3" t="s">
        <v>160</v>
      </c>
      <c r="C1141" s="4" t="s">
        <v>87</v>
      </c>
      <c r="D1141" s="53" t="str">
        <f t="shared" si="129"/>
        <v>Cream</v>
      </c>
      <c r="E1141" s="4" t="s">
        <v>88</v>
      </c>
      <c r="F1141" s="5" t="s">
        <v>18</v>
      </c>
      <c r="G1141" s="4" t="str">
        <f t="shared" si="132"/>
        <v>Romper Longer</v>
      </c>
      <c r="H1141" s="38">
        <f t="shared" si="128"/>
        <v>6</v>
      </c>
      <c r="I1141" s="54">
        <f t="shared" si="134"/>
        <v>23</v>
      </c>
      <c r="J1141" s="14" t="str">
        <f t="shared" si="130"/>
        <v>FathersDay</v>
      </c>
      <c r="K1141" s="16" t="str">
        <f t="shared" si="133"/>
        <v>0-3</v>
      </c>
      <c r="L1141" s="14" t="str">
        <f t="shared" si="131"/>
        <v>Romper Longer | 0-3 | Cream</v>
      </c>
      <c r="M1141" s="16" t="s">
        <v>3609</v>
      </c>
    </row>
    <row r="1142" spans="1:13" ht="25" customHeight="1" x14ac:dyDescent="0.45">
      <c r="A1142" s="6">
        <v>46174</v>
      </c>
      <c r="B1142" s="3" t="s">
        <v>161</v>
      </c>
      <c r="C1142" s="4" t="s">
        <v>81</v>
      </c>
      <c r="D1142" s="53" t="str">
        <f t="shared" si="129"/>
        <v>Dusty Pink</v>
      </c>
      <c r="E1142" s="4" t="s">
        <v>94</v>
      </c>
      <c r="F1142" s="5" t="s">
        <v>11</v>
      </c>
      <c r="G1142" s="4" t="str">
        <f t="shared" si="132"/>
        <v>Romper Longer</v>
      </c>
      <c r="H1142" s="38">
        <f t="shared" si="128"/>
        <v>6</v>
      </c>
      <c r="I1142" s="54">
        <f t="shared" si="134"/>
        <v>23</v>
      </c>
      <c r="J1142" s="14" t="str">
        <f t="shared" si="130"/>
        <v>FathersDay</v>
      </c>
      <c r="K1142" s="16" t="str">
        <f t="shared" si="133"/>
        <v>6-12</v>
      </c>
      <c r="L1142" s="14" t="str">
        <f t="shared" si="131"/>
        <v>Romper Longer | 6-12 | Dusty Pink</v>
      </c>
      <c r="M1142" s="16" t="s">
        <v>3610</v>
      </c>
    </row>
    <row r="1143" spans="1:13" ht="25" customHeight="1" x14ac:dyDescent="0.45">
      <c r="A1143" s="6">
        <v>46174</v>
      </c>
      <c r="B1143" s="3" t="s">
        <v>162</v>
      </c>
      <c r="C1143" s="4" t="s">
        <v>87</v>
      </c>
      <c r="D1143" s="53" t="str">
        <f t="shared" si="129"/>
        <v>Cream</v>
      </c>
      <c r="E1143" s="4" t="s">
        <v>75</v>
      </c>
      <c r="F1143" s="5" t="s">
        <v>13</v>
      </c>
      <c r="G1143" s="4" t="str">
        <f t="shared" si="132"/>
        <v>Romper Longer</v>
      </c>
      <c r="H1143" s="38">
        <f t="shared" si="128"/>
        <v>6</v>
      </c>
      <c r="I1143" s="54">
        <f t="shared" si="134"/>
        <v>23</v>
      </c>
      <c r="J1143" s="14" t="str">
        <f t="shared" si="130"/>
        <v>FathersDay</v>
      </c>
      <c r="K1143" s="16" t="str">
        <f t="shared" si="133"/>
        <v>3-6</v>
      </c>
      <c r="L1143" s="14" t="str">
        <f t="shared" si="131"/>
        <v>Romper Longer | 3-6 | Cream</v>
      </c>
      <c r="M1143" s="16" t="s">
        <v>3609</v>
      </c>
    </row>
    <row r="1144" spans="1:13" ht="25" customHeight="1" x14ac:dyDescent="0.45">
      <c r="A1144" s="6">
        <v>46174</v>
      </c>
      <c r="B1144" s="3" t="s">
        <v>163</v>
      </c>
      <c r="C1144" s="4" t="s">
        <v>76</v>
      </c>
      <c r="D1144" s="53" t="str">
        <f t="shared" si="129"/>
        <v>Caldet Blue</v>
      </c>
      <c r="E1144" s="4" t="s">
        <v>75</v>
      </c>
      <c r="F1144" s="5" t="s">
        <v>7</v>
      </c>
      <c r="G1144" s="4" t="str">
        <f t="shared" si="132"/>
        <v>Romper Longer</v>
      </c>
      <c r="H1144" s="38">
        <f t="shared" si="128"/>
        <v>6</v>
      </c>
      <c r="I1144" s="54">
        <f t="shared" si="134"/>
        <v>23</v>
      </c>
      <c r="J1144" s="14" t="str">
        <f t="shared" si="130"/>
        <v>FathersDay</v>
      </c>
      <c r="K1144" s="16" t="str">
        <f t="shared" si="133"/>
        <v>3-6</v>
      </c>
      <c r="L1144" s="14" t="str">
        <f t="shared" si="131"/>
        <v>Romper Longer | 3-6 | Caldet Blue</v>
      </c>
      <c r="M1144" s="16" t="s">
        <v>3610</v>
      </c>
    </row>
    <row r="1145" spans="1:13" ht="25" customHeight="1" x14ac:dyDescent="0.45">
      <c r="A1145" s="6">
        <v>46175</v>
      </c>
      <c r="B1145" s="3" t="s">
        <v>164</v>
      </c>
      <c r="C1145" s="4" t="s">
        <v>114</v>
      </c>
      <c r="D1145" s="53" t="str">
        <f t="shared" si="129"/>
        <v>White</v>
      </c>
      <c r="E1145" s="4" t="s">
        <v>72</v>
      </c>
      <c r="F1145" s="5" t="s">
        <v>15</v>
      </c>
      <c r="G1145" s="4" t="str">
        <f t="shared" si="132"/>
        <v>Romper Short</v>
      </c>
      <c r="H1145" s="38">
        <f t="shared" si="128"/>
        <v>6</v>
      </c>
      <c r="I1145" s="54">
        <f t="shared" si="134"/>
        <v>23</v>
      </c>
      <c r="J1145" s="14" t="str">
        <f t="shared" si="130"/>
        <v>FathersDay</v>
      </c>
      <c r="K1145" s="16" t="str">
        <f t="shared" si="133"/>
        <v>3-6</v>
      </c>
      <c r="L1145" s="14" t="str">
        <f t="shared" si="131"/>
        <v>Romper Short | 3-6 | White</v>
      </c>
      <c r="M1145" s="16" t="s">
        <v>3610</v>
      </c>
    </row>
    <row r="1146" spans="1:13" ht="25" customHeight="1" x14ac:dyDescent="0.45">
      <c r="A1146" s="6">
        <v>46175</v>
      </c>
      <c r="B1146" s="3" t="s">
        <v>165</v>
      </c>
      <c r="C1146" s="4" t="s">
        <v>76</v>
      </c>
      <c r="D1146" s="53" t="str">
        <f t="shared" si="129"/>
        <v>Caldet Blue</v>
      </c>
      <c r="E1146" s="4" t="s">
        <v>82</v>
      </c>
      <c r="F1146" s="58" t="s">
        <v>7</v>
      </c>
      <c r="G1146" s="4" t="str">
        <f t="shared" si="132"/>
        <v>Romper Short</v>
      </c>
      <c r="H1146" s="38">
        <f t="shared" si="128"/>
        <v>6</v>
      </c>
      <c r="I1146" s="54">
        <f t="shared" si="134"/>
        <v>23</v>
      </c>
      <c r="J1146" s="14" t="str">
        <f t="shared" si="130"/>
        <v>FathersDay</v>
      </c>
      <c r="K1146" s="16" t="str">
        <f t="shared" si="133"/>
        <v>0-3</v>
      </c>
      <c r="L1146" s="14" t="str">
        <f t="shared" si="131"/>
        <v>Romper Short | 0-3 | Caldet Blue</v>
      </c>
      <c r="M1146" s="16" t="s">
        <v>3610</v>
      </c>
    </row>
    <row r="1147" spans="1:13" ht="25" customHeight="1" x14ac:dyDescent="0.45">
      <c r="A1147" s="6">
        <v>46175</v>
      </c>
      <c r="B1147" s="3" t="s">
        <v>166</v>
      </c>
      <c r="C1147" s="4" t="s">
        <v>87</v>
      </c>
      <c r="D1147" s="53" t="str">
        <f t="shared" si="129"/>
        <v>Cream</v>
      </c>
      <c r="E1147" s="4" t="s">
        <v>82</v>
      </c>
      <c r="F1147" s="58"/>
      <c r="G1147" s="4" t="str">
        <f t="shared" si="132"/>
        <v>Romper Short</v>
      </c>
      <c r="H1147" s="38">
        <f t="shared" si="128"/>
        <v>6</v>
      </c>
      <c r="I1147" s="54">
        <f t="shared" si="134"/>
        <v>23</v>
      </c>
      <c r="J1147" s="14" t="str">
        <f t="shared" si="130"/>
        <v>FathersDay</v>
      </c>
      <c r="K1147" s="16" t="str">
        <f t="shared" si="133"/>
        <v>0-3</v>
      </c>
      <c r="L1147" s="14" t="str">
        <f t="shared" si="131"/>
        <v>Romper Short | 0-3 | Cream</v>
      </c>
      <c r="M1147" s="16" t="s">
        <v>3609</v>
      </c>
    </row>
    <row r="1148" spans="1:13" ht="25" customHeight="1" x14ac:dyDescent="0.45">
      <c r="A1148" s="6">
        <v>46175</v>
      </c>
      <c r="B1148" s="3" t="s">
        <v>167</v>
      </c>
      <c r="C1148" s="4" t="s">
        <v>87</v>
      </c>
      <c r="D1148" s="53" t="str">
        <f t="shared" si="129"/>
        <v>Cream</v>
      </c>
      <c r="E1148" s="4" t="s">
        <v>88</v>
      </c>
      <c r="F1148" s="5" t="s">
        <v>7</v>
      </c>
      <c r="G1148" s="4" t="str">
        <f t="shared" si="132"/>
        <v>Romper Longer</v>
      </c>
      <c r="H1148" s="38">
        <f t="shared" si="128"/>
        <v>6</v>
      </c>
      <c r="I1148" s="54">
        <f t="shared" si="134"/>
        <v>23</v>
      </c>
      <c r="J1148" s="14" t="str">
        <f t="shared" si="130"/>
        <v>FathersDay</v>
      </c>
      <c r="K1148" s="16" t="str">
        <f t="shared" si="133"/>
        <v>0-3</v>
      </c>
      <c r="L1148" s="14" t="str">
        <f t="shared" si="131"/>
        <v>Romper Longer | 0-3 | Cream</v>
      </c>
      <c r="M1148" s="16" t="s">
        <v>3609</v>
      </c>
    </row>
    <row r="1149" spans="1:13" ht="25" customHeight="1" x14ac:dyDescent="0.45">
      <c r="A1149" s="6">
        <v>46175</v>
      </c>
      <c r="B1149" s="3" t="s">
        <v>168</v>
      </c>
      <c r="C1149" s="4" t="s">
        <v>114</v>
      </c>
      <c r="D1149" s="53" t="str">
        <f t="shared" si="129"/>
        <v>White</v>
      </c>
      <c r="E1149" s="4" t="s">
        <v>169</v>
      </c>
      <c r="F1149" s="5" t="s">
        <v>7</v>
      </c>
      <c r="G1149" s="4" t="str">
        <f t="shared" si="132"/>
        <v>Romper Short</v>
      </c>
      <c r="H1149" s="38">
        <f t="shared" si="128"/>
        <v>6</v>
      </c>
      <c r="I1149" s="54">
        <f t="shared" si="134"/>
        <v>23</v>
      </c>
      <c r="J1149" s="14" t="str">
        <f t="shared" si="130"/>
        <v>FathersDay</v>
      </c>
      <c r="K1149" s="16" t="str">
        <f t="shared" si="133"/>
        <v>18-24</v>
      </c>
      <c r="L1149" s="14" t="str">
        <f t="shared" si="131"/>
        <v>Romper Short | 18-24 | White</v>
      </c>
      <c r="M1149" s="16" t="s">
        <v>3610</v>
      </c>
    </row>
    <row r="1150" spans="1:13" ht="25" customHeight="1" x14ac:dyDescent="0.45">
      <c r="A1150" s="6">
        <v>46175</v>
      </c>
      <c r="B1150" s="3" t="s">
        <v>170</v>
      </c>
      <c r="C1150" s="4" t="s">
        <v>101</v>
      </c>
      <c r="D1150" s="53" t="str">
        <f t="shared" si="129"/>
        <v>Sage Green</v>
      </c>
      <c r="E1150" s="4" t="s">
        <v>88</v>
      </c>
      <c r="F1150" s="5" t="s">
        <v>7</v>
      </c>
      <c r="G1150" s="4" t="str">
        <f t="shared" si="132"/>
        <v>Romper Longer</v>
      </c>
      <c r="H1150" s="38">
        <f t="shared" si="128"/>
        <v>6</v>
      </c>
      <c r="I1150" s="54">
        <f t="shared" si="134"/>
        <v>23</v>
      </c>
      <c r="J1150" s="14" t="str">
        <f t="shared" si="130"/>
        <v>FathersDay</v>
      </c>
      <c r="K1150" s="16" t="str">
        <f t="shared" si="133"/>
        <v>0-3</v>
      </c>
      <c r="L1150" s="14" t="str">
        <f t="shared" si="131"/>
        <v>Romper Longer | 0-3 | Sage Green</v>
      </c>
      <c r="M1150" s="16" t="s">
        <v>3611</v>
      </c>
    </row>
    <row r="1151" spans="1:13" ht="25" customHeight="1" x14ac:dyDescent="0.45">
      <c r="A1151" s="6">
        <v>46175</v>
      </c>
      <c r="B1151" s="3" t="s">
        <v>171</v>
      </c>
      <c r="C1151" s="4" t="s">
        <v>87</v>
      </c>
      <c r="D1151" s="53" t="str">
        <f t="shared" si="129"/>
        <v>Cream</v>
      </c>
      <c r="E1151" s="4" t="s">
        <v>75</v>
      </c>
      <c r="F1151" s="5" t="s">
        <v>7</v>
      </c>
      <c r="G1151" s="4" t="str">
        <f t="shared" si="132"/>
        <v>Romper Longer</v>
      </c>
      <c r="H1151" s="38">
        <f t="shared" si="128"/>
        <v>6</v>
      </c>
      <c r="I1151" s="54">
        <f t="shared" si="134"/>
        <v>23</v>
      </c>
      <c r="J1151" s="14" t="str">
        <f t="shared" si="130"/>
        <v>FathersDay</v>
      </c>
      <c r="K1151" s="16" t="str">
        <f t="shared" si="133"/>
        <v>3-6</v>
      </c>
      <c r="L1151" s="14" t="str">
        <f t="shared" si="131"/>
        <v>Romper Longer | 3-6 | Cream</v>
      </c>
      <c r="M1151" s="16" t="s">
        <v>3609</v>
      </c>
    </row>
    <row r="1152" spans="1:13" ht="25" customHeight="1" x14ac:dyDescent="0.45">
      <c r="A1152" s="6">
        <v>46175</v>
      </c>
      <c r="B1152" s="3" t="s">
        <v>172</v>
      </c>
      <c r="C1152" s="4" t="s">
        <v>101</v>
      </c>
      <c r="D1152" s="53" t="str">
        <f t="shared" si="129"/>
        <v>Sage Green</v>
      </c>
      <c r="E1152" s="4" t="s">
        <v>154</v>
      </c>
      <c r="F1152" s="5" t="s">
        <v>7</v>
      </c>
      <c r="G1152" s="4" t="str">
        <f t="shared" si="132"/>
        <v>Romper Longer</v>
      </c>
      <c r="H1152" s="38">
        <f t="shared" si="128"/>
        <v>6</v>
      </c>
      <c r="I1152" s="54">
        <f t="shared" si="134"/>
        <v>23</v>
      </c>
      <c r="J1152" s="14" t="str">
        <f t="shared" si="130"/>
        <v>FathersDay</v>
      </c>
      <c r="K1152" s="16" t="str">
        <f t="shared" si="133"/>
        <v>12-18</v>
      </c>
      <c r="L1152" s="14" t="str">
        <f t="shared" si="131"/>
        <v>Romper Longer | 12-18 | Sage Green</v>
      </c>
      <c r="M1152" s="16" t="s">
        <v>3610</v>
      </c>
    </row>
    <row r="1153" spans="1:13" ht="25" customHeight="1" x14ac:dyDescent="0.45">
      <c r="A1153" s="6">
        <v>46176</v>
      </c>
      <c r="B1153" s="3" t="s">
        <v>173</v>
      </c>
      <c r="C1153" s="4" t="s">
        <v>81</v>
      </c>
      <c r="D1153" s="53" t="str">
        <f t="shared" si="129"/>
        <v>Dusty Pink</v>
      </c>
      <c r="E1153" s="4" t="s">
        <v>72</v>
      </c>
      <c r="F1153" s="5" t="s">
        <v>7</v>
      </c>
      <c r="G1153" s="4" t="str">
        <f t="shared" si="132"/>
        <v>Romper Short</v>
      </c>
      <c r="H1153" s="38">
        <f t="shared" si="128"/>
        <v>6</v>
      </c>
      <c r="I1153" s="54">
        <f t="shared" si="134"/>
        <v>23</v>
      </c>
      <c r="J1153" s="14" t="str">
        <f t="shared" si="130"/>
        <v>FathersDay</v>
      </c>
      <c r="K1153" s="16" t="str">
        <f t="shared" si="133"/>
        <v>3-6</v>
      </c>
      <c r="L1153" s="14" t="str">
        <f t="shared" si="131"/>
        <v>Romper Short | 3-6 | Dusty Pink</v>
      </c>
      <c r="M1153" s="16" t="s">
        <v>3610</v>
      </c>
    </row>
    <row r="1154" spans="1:13" ht="25" customHeight="1" x14ac:dyDescent="0.45">
      <c r="A1154" s="6">
        <v>46176</v>
      </c>
      <c r="B1154" s="3" t="s">
        <v>174</v>
      </c>
      <c r="C1154" s="4" t="s">
        <v>87</v>
      </c>
      <c r="D1154" s="53" t="str">
        <f t="shared" si="129"/>
        <v>Cream</v>
      </c>
      <c r="E1154" s="4" t="s">
        <v>94</v>
      </c>
      <c r="F1154" s="5" t="s">
        <v>7</v>
      </c>
      <c r="G1154" s="4" t="str">
        <f t="shared" si="132"/>
        <v>Romper Longer</v>
      </c>
      <c r="H1154" s="38">
        <f t="shared" ref="H1154:H1217" si="135">MONTH(A1154)</f>
        <v>6</v>
      </c>
      <c r="I1154" s="54">
        <f t="shared" si="134"/>
        <v>23</v>
      </c>
      <c r="J1154" s="14" t="str">
        <f t="shared" si="130"/>
        <v>FathersDay</v>
      </c>
      <c r="K1154" s="16" t="str">
        <f t="shared" si="133"/>
        <v>6-12</v>
      </c>
      <c r="L1154" s="14" t="str">
        <f t="shared" si="131"/>
        <v>Romper Longer | 6-12 | Cream</v>
      </c>
      <c r="M1154" s="16" t="s">
        <v>3611</v>
      </c>
    </row>
    <row r="1155" spans="1:13" ht="25" customHeight="1" x14ac:dyDescent="0.45">
      <c r="A1155" s="6">
        <v>46176</v>
      </c>
      <c r="B1155" s="3" t="s">
        <v>175</v>
      </c>
      <c r="C1155" s="4" t="s">
        <v>114</v>
      </c>
      <c r="D1155" s="53" t="str">
        <f t="shared" ref="D1155:D1218" si="136">PROPER(C1155)</f>
        <v>White</v>
      </c>
      <c r="E1155" s="4" t="s">
        <v>75</v>
      </c>
      <c r="F1155" s="5" t="s">
        <v>11</v>
      </c>
      <c r="G1155" s="4" t="str">
        <f t="shared" si="132"/>
        <v>Romper Longer</v>
      </c>
      <c r="H1155" s="38">
        <f t="shared" si="135"/>
        <v>6</v>
      </c>
      <c r="I1155" s="54">
        <f t="shared" si="134"/>
        <v>23</v>
      </c>
      <c r="J1155" s="14" t="str">
        <f t="shared" ref="J1155:J1218" si="137">IF(H1155=1,"NewYear",
IF(H1155=2,"Valentine",
IF(OR(H1155=3,H1155=4),"Easter",
IF(H1155=5,"MothersDay",
IF(H1155=6,"FathersDay",
IF(OR(H1155=7,H1155=8),"Summer",
IF(H1155=10,"Halloween",
IF(OR(H1155=11,H1155=12),"Christmas","Normal"))))))))</f>
        <v>FathersDay</v>
      </c>
      <c r="K1155" s="16" t="str">
        <f t="shared" si="133"/>
        <v>3-6</v>
      </c>
      <c r="L1155" s="14" t="str">
        <f t="shared" ref="L1155:L1218" si="138">TRIM(G1155)&amp;" | "&amp;TRIM(K1155)&amp;" | "&amp;PROPER(TRIM(D1155))</f>
        <v>Romper Longer | 3-6 | White</v>
      </c>
      <c r="M1155" s="16" t="s">
        <v>3610</v>
      </c>
    </row>
    <row r="1156" spans="1:13" ht="25" customHeight="1" x14ac:dyDescent="0.45">
      <c r="A1156" s="6">
        <v>46176</v>
      </c>
      <c r="B1156" s="3" t="s">
        <v>176</v>
      </c>
      <c r="C1156" s="4" t="s">
        <v>101</v>
      </c>
      <c r="D1156" s="53" t="str">
        <f t="shared" si="136"/>
        <v>Sage Green</v>
      </c>
      <c r="E1156" s="4" t="s">
        <v>88</v>
      </c>
      <c r="F1156" s="5" t="s">
        <v>7</v>
      </c>
      <c r="G1156" s="4" t="str">
        <f t="shared" si="132"/>
        <v>Romper Longer</v>
      </c>
      <c r="H1156" s="38">
        <f t="shared" si="135"/>
        <v>6</v>
      </c>
      <c r="I1156" s="54">
        <f t="shared" si="134"/>
        <v>23</v>
      </c>
      <c r="J1156" s="14" t="str">
        <f t="shared" si="137"/>
        <v>FathersDay</v>
      </c>
      <c r="K1156" s="16" t="str">
        <f t="shared" si="133"/>
        <v>0-3</v>
      </c>
      <c r="L1156" s="14" t="str">
        <f t="shared" si="138"/>
        <v>Romper Longer | 0-3 | Sage Green</v>
      </c>
      <c r="M1156" s="16" t="s">
        <v>3611</v>
      </c>
    </row>
    <row r="1157" spans="1:13" ht="25" customHeight="1" x14ac:dyDescent="0.45">
      <c r="A1157" s="6">
        <v>46176</v>
      </c>
      <c r="B1157" s="3" t="s">
        <v>177</v>
      </c>
      <c r="C1157" s="4" t="s">
        <v>178</v>
      </c>
      <c r="D1157" s="53" t="str">
        <f t="shared" si="136"/>
        <v>Mauve Taupe</v>
      </c>
      <c r="E1157" s="4" t="s">
        <v>90</v>
      </c>
      <c r="F1157" s="5" t="s">
        <v>7</v>
      </c>
      <c r="G1157" s="4" t="str">
        <f t="shared" si="132"/>
        <v>Romper Short</v>
      </c>
      <c r="H1157" s="38">
        <f t="shared" si="135"/>
        <v>6</v>
      </c>
      <c r="I1157" s="54">
        <f t="shared" si="134"/>
        <v>23</v>
      </c>
      <c r="J1157" s="14" t="str">
        <f t="shared" si="137"/>
        <v>FathersDay</v>
      </c>
      <c r="K1157" s="16" t="str">
        <f t="shared" si="133"/>
        <v>6-12</v>
      </c>
      <c r="L1157" s="14" t="str">
        <f t="shared" si="138"/>
        <v>Romper Short | 6-12 | Mauve Taupe</v>
      </c>
      <c r="M1157" s="16" t="s">
        <v>3610</v>
      </c>
    </row>
    <row r="1158" spans="1:13" ht="25" customHeight="1" x14ac:dyDescent="0.45">
      <c r="A1158" s="6">
        <v>46176</v>
      </c>
      <c r="B1158" s="3" t="s">
        <v>179</v>
      </c>
      <c r="C1158" s="4" t="s">
        <v>114</v>
      </c>
      <c r="D1158" s="53" t="str">
        <f t="shared" si="136"/>
        <v>White</v>
      </c>
      <c r="E1158" s="4" t="s">
        <v>90</v>
      </c>
      <c r="F1158" s="5" t="s">
        <v>7</v>
      </c>
      <c r="G1158" s="4" t="str">
        <f t="shared" si="132"/>
        <v>Romper Short</v>
      </c>
      <c r="H1158" s="38">
        <f t="shared" si="135"/>
        <v>6</v>
      </c>
      <c r="I1158" s="54">
        <f t="shared" si="134"/>
        <v>23</v>
      </c>
      <c r="J1158" s="14" t="str">
        <f t="shared" si="137"/>
        <v>FathersDay</v>
      </c>
      <c r="K1158" s="16" t="str">
        <f t="shared" si="133"/>
        <v>6-12</v>
      </c>
      <c r="L1158" s="14" t="str">
        <f t="shared" si="138"/>
        <v>Romper Short | 6-12 | White</v>
      </c>
      <c r="M1158" s="16" t="s">
        <v>3610</v>
      </c>
    </row>
    <row r="1159" spans="1:13" ht="25" customHeight="1" x14ac:dyDescent="0.45">
      <c r="A1159" s="6">
        <v>46176</v>
      </c>
      <c r="B1159" s="3" t="s">
        <v>180</v>
      </c>
      <c r="C1159" s="4" t="s">
        <v>101</v>
      </c>
      <c r="D1159" s="53" t="str">
        <f t="shared" si="136"/>
        <v>Sage Green</v>
      </c>
      <c r="E1159" s="4" t="s">
        <v>88</v>
      </c>
      <c r="F1159" s="5" t="s">
        <v>7</v>
      </c>
      <c r="G1159" s="4" t="str">
        <f t="shared" si="132"/>
        <v>Romper Longer</v>
      </c>
      <c r="H1159" s="38">
        <f t="shared" si="135"/>
        <v>6</v>
      </c>
      <c r="I1159" s="54">
        <f t="shared" si="134"/>
        <v>23</v>
      </c>
      <c r="J1159" s="14" t="str">
        <f t="shared" si="137"/>
        <v>FathersDay</v>
      </c>
      <c r="K1159" s="16" t="str">
        <f t="shared" si="133"/>
        <v>0-3</v>
      </c>
      <c r="L1159" s="14" t="str">
        <f t="shared" si="138"/>
        <v>Romper Longer | 0-3 | Sage Green</v>
      </c>
      <c r="M1159" s="16" t="s">
        <v>3611</v>
      </c>
    </row>
    <row r="1160" spans="1:13" ht="25" customHeight="1" x14ac:dyDescent="0.45">
      <c r="A1160" s="6">
        <v>46177</v>
      </c>
      <c r="B1160" s="3" t="s">
        <v>181</v>
      </c>
      <c r="C1160" s="4" t="s">
        <v>182</v>
      </c>
      <c r="D1160" s="53" t="str">
        <f t="shared" si="136"/>
        <v xml:space="preserve"> Forest Green</v>
      </c>
      <c r="E1160" s="4" t="s">
        <v>88</v>
      </c>
      <c r="F1160" s="5" t="s">
        <v>7</v>
      </c>
      <c r="G1160" s="4" t="str">
        <f t="shared" si="132"/>
        <v>Romper Longer</v>
      </c>
      <c r="H1160" s="38">
        <f t="shared" si="135"/>
        <v>6</v>
      </c>
      <c r="I1160" s="54">
        <f t="shared" si="134"/>
        <v>23</v>
      </c>
      <c r="J1160" s="14" t="str">
        <f t="shared" si="137"/>
        <v>FathersDay</v>
      </c>
      <c r="K1160" s="16" t="str">
        <f t="shared" si="133"/>
        <v>0-3</v>
      </c>
      <c r="L1160" s="14" t="str">
        <f t="shared" si="138"/>
        <v>Romper Longer | 0-3 | Forest Green</v>
      </c>
      <c r="M1160" s="16" t="s">
        <v>3610</v>
      </c>
    </row>
    <row r="1161" spans="1:13" ht="25" customHeight="1" x14ac:dyDescent="0.45">
      <c r="A1161" s="6">
        <v>46177</v>
      </c>
      <c r="B1161" s="3" t="s">
        <v>183</v>
      </c>
      <c r="C1161" s="4" t="s">
        <v>184</v>
      </c>
      <c r="D1161" s="53" t="str">
        <f t="shared" si="136"/>
        <v>Coffee</v>
      </c>
      <c r="E1161" s="4" t="s">
        <v>106</v>
      </c>
      <c r="F1161" s="5" t="s">
        <v>15</v>
      </c>
      <c r="G1161" s="4" t="str">
        <f t="shared" si="132"/>
        <v>Romper Short</v>
      </c>
      <c r="H1161" s="38">
        <f t="shared" si="135"/>
        <v>6</v>
      </c>
      <c r="I1161" s="54">
        <f t="shared" si="134"/>
        <v>23</v>
      </c>
      <c r="J1161" s="14" t="str">
        <f t="shared" si="137"/>
        <v>FathersDay</v>
      </c>
      <c r="K1161" s="16" t="str">
        <f t="shared" si="133"/>
        <v>12-18</v>
      </c>
      <c r="L1161" s="14" t="str">
        <f t="shared" si="138"/>
        <v>Romper Short | 12-18 | Coffee</v>
      </c>
      <c r="M1161" s="16" t="s">
        <v>3610</v>
      </c>
    </row>
    <row r="1162" spans="1:13" ht="25" customHeight="1" x14ac:dyDescent="0.45">
      <c r="A1162" s="6">
        <v>46177</v>
      </c>
      <c r="B1162" s="3" t="s">
        <v>185</v>
      </c>
      <c r="C1162" s="4" t="s">
        <v>184</v>
      </c>
      <c r="D1162" s="53" t="str">
        <f t="shared" si="136"/>
        <v>Coffee</v>
      </c>
      <c r="E1162" s="4" t="s">
        <v>75</v>
      </c>
      <c r="F1162" s="5" t="s">
        <v>7</v>
      </c>
      <c r="G1162" s="4" t="str">
        <f t="shared" si="132"/>
        <v>Romper Longer</v>
      </c>
      <c r="H1162" s="38">
        <f t="shared" si="135"/>
        <v>6</v>
      </c>
      <c r="I1162" s="54">
        <f t="shared" si="134"/>
        <v>23</v>
      </c>
      <c r="J1162" s="14" t="str">
        <f t="shared" si="137"/>
        <v>FathersDay</v>
      </c>
      <c r="K1162" s="16" t="str">
        <f t="shared" si="133"/>
        <v>3-6</v>
      </c>
      <c r="L1162" s="14" t="str">
        <f t="shared" si="138"/>
        <v>Romper Longer | 3-6 | Coffee</v>
      </c>
      <c r="M1162" s="16" t="s">
        <v>3610</v>
      </c>
    </row>
    <row r="1163" spans="1:13" ht="25" customHeight="1" x14ac:dyDescent="0.45">
      <c r="A1163" s="6">
        <v>46177</v>
      </c>
      <c r="B1163" s="3" t="s">
        <v>186</v>
      </c>
      <c r="C1163" s="4" t="s">
        <v>87</v>
      </c>
      <c r="D1163" s="53" t="str">
        <f t="shared" si="136"/>
        <v>Cream</v>
      </c>
      <c r="E1163" s="4" t="s">
        <v>82</v>
      </c>
      <c r="F1163" s="5" t="s">
        <v>7</v>
      </c>
      <c r="G1163" s="4" t="str">
        <f t="shared" si="132"/>
        <v>Romper Short</v>
      </c>
      <c r="H1163" s="38">
        <f t="shared" si="135"/>
        <v>6</v>
      </c>
      <c r="I1163" s="54">
        <f t="shared" si="134"/>
        <v>23</v>
      </c>
      <c r="J1163" s="14" t="str">
        <f t="shared" si="137"/>
        <v>FathersDay</v>
      </c>
      <c r="K1163" s="16" t="str">
        <f t="shared" si="133"/>
        <v>0-3</v>
      </c>
      <c r="L1163" s="14" t="str">
        <f t="shared" si="138"/>
        <v>Romper Short | 0-3 | Cream</v>
      </c>
      <c r="M1163" s="16" t="s">
        <v>3609</v>
      </c>
    </row>
    <row r="1164" spans="1:13" ht="25" customHeight="1" x14ac:dyDescent="0.45">
      <c r="A1164" s="6">
        <v>46178</v>
      </c>
      <c r="B1164" s="3" t="s">
        <v>187</v>
      </c>
      <c r="C1164" s="4" t="s">
        <v>87</v>
      </c>
      <c r="D1164" s="53" t="str">
        <f t="shared" si="136"/>
        <v>Cream</v>
      </c>
      <c r="E1164" s="4" t="s">
        <v>82</v>
      </c>
      <c r="F1164" s="5" t="s">
        <v>7</v>
      </c>
      <c r="G1164" s="4" t="str">
        <f t="shared" si="132"/>
        <v>Romper Short</v>
      </c>
      <c r="H1164" s="38">
        <f t="shared" si="135"/>
        <v>6</v>
      </c>
      <c r="I1164" s="54">
        <f t="shared" si="134"/>
        <v>23</v>
      </c>
      <c r="J1164" s="14" t="str">
        <f t="shared" si="137"/>
        <v>FathersDay</v>
      </c>
      <c r="K1164" s="16" t="str">
        <f t="shared" si="133"/>
        <v>0-3</v>
      </c>
      <c r="L1164" s="14" t="str">
        <f t="shared" si="138"/>
        <v>Romper Short | 0-3 | Cream</v>
      </c>
      <c r="M1164" s="16" t="s">
        <v>3609</v>
      </c>
    </row>
    <row r="1165" spans="1:13" ht="25" customHeight="1" x14ac:dyDescent="0.45">
      <c r="A1165" s="6">
        <v>46178</v>
      </c>
      <c r="B1165" s="3" t="s">
        <v>188</v>
      </c>
      <c r="C1165" s="4" t="s">
        <v>85</v>
      </c>
      <c r="D1165" s="53" t="str">
        <f t="shared" si="136"/>
        <v>Forest Green</v>
      </c>
      <c r="E1165" s="4" t="s">
        <v>72</v>
      </c>
      <c r="F1165" s="5" t="s">
        <v>7</v>
      </c>
      <c r="G1165" s="4" t="str">
        <f t="shared" si="132"/>
        <v>Romper Short</v>
      </c>
      <c r="H1165" s="38">
        <f t="shared" si="135"/>
        <v>6</v>
      </c>
      <c r="I1165" s="54">
        <f t="shared" si="134"/>
        <v>23</v>
      </c>
      <c r="J1165" s="14" t="str">
        <f t="shared" si="137"/>
        <v>FathersDay</v>
      </c>
      <c r="K1165" s="16" t="str">
        <f t="shared" si="133"/>
        <v>3-6</v>
      </c>
      <c r="L1165" s="14" t="str">
        <f t="shared" si="138"/>
        <v>Romper Short | 3-6 | Forest Green</v>
      </c>
      <c r="M1165" s="16" t="s">
        <v>3610</v>
      </c>
    </row>
    <row r="1166" spans="1:13" ht="25" customHeight="1" x14ac:dyDescent="0.45">
      <c r="A1166" s="6">
        <v>46178</v>
      </c>
      <c r="B1166" s="3" t="s">
        <v>189</v>
      </c>
      <c r="C1166" s="4" t="s">
        <v>114</v>
      </c>
      <c r="D1166" s="53" t="str">
        <f t="shared" si="136"/>
        <v>White</v>
      </c>
      <c r="E1166" s="4" t="s">
        <v>82</v>
      </c>
      <c r="F1166" s="5" t="s">
        <v>7</v>
      </c>
      <c r="G1166" s="4" t="str">
        <f t="shared" si="132"/>
        <v>Romper Short</v>
      </c>
      <c r="H1166" s="38">
        <f t="shared" si="135"/>
        <v>6</v>
      </c>
      <c r="I1166" s="54">
        <f t="shared" si="134"/>
        <v>23</v>
      </c>
      <c r="J1166" s="14" t="str">
        <f t="shared" si="137"/>
        <v>FathersDay</v>
      </c>
      <c r="K1166" s="16" t="str">
        <f t="shared" si="133"/>
        <v>0-3</v>
      </c>
      <c r="L1166" s="14" t="str">
        <f t="shared" si="138"/>
        <v>Romper Short | 0-3 | White</v>
      </c>
      <c r="M1166" s="16" t="s">
        <v>3610</v>
      </c>
    </row>
    <row r="1167" spans="1:13" ht="25" customHeight="1" x14ac:dyDescent="0.45">
      <c r="A1167" s="6">
        <v>46179</v>
      </c>
      <c r="B1167" s="3" t="s">
        <v>190</v>
      </c>
      <c r="C1167" s="4" t="s">
        <v>101</v>
      </c>
      <c r="D1167" s="53" t="str">
        <f t="shared" si="136"/>
        <v>Sage Green</v>
      </c>
      <c r="E1167" s="4" t="s">
        <v>72</v>
      </c>
      <c r="F1167" s="5" t="s">
        <v>18</v>
      </c>
      <c r="G1167" s="4" t="str">
        <f t="shared" si="132"/>
        <v>Romper Short</v>
      </c>
      <c r="H1167" s="38">
        <f t="shared" si="135"/>
        <v>6</v>
      </c>
      <c r="I1167" s="54">
        <f t="shared" si="134"/>
        <v>23</v>
      </c>
      <c r="J1167" s="14" t="str">
        <f t="shared" si="137"/>
        <v>FathersDay</v>
      </c>
      <c r="K1167" s="16" t="str">
        <f t="shared" si="133"/>
        <v>3-6</v>
      </c>
      <c r="L1167" s="14" t="str">
        <f t="shared" si="138"/>
        <v>Romper Short | 3-6 | Sage Green</v>
      </c>
      <c r="M1167" s="16" t="s">
        <v>3611</v>
      </c>
    </row>
    <row r="1168" spans="1:13" ht="25" customHeight="1" x14ac:dyDescent="0.45">
      <c r="A1168" s="6">
        <v>46179</v>
      </c>
      <c r="B1168" s="3" t="s">
        <v>191</v>
      </c>
      <c r="C1168" s="4" t="s">
        <v>114</v>
      </c>
      <c r="D1168" s="53" t="str">
        <f t="shared" si="136"/>
        <v>White</v>
      </c>
      <c r="E1168" s="4" t="s">
        <v>82</v>
      </c>
      <c r="F1168" s="58" t="s">
        <v>7</v>
      </c>
      <c r="G1168" s="4" t="str">
        <f t="shared" ref="G1168:G1231" si="139">IF(ISNUMBER(SEARCH("LONG",E1168)),"Romper Longer",IF(ISNUMBER(SEARCH("SHORT",E1168)),"Romper Short","Bodysuit"))</f>
        <v>Romper Short</v>
      </c>
      <c r="H1168" s="38">
        <f t="shared" si="135"/>
        <v>6</v>
      </c>
      <c r="I1168" s="54">
        <f t="shared" si="134"/>
        <v>23</v>
      </c>
      <c r="J1168" s="14" t="str">
        <f t="shared" si="137"/>
        <v>FathersDay</v>
      </c>
      <c r="K1168" s="16" t="str">
        <f t="shared" si="133"/>
        <v>0-3</v>
      </c>
      <c r="L1168" s="14" t="str">
        <f t="shared" si="138"/>
        <v>Romper Short | 0-3 | White</v>
      </c>
      <c r="M1168" s="16" t="s">
        <v>3610</v>
      </c>
    </row>
    <row r="1169" spans="1:13" ht="25" customHeight="1" x14ac:dyDescent="0.45">
      <c r="A1169" s="6">
        <v>46179</v>
      </c>
      <c r="B1169" s="3" t="s">
        <v>192</v>
      </c>
      <c r="C1169" s="4" t="s">
        <v>87</v>
      </c>
      <c r="D1169" s="53" t="str">
        <f t="shared" si="136"/>
        <v>Cream</v>
      </c>
      <c r="E1169" s="4" t="s">
        <v>72</v>
      </c>
      <c r="F1169" s="58"/>
      <c r="G1169" s="4" t="str">
        <f t="shared" si="139"/>
        <v>Romper Short</v>
      </c>
      <c r="H1169" s="38">
        <f t="shared" si="135"/>
        <v>6</v>
      </c>
      <c r="I1169" s="54">
        <f t="shared" si="134"/>
        <v>23</v>
      </c>
      <c r="J1169" s="14" t="str">
        <f t="shared" si="137"/>
        <v>FathersDay</v>
      </c>
      <c r="K1169" s="16" t="str">
        <f t="shared" si="133"/>
        <v>3-6</v>
      </c>
      <c r="L1169" s="14" t="str">
        <f t="shared" si="138"/>
        <v>Romper Short | 3-6 | Cream</v>
      </c>
      <c r="M1169" s="16" t="s">
        <v>3609</v>
      </c>
    </row>
    <row r="1170" spans="1:13" ht="25" customHeight="1" x14ac:dyDescent="0.45">
      <c r="A1170" s="6">
        <v>46179</v>
      </c>
      <c r="B1170" s="3" t="s">
        <v>193</v>
      </c>
      <c r="C1170" s="4" t="s">
        <v>114</v>
      </c>
      <c r="D1170" s="53" t="str">
        <f t="shared" si="136"/>
        <v>White</v>
      </c>
      <c r="E1170" s="4" t="s">
        <v>194</v>
      </c>
      <c r="F1170" s="58"/>
      <c r="G1170" s="4" t="str">
        <f t="shared" si="139"/>
        <v>Romper Longer</v>
      </c>
      <c r="H1170" s="38">
        <f t="shared" si="135"/>
        <v>6</v>
      </c>
      <c r="I1170" s="54">
        <f t="shared" si="134"/>
        <v>23</v>
      </c>
      <c r="J1170" s="14" t="str">
        <f t="shared" si="137"/>
        <v>FathersDay</v>
      </c>
      <c r="K1170" s="16" t="str">
        <f t="shared" si="133"/>
        <v>3-6</v>
      </c>
      <c r="L1170" s="14" t="str">
        <f t="shared" si="138"/>
        <v>Romper Longer | 3-6 | White</v>
      </c>
      <c r="M1170" s="16" t="s">
        <v>3610</v>
      </c>
    </row>
    <row r="1171" spans="1:13" ht="25" customHeight="1" x14ac:dyDescent="0.45">
      <c r="A1171" s="6">
        <v>46180</v>
      </c>
      <c r="B1171" s="3" t="s">
        <v>195</v>
      </c>
      <c r="C1171" s="4" t="s">
        <v>87</v>
      </c>
      <c r="D1171" s="53" t="str">
        <f t="shared" si="136"/>
        <v>Cream</v>
      </c>
      <c r="E1171" s="4" t="s">
        <v>154</v>
      </c>
      <c r="F1171" s="5" t="s">
        <v>7</v>
      </c>
      <c r="G1171" s="4" t="str">
        <f t="shared" si="139"/>
        <v>Romper Longer</v>
      </c>
      <c r="H1171" s="38">
        <f t="shared" si="135"/>
        <v>6</v>
      </c>
      <c r="I1171" s="54">
        <f t="shared" si="134"/>
        <v>24</v>
      </c>
      <c r="J1171" s="14" t="str">
        <f t="shared" si="137"/>
        <v>FathersDay</v>
      </c>
      <c r="K1171" s="16" t="str">
        <f t="shared" si="133"/>
        <v>12-18</v>
      </c>
      <c r="L1171" s="14" t="str">
        <f t="shared" si="138"/>
        <v>Romper Longer | 12-18 | Cream</v>
      </c>
      <c r="M1171" s="16" t="s">
        <v>3610</v>
      </c>
    </row>
    <row r="1172" spans="1:13" ht="25" customHeight="1" x14ac:dyDescent="0.45">
      <c r="A1172" s="6">
        <v>46180</v>
      </c>
      <c r="B1172" s="3" t="s">
        <v>196</v>
      </c>
      <c r="C1172" s="4" t="s">
        <v>114</v>
      </c>
      <c r="D1172" s="53" t="str">
        <f t="shared" si="136"/>
        <v>White</v>
      </c>
      <c r="E1172" s="4" t="s">
        <v>82</v>
      </c>
      <c r="F1172" s="5" t="s">
        <v>7</v>
      </c>
      <c r="G1172" s="4" t="str">
        <f t="shared" si="139"/>
        <v>Romper Short</v>
      </c>
      <c r="H1172" s="38">
        <f t="shared" si="135"/>
        <v>6</v>
      </c>
      <c r="I1172" s="54">
        <f t="shared" si="134"/>
        <v>24</v>
      </c>
      <c r="J1172" s="14" t="str">
        <f t="shared" si="137"/>
        <v>FathersDay</v>
      </c>
      <c r="K1172" s="16" t="str">
        <f t="shared" ref="K1172:K1210" si="140">TRIM(LEFT(E1172,FIND("(",E1172&amp;"(")-2))</f>
        <v>0-3</v>
      </c>
      <c r="L1172" s="14" t="str">
        <f t="shared" si="138"/>
        <v>Romper Short | 0-3 | White</v>
      </c>
      <c r="M1172" s="16" t="s">
        <v>3610</v>
      </c>
    </row>
    <row r="1173" spans="1:13" ht="25" customHeight="1" x14ac:dyDescent="0.45">
      <c r="A1173" s="6">
        <v>46180</v>
      </c>
      <c r="B1173" s="3" t="s">
        <v>197</v>
      </c>
      <c r="C1173" s="4" t="s">
        <v>81</v>
      </c>
      <c r="D1173" s="53" t="str">
        <f t="shared" si="136"/>
        <v>Dusty Pink</v>
      </c>
      <c r="E1173" s="4" t="s">
        <v>82</v>
      </c>
      <c r="F1173" s="5" t="s">
        <v>7</v>
      </c>
      <c r="G1173" s="4" t="str">
        <f t="shared" si="139"/>
        <v>Romper Short</v>
      </c>
      <c r="H1173" s="38">
        <f t="shared" si="135"/>
        <v>6</v>
      </c>
      <c r="I1173" s="54">
        <f t="shared" si="134"/>
        <v>24</v>
      </c>
      <c r="J1173" s="14" t="str">
        <f t="shared" si="137"/>
        <v>FathersDay</v>
      </c>
      <c r="K1173" s="16" t="str">
        <f t="shared" si="140"/>
        <v>0-3</v>
      </c>
      <c r="L1173" s="14" t="str">
        <f t="shared" si="138"/>
        <v>Romper Short | 0-3 | Dusty Pink</v>
      </c>
      <c r="M1173" s="16" t="s">
        <v>3610</v>
      </c>
    </row>
    <row r="1174" spans="1:13" ht="25" customHeight="1" x14ac:dyDescent="0.45">
      <c r="A1174" s="6">
        <v>46181</v>
      </c>
      <c r="B1174" s="3" t="s">
        <v>198</v>
      </c>
      <c r="C1174" s="4" t="s">
        <v>79</v>
      </c>
      <c r="D1174" s="53" t="str">
        <f t="shared" si="136"/>
        <v>White</v>
      </c>
      <c r="E1174" s="4" t="s">
        <v>90</v>
      </c>
      <c r="F1174" s="58" t="s">
        <v>13</v>
      </c>
      <c r="G1174" s="4" t="str">
        <f t="shared" si="139"/>
        <v>Romper Short</v>
      </c>
      <c r="H1174" s="38">
        <f t="shared" si="135"/>
        <v>6</v>
      </c>
      <c r="I1174" s="54">
        <f t="shared" si="134"/>
        <v>24</v>
      </c>
      <c r="J1174" s="14" t="str">
        <f t="shared" si="137"/>
        <v>FathersDay</v>
      </c>
      <c r="K1174" s="16" t="str">
        <f t="shared" si="140"/>
        <v>6-12</v>
      </c>
      <c r="L1174" s="14" t="str">
        <f t="shared" si="138"/>
        <v>Romper Short | 6-12 | White</v>
      </c>
      <c r="M1174" s="16" t="s">
        <v>3610</v>
      </c>
    </row>
    <row r="1175" spans="1:13" ht="25" customHeight="1" x14ac:dyDescent="0.45">
      <c r="A1175" s="6">
        <v>46181</v>
      </c>
      <c r="B1175" s="3" t="s">
        <v>199</v>
      </c>
      <c r="C1175" s="4" t="s">
        <v>79</v>
      </c>
      <c r="D1175" s="53" t="str">
        <f t="shared" si="136"/>
        <v>White</v>
      </c>
      <c r="E1175" s="4" t="s">
        <v>75</v>
      </c>
      <c r="F1175" s="58"/>
      <c r="G1175" s="4" t="str">
        <f t="shared" si="139"/>
        <v>Romper Longer</v>
      </c>
      <c r="H1175" s="38">
        <f t="shared" si="135"/>
        <v>6</v>
      </c>
      <c r="I1175" s="54">
        <f t="shared" si="134"/>
        <v>24</v>
      </c>
      <c r="J1175" s="14" t="str">
        <f t="shared" si="137"/>
        <v>FathersDay</v>
      </c>
      <c r="K1175" s="16" t="str">
        <f t="shared" si="140"/>
        <v>3-6</v>
      </c>
      <c r="L1175" s="14" t="str">
        <f t="shared" si="138"/>
        <v>Romper Longer | 3-6 | White</v>
      </c>
      <c r="M1175" s="16" t="s">
        <v>3610</v>
      </c>
    </row>
    <row r="1176" spans="1:13" ht="25" customHeight="1" x14ac:dyDescent="0.45">
      <c r="A1176" s="6">
        <v>46181</v>
      </c>
      <c r="B1176" s="3" t="s">
        <v>200</v>
      </c>
      <c r="C1176" s="4" t="s">
        <v>85</v>
      </c>
      <c r="D1176" s="53" t="str">
        <f t="shared" si="136"/>
        <v>Forest Green</v>
      </c>
      <c r="E1176" s="4" t="s">
        <v>88</v>
      </c>
      <c r="F1176" s="5" t="s">
        <v>11</v>
      </c>
      <c r="G1176" s="4" t="str">
        <f t="shared" si="139"/>
        <v>Romper Longer</v>
      </c>
      <c r="H1176" s="38">
        <f t="shared" si="135"/>
        <v>6</v>
      </c>
      <c r="I1176" s="54">
        <f t="shared" si="134"/>
        <v>24</v>
      </c>
      <c r="J1176" s="14" t="str">
        <f t="shared" si="137"/>
        <v>FathersDay</v>
      </c>
      <c r="K1176" s="16" t="str">
        <f t="shared" si="140"/>
        <v>0-3</v>
      </c>
      <c r="L1176" s="14" t="str">
        <f t="shared" si="138"/>
        <v>Romper Longer | 0-3 | Forest Green</v>
      </c>
      <c r="M1176" s="16" t="s">
        <v>3610</v>
      </c>
    </row>
    <row r="1177" spans="1:13" ht="25" customHeight="1" x14ac:dyDescent="0.45">
      <c r="A1177" s="6">
        <v>46181</v>
      </c>
      <c r="B1177" s="3" t="s">
        <v>201</v>
      </c>
      <c r="C1177" s="4" t="s">
        <v>202</v>
      </c>
      <c r="D1177" s="53" t="str">
        <f t="shared" si="136"/>
        <v>Cream</v>
      </c>
      <c r="E1177" s="4" t="s">
        <v>88</v>
      </c>
      <c r="F1177" s="5" t="s">
        <v>7</v>
      </c>
      <c r="G1177" s="4" t="str">
        <f t="shared" si="139"/>
        <v>Romper Longer</v>
      </c>
      <c r="H1177" s="38">
        <f t="shared" si="135"/>
        <v>6</v>
      </c>
      <c r="I1177" s="54">
        <f t="shared" si="134"/>
        <v>24</v>
      </c>
      <c r="J1177" s="14" t="str">
        <f t="shared" si="137"/>
        <v>FathersDay</v>
      </c>
      <c r="K1177" s="16" t="str">
        <f t="shared" si="140"/>
        <v>0-3</v>
      </c>
      <c r="L1177" s="14" t="str">
        <f t="shared" si="138"/>
        <v>Romper Longer | 0-3 | Cream</v>
      </c>
      <c r="M1177" s="16" t="s">
        <v>3609</v>
      </c>
    </row>
    <row r="1178" spans="1:13" ht="25" customHeight="1" x14ac:dyDescent="0.45">
      <c r="A1178" s="6">
        <v>46181</v>
      </c>
      <c r="B1178" s="3" t="s">
        <v>203</v>
      </c>
      <c r="C1178" s="4" t="s">
        <v>202</v>
      </c>
      <c r="D1178" s="53" t="str">
        <f t="shared" si="136"/>
        <v>Cream</v>
      </c>
      <c r="E1178" s="4" t="s">
        <v>90</v>
      </c>
      <c r="F1178" s="5" t="s">
        <v>7</v>
      </c>
      <c r="G1178" s="4" t="str">
        <f t="shared" si="139"/>
        <v>Romper Short</v>
      </c>
      <c r="H1178" s="38">
        <f t="shared" si="135"/>
        <v>6</v>
      </c>
      <c r="I1178" s="54">
        <f t="shared" si="134"/>
        <v>24</v>
      </c>
      <c r="J1178" s="14" t="str">
        <f t="shared" si="137"/>
        <v>FathersDay</v>
      </c>
      <c r="K1178" s="16" t="str">
        <f t="shared" si="140"/>
        <v>6-12</v>
      </c>
      <c r="L1178" s="14" t="str">
        <f t="shared" si="138"/>
        <v>Romper Short | 6-12 | Cream</v>
      </c>
      <c r="M1178" s="16" t="s">
        <v>3611</v>
      </c>
    </row>
    <row r="1179" spans="1:13" ht="25" customHeight="1" x14ac:dyDescent="0.45">
      <c r="A1179" s="6">
        <v>46181</v>
      </c>
      <c r="B1179" s="3" t="s">
        <v>204</v>
      </c>
      <c r="C1179" s="4" t="s">
        <v>202</v>
      </c>
      <c r="D1179" s="53" t="str">
        <f t="shared" si="136"/>
        <v>Cream</v>
      </c>
      <c r="E1179" s="4" t="s">
        <v>75</v>
      </c>
      <c r="F1179" s="5" t="s">
        <v>19</v>
      </c>
      <c r="G1179" s="4" t="str">
        <f t="shared" si="139"/>
        <v>Romper Longer</v>
      </c>
      <c r="H1179" s="38">
        <f t="shared" si="135"/>
        <v>6</v>
      </c>
      <c r="I1179" s="54">
        <f t="shared" si="134"/>
        <v>24</v>
      </c>
      <c r="J1179" s="14" t="str">
        <f t="shared" si="137"/>
        <v>FathersDay</v>
      </c>
      <c r="K1179" s="16" t="str">
        <f t="shared" si="140"/>
        <v>3-6</v>
      </c>
      <c r="L1179" s="14" t="str">
        <f t="shared" si="138"/>
        <v>Romper Longer | 3-6 | Cream</v>
      </c>
      <c r="M1179" s="16" t="s">
        <v>3609</v>
      </c>
    </row>
    <row r="1180" spans="1:13" ht="25" customHeight="1" x14ac:dyDescent="0.45">
      <c r="A1180" s="6">
        <v>46181</v>
      </c>
      <c r="B1180" s="3" t="s">
        <v>205</v>
      </c>
      <c r="C1180" s="4" t="s">
        <v>81</v>
      </c>
      <c r="D1180" s="53" t="str">
        <f t="shared" si="136"/>
        <v>Dusty Pink</v>
      </c>
      <c r="E1180" s="4" t="s">
        <v>72</v>
      </c>
      <c r="F1180" s="5" t="s">
        <v>7</v>
      </c>
      <c r="G1180" s="4" t="str">
        <f t="shared" si="139"/>
        <v>Romper Short</v>
      </c>
      <c r="H1180" s="38">
        <f t="shared" si="135"/>
        <v>6</v>
      </c>
      <c r="I1180" s="54">
        <f t="shared" si="134"/>
        <v>24</v>
      </c>
      <c r="J1180" s="14" t="str">
        <f t="shared" si="137"/>
        <v>FathersDay</v>
      </c>
      <c r="K1180" s="16" t="str">
        <f t="shared" si="140"/>
        <v>3-6</v>
      </c>
      <c r="L1180" s="14" t="str">
        <f t="shared" si="138"/>
        <v>Romper Short | 3-6 | Dusty Pink</v>
      </c>
      <c r="M1180" s="16" t="s">
        <v>3610</v>
      </c>
    </row>
    <row r="1181" spans="1:13" ht="25" customHeight="1" x14ac:dyDescent="0.45">
      <c r="A1181" s="6">
        <v>46182</v>
      </c>
      <c r="B1181" s="3" t="s">
        <v>206</v>
      </c>
      <c r="C1181" s="4" t="s">
        <v>202</v>
      </c>
      <c r="D1181" s="53" t="str">
        <f t="shared" si="136"/>
        <v>Cream</v>
      </c>
      <c r="E1181" s="4" t="s">
        <v>106</v>
      </c>
      <c r="F1181" s="5" t="s">
        <v>13</v>
      </c>
      <c r="G1181" s="4" t="str">
        <f t="shared" si="139"/>
        <v>Romper Short</v>
      </c>
      <c r="H1181" s="38">
        <f t="shared" si="135"/>
        <v>6</v>
      </c>
      <c r="I1181" s="54">
        <f t="shared" si="134"/>
        <v>24</v>
      </c>
      <c r="J1181" s="14" t="str">
        <f t="shared" si="137"/>
        <v>FathersDay</v>
      </c>
      <c r="K1181" s="16" t="str">
        <f t="shared" si="140"/>
        <v>12-18</v>
      </c>
      <c r="L1181" s="14" t="str">
        <f t="shared" si="138"/>
        <v>Romper Short | 12-18 | Cream</v>
      </c>
      <c r="M1181" s="16" t="s">
        <v>3610</v>
      </c>
    </row>
    <row r="1182" spans="1:13" ht="25" customHeight="1" x14ac:dyDescent="0.45">
      <c r="A1182" s="6">
        <v>46182</v>
      </c>
      <c r="B1182" s="3" t="s">
        <v>207</v>
      </c>
      <c r="C1182" s="4" t="s">
        <v>87</v>
      </c>
      <c r="D1182" s="53" t="str">
        <f t="shared" si="136"/>
        <v>Cream</v>
      </c>
      <c r="E1182" s="4" t="s">
        <v>82</v>
      </c>
      <c r="F1182" s="5" t="s">
        <v>11</v>
      </c>
      <c r="G1182" s="4" t="str">
        <f t="shared" si="139"/>
        <v>Romper Short</v>
      </c>
      <c r="H1182" s="38">
        <f t="shared" si="135"/>
        <v>6</v>
      </c>
      <c r="I1182" s="54">
        <f t="shared" si="134"/>
        <v>24</v>
      </c>
      <c r="J1182" s="14" t="str">
        <f t="shared" si="137"/>
        <v>FathersDay</v>
      </c>
      <c r="K1182" s="16" t="str">
        <f t="shared" si="140"/>
        <v>0-3</v>
      </c>
      <c r="L1182" s="14" t="str">
        <f t="shared" si="138"/>
        <v>Romper Short | 0-3 | Cream</v>
      </c>
      <c r="M1182" s="16" t="s">
        <v>3609</v>
      </c>
    </row>
    <row r="1183" spans="1:13" ht="25" customHeight="1" x14ac:dyDescent="0.45">
      <c r="A1183" s="6">
        <v>46182</v>
      </c>
      <c r="B1183" s="3" t="s">
        <v>208</v>
      </c>
      <c r="C1183" s="4" t="s">
        <v>114</v>
      </c>
      <c r="D1183" s="53" t="str">
        <f t="shared" si="136"/>
        <v>White</v>
      </c>
      <c r="E1183" s="4" t="s">
        <v>82</v>
      </c>
      <c r="F1183" s="5" t="s">
        <v>14</v>
      </c>
      <c r="G1183" s="4" t="str">
        <f t="shared" si="139"/>
        <v>Romper Short</v>
      </c>
      <c r="H1183" s="38">
        <f t="shared" si="135"/>
        <v>6</v>
      </c>
      <c r="I1183" s="54">
        <f t="shared" si="134"/>
        <v>24</v>
      </c>
      <c r="J1183" s="14" t="str">
        <f t="shared" si="137"/>
        <v>FathersDay</v>
      </c>
      <c r="K1183" s="16" t="str">
        <f t="shared" si="140"/>
        <v>0-3</v>
      </c>
      <c r="L1183" s="14" t="str">
        <f t="shared" si="138"/>
        <v>Romper Short | 0-3 | White</v>
      </c>
      <c r="M1183" s="16" t="s">
        <v>3610</v>
      </c>
    </row>
    <row r="1184" spans="1:13" ht="25" customHeight="1" x14ac:dyDescent="0.45">
      <c r="A1184" s="6">
        <v>46182</v>
      </c>
      <c r="B1184" s="3" t="s">
        <v>209</v>
      </c>
      <c r="C1184" s="4" t="s">
        <v>87</v>
      </c>
      <c r="D1184" s="53" t="str">
        <f t="shared" si="136"/>
        <v>Cream</v>
      </c>
      <c r="E1184" s="4" t="s">
        <v>82</v>
      </c>
      <c r="F1184" s="5" t="s">
        <v>7</v>
      </c>
      <c r="G1184" s="4" t="str">
        <f t="shared" si="139"/>
        <v>Romper Short</v>
      </c>
      <c r="H1184" s="38">
        <f t="shared" si="135"/>
        <v>6</v>
      </c>
      <c r="I1184" s="54">
        <f t="shared" si="134"/>
        <v>24</v>
      </c>
      <c r="J1184" s="14" t="str">
        <f t="shared" si="137"/>
        <v>FathersDay</v>
      </c>
      <c r="K1184" s="16" t="str">
        <f t="shared" si="140"/>
        <v>0-3</v>
      </c>
      <c r="L1184" s="14" t="str">
        <f t="shared" si="138"/>
        <v>Romper Short | 0-3 | Cream</v>
      </c>
      <c r="M1184" s="16" t="s">
        <v>3609</v>
      </c>
    </row>
    <row r="1185" spans="1:13" ht="25" customHeight="1" x14ac:dyDescent="0.45">
      <c r="A1185" s="6">
        <v>46182</v>
      </c>
      <c r="B1185" s="3" t="s">
        <v>210</v>
      </c>
      <c r="C1185" s="4" t="s">
        <v>81</v>
      </c>
      <c r="D1185" s="53" t="str">
        <f t="shared" si="136"/>
        <v>Dusty Pink</v>
      </c>
      <c r="E1185" s="4" t="s">
        <v>82</v>
      </c>
      <c r="F1185" s="5" t="s">
        <v>7</v>
      </c>
      <c r="G1185" s="4" t="str">
        <f t="shared" si="139"/>
        <v>Romper Short</v>
      </c>
      <c r="H1185" s="38">
        <f t="shared" si="135"/>
        <v>6</v>
      </c>
      <c r="I1185" s="54">
        <f t="shared" si="134"/>
        <v>24</v>
      </c>
      <c r="J1185" s="14" t="str">
        <f t="shared" si="137"/>
        <v>FathersDay</v>
      </c>
      <c r="K1185" s="16" t="str">
        <f t="shared" si="140"/>
        <v>0-3</v>
      </c>
      <c r="L1185" s="14" t="str">
        <f t="shared" si="138"/>
        <v>Romper Short | 0-3 | Dusty Pink</v>
      </c>
      <c r="M1185" s="16" t="s">
        <v>3610</v>
      </c>
    </row>
    <row r="1186" spans="1:13" ht="25" customHeight="1" x14ac:dyDescent="0.45">
      <c r="A1186" s="6">
        <v>46182</v>
      </c>
      <c r="B1186" s="3" t="s">
        <v>211</v>
      </c>
      <c r="C1186" s="4" t="s">
        <v>101</v>
      </c>
      <c r="D1186" s="53" t="str">
        <f t="shared" si="136"/>
        <v>Sage Green</v>
      </c>
      <c r="E1186" s="4" t="s">
        <v>75</v>
      </c>
      <c r="F1186" s="5" t="s">
        <v>7</v>
      </c>
      <c r="G1186" s="4" t="str">
        <f t="shared" si="139"/>
        <v>Romper Longer</v>
      </c>
      <c r="H1186" s="38">
        <f t="shared" si="135"/>
        <v>6</v>
      </c>
      <c r="I1186" s="54">
        <f t="shared" si="134"/>
        <v>24</v>
      </c>
      <c r="J1186" s="14" t="str">
        <f t="shared" si="137"/>
        <v>FathersDay</v>
      </c>
      <c r="K1186" s="16" t="str">
        <f t="shared" si="140"/>
        <v>3-6</v>
      </c>
      <c r="L1186" s="14" t="str">
        <f t="shared" si="138"/>
        <v>Romper Longer | 3-6 | Sage Green</v>
      </c>
      <c r="M1186" s="16" t="s">
        <v>3611</v>
      </c>
    </row>
    <row r="1187" spans="1:13" ht="25" customHeight="1" x14ac:dyDescent="0.45">
      <c r="A1187" s="6">
        <v>46182</v>
      </c>
      <c r="B1187" s="3" t="s">
        <v>212</v>
      </c>
      <c r="C1187" s="4" t="s">
        <v>87</v>
      </c>
      <c r="D1187" s="53" t="str">
        <f t="shared" si="136"/>
        <v>Cream</v>
      </c>
      <c r="E1187" s="4" t="s">
        <v>75</v>
      </c>
      <c r="F1187" s="5" t="s">
        <v>7</v>
      </c>
      <c r="G1187" s="4" t="str">
        <f t="shared" si="139"/>
        <v>Romper Longer</v>
      </c>
      <c r="H1187" s="38">
        <f t="shared" si="135"/>
        <v>6</v>
      </c>
      <c r="I1187" s="54">
        <f t="shared" si="134"/>
        <v>24</v>
      </c>
      <c r="J1187" s="14" t="str">
        <f t="shared" si="137"/>
        <v>FathersDay</v>
      </c>
      <c r="K1187" s="16" t="str">
        <f t="shared" si="140"/>
        <v>3-6</v>
      </c>
      <c r="L1187" s="14" t="str">
        <f t="shared" si="138"/>
        <v>Romper Longer | 3-6 | Cream</v>
      </c>
      <c r="M1187" s="16" t="s">
        <v>3609</v>
      </c>
    </row>
    <row r="1188" spans="1:13" ht="25" customHeight="1" x14ac:dyDescent="0.45">
      <c r="A1188" s="6">
        <v>46182</v>
      </c>
      <c r="B1188" s="3" t="s">
        <v>213</v>
      </c>
      <c r="C1188" s="4" t="s">
        <v>87</v>
      </c>
      <c r="D1188" s="53" t="str">
        <f t="shared" si="136"/>
        <v>Cream</v>
      </c>
      <c r="E1188" s="4" t="s">
        <v>72</v>
      </c>
      <c r="F1188" s="5" t="s">
        <v>7</v>
      </c>
      <c r="G1188" s="4" t="str">
        <f t="shared" si="139"/>
        <v>Romper Short</v>
      </c>
      <c r="H1188" s="38">
        <f t="shared" si="135"/>
        <v>6</v>
      </c>
      <c r="I1188" s="54">
        <f t="shared" si="134"/>
        <v>24</v>
      </c>
      <c r="J1188" s="14" t="str">
        <f t="shared" si="137"/>
        <v>FathersDay</v>
      </c>
      <c r="K1188" s="16" t="str">
        <f t="shared" si="140"/>
        <v>3-6</v>
      </c>
      <c r="L1188" s="14" t="str">
        <f t="shared" si="138"/>
        <v>Romper Short | 3-6 | Cream</v>
      </c>
      <c r="M1188" s="16" t="s">
        <v>3609</v>
      </c>
    </row>
    <row r="1189" spans="1:13" ht="25" customHeight="1" x14ac:dyDescent="0.45">
      <c r="A1189" s="6">
        <v>46183</v>
      </c>
      <c r="B1189" s="3" t="s">
        <v>214</v>
      </c>
      <c r="C1189" s="4" t="s">
        <v>87</v>
      </c>
      <c r="D1189" s="53" t="str">
        <f t="shared" si="136"/>
        <v>Cream</v>
      </c>
      <c r="E1189" s="4" t="s">
        <v>82</v>
      </c>
      <c r="F1189" s="5" t="s">
        <v>37</v>
      </c>
      <c r="G1189" s="4" t="str">
        <f t="shared" si="139"/>
        <v>Romper Short</v>
      </c>
      <c r="H1189" s="38">
        <f t="shared" si="135"/>
        <v>6</v>
      </c>
      <c r="I1189" s="54">
        <f t="shared" si="134"/>
        <v>24</v>
      </c>
      <c r="J1189" s="14" t="str">
        <f t="shared" si="137"/>
        <v>FathersDay</v>
      </c>
      <c r="K1189" s="16" t="str">
        <f t="shared" si="140"/>
        <v>0-3</v>
      </c>
      <c r="L1189" s="14" t="str">
        <f t="shared" si="138"/>
        <v>Romper Short | 0-3 | Cream</v>
      </c>
      <c r="M1189" s="16" t="s">
        <v>3609</v>
      </c>
    </row>
    <row r="1190" spans="1:13" ht="25" customHeight="1" x14ac:dyDescent="0.45">
      <c r="A1190" s="6">
        <v>46183</v>
      </c>
      <c r="B1190" s="3" t="s">
        <v>215</v>
      </c>
      <c r="C1190" s="4" t="s">
        <v>101</v>
      </c>
      <c r="D1190" s="53" t="str">
        <f t="shared" si="136"/>
        <v>Sage Green</v>
      </c>
      <c r="E1190" s="4" t="s">
        <v>75</v>
      </c>
      <c r="F1190" s="5" t="s">
        <v>7</v>
      </c>
      <c r="G1190" s="4" t="str">
        <f t="shared" si="139"/>
        <v>Romper Longer</v>
      </c>
      <c r="H1190" s="38">
        <f t="shared" si="135"/>
        <v>6</v>
      </c>
      <c r="I1190" s="54">
        <f t="shared" si="134"/>
        <v>24</v>
      </c>
      <c r="J1190" s="14" t="str">
        <f t="shared" si="137"/>
        <v>FathersDay</v>
      </c>
      <c r="K1190" s="16" t="str">
        <f t="shared" si="140"/>
        <v>3-6</v>
      </c>
      <c r="L1190" s="14" t="str">
        <f t="shared" si="138"/>
        <v>Romper Longer | 3-6 | Sage Green</v>
      </c>
      <c r="M1190" s="16" t="s">
        <v>3611</v>
      </c>
    </row>
    <row r="1191" spans="1:13" ht="25" customHeight="1" x14ac:dyDescent="0.45">
      <c r="A1191" s="6">
        <v>46183</v>
      </c>
      <c r="B1191" s="3" t="s">
        <v>216</v>
      </c>
      <c r="C1191" s="4" t="s">
        <v>101</v>
      </c>
      <c r="D1191" s="53" t="str">
        <f t="shared" si="136"/>
        <v>Sage Green</v>
      </c>
      <c r="E1191" s="4" t="s">
        <v>88</v>
      </c>
      <c r="F1191" s="58" t="s">
        <v>7</v>
      </c>
      <c r="G1191" s="4" t="str">
        <f t="shared" si="139"/>
        <v>Romper Longer</v>
      </c>
      <c r="H1191" s="38">
        <f t="shared" si="135"/>
        <v>6</v>
      </c>
      <c r="I1191" s="54">
        <f t="shared" si="134"/>
        <v>24</v>
      </c>
      <c r="J1191" s="14" t="str">
        <f t="shared" si="137"/>
        <v>FathersDay</v>
      </c>
      <c r="K1191" s="16" t="str">
        <f t="shared" si="140"/>
        <v>0-3</v>
      </c>
      <c r="L1191" s="14" t="str">
        <f t="shared" si="138"/>
        <v>Romper Longer | 0-3 | Sage Green</v>
      </c>
      <c r="M1191" s="16" t="s">
        <v>3611</v>
      </c>
    </row>
    <row r="1192" spans="1:13" ht="25" customHeight="1" x14ac:dyDescent="0.45">
      <c r="A1192" s="6">
        <v>46183</v>
      </c>
      <c r="B1192" s="3" t="s">
        <v>216</v>
      </c>
      <c r="C1192" s="4" t="s">
        <v>87</v>
      </c>
      <c r="D1192" s="53" t="str">
        <f t="shared" si="136"/>
        <v>Cream</v>
      </c>
      <c r="E1192" s="4" t="s">
        <v>88</v>
      </c>
      <c r="F1192" s="58"/>
      <c r="G1192" s="4" t="str">
        <f t="shared" si="139"/>
        <v>Romper Longer</v>
      </c>
      <c r="H1192" s="38">
        <f t="shared" si="135"/>
        <v>6</v>
      </c>
      <c r="I1192" s="54">
        <f t="shared" si="134"/>
        <v>24</v>
      </c>
      <c r="J1192" s="14" t="str">
        <f t="shared" si="137"/>
        <v>FathersDay</v>
      </c>
      <c r="K1192" s="16" t="str">
        <f t="shared" si="140"/>
        <v>0-3</v>
      </c>
      <c r="L1192" s="14" t="str">
        <f t="shared" si="138"/>
        <v>Romper Longer | 0-3 | Cream</v>
      </c>
      <c r="M1192" s="16" t="s">
        <v>3609</v>
      </c>
    </row>
    <row r="1193" spans="1:13" ht="25" customHeight="1" x14ac:dyDescent="0.45">
      <c r="A1193" s="6">
        <v>46183</v>
      </c>
      <c r="B1193" s="3" t="s">
        <v>217</v>
      </c>
      <c r="C1193" s="4" t="s">
        <v>87</v>
      </c>
      <c r="D1193" s="53" t="str">
        <f t="shared" si="136"/>
        <v>Cream</v>
      </c>
      <c r="E1193" s="4" t="s">
        <v>94</v>
      </c>
      <c r="F1193" s="5" t="s">
        <v>7</v>
      </c>
      <c r="G1193" s="4" t="str">
        <f t="shared" si="139"/>
        <v>Romper Longer</v>
      </c>
      <c r="H1193" s="38">
        <f t="shared" si="135"/>
        <v>6</v>
      </c>
      <c r="I1193" s="54">
        <f t="shared" si="134"/>
        <v>24</v>
      </c>
      <c r="J1193" s="14" t="str">
        <f t="shared" si="137"/>
        <v>FathersDay</v>
      </c>
      <c r="K1193" s="16" t="str">
        <f t="shared" si="140"/>
        <v>6-12</v>
      </c>
      <c r="L1193" s="14" t="str">
        <f t="shared" si="138"/>
        <v>Romper Longer | 6-12 | Cream</v>
      </c>
      <c r="M1193" s="16" t="s">
        <v>3611</v>
      </c>
    </row>
    <row r="1194" spans="1:13" ht="25" customHeight="1" x14ac:dyDescent="0.45">
      <c r="A1194" s="6">
        <v>46183</v>
      </c>
      <c r="B1194" s="3" t="s">
        <v>218</v>
      </c>
      <c r="C1194" s="4" t="s">
        <v>101</v>
      </c>
      <c r="D1194" s="53" t="str">
        <f t="shared" si="136"/>
        <v>Sage Green</v>
      </c>
      <c r="E1194" s="4" t="s">
        <v>88</v>
      </c>
      <c r="F1194" s="5" t="s">
        <v>7</v>
      </c>
      <c r="G1194" s="4" t="str">
        <f t="shared" si="139"/>
        <v>Romper Longer</v>
      </c>
      <c r="H1194" s="38">
        <f t="shared" si="135"/>
        <v>6</v>
      </c>
      <c r="I1194" s="54">
        <f t="shared" si="134"/>
        <v>24</v>
      </c>
      <c r="J1194" s="14" t="str">
        <f t="shared" si="137"/>
        <v>FathersDay</v>
      </c>
      <c r="K1194" s="16" t="str">
        <f t="shared" si="140"/>
        <v>0-3</v>
      </c>
      <c r="L1194" s="14" t="str">
        <f t="shared" si="138"/>
        <v>Romper Longer | 0-3 | Sage Green</v>
      </c>
      <c r="M1194" s="16" t="s">
        <v>3611</v>
      </c>
    </row>
    <row r="1195" spans="1:13" ht="25" customHeight="1" x14ac:dyDescent="0.45">
      <c r="A1195" s="6">
        <v>46184</v>
      </c>
      <c r="B1195" s="3" t="s">
        <v>219</v>
      </c>
      <c r="C1195" s="4" t="s">
        <v>114</v>
      </c>
      <c r="D1195" s="53" t="str">
        <f t="shared" si="136"/>
        <v>White</v>
      </c>
      <c r="E1195" s="4" t="s">
        <v>72</v>
      </c>
      <c r="F1195" s="5" t="s">
        <v>11</v>
      </c>
      <c r="G1195" s="4" t="str">
        <f t="shared" si="139"/>
        <v>Romper Short</v>
      </c>
      <c r="H1195" s="38">
        <f t="shared" si="135"/>
        <v>6</v>
      </c>
      <c r="I1195" s="54">
        <f t="shared" si="134"/>
        <v>24</v>
      </c>
      <c r="J1195" s="14" t="str">
        <f t="shared" si="137"/>
        <v>FathersDay</v>
      </c>
      <c r="K1195" s="16" t="str">
        <f t="shared" si="140"/>
        <v>3-6</v>
      </c>
      <c r="L1195" s="14" t="str">
        <f t="shared" si="138"/>
        <v>Romper Short | 3-6 | White</v>
      </c>
      <c r="M1195" s="16" t="s">
        <v>3610</v>
      </c>
    </row>
    <row r="1196" spans="1:13" ht="25" customHeight="1" x14ac:dyDescent="0.45">
      <c r="A1196" s="6">
        <v>46184</v>
      </c>
      <c r="B1196" s="3" t="s">
        <v>220</v>
      </c>
      <c r="C1196" s="4" t="s">
        <v>114</v>
      </c>
      <c r="D1196" s="53" t="str">
        <f t="shared" si="136"/>
        <v>White</v>
      </c>
      <c r="E1196" s="4" t="s">
        <v>94</v>
      </c>
      <c r="F1196" s="5" t="s">
        <v>11</v>
      </c>
      <c r="G1196" s="4" t="str">
        <f t="shared" si="139"/>
        <v>Romper Longer</v>
      </c>
      <c r="H1196" s="38">
        <f t="shared" si="135"/>
        <v>6</v>
      </c>
      <c r="I1196" s="54">
        <f t="shared" si="134"/>
        <v>24</v>
      </c>
      <c r="J1196" s="14" t="str">
        <f t="shared" si="137"/>
        <v>FathersDay</v>
      </c>
      <c r="K1196" s="16" t="str">
        <f t="shared" si="140"/>
        <v>6-12</v>
      </c>
      <c r="L1196" s="14" t="str">
        <f t="shared" si="138"/>
        <v>Romper Longer | 6-12 | White</v>
      </c>
      <c r="M1196" s="16" t="s">
        <v>3610</v>
      </c>
    </row>
    <row r="1197" spans="1:13" ht="25" customHeight="1" x14ac:dyDescent="0.45">
      <c r="A1197" s="6">
        <v>46184</v>
      </c>
      <c r="B1197" s="3" t="s">
        <v>221</v>
      </c>
      <c r="C1197" s="4" t="s">
        <v>87</v>
      </c>
      <c r="D1197" s="53" t="str">
        <f t="shared" si="136"/>
        <v>Cream</v>
      </c>
      <c r="E1197" s="4" t="s">
        <v>82</v>
      </c>
      <c r="F1197" s="5" t="s">
        <v>19</v>
      </c>
      <c r="G1197" s="4" t="str">
        <f t="shared" si="139"/>
        <v>Romper Short</v>
      </c>
      <c r="H1197" s="38">
        <f t="shared" si="135"/>
        <v>6</v>
      </c>
      <c r="I1197" s="54">
        <f t="shared" si="134"/>
        <v>24</v>
      </c>
      <c r="J1197" s="14" t="str">
        <f t="shared" si="137"/>
        <v>FathersDay</v>
      </c>
      <c r="K1197" s="16" t="str">
        <f t="shared" si="140"/>
        <v>0-3</v>
      </c>
      <c r="L1197" s="14" t="str">
        <f t="shared" si="138"/>
        <v>Romper Short | 0-3 | Cream</v>
      </c>
      <c r="M1197" s="16" t="s">
        <v>3609</v>
      </c>
    </row>
    <row r="1198" spans="1:13" ht="25" customHeight="1" x14ac:dyDescent="0.45">
      <c r="A1198" s="6">
        <v>46184</v>
      </c>
      <c r="B1198" s="3" t="s">
        <v>222</v>
      </c>
      <c r="C1198" s="4" t="s">
        <v>87</v>
      </c>
      <c r="D1198" s="53" t="str">
        <f t="shared" si="136"/>
        <v>Cream</v>
      </c>
      <c r="E1198" s="4" t="s">
        <v>82</v>
      </c>
      <c r="F1198" s="5" t="s">
        <v>7</v>
      </c>
      <c r="G1198" s="4" t="str">
        <f t="shared" si="139"/>
        <v>Romper Short</v>
      </c>
      <c r="H1198" s="38">
        <f t="shared" si="135"/>
        <v>6</v>
      </c>
      <c r="I1198" s="54">
        <f t="shared" si="134"/>
        <v>24</v>
      </c>
      <c r="J1198" s="14" t="str">
        <f t="shared" si="137"/>
        <v>FathersDay</v>
      </c>
      <c r="K1198" s="16" t="str">
        <f t="shared" si="140"/>
        <v>0-3</v>
      </c>
      <c r="L1198" s="14" t="str">
        <f t="shared" si="138"/>
        <v>Romper Short | 0-3 | Cream</v>
      </c>
      <c r="M1198" s="16" t="s">
        <v>3609</v>
      </c>
    </row>
    <row r="1199" spans="1:13" ht="25" customHeight="1" x14ac:dyDescent="0.45">
      <c r="A1199" s="6">
        <v>46184</v>
      </c>
      <c r="B1199" s="3" t="s">
        <v>223</v>
      </c>
      <c r="C1199" s="4" t="s">
        <v>224</v>
      </c>
      <c r="D1199" s="53" t="str">
        <f t="shared" si="136"/>
        <v>Salmon</v>
      </c>
      <c r="E1199" s="4" t="s">
        <v>72</v>
      </c>
      <c r="F1199" s="5" t="s">
        <v>19</v>
      </c>
      <c r="G1199" s="4" t="str">
        <f t="shared" si="139"/>
        <v>Romper Short</v>
      </c>
      <c r="H1199" s="38">
        <f t="shared" si="135"/>
        <v>6</v>
      </c>
      <c r="I1199" s="54">
        <f t="shared" ref="I1199:I1262" si="141">WEEKNUM(A1199)</f>
        <v>24</v>
      </c>
      <c r="J1199" s="14" t="str">
        <f t="shared" si="137"/>
        <v>FathersDay</v>
      </c>
      <c r="K1199" s="16" t="str">
        <f t="shared" si="140"/>
        <v>3-6</v>
      </c>
      <c r="L1199" s="14" t="str">
        <f t="shared" si="138"/>
        <v>Romper Short | 3-6 | Salmon</v>
      </c>
      <c r="M1199" s="16" t="s">
        <v>3610</v>
      </c>
    </row>
    <row r="1200" spans="1:13" ht="25" customHeight="1" x14ac:dyDescent="0.45">
      <c r="A1200" s="6">
        <v>46184</v>
      </c>
      <c r="B1200" s="3" t="s">
        <v>225</v>
      </c>
      <c r="C1200" s="4" t="s">
        <v>81</v>
      </c>
      <c r="D1200" s="53" t="str">
        <f t="shared" si="136"/>
        <v>Dusty Pink</v>
      </c>
      <c r="E1200" s="4" t="s">
        <v>75</v>
      </c>
      <c r="F1200" s="5" t="s">
        <v>7</v>
      </c>
      <c r="G1200" s="4" t="str">
        <f t="shared" si="139"/>
        <v>Romper Longer</v>
      </c>
      <c r="H1200" s="38">
        <f t="shared" si="135"/>
        <v>6</v>
      </c>
      <c r="I1200" s="54">
        <f t="shared" si="141"/>
        <v>24</v>
      </c>
      <c r="J1200" s="14" t="str">
        <f t="shared" si="137"/>
        <v>FathersDay</v>
      </c>
      <c r="K1200" s="16" t="str">
        <f t="shared" si="140"/>
        <v>3-6</v>
      </c>
      <c r="L1200" s="14" t="str">
        <f t="shared" si="138"/>
        <v>Romper Longer | 3-6 | Dusty Pink</v>
      </c>
      <c r="M1200" s="16" t="s">
        <v>3610</v>
      </c>
    </row>
    <row r="1201" spans="1:13" ht="25" customHeight="1" x14ac:dyDescent="0.45">
      <c r="A1201" s="6">
        <v>46184</v>
      </c>
      <c r="B1201" s="3" t="s">
        <v>226</v>
      </c>
      <c r="C1201" s="4" t="s">
        <v>114</v>
      </c>
      <c r="D1201" s="53" t="str">
        <f t="shared" si="136"/>
        <v>White</v>
      </c>
      <c r="E1201" s="4" t="s">
        <v>75</v>
      </c>
      <c r="F1201" s="5" t="s">
        <v>7</v>
      </c>
      <c r="G1201" s="4" t="str">
        <f t="shared" si="139"/>
        <v>Romper Longer</v>
      </c>
      <c r="H1201" s="38">
        <f t="shared" si="135"/>
        <v>6</v>
      </c>
      <c r="I1201" s="54">
        <f t="shared" si="141"/>
        <v>24</v>
      </c>
      <c r="J1201" s="14" t="str">
        <f t="shared" si="137"/>
        <v>FathersDay</v>
      </c>
      <c r="K1201" s="16" t="str">
        <f t="shared" si="140"/>
        <v>3-6</v>
      </c>
      <c r="L1201" s="14" t="str">
        <f t="shared" si="138"/>
        <v>Romper Longer | 3-6 | White</v>
      </c>
      <c r="M1201" s="16" t="s">
        <v>3610</v>
      </c>
    </row>
    <row r="1202" spans="1:13" ht="25" customHeight="1" x14ac:dyDescent="0.45">
      <c r="A1202" s="6">
        <v>46184</v>
      </c>
      <c r="B1202" s="3" t="s">
        <v>227</v>
      </c>
      <c r="C1202" s="4" t="s">
        <v>81</v>
      </c>
      <c r="D1202" s="53" t="str">
        <f t="shared" si="136"/>
        <v>Dusty Pink</v>
      </c>
      <c r="E1202" s="4" t="s">
        <v>75</v>
      </c>
      <c r="F1202" s="58" t="s">
        <v>12</v>
      </c>
      <c r="G1202" s="4" t="str">
        <f t="shared" si="139"/>
        <v>Romper Longer</v>
      </c>
      <c r="H1202" s="38">
        <f t="shared" si="135"/>
        <v>6</v>
      </c>
      <c r="I1202" s="54">
        <f t="shared" si="141"/>
        <v>24</v>
      </c>
      <c r="J1202" s="14" t="str">
        <f t="shared" si="137"/>
        <v>FathersDay</v>
      </c>
      <c r="K1202" s="16" t="str">
        <f t="shared" si="140"/>
        <v>3-6</v>
      </c>
      <c r="L1202" s="14" t="str">
        <f t="shared" si="138"/>
        <v>Romper Longer | 3-6 | Dusty Pink</v>
      </c>
      <c r="M1202" s="16" t="s">
        <v>3610</v>
      </c>
    </row>
    <row r="1203" spans="1:13" ht="25" customHeight="1" x14ac:dyDescent="0.45">
      <c r="A1203" s="6">
        <v>46184</v>
      </c>
      <c r="B1203" s="3" t="s">
        <v>228</v>
      </c>
      <c r="C1203" s="4" t="s">
        <v>81</v>
      </c>
      <c r="D1203" s="53" t="str">
        <f t="shared" si="136"/>
        <v>Dusty Pink</v>
      </c>
      <c r="E1203" s="4" t="s">
        <v>94</v>
      </c>
      <c r="F1203" s="58"/>
      <c r="G1203" s="4" t="str">
        <f t="shared" si="139"/>
        <v>Romper Longer</v>
      </c>
      <c r="H1203" s="38">
        <f t="shared" si="135"/>
        <v>6</v>
      </c>
      <c r="I1203" s="54">
        <f t="shared" si="141"/>
        <v>24</v>
      </c>
      <c r="J1203" s="14" t="str">
        <f t="shared" si="137"/>
        <v>FathersDay</v>
      </c>
      <c r="K1203" s="16" t="str">
        <f t="shared" si="140"/>
        <v>6-12</v>
      </c>
      <c r="L1203" s="14" t="str">
        <f t="shared" si="138"/>
        <v>Romper Longer | 6-12 | Dusty Pink</v>
      </c>
      <c r="M1203" s="16" t="s">
        <v>3610</v>
      </c>
    </row>
    <row r="1204" spans="1:13" ht="25" customHeight="1" x14ac:dyDescent="0.45">
      <c r="A1204" s="6">
        <v>46184</v>
      </c>
      <c r="B1204" s="3" t="s">
        <v>229</v>
      </c>
      <c r="C1204" s="4" t="s">
        <v>81</v>
      </c>
      <c r="D1204" s="53" t="str">
        <f t="shared" si="136"/>
        <v>Dusty Pink</v>
      </c>
      <c r="E1204" s="4" t="s">
        <v>94</v>
      </c>
      <c r="F1204" s="5" t="s">
        <v>7</v>
      </c>
      <c r="G1204" s="4" t="str">
        <f t="shared" si="139"/>
        <v>Romper Longer</v>
      </c>
      <c r="H1204" s="38">
        <f t="shared" si="135"/>
        <v>6</v>
      </c>
      <c r="I1204" s="54">
        <f t="shared" si="141"/>
        <v>24</v>
      </c>
      <c r="J1204" s="14" t="str">
        <f t="shared" si="137"/>
        <v>FathersDay</v>
      </c>
      <c r="K1204" s="16" t="str">
        <f t="shared" si="140"/>
        <v>6-12</v>
      </c>
      <c r="L1204" s="14" t="str">
        <f t="shared" si="138"/>
        <v>Romper Longer | 6-12 | Dusty Pink</v>
      </c>
      <c r="M1204" s="16" t="s">
        <v>3610</v>
      </c>
    </row>
    <row r="1205" spans="1:13" ht="25" customHeight="1" x14ac:dyDescent="0.45">
      <c r="A1205" s="6">
        <v>46184</v>
      </c>
      <c r="B1205" s="3" t="s">
        <v>230</v>
      </c>
      <c r="C1205" s="4" t="s">
        <v>114</v>
      </c>
      <c r="D1205" s="53" t="str">
        <f t="shared" si="136"/>
        <v>White</v>
      </c>
      <c r="E1205" s="4" t="s">
        <v>90</v>
      </c>
      <c r="F1205" s="5" t="s">
        <v>7</v>
      </c>
      <c r="G1205" s="4" t="str">
        <f t="shared" si="139"/>
        <v>Romper Short</v>
      </c>
      <c r="H1205" s="38">
        <f t="shared" si="135"/>
        <v>6</v>
      </c>
      <c r="I1205" s="54">
        <f t="shared" si="141"/>
        <v>24</v>
      </c>
      <c r="J1205" s="14" t="str">
        <f t="shared" si="137"/>
        <v>FathersDay</v>
      </c>
      <c r="K1205" s="16" t="str">
        <f t="shared" si="140"/>
        <v>6-12</v>
      </c>
      <c r="L1205" s="14" t="str">
        <f t="shared" si="138"/>
        <v>Romper Short | 6-12 | White</v>
      </c>
      <c r="M1205" s="16" t="s">
        <v>3610</v>
      </c>
    </row>
    <row r="1206" spans="1:13" ht="25" customHeight="1" x14ac:dyDescent="0.45">
      <c r="A1206" s="6">
        <v>46184</v>
      </c>
      <c r="B1206" s="3" t="s">
        <v>231</v>
      </c>
      <c r="C1206" s="4" t="s">
        <v>87</v>
      </c>
      <c r="D1206" s="53" t="str">
        <f t="shared" si="136"/>
        <v>Cream</v>
      </c>
      <c r="E1206" s="4" t="s">
        <v>82</v>
      </c>
      <c r="F1206" s="5" t="s">
        <v>7</v>
      </c>
      <c r="G1206" s="4" t="str">
        <f t="shared" si="139"/>
        <v>Romper Short</v>
      </c>
      <c r="H1206" s="38">
        <f t="shared" si="135"/>
        <v>6</v>
      </c>
      <c r="I1206" s="54">
        <f t="shared" si="141"/>
        <v>24</v>
      </c>
      <c r="J1206" s="14" t="str">
        <f t="shared" si="137"/>
        <v>FathersDay</v>
      </c>
      <c r="K1206" s="16" t="str">
        <f t="shared" si="140"/>
        <v>0-3</v>
      </c>
      <c r="L1206" s="14" t="str">
        <f t="shared" si="138"/>
        <v>Romper Short | 0-3 | Cream</v>
      </c>
      <c r="M1206" s="16" t="s">
        <v>3609</v>
      </c>
    </row>
    <row r="1207" spans="1:13" ht="25" customHeight="1" x14ac:dyDescent="0.45">
      <c r="A1207" s="6">
        <v>46184</v>
      </c>
      <c r="B1207" s="3" t="s">
        <v>232</v>
      </c>
      <c r="C1207" s="4" t="s">
        <v>87</v>
      </c>
      <c r="D1207" s="53" t="str">
        <f t="shared" si="136"/>
        <v>Cream</v>
      </c>
      <c r="E1207" s="4" t="s">
        <v>88</v>
      </c>
      <c r="F1207" s="5" t="s">
        <v>7</v>
      </c>
      <c r="G1207" s="4" t="str">
        <f t="shared" si="139"/>
        <v>Romper Longer</v>
      </c>
      <c r="H1207" s="38">
        <f t="shared" si="135"/>
        <v>6</v>
      </c>
      <c r="I1207" s="54">
        <f t="shared" si="141"/>
        <v>24</v>
      </c>
      <c r="J1207" s="14" t="str">
        <f t="shared" si="137"/>
        <v>FathersDay</v>
      </c>
      <c r="K1207" s="16" t="str">
        <f t="shared" si="140"/>
        <v>0-3</v>
      </c>
      <c r="L1207" s="14" t="str">
        <f t="shared" si="138"/>
        <v>Romper Longer | 0-3 | Cream</v>
      </c>
      <c r="M1207" s="16" t="s">
        <v>3609</v>
      </c>
    </row>
    <row r="1208" spans="1:13" ht="25" customHeight="1" x14ac:dyDescent="0.45">
      <c r="A1208" s="6">
        <v>46185</v>
      </c>
      <c r="B1208" s="3" t="s">
        <v>233</v>
      </c>
      <c r="C1208" s="4" t="s">
        <v>87</v>
      </c>
      <c r="D1208" s="53" t="str">
        <f t="shared" si="136"/>
        <v>Cream</v>
      </c>
      <c r="E1208" s="4" t="s">
        <v>154</v>
      </c>
      <c r="F1208" s="5" t="s">
        <v>19</v>
      </c>
      <c r="G1208" s="4" t="str">
        <f t="shared" si="139"/>
        <v>Romper Longer</v>
      </c>
      <c r="H1208" s="38">
        <f t="shared" si="135"/>
        <v>6</v>
      </c>
      <c r="I1208" s="54">
        <f t="shared" si="141"/>
        <v>24</v>
      </c>
      <c r="J1208" s="14" t="str">
        <f t="shared" si="137"/>
        <v>FathersDay</v>
      </c>
      <c r="K1208" s="16" t="str">
        <f t="shared" si="140"/>
        <v>12-18</v>
      </c>
      <c r="L1208" s="14" t="str">
        <f t="shared" si="138"/>
        <v>Romper Longer | 12-18 | Cream</v>
      </c>
      <c r="M1208" s="16" t="s">
        <v>3610</v>
      </c>
    </row>
    <row r="1209" spans="1:13" ht="25" customHeight="1" x14ac:dyDescent="0.45">
      <c r="A1209" s="6">
        <v>46185</v>
      </c>
      <c r="B1209" s="3" t="s">
        <v>234</v>
      </c>
      <c r="C1209" s="4" t="s">
        <v>101</v>
      </c>
      <c r="D1209" s="53" t="str">
        <f t="shared" si="136"/>
        <v>Sage Green</v>
      </c>
      <c r="E1209" s="4" t="s">
        <v>75</v>
      </c>
      <c r="F1209" s="5" t="s">
        <v>7</v>
      </c>
      <c r="G1209" s="4" t="str">
        <f t="shared" si="139"/>
        <v>Romper Longer</v>
      </c>
      <c r="H1209" s="38">
        <f t="shared" si="135"/>
        <v>6</v>
      </c>
      <c r="I1209" s="54">
        <f t="shared" si="141"/>
        <v>24</v>
      </c>
      <c r="J1209" s="14" t="str">
        <f t="shared" si="137"/>
        <v>FathersDay</v>
      </c>
      <c r="K1209" s="16" t="str">
        <f t="shared" si="140"/>
        <v>3-6</v>
      </c>
      <c r="L1209" s="14" t="str">
        <f t="shared" si="138"/>
        <v>Romper Longer | 3-6 | Sage Green</v>
      </c>
      <c r="M1209" s="16" t="s">
        <v>3611</v>
      </c>
    </row>
    <row r="1210" spans="1:13" ht="25" customHeight="1" x14ac:dyDescent="0.45">
      <c r="A1210" s="6">
        <v>46185</v>
      </c>
      <c r="B1210" s="3" t="s">
        <v>235</v>
      </c>
      <c r="C1210" s="4" t="s">
        <v>81</v>
      </c>
      <c r="D1210" s="53" t="str">
        <f t="shared" si="136"/>
        <v>Dusty Pink</v>
      </c>
      <c r="E1210" s="4" t="s">
        <v>88</v>
      </c>
      <c r="F1210" s="5" t="s">
        <v>7</v>
      </c>
      <c r="G1210" s="4" t="str">
        <f t="shared" si="139"/>
        <v>Romper Longer</v>
      </c>
      <c r="H1210" s="38">
        <f t="shared" si="135"/>
        <v>6</v>
      </c>
      <c r="I1210" s="54">
        <f t="shared" si="141"/>
        <v>24</v>
      </c>
      <c r="J1210" s="14" t="str">
        <f t="shared" si="137"/>
        <v>FathersDay</v>
      </c>
      <c r="K1210" s="16" t="str">
        <f t="shared" si="140"/>
        <v>0-3</v>
      </c>
      <c r="L1210" s="14" t="str">
        <f t="shared" si="138"/>
        <v>Romper Longer | 0-3 | Dusty Pink</v>
      </c>
      <c r="M1210" s="16" t="s">
        <v>3610</v>
      </c>
    </row>
    <row r="1211" spans="1:13" ht="25" customHeight="1" x14ac:dyDescent="0.45">
      <c r="A1211" s="6">
        <v>46113</v>
      </c>
      <c r="B1211" s="3" t="s">
        <v>20</v>
      </c>
      <c r="C1211" s="4" t="s">
        <v>5</v>
      </c>
      <c r="D1211" s="53" t="str">
        <f t="shared" si="136"/>
        <v>Light Blue</v>
      </c>
      <c r="E1211" s="4" t="s">
        <v>6</v>
      </c>
      <c r="F1211" s="4" t="s">
        <v>7</v>
      </c>
      <c r="G1211" s="4" t="str">
        <f t="shared" si="139"/>
        <v>Bodysuit</v>
      </c>
      <c r="H1211" s="38">
        <f t="shared" si="135"/>
        <v>4</v>
      </c>
      <c r="I1211" s="54">
        <f t="shared" si="141"/>
        <v>14</v>
      </c>
      <c r="J1211" s="14" t="str">
        <f t="shared" si="137"/>
        <v>Easter</v>
      </c>
      <c r="K1211" s="16" t="str">
        <f t="shared" ref="K1211:K1242" si="142">TRIM(LEFT(E1211,FIND("(",E1211&amp;"(")-7))</f>
        <v>3-6</v>
      </c>
      <c r="L1211" s="14" t="str">
        <f t="shared" si="138"/>
        <v>Bodysuit | 3-6 | Light Blue</v>
      </c>
      <c r="M1211" s="16" t="s">
        <v>3610</v>
      </c>
    </row>
    <row r="1212" spans="1:13" ht="25" customHeight="1" x14ac:dyDescent="0.45">
      <c r="A1212" s="6">
        <v>46114</v>
      </c>
      <c r="B1212" s="3" t="s">
        <v>21</v>
      </c>
      <c r="C1212" s="4" t="s">
        <v>9</v>
      </c>
      <c r="D1212" s="53" t="str">
        <f t="shared" si="136"/>
        <v>Cream</v>
      </c>
      <c r="E1212" s="4" t="s">
        <v>10</v>
      </c>
      <c r="F1212" s="4" t="s">
        <v>7</v>
      </c>
      <c r="G1212" s="4" t="str">
        <f t="shared" si="139"/>
        <v>Bodysuit</v>
      </c>
      <c r="H1212" s="38">
        <f t="shared" si="135"/>
        <v>4</v>
      </c>
      <c r="I1212" s="54">
        <f t="shared" si="141"/>
        <v>14</v>
      </c>
      <c r="J1212" s="14" t="str">
        <f t="shared" si="137"/>
        <v>Easter</v>
      </c>
      <c r="K1212" s="16" t="str">
        <f t="shared" si="142"/>
        <v>0-3</v>
      </c>
      <c r="L1212" s="14" t="str">
        <f t="shared" si="138"/>
        <v>Bodysuit | 0-3 | Cream</v>
      </c>
      <c r="M1212" s="16" t="s">
        <v>3610</v>
      </c>
    </row>
    <row r="1213" spans="1:13" ht="25" customHeight="1" x14ac:dyDescent="0.45">
      <c r="A1213" s="6">
        <v>46116</v>
      </c>
      <c r="B1213" s="3" t="s">
        <v>22</v>
      </c>
      <c r="C1213" s="4" t="s">
        <v>5</v>
      </c>
      <c r="D1213" s="53" t="str">
        <f t="shared" si="136"/>
        <v>Light Blue</v>
      </c>
      <c r="E1213" s="4" t="s">
        <v>6</v>
      </c>
      <c r="F1213" s="4" t="s">
        <v>7</v>
      </c>
      <c r="G1213" s="4" t="str">
        <f t="shared" si="139"/>
        <v>Bodysuit</v>
      </c>
      <c r="H1213" s="38">
        <f t="shared" si="135"/>
        <v>4</v>
      </c>
      <c r="I1213" s="54">
        <f t="shared" si="141"/>
        <v>14</v>
      </c>
      <c r="J1213" s="14" t="str">
        <f t="shared" si="137"/>
        <v>Easter</v>
      </c>
      <c r="K1213" s="16" t="str">
        <f t="shared" si="142"/>
        <v>3-6</v>
      </c>
      <c r="L1213" s="14" t="str">
        <f t="shared" si="138"/>
        <v>Bodysuit | 3-6 | Light Blue</v>
      </c>
      <c r="M1213" s="16" t="s">
        <v>3610</v>
      </c>
    </row>
    <row r="1214" spans="1:13" ht="25" customHeight="1" x14ac:dyDescent="0.45">
      <c r="A1214" s="6">
        <v>46119</v>
      </c>
      <c r="B1214" s="3" t="s">
        <v>23</v>
      </c>
      <c r="C1214" s="4" t="s">
        <v>9</v>
      </c>
      <c r="D1214" s="53" t="str">
        <f t="shared" si="136"/>
        <v>Cream</v>
      </c>
      <c r="E1214" s="4" t="s">
        <v>10</v>
      </c>
      <c r="F1214" s="4" t="s">
        <v>7</v>
      </c>
      <c r="G1214" s="4" t="str">
        <f t="shared" si="139"/>
        <v>Bodysuit</v>
      </c>
      <c r="H1214" s="38">
        <f t="shared" si="135"/>
        <v>4</v>
      </c>
      <c r="I1214" s="54">
        <f t="shared" si="141"/>
        <v>15</v>
      </c>
      <c r="J1214" s="14" t="str">
        <f t="shared" si="137"/>
        <v>Easter</v>
      </c>
      <c r="K1214" s="16" t="str">
        <f t="shared" si="142"/>
        <v>0-3</v>
      </c>
      <c r="L1214" s="14" t="str">
        <f t="shared" si="138"/>
        <v>Bodysuit | 0-3 | Cream</v>
      </c>
      <c r="M1214" s="16" t="s">
        <v>3610</v>
      </c>
    </row>
    <row r="1215" spans="1:13" ht="25" customHeight="1" x14ac:dyDescent="0.45">
      <c r="A1215" s="6">
        <v>46124</v>
      </c>
      <c r="B1215" s="3" t="s">
        <v>24</v>
      </c>
      <c r="C1215" s="4" t="s">
        <v>9</v>
      </c>
      <c r="D1215" s="53" t="str">
        <f t="shared" si="136"/>
        <v>Cream</v>
      </c>
      <c r="E1215" s="4" t="s">
        <v>10</v>
      </c>
      <c r="F1215" s="4" t="s">
        <v>7</v>
      </c>
      <c r="G1215" s="4" t="str">
        <f t="shared" si="139"/>
        <v>Bodysuit</v>
      </c>
      <c r="H1215" s="38">
        <f t="shared" si="135"/>
        <v>4</v>
      </c>
      <c r="I1215" s="54">
        <f t="shared" si="141"/>
        <v>16</v>
      </c>
      <c r="J1215" s="14" t="str">
        <f t="shared" si="137"/>
        <v>Easter</v>
      </c>
      <c r="K1215" s="16" t="str">
        <f t="shared" si="142"/>
        <v>0-3</v>
      </c>
      <c r="L1215" s="14" t="str">
        <f t="shared" si="138"/>
        <v>Bodysuit | 0-3 | Cream</v>
      </c>
      <c r="M1215" s="16" t="s">
        <v>3610</v>
      </c>
    </row>
    <row r="1216" spans="1:13" ht="25" customHeight="1" x14ac:dyDescent="0.45">
      <c r="A1216" s="6">
        <v>46125</v>
      </c>
      <c r="B1216" s="3" t="s">
        <v>25</v>
      </c>
      <c r="C1216" s="4" t="s">
        <v>5</v>
      </c>
      <c r="D1216" s="53" t="str">
        <f t="shared" si="136"/>
        <v>Light Blue</v>
      </c>
      <c r="E1216" s="4" t="s">
        <v>6</v>
      </c>
      <c r="F1216" s="4" t="s">
        <v>7</v>
      </c>
      <c r="G1216" s="4" t="str">
        <f t="shared" si="139"/>
        <v>Bodysuit</v>
      </c>
      <c r="H1216" s="38">
        <f t="shared" si="135"/>
        <v>4</v>
      </c>
      <c r="I1216" s="54">
        <f t="shared" si="141"/>
        <v>16</v>
      </c>
      <c r="J1216" s="14" t="str">
        <f t="shared" si="137"/>
        <v>Easter</v>
      </c>
      <c r="K1216" s="16" t="str">
        <f t="shared" si="142"/>
        <v>3-6</v>
      </c>
      <c r="L1216" s="14" t="str">
        <f t="shared" si="138"/>
        <v>Bodysuit | 3-6 | Light Blue</v>
      </c>
      <c r="M1216" s="16" t="s">
        <v>3610</v>
      </c>
    </row>
    <row r="1217" spans="1:13" ht="25" customHeight="1" x14ac:dyDescent="0.45">
      <c r="A1217" s="6">
        <v>46127</v>
      </c>
      <c r="B1217" s="3" t="s">
        <v>26</v>
      </c>
      <c r="C1217" s="4" t="s">
        <v>8</v>
      </c>
      <c r="D1217" s="53" t="str">
        <f t="shared" si="136"/>
        <v>Light Pink</v>
      </c>
      <c r="E1217" s="4" t="s">
        <v>6</v>
      </c>
      <c r="F1217" s="4" t="s">
        <v>11</v>
      </c>
      <c r="G1217" s="4" t="str">
        <f t="shared" si="139"/>
        <v>Bodysuit</v>
      </c>
      <c r="H1217" s="38">
        <f t="shared" si="135"/>
        <v>4</v>
      </c>
      <c r="I1217" s="54">
        <f t="shared" si="141"/>
        <v>16</v>
      </c>
      <c r="J1217" s="14" t="str">
        <f t="shared" si="137"/>
        <v>Easter</v>
      </c>
      <c r="K1217" s="16" t="str">
        <f t="shared" si="142"/>
        <v>3-6</v>
      </c>
      <c r="L1217" s="14" t="str">
        <f t="shared" si="138"/>
        <v>Bodysuit | 3-6 | Light Pink</v>
      </c>
      <c r="M1217" s="16" t="s">
        <v>3610</v>
      </c>
    </row>
    <row r="1218" spans="1:13" ht="25" customHeight="1" x14ac:dyDescent="0.45">
      <c r="A1218" s="6">
        <v>46127</v>
      </c>
      <c r="B1218" s="3" t="s">
        <v>27</v>
      </c>
      <c r="C1218" s="4" t="s">
        <v>5</v>
      </c>
      <c r="D1218" s="53" t="str">
        <f t="shared" si="136"/>
        <v>Light Blue</v>
      </c>
      <c r="E1218" s="4" t="s">
        <v>6</v>
      </c>
      <c r="F1218" s="4" t="s">
        <v>7</v>
      </c>
      <c r="G1218" s="4" t="str">
        <f t="shared" si="139"/>
        <v>Bodysuit</v>
      </c>
      <c r="H1218" s="38">
        <f t="shared" ref="H1218:H1259" si="143">MONTH(A1218)</f>
        <v>4</v>
      </c>
      <c r="I1218" s="54">
        <f t="shared" si="141"/>
        <v>16</v>
      </c>
      <c r="J1218" s="14" t="str">
        <f t="shared" si="137"/>
        <v>Easter</v>
      </c>
      <c r="K1218" s="16" t="str">
        <f t="shared" si="142"/>
        <v>3-6</v>
      </c>
      <c r="L1218" s="14" t="str">
        <f t="shared" si="138"/>
        <v>Bodysuit | 3-6 | Light Blue</v>
      </c>
      <c r="M1218" s="16" t="s">
        <v>3610</v>
      </c>
    </row>
    <row r="1219" spans="1:13" ht="25" customHeight="1" x14ac:dyDescent="0.45">
      <c r="A1219" s="6">
        <v>46127</v>
      </c>
      <c r="B1219" s="3" t="s">
        <v>28</v>
      </c>
      <c r="C1219" s="4" t="s">
        <v>9</v>
      </c>
      <c r="D1219" s="53" t="str">
        <f t="shared" ref="D1219:D1282" si="144">PROPER(C1219)</f>
        <v>Cream</v>
      </c>
      <c r="E1219" s="4" t="s">
        <v>10</v>
      </c>
      <c r="F1219" s="4" t="s">
        <v>7</v>
      </c>
      <c r="G1219" s="4" t="str">
        <f t="shared" si="139"/>
        <v>Bodysuit</v>
      </c>
      <c r="H1219" s="38">
        <f t="shared" si="143"/>
        <v>4</v>
      </c>
      <c r="I1219" s="54">
        <f t="shared" si="141"/>
        <v>16</v>
      </c>
      <c r="J1219" s="14" t="str">
        <f t="shared" ref="J1219:J1282" si="145">IF(H1219=1,"NewYear",
IF(H1219=2,"Valentine",
IF(OR(H1219=3,H1219=4),"Easter",
IF(H1219=5,"MothersDay",
IF(H1219=6,"FathersDay",
IF(OR(H1219=7,H1219=8),"Summer",
IF(H1219=10,"Halloween",
IF(OR(H1219=11,H1219=12),"Christmas","Normal"))))))))</f>
        <v>Easter</v>
      </c>
      <c r="K1219" s="16" t="str">
        <f t="shared" si="142"/>
        <v>0-3</v>
      </c>
      <c r="L1219" s="14" t="str">
        <f t="shared" ref="L1219:L1282" si="146">TRIM(G1219)&amp;" | "&amp;TRIM(K1219)&amp;" | "&amp;PROPER(TRIM(D1219))</f>
        <v>Bodysuit | 0-3 | Cream</v>
      </c>
      <c r="M1219" s="16" t="s">
        <v>3610</v>
      </c>
    </row>
    <row r="1220" spans="1:13" ht="25" customHeight="1" x14ac:dyDescent="0.45">
      <c r="A1220" s="6">
        <v>46128</v>
      </c>
      <c r="B1220" s="3" t="s">
        <v>29</v>
      </c>
      <c r="C1220" s="4" t="s">
        <v>9</v>
      </c>
      <c r="D1220" s="53" t="str">
        <f t="shared" si="144"/>
        <v>Cream</v>
      </c>
      <c r="E1220" s="4" t="s">
        <v>10</v>
      </c>
      <c r="F1220" s="4" t="s">
        <v>7</v>
      </c>
      <c r="G1220" s="4" t="str">
        <f t="shared" si="139"/>
        <v>Bodysuit</v>
      </c>
      <c r="H1220" s="38">
        <f t="shared" si="143"/>
        <v>4</v>
      </c>
      <c r="I1220" s="54">
        <f t="shared" si="141"/>
        <v>16</v>
      </c>
      <c r="J1220" s="14" t="str">
        <f t="shared" si="145"/>
        <v>Easter</v>
      </c>
      <c r="K1220" s="16" t="str">
        <f t="shared" si="142"/>
        <v>0-3</v>
      </c>
      <c r="L1220" s="14" t="str">
        <f t="shared" si="146"/>
        <v>Bodysuit | 0-3 | Cream</v>
      </c>
      <c r="M1220" s="16" t="s">
        <v>3610</v>
      </c>
    </row>
    <row r="1221" spans="1:13" ht="25" customHeight="1" x14ac:dyDescent="0.45">
      <c r="A1221" s="6">
        <v>46129</v>
      </c>
      <c r="B1221" s="3" t="s">
        <v>30</v>
      </c>
      <c r="C1221" s="4" t="s">
        <v>8</v>
      </c>
      <c r="D1221" s="53" t="str">
        <f t="shared" si="144"/>
        <v>Light Pink</v>
      </c>
      <c r="E1221" s="4" t="s">
        <v>10</v>
      </c>
      <c r="F1221" s="4" t="s">
        <v>7</v>
      </c>
      <c r="G1221" s="4" t="str">
        <f t="shared" si="139"/>
        <v>Bodysuit</v>
      </c>
      <c r="H1221" s="38">
        <f t="shared" si="143"/>
        <v>4</v>
      </c>
      <c r="I1221" s="54">
        <f t="shared" si="141"/>
        <v>16</v>
      </c>
      <c r="J1221" s="14" t="str">
        <f t="shared" si="145"/>
        <v>Easter</v>
      </c>
      <c r="K1221" s="16" t="str">
        <f t="shared" si="142"/>
        <v>0-3</v>
      </c>
      <c r="L1221" s="14" t="str">
        <f t="shared" si="146"/>
        <v>Bodysuit | 0-3 | Light Pink</v>
      </c>
      <c r="M1221" s="16" t="s">
        <v>3610</v>
      </c>
    </row>
    <row r="1222" spans="1:13" ht="25" customHeight="1" x14ac:dyDescent="0.45">
      <c r="A1222" s="6">
        <v>46129</v>
      </c>
      <c r="B1222" s="3" t="s">
        <v>31</v>
      </c>
      <c r="C1222" s="4" t="s">
        <v>9</v>
      </c>
      <c r="D1222" s="53" t="str">
        <f t="shared" si="144"/>
        <v>Cream</v>
      </c>
      <c r="E1222" s="4" t="s">
        <v>6</v>
      </c>
      <c r="F1222" s="4" t="s">
        <v>7</v>
      </c>
      <c r="G1222" s="4" t="str">
        <f t="shared" si="139"/>
        <v>Bodysuit</v>
      </c>
      <c r="H1222" s="38">
        <f t="shared" si="143"/>
        <v>4</v>
      </c>
      <c r="I1222" s="54">
        <f t="shared" si="141"/>
        <v>16</v>
      </c>
      <c r="J1222" s="14" t="str">
        <f t="shared" si="145"/>
        <v>Easter</v>
      </c>
      <c r="K1222" s="16" t="str">
        <f t="shared" si="142"/>
        <v>3-6</v>
      </c>
      <c r="L1222" s="14" t="str">
        <f t="shared" si="146"/>
        <v>Bodysuit | 3-6 | Cream</v>
      </c>
      <c r="M1222" s="16" t="s">
        <v>3611</v>
      </c>
    </row>
    <row r="1223" spans="1:13" ht="25" customHeight="1" x14ac:dyDescent="0.45">
      <c r="A1223" s="6">
        <v>46132</v>
      </c>
      <c r="B1223" s="3" t="s">
        <v>32</v>
      </c>
      <c r="C1223" s="4" t="s">
        <v>8</v>
      </c>
      <c r="D1223" s="53" t="str">
        <f t="shared" si="144"/>
        <v>Light Pink</v>
      </c>
      <c r="E1223" s="4" t="s">
        <v>10</v>
      </c>
      <c r="F1223" s="4" t="s">
        <v>18</v>
      </c>
      <c r="G1223" s="4" t="str">
        <f t="shared" si="139"/>
        <v>Bodysuit</v>
      </c>
      <c r="H1223" s="38">
        <f t="shared" si="143"/>
        <v>4</v>
      </c>
      <c r="I1223" s="54">
        <f t="shared" si="141"/>
        <v>17</v>
      </c>
      <c r="J1223" s="14" t="str">
        <f t="shared" si="145"/>
        <v>Easter</v>
      </c>
      <c r="K1223" s="16" t="str">
        <f t="shared" si="142"/>
        <v>0-3</v>
      </c>
      <c r="L1223" s="14" t="str">
        <f t="shared" si="146"/>
        <v>Bodysuit | 0-3 | Light Pink</v>
      </c>
      <c r="M1223" s="16" t="s">
        <v>3610</v>
      </c>
    </row>
    <row r="1224" spans="1:13" ht="25" customHeight="1" x14ac:dyDescent="0.45">
      <c r="A1224" s="6">
        <v>46133</v>
      </c>
      <c r="B1224" s="3" t="s">
        <v>33</v>
      </c>
      <c r="C1224" s="4" t="s">
        <v>8</v>
      </c>
      <c r="D1224" s="53" t="str">
        <f t="shared" si="144"/>
        <v>Light Pink</v>
      </c>
      <c r="E1224" s="4" t="s">
        <v>10</v>
      </c>
      <c r="F1224" s="4" t="s">
        <v>7</v>
      </c>
      <c r="G1224" s="4" t="str">
        <f t="shared" si="139"/>
        <v>Bodysuit</v>
      </c>
      <c r="H1224" s="38">
        <f t="shared" si="143"/>
        <v>4</v>
      </c>
      <c r="I1224" s="54">
        <f t="shared" si="141"/>
        <v>17</v>
      </c>
      <c r="J1224" s="14" t="str">
        <f t="shared" si="145"/>
        <v>Easter</v>
      </c>
      <c r="K1224" s="16" t="str">
        <f t="shared" si="142"/>
        <v>0-3</v>
      </c>
      <c r="L1224" s="14" t="str">
        <f t="shared" si="146"/>
        <v>Bodysuit | 0-3 | Light Pink</v>
      </c>
      <c r="M1224" s="16" t="s">
        <v>3610</v>
      </c>
    </row>
    <row r="1225" spans="1:13" ht="25" customHeight="1" x14ac:dyDescent="0.45">
      <c r="A1225" s="6">
        <v>46133</v>
      </c>
      <c r="B1225" s="3" t="s">
        <v>34</v>
      </c>
      <c r="C1225" s="4" t="s">
        <v>5</v>
      </c>
      <c r="D1225" s="53" t="str">
        <f t="shared" si="144"/>
        <v>Light Blue</v>
      </c>
      <c r="E1225" s="4" t="s">
        <v>10</v>
      </c>
      <c r="F1225" s="4" t="s">
        <v>7</v>
      </c>
      <c r="G1225" s="4" t="str">
        <f t="shared" si="139"/>
        <v>Bodysuit</v>
      </c>
      <c r="H1225" s="38">
        <f t="shared" si="143"/>
        <v>4</v>
      </c>
      <c r="I1225" s="54">
        <f t="shared" si="141"/>
        <v>17</v>
      </c>
      <c r="J1225" s="14" t="str">
        <f t="shared" si="145"/>
        <v>Easter</v>
      </c>
      <c r="K1225" s="16" t="str">
        <f t="shared" si="142"/>
        <v>0-3</v>
      </c>
      <c r="L1225" s="14" t="str">
        <f t="shared" si="146"/>
        <v>Bodysuit | 0-3 | Light Blue</v>
      </c>
      <c r="M1225" s="16" t="s">
        <v>3610</v>
      </c>
    </row>
    <row r="1226" spans="1:13" ht="25" customHeight="1" x14ac:dyDescent="0.45">
      <c r="A1226" s="6">
        <v>46133</v>
      </c>
      <c r="B1226" s="3" t="s">
        <v>35</v>
      </c>
      <c r="C1226" s="4" t="s">
        <v>8</v>
      </c>
      <c r="D1226" s="53" t="str">
        <f t="shared" si="144"/>
        <v>Light Pink</v>
      </c>
      <c r="E1226" s="4" t="s">
        <v>10</v>
      </c>
      <c r="F1226" s="4" t="s">
        <v>7</v>
      </c>
      <c r="G1226" s="4" t="str">
        <f t="shared" si="139"/>
        <v>Bodysuit</v>
      </c>
      <c r="H1226" s="38">
        <f t="shared" si="143"/>
        <v>4</v>
      </c>
      <c r="I1226" s="54">
        <f t="shared" si="141"/>
        <v>17</v>
      </c>
      <c r="J1226" s="14" t="str">
        <f t="shared" si="145"/>
        <v>Easter</v>
      </c>
      <c r="K1226" s="16" t="str">
        <f t="shared" si="142"/>
        <v>0-3</v>
      </c>
      <c r="L1226" s="14" t="str">
        <f t="shared" si="146"/>
        <v>Bodysuit | 0-3 | Light Pink</v>
      </c>
      <c r="M1226" s="16" t="s">
        <v>3610</v>
      </c>
    </row>
    <row r="1227" spans="1:13" ht="25" customHeight="1" x14ac:dyDescent="0.45">
      <c r="A1227" s="6">
        <v>46134</v>
      </c>
      <c r="B1227" s="3" t="s">
        <v>36</v>
      </c>
      <c r="C1227" s="4" t="s">
        <v>8</v>
      </c>
      <c r="D1227" s="53" t="str">
        <f t="shared" si="144"/>
        <v>Light Pink</v>
      </c>
      <c r="E1227" s="4" t="s">
        <v>6</v>
      </c>
      <c r="F1227" s="4" t="s">
        <v>37</v>
      </c>
      <c r="G1227" s="4" t="str">
        <f t="shared" si="139"/>
        <v>Bodysuit</v>
      </c>
      <c r="H1227" s="38">
        <f t="shared" si="143"/>
        <v>4</v>
      </c>
      <c r="I1227" s="54">
        <f t="shared" si="141"/>
        <v>17</v>
      </c>
      <c r="J1227" s="14" t="str">
        <f t="shared" si="145"/>
        <v>Easter</v>
      </c>
      <c r="K1227" s="16" t="str">
        <f t="shared" si="142"/>
        <v>3-6</v>
      </c>
      <c r="L1227" s="14" t="str">
        <f t="shared" si="146"/>
        <v>Bodysuit | 3-6 | Light Pink</v>
      </c>
      <c r="M1227" s="16" t="s">
        <v>3610</v>
      </c>
    </row>
    <row r="1228" spans="1:13" ht="25" customHeight="1" x14ac:dyDescent="0.45">
      <c r="A1228" s="6">
        <v>46135</v>
      </c>
      <c r="B1228" s="3" t="s">
        <v>38</v>
      </c>
      <c r="C1228" s="4" t="s">
        <v>9</v>
      </c>
      <c r="D1228" s="53" t="str">
        <f t="shared" si="144"/>
        <v>Cream</v>
      </c>
      <c r="E1228" s="4" t="s">
        <v>10</v>
      </c>
      <c r="F1228" s="4" t="s">
        <v>7</v>
      </c>
      <c r="G1228" s="4" t="str">
        <f t="shared" si="139"/>
        <v>Bodysuit</v>
      </c>
      <c r="H1228" s="38">
        <f t="shared" si="143"/>
        <v>4</v>
      </c>
      <c r="I1228" s="54">
        <f t="shared" si="141"/>
        <v>17</v>
      </c>
      <c r="J1228" s="14" t="str">
        <f t="shared" si="145"/>
        <v>Easter</v>
      </c>
      <c r="K1228" s="16" t="str">
        <f t="shared" si="142"/>
        <v>0-3</v>
      </c>
      <c r="L1228" s="14" t="str">
        <f t="shared" si="146"/>
        <v>Bodysuit | 0-3 | Cream</v>
      </c>
      <c r="M1228" s="16" t="s">
        <v>3610</v>
      </c>
    </row>
    <row r="1229" spans="1:13" ht="25" customHeight="1" x14ac:dyDescent="0.45">
      <c r="A1229" s="6">
        <v>46136</v>
      </c>
      <c r="B1229" s="3" t="s">
        <v>39</v>
      </c>
      <c r="C1229" s="4" t="s">
        <v>9</v>
      </c>
      <c r="D1229" s="53" t="str">
        <f t="shared" si="144"/>
        <v>Cream</v>
      </c>
      <c r="E1229" s="4" t="s">
        <v>10</v>
      </c>
      <c r="F1229" s="4" t="s">
        <v>40</v>
      </c>
      <c r="G1229" s="4" t="str">
        <f t="shared" si="139"/>
        <v>Bodysuit</v>
      </c>
      <c r="H1229" s="38">
        <f t="shared" si="143"/>
        <v>4</v>
      </c>
      <c r="I1229" s="54">
        <f t="shared" si="141"/>
        <v>17</v>
      </c>
      <c r="J1229" s="14" t="str">
        <f t="shared" si="145"/>
        <v>Easter</v>
      </c>
      <c r="K1229" s="16" t="str">
        <f t="shared" si="142"/>
        <v>0-3</v>
      </c>
      <c r="L1229" s="14" t="str">
        <f t="shared" si="146"/>
        <v>Bodysuit | 0-3 | Cream</v>
      </c>
      <c r="M1229" s="16" t="s">
        <v>3610</v>
      </c>
    </row>
    <row r="1230" spans="1:13" ht="25" customHeight="1" x14ac:dyDescent="0.45">
      <c r="A1230" s="6">
        <v>46139</v>
      </c>
      <c r="B1230" s="3" t="s">
        <v>41</v>
      </c>
      <c r="C1230" s="4" t="s">
        <v>9</v>
      </c>
      <c r="D1230" s="53" t="str">
        <f t="shared" si="144"/>
        <v>Cream</v>
      </c>
      <c r="E1230" s="4" t="s">
        <v>10</v>
      </c>
      <c r="F1230" s="4" t="s">
        <v>7</v>
      </c>
      <c r="G1230" s="4" t="str">
        <f t="shared" si="139"/>
        <v>Bodysuit</v>
      </c>
      <c r="H1230" s="38">
        <f t="shared" si="143"/>
        <v>4</v>
      </c>
      <c r="I1230" s="54">
        <f t="shared" si="141"/>
        <v>18</v>
      </c>
      <c r="J1230" s="14" t="str">
        <f t="shared" si="145"/>
        <v>Easter</v>
      </c>
      <c r="K1230" s="16" t="str">
        <f t="shared" si="142"/>
        <v>0-3</v>
      </c>
      <c r="L1230" s="14" t="str">
        <f t="shared" si="146"/>
        <v>Bodysuit | 0-3 | Cream</v>
      </c>
      <c r="M1230" s="16" t="s">
        <v>3610</v>
      </c>
    </row>
    <row r="1231" spans="1:13" ht="25" customHeight="1" x14ac:dyDescent="0.45">
      <c r="A1231" s="6">
        <v>46142</v>
      </c>
      <c r="B1231" s="3" t="s">
        <v>42</v>
      </c>
      <c r="C1231" s="4" t="s">
        <v>9</v>
      </c>
      <c r="D1231" s="53" t="str">
        <f t="shared" si="144"/>
        <v>Cream</v>
      </c>
      <c r="E1231" s="4" t="s">
        <v>6</v>
      </c>
      <c r="F1231" s="4" t="s">
        <v>7</v>
      </c>
      <c r="G1231" s="4" t="str">
        <f t="shared" si="139"/>
        <v>Bodysuit</v>
      </c>
      <c r="H1231" s="38">
        <f t="shared" si="143"/>
        <v>4</v>
      </c>
      <c r="I1231" s="54">
        <f t="shared" si="141"/>
        <v>18</v>
      </c>
      <c r="J1231" s="14" t="str">
        <f t="shared" si="145"/>
        <v>Easter</v>
      </c>
      <c r="K1231" s="16" t="str">
        <f t="shared" si="142"/>
        <v>3-6</v>
      </c>
      <c r="L1231" s="14" t="str">
        <f t="shared" si="146"/>
        <v>Bodysuit | 3-6 | Cream</v>
      </c>
      <c r="M1231" s="16" t="s">
        <v>3611</v>
      </c>
    </row>
    <row r="1232" spans="1:13" ht="25" customHeight="1" x14ac:dyDescent="0.45">
      <c r="A1232" s="6">
        <v>46142</v>
      </c>
      <c r="B1232" s="3" t="s">
        <v>43</v>
      </c>
      <c r="C1232" s="4" t="s">
        <v>5</v>
      </c>
      <c r="D1232" s="53" t="str">
        <f t="shared" si="144"/>
        <v>Light Blue</v>
      </c>
      <c r="E1232" s="4" t="s">
        <v>6</v>
      </c>
      <c r="F1232" s="4" t="s">
        <v>7</v>
      </c>
      <c r="G1232" s="4" t="str">
        <f t="shared" ref="G1232:G1295" si="147">IF(ISNUMBER(SEARCH("LONG",E1232)),"Romper Longer",IF(ISNUMBER(SEARCH("SHORT",E1232)),"Romper Short","Bodysuit"))</f>
        <v>Bodysuit</v>
      </c>
      <c r="H1232" s="38">
        <f t="shared" si="143"/>
        <v>4</v>
      </c>
      <c r="I1232" s="54">
        <f t="shared" si="141"/>
        <v>18</v>
      </c>
      <c r="J1232" s="14" t="str">
        <f t="shared" si="145"/>
        <v>Easter</v>
      </c>
      <c r="K1232" s="16" t="str">
        <f t="shared" si="142"/>
        <v>3-6</v>
      </c>
      <c r="L1232" s="14" t="str">
        <f t="shared" si="146"/>
        <v>Bodysuit | 3-6 | Light Blue</v>
      </c>
      <c r="M1232" s="16" t="s">
        <v>3610</v>
      </c>
    </row>
    <row r="1233" spans="1:13" ht="25" customHeight="1" x14ac:dyDescent="0.45">
      <c r="A1233" s="6">
        <v>46145</v>
      </c>
      <c r="B1233" s="3" t="s">
        <v>44</v>
      </c>
      <c r="C1233" s="4" t="s">
        <v>5</v>
      </c>
      <c r="D1233" s="53" t="str">
        <f t="shared" si="144"/>
        <v>Light Blue</v>
      </c>
      <c r="E1233" s="4" t="s">
        <v>6</v>
      </c>
      <c r="F1233" s="4" t="s">
        <v>7</v>
      </c>
      <c r="G1233" s="4" t="str">
        <f t="shared" si="147"/>
        <v>Bodysuit</v>
      </c>
      <c r="H1233" s="38">
        <f t="shared" si="143"/>
        <v>5</v>
      </c>
      <c r="I1233" s="54">
        <f t="shared" si="141"/>
        <v>19</v>
      </c>
      <c r="J1233" s="14" t="str">
        <f t="shared" si="145"/>
        <v>MothersDay</v>
      </c>
      <c r="K1233" s="16" t="str">
        <f t="shared" si="142"/>
        <v>3-6</v>
      </c>
      <c r="L1233" s="14" t="str">
        <f t="shared" si="146"/>
        <v>Bodysuit | 3-6 | Light Blue</v>
      </c>
      <c r="M1233" s="16" t="s">
        <v>3610</v>
      </c>
    </row>
    <row r="1234" spans="1:13" ht="25" customHeight="1" x14ac:dyDescent="0.45">
      <c r="A1234" s="6">
        <v>46145</v>
      </c>
      <c r="B1234" s="3" t="s">
        <v>45</v>
      </c>
      <c r="C1234" s="4" t="s">
        <v>5</v>
      </c>
      <c r="D1234" s="53" t="str">
        <f t="shared" si="144"/>
        <v>Light Blue</v>
      </c>
      <c r="E1234" s="4" t="s">
        <v>10</v>
      </c>
      <c r="F1234" s="57" t="s">
        <v>7</v>
      </c>
      <c r="G1234" s="4" t="str">
        <f t="shared" si="147"/>
        <v>Bodysuit</v>
      </c>
      <c r="H1234" s="38">
        <f t="shared" si="143"/>
        <v>5</v>
      </c>
      <c r="I1234" s="54">
        <f t="shared" si="141"/>
        <v>19</v>
      </c>
      <c r="J1234" s="14" t="str">
        <f t="shared" si="145"/>
        <v>MothersDay</v>
      </c>
      <c r="K1234" s="16" t="str">
        <f t="shared" si="142"/>
        <v>0-3</v>
      </c>
      <c r="L1234" s="14" t="str">
        <f t="shared" si="146"/>
        <v>Bodysuit | 0-3 | Light Blue</v>
      </c>
      <c r="M1234" s="16" t="s">
        <v>3610</v>
      </c>
    </row>
    <row r="1235" spans="1:13" ht="25" customHeight="1" x14ac:dyDescent="0.45">
      <c r="A1235" s="6">
        <v>46145</v>
      </c>
      <c r="B1235" s="3" t="s">
        <v>45</v>
      </c>
      <c r="C1235" s="4" t="s">
        <v>8</v>
      </c>
      <c r="D1235" s="53" t="str">
        <f t="shared" si="144"/>
        <v>Light Pink</v>
      </c>
      <c r="E1235" s="4" t="s">
        <v>10</v>
      </c>
      <c r="F1235" s="57"/>
      <c r="G1235" s="4" t="str">
        <f t="shared" si="147"/>
        <v>Bodysuit</v>
      </c>
      <c r="H1235" s="38">
        <f t="shared" si="143"/>
        <v>5</v>
      </c>
      <c r="I1235" s="54">
        <f t="shared" si="141"/>
        <v>19</v>
      </c>
      <c r="J1235" s="14" t="str">
        <f t="shared" si="145"/>
        <v>MothersDay</v>
      </c>
      <c r="K1235" s="16" t="str">
        <f t="shared" si="142"/>
        <v>0-3</v>
      </c>
      <c r="L1235" s="14" t="str">
        <f t="shared" si="146"/>
        <v>Bodysuit | 0-3 | Light Pink</v>
      </c>
      <c r="M1235" s="16" t="s">
        <v>3610</v>
      </c>
    </row>
    <row r="1236" spans="1:13" ht="25" customHeight="1" x14ac:dyDescent="0.45">
      <c r="A1236" s="6">
        <v>46146</v>
      </c>
      <c r="B1236" s="3" t="s">
        <v>46</v>
      </c>
      <c r="C1236" s="4" t="s">
        <v>9</v>
      </c>
      <c r="D1236" s="53" t="str">
        <f t="shared" si="144"/>
        <v>Cream</v>
      </c>
      <c r="E1236" s="4" t="s">
        <v>6</v>
      </c>
      <c r="F1236" s="4" t="s">
        <v>7</v>
      </c>
      <c r="G1236" s="4" t="str">
        <f t="shared" si="147"/>
        <v>Bodysuit</v>
      </c>
      <c r="H1236" s="38">
        <f t="shared" si="143"/>
        <v>5</v>
      </c>
      <c r="I1236" s="54">
        <f t="shared" si="141"/>
        <v>19</v>
      </c>
      <c r="J1236" s="14" t="str">
        <f t="shared" si="145"/>
        <v>MothersDay</v>
      </c>
      <c r="K1236" s="16" t="str">
        <f t="shared" si="142"/>
        <v>3-6</v>
      </c>
      <c r="L1236" s="14" t="str">
        <f t="shared" si="146"/>
        <v>Bodysuit | 3-6 | Cream</v>
      </c>
      <c r="M1236" s="16" t="s">
        <v>3611</v>
      </c>
    </row>
    <row r="1237" spans="1:13" ht="25" customHeight="1" x14ac:dyDescent="0.45">
      <c r="A1237" s="6">
        <v>46146</v>
      </c>
      <c r="B1237" s="3" t="s">
        <v>47</v>
      </c>
      <c r="C1237" s="4" t="s">
        <v>5</v>
      </c>
      <c r="D1237" s="53" t="str">
        <f t="shared" si="144"/>
        <v>Light Blue</v>
      </c>
      <c r="E1237" s="4" t="s">
        <v>6</v>
      </c>
      <c r="F1237" s="4" t="s">
        <v>7</v>
      </c>
      <c r="G1237" s="4" t="str">
        <f t="shared" si="147"/>
        <v>Bodysuit</v>
      </c>
      <c r="H1237" s="38">
        <f t="shared" si="143"/>
        <v>5</v>
      </c>
      <c r="I1237" s="54">
        <f t="shared" si="141"/>
        <v>19</v>
      </c>
      <c r="J1237" s="14" t="str">
        <f t="shared" si="145"/>
        <v>MothersDay</v>
      </c>
      <c r="K1237" s="16" t="str">
        <f t="shared" si="142"/>
        <v>3-6</v>
      </c>
      <c r="L1237" s="14" t="str">
        <f t="shared" si="146"/>
        <v>Bodysuit | 3-6 | Light Blue</v>
      </c>
      <c r="M1237" s="16" t="s">
        <v>3610</v>
      </c>
    </row>
    <row r="1238" spans="1:13" ht="25" customHeight="1" x14ac:dyDescent="0.45">
      <c r="A1238" s="6">
        <v>46148</v>
      </c>
      <c r="B1238" s="3" t="s">
        <v>48</v>
      </c>
      <c r="C1238" s="4" t="s">
        <v>9</v>
      </c>
      <c r="D1238" s="53" t="str">
        <f t="shared" si="144"/>
        <v>Cream</v>
      </c>
      <c r="E1238" s="4" t="s">
        <v>6</v>
      </c>
      <c r="F1238" s="4" t="s">
        <v>7</v>
      </c>
      <c r="G1238" s="4" t="str">
        <f t="shared" si="147"/>
        <v>Bodysuit</v>
      </c>
      <c r="H1238" s="38">
        <f t="shared" si="143"/>
        <v>5</v>
      </c>
      <c r="I1238" s="54">
        <f t="shared" si="141"/>
        <v>19</v>
      </c>
      <c r="J1238" s="14" t="str">
        <f t="shared" si="145"/>
        <v>MothersDay</v>
      </c>
      <c r="K1238" s="16" t="str">
        <f t="shared" si="142"/>
        <v>3-6</v>
      </c>
      <c r="L1238" s="14" t="str">
        <f t="shared" si="146"/>
        <v>Bodysuit | 3-6 | Cream</v>
      </c>
      <c r="M1238" s="16" t="s">
        <v>3611</v>
      </c>
    </row>
    <row r="1239" spans="1:13" ht="25" customHeight="1" x14ac:dyDescent="0.45">
      <c r="A1239" s="6">
        <v>46148</v>
      </c>
      <c r="B1239" s="3" t="s">
        <v>49</v>
      </c>
      <c r="C1239" s="4" t="s">
        <v>8</v>
      </c>
      <c r="D1239" s="53" t="str">
        <f t="shared" si="144"/>
        <v>Light Pink</v>
      </c>
      <c r="E1239" s="4" t="s">
        <v>10</v>
      </c>
      <c r="F1239" s="4" t="s">
        <v>7</v>
      </c>
      <c r="G1239" s="4" t="str">
        <f t="shared" si="147"/>
        <v>Bodysuit</v>
      </c>
      <c r="H1239" s="38">
        <f t="shared" si="143"/>
        <v>5</v>
      </c>
      <c r="I1239" s="54">
        <f t="shared" si="141"/>
        <v>19</v>
      </c>
      <c r="J1239" s="14" t="str">
        <f t="shared" si="145"/>
        <v>MothersDay</v>
      </c>
      <c r="K1239" s="16" t="str">
        <f t="shared" si="142"/>
        <v>0-3</v>
      </c>
      <c r="L1239" s="14" t="str">
        <f t="shared" si="146"/>
        <v>Bodysuit | 0-3 | Light Pink</v>
      </c>
      <c r="M1239" s="16" t="s">
        <v>3610</v>
      </c>
    </row>
    <row r="1240" spans="1:13" ht="25" customHeight="1" x14ac:dyDescent="0.45">
      <c r="A1240" s="6">
        <v>46153</v>
      </c>
      <c r="B1240" s="3" t="s">
        <v>50</v>
      </c>
      <c r="C1240" s="4" t="s">
        <v>8</v>
      </c>
      <c r="D1240" s="53" t="str">
        <f t="shared" si="144"/>
        <v>Light Pink</v>
      </c>
      <c r="E1240" s="4" t="s">
        <v>6</v>
      </c>
      <c r="F1240" s="4" t="s">
        <v>7</v>
      </c>
      <c r="G1240" s="4" t="str">
        <f t="shared" si="147"/>
        <v>Bodysuit</v>
      </c>
      <c r="H1240" s="38">
        <f t="shared" si="143"/>
        <v>5</v>
      </c>
      <c r="I1240" s="54">
        <f t="shared" si="141"/>
        <v>20</v>
      </c>
      <c r="J1240" s="14" t="str">
        <f t="shared" si="145"/>
        <v>MothersDay</v>
      </c>
      <c r="K1240" s="16" t="str">
        <f t="shared" si="142"/>
        <v>3-6</v>
      </c>
      <c r="L1240" s="14" t="str">
        <f t="shared" si="146"/>
        <v>Bodysuit | 3-6 | Light Pink</v>
      </c>
      <c r="M1240" s="16" t="s">
        <v>3610</v>
      </c>
    </row>
    <row r="1241" spans="1:13" ht="25" customHeight="1" x14ac:dyDescent="0.45">
      <c r="A1241" s="6">
        <v>46154</v>
      </c>
      <c r="B1241" s="3" t="s">
        <v>51</v>
      </c>
      <c r="C1241" s="4" t="s">
        <v>5</v>
      </c>
      <c r="D1241" s="53" t="str">
        <f t="shared" si="144"/>
        <v>Light Blue</v>
      </c>
      <c r="E1241" s="4" t="s">
        <v>6</v>
      </c>
      <c r="F1241" s="4" t="s">
        <v>13</v>
      </c>
      <c r="G1241" s="4" t="str">
        <f t="shared" si="147"/>
        <v>Bodysuit</v>
      </c>
      <c r="H1241" s="38">
        <f t="shared" si="143"/>
        <v>5</v>
      </c>
      <c r="I1241" s="54">
        <f t="shared" si="141"/>
        <v>20</v>
      </c>
      <c r="J1241" s="14" t="str">
        <f t="shared" si="145"/>
        <v>MothersDay</v>
      </c>
      <c r="K1241" s="16" t="str">
        <f t="shared" si="142"/>
        <v>3-6</v>
      </c>
      <c r="L1241" s="14" t="str">
        <f t="shared" si="146"/>
        <v>Bodysuit | 3-6 | Light Blue</v>
      </c>
      <c r="M1241" s="16" t="s">
        <v>3610</v>
      </c>
    </row>
    <row r="1242" spans="1:13" ht="25" customHeight="1" x14ac:dyDescent="0.45">
      <c r="A1242" s="6">
        <v>46154</v>
      </c>
      <c r="B1242" s="3" t="s">
        <v>52</v>
      </c>
      <c r="C1242" s="4" t="s">
        <v>9</v>
      </c>
      <c r="D1242" s="53" t="str">
        <f t="shared" si="144"/>
        <v>Cream</v>
      </c>
      <c r="E1242" s="4" t="s">
        <v>6</v>
      </c>
      <c r="F1242" s="4" t="s">
        <v>7</v>
      </c>
      <c r="G1242" s="4" t="str">
        <f t="shared" si="147"/>
        <v>Bodysuit</v>
      </c>
      <c r="H1242" s="38">
        <f t="shared" si="143"/>
        <v>5</v>
      </c>
      <c r="I1242" s="54">
        <f t="shared" si="141"/>
        <v>20</v>
      </c>
      <c r="J1242" s="14" t="str">
        <f t="shared" si="145"/>
        <v>MothersDay</v>
      </c>
      <c r="K1242" s="16" t="str">
        <f t="shared" si="142"/>
        <v>3-6</v>
      </c>
      <c r="L1242" s="14" t="str">
        <f t="shared" si="146"/>
        <v>Bodysuit | 3-6 | Cream</v>
      </c>
      <c r="M1242" s="16" t="s">
        <v>3611</v>
      </c>
    </row>
    <row r="1243" spans="1:13" ht="25" customHeight="1" x14ac:dyDescent="0.45">
      <c r="A1243" s="6">
        <v>46154</v>
      </c>
      <c r="B1243" s="3" t="s">
        <v>53</v>
      </c>
      <c r="C1243" s="4" t="s">
        <v>9</v>
      </c>
      <c r="D1243" s="53" t="str">
        <f t="shared" si="144"/>
        <v>Cream</v>
      </c>
      <c r="E1243" s="4" t="s">
        <v>10</v>
      </c>
      <c r="F1243" s="4" t="s">
        <v>7</v>
      </c>
      <c r="G1243" s="4" t="str">
        <f t="shared" si="147"/>
        <v>Bodysuit</v>
      </c>
      <c r="H1243" s="38">
        <f t="shared" si="143"/>
        <v>5</v>
      </c>
      <c r="I1243" s="54">
        <f t="shared" si="141"/>
        <v>20</v>
      </c>
      <c r="J1243" s="14" t="str">
        <f t="shared" si="145"/>
        <v>MothersDay</v>
      </c>
      <c r="K1243" s="16" t="str">
        <f t="shared" ref="K1243:K1263" si="148">TRIM(LEFT(E1243,FIND("(",E1243&amp;"(")-7))</f>
        <v>0-3</v>
      </c>
      <c r="L1243" s="14" t="str">
        <f t="shared" si="146"/>
        <v>Bodysuit | 0-3 | Cream</v>
      </c>
      <c r="M1243" s="16" t="s">
        <v>3610</v>
      </c>
    </row>
    <row r="1244" spans="1:13" ht="25" customHeight="1" x14ac:dyDescent="0.45">
      <c r="A1244" s="6">
        <v>46154</v>
      </c>
      <c r="B1244" s="3" t="s">
        <v>54</v>
      </c>
      <c r="C1244" s="4" t="s">
        <v>5</v>
      </c>
      <c r="D1244" s="53" t="str">
        <f t="shared" si="144"/>
        <v>Light Blue</v>
      </c>
      <c r="E1244" s="4" t="s">
        <v>6</v>
      </c>
      <c r="F1244" s="4" t="s">
        <v>7</v>
      </c>
      <c r="G1244" s="4" t="str">
        <f t="shared" si="147"/>
        <v>Bodysuit</v>
      </c>
      <c r="H1244" s="38">
        <f t="shared" si="143"/>
        <v>5</v>
      </c>
      <c r="I1244" s="54">
        <f t="shared" si="141"/>
        <v>20</v>
      </c>
      <c r="J1244" s="14" t="str">
        <f t="shared" si="145"/>
        <v>MothersDay</v>
      </c>
      <c r="K1244" s="16" t="str">
        <f t="shared" si="148"/>
        <v>3-6</v>
      </c>
      <c r="L1244" s="14" t="str">
        <f t="shared" si="146"/>
        <v>Bodysuit | 3-6 | Light Blue</v>
      </c>
      <c r="M1244" s="16" t="s">
        <v>3610</v>
      </c>
    </row>
    <row r="1245" spans="1:13" ht="25" customHeight="1" x14ac:dyDescent="0.45">
      <c r="A1245" s="6">
        <v>46160</v>
      </c>
      <c r="B1245" s="3" t="s">
        <v>55</v>
      </c>
      <c r="C1245" s="4" t="s">
        <v>9</v>
      </c>
      <c r="D1245" s="53" t="str">
        <f t="shared" si="144"/>
        <v>Cream</v>
      </c>
      <c r="E1245" s="4" t="s">
        <v>6</v>
      </c>
      <c r="F1245" s="4" t="s">
        <v>7</v>
      </c>
      <c r="G1245" s="4" t="str">
        <f t="shared" si="147"/>
        <v>Bodysuit</v>
      </c>
      <c r="H1245" s="38">
        <f t="shared" si="143"/>
        <v>5</v>
      </c>
      <c r="I1245" s="54">
        <f t="shared" si="141"/>
        <v>21</v>
      </c>
      <c r="J1245" s="14" t="str">
        <f t="shared" si="145"/>
        <v>MothersDay</v>
      </c>
      <c r="K1245" s="16" t="str">
        <f t="shared" si="148"/>
        <v>3-6</v>
      </c>
      <c r="L1245" s="14" t="str">
        <f t="shared" si="146"/>
        <v>Bodysuit | 3-6 | Cream</v>
      </c>
      <c r="M1245" s="16" t="s">
        <v>3611</v>
      </c>
    </row>
    <row r="1246" spans="1:13" ht="25" customHeight="1" x14ac:dyDescent="0.45">
      <c r="A1246" s="6">
        <v>46160</v>
      </c>
      <c r="B1246" s="3" t="s">
        <v>56</v>
      </c>
      <c r="C1246" s="4" t="s">
        <v>9</v>
      </c>
      <c r="D1246" s="53" t="str">
        <f t="shared" si="144"/>
        <v>Cream</v>
      </c>
      <c r="E1246" s="4" t="s">
        <v>10</v>
      </c>
      <c r="F1246" s="4" t="s">
        <v>18</v>
      </c>
      <c r="G1246" s="4" t="str">
        <f t="shared" si="147"/>
        <v>Bodysuit</v>
      </c>
      <c r="H1246" s="38">
        <f t="shared" si="143"/>
        <v>5</v>
      </c>
      <c r="I1246" s="54">
        <f t="shared" si="141"/>
        <v>21</v>
      </c>
      <c r="J1246" s="14" t="str">
        <f t="shared" si="145"/>
        <v>MothersDay</v>
      </c>
      <c r="K1246" s="16" t="str">
        <f t="shared" si="148"/>
        <v>0-3</v>
      </c>
      <c r="L1246" s="14" t="str">
        <f t="shared" si="146"/>
        <v>Bodysuit | 0-3 | Cream</v>
      </c>
      <c r="M1246" s="16" t="s">
        <v>3610</v>
      </c>
    </row>
    <row r="1247" spans="1:13" ht="25" customHeight="1" x14ac:dyDescent="0.45">
      <c r="A1247" s="6">
        <v>46161</v>
      </c>
      <c r="B1247" s="3" t="s">
        <v>57</v>
      </c>
      <c r="C1247" s="4" t="s">
        <v>8</v>
      </c>
      <c r="D1247" s="53" t="str">
        <f t="shared" si="144"/>
        <v>Light Pink</v>
      </c>
      <c r="E1247" s="4" t="s">
        <v>10</v>
      </c>
      <c r="F1247" s="4" t="s">
        <v>13</v>
      </c>
      <c r="G1247" s="4" t="str">
        <f t="shared" si="147"/>
        <v>Bodysuit</v>
      </c>
      <c r="H1247" s="38">
        <f t="shared" si="143"/>
        <v>5</v>
      </c>
      <c r="I1247" s="54">
        <f t="shared" si="141"/>
        <v>21</v>
      </c>
      <c r="J1247" s="14" t="str">
        <f t="shared" si="145"/>
        <v>MothersDay</v>
      </c>
      <c r="K1247" s="16" t="str">
        <f t="shared" si="148"/>
        <v>0-3</v>
      </c>
      <c r="L1247" s="14" t="str">
        <f t="shared" si="146"/>
        <v>Bodysuit | 0-3 | Light Pink</v>
      </c>
      <c r="M1247" s="16" t="s">
        <v>3610</v>
      </c>
    </row>
    <row r="1248" spans="1:13" ht="25" customHeight="1" x14ac:dyDescent="0.45">
      <c r="A1248" s="6">
        <v>46165</v>
      </c>
      <c r="B1248" s="3" t="s">
        <v>58</v>
      </c>
      <c r="C1248" s="4" t="s">
        <v>8</v>
      </c>
      <c r="D1248" s="53" t="str">
        <f t="shared" si="144"/>
        <v>Light Pink</v>
      </c>
      <c r="E1248" s="4" t="s">
        <v>6</v>
      </c>
      <c r="F1248" s="4" t="s">
        <v>7</v>
      </c>
      <c r="G1248" s="4" t="str">
        <f t="shared" si="147"/>
        <v>Bodysuit</v>
      </c>
      <c r="H1248" s="38">
        <f t="shared" si="143"/>
        <v>5</v>
      </c>
      <c r="I1248" s="54">
        <f t="shared" si="141"/>
        <v>21</v>
      </c>
      <c r="J1248" s="14" t="str">
        <f t="shared" si="145"/>
        <v>MothersDay</v>
      </c>
      <c r="K1248" s="16" t="str">
        <f t="shared" si="148"/>
        <v>3-6</v>
      </c>
      <c r="L1248" s="14" t="str">
        <f t="shared" si="146"/>
        <v>Bodysuit | 3-6 | Light Pink</v>
      </c>
      <c r="M1248" s="16" t="s">
        <v>3610</v>
      </c>
    </row>
    <row r="1249" spans="1:13" ht="25" customHeight="1" x14ac:dyDescent="0.45">
      <c r="A1249" s="6">
        <v>46166</v>
      </c>
      <c r="B1249" s="3" t="s">
        <v>59</v>
      </c>
      <c r="C1249" s="4" t="s">
        <v>9</v>
      </c>
      <c r="D1249" s="53" t="str">
        <f t="shared" si="144"/>
        <v>Cream</v>
      </c>
      <c r="E1249" s="4" t="s">
        <v>6</v>
      </c>
      <c r="F1249" s="4" t="s">
        <v>13</v>
      </c>
      <c r="G1249" s="4" t="str">
        <f t="shared" si="147"/>
        <v>Bodysuit</v>
      </c>
      <c r="H1249" s="38">
        <f t="shared" si="143"/>
        <v>5</v>
      </c>
      <c r="I1249" s="54">
        <f t="shared" si="141"/>
        <v>22</v>
      </c>
      <c r="J1249" s="14" t="str">
        <f t="shared" si="145"/>
        <v>MothersDay</v>
      </c>
      <c r="K1249" s="16" t="str">
        <f t="shared" si="148"/>
        <v>3-6</v>
      </c>
      <c r="L1249" s="14" t="str">
        <f t="shared" si="146"/>
        <v>Bodysuit | 3-6 | Cream</v>
      </c>
      <c r="M1249" s="16" t="s">
        <v>3611</v>
      </c>
    </row>
    <row r="1250" spans="1:13" ht="25" customHeight="1" x14ac:dyDescent="0.45">
      <c r="A1250" s="6">
        <v>46167</v>
      </c>
      <c r="B1250" s="3" t="s">
        <v>60</v>
      </c>
      <c r="C1250" s="4" t="s">
        <v>8</v>
      </c>
      <c r="D1250" s="53" t="str">
        <f t="shared" si="144"/>
        <v>Light Pink</v>
      </c>
      <c r="E1250" s="4" t="s">
        <v>10</v>
      </c>
      <c r="F1250" s="4" t="s">
        <v>40</v>
      </c>
      <c r="G1250" s="4" t="str">
        <f t="shared" si="147"/>
        <v>Bodysuit</v>
      </c>
      <c r="H1250" s="38">
        <f t="shared" si="143"/>
        <v>5</v>
      </c>
      <c r="I1250" s="54">
        <f t="shared" si="141"/>
        <v>22</v>
      </c>
      <c r="J1250" s="14" t="str">
        <f t="shared" si="145"/>
        <v>MothersDay</v>
      </c>
      <c r="K1250" s="16" t="str">
        <f t="shared" si="148"/>
        <v>0-3</v>
      </c>
      <c r="L1250" s="14" t="str">
        <f t="shared" si="146"/>
        <v>Bodysuit | 0-3 | Light Pink</v>
      </c>
      <c r="M1250" s="16" t="s">
        <v>3610</v>
      </c>
    </row>
    <row r="1251" spans="1:13" ht="25" customHeight="1" x14ac:dyDescent="0.45">
      <c r="A1251" s="6">
        <v>46168</v>
      </c>
      <c r="B1251" s="3" t="s">
        <v>61</v>
      </c>
      <c r="C1251" s="4" t="s">
        <v>5</v>
      </c>
      <c r="D1251" s="53" t="str">
        <f t="shared" si="144"/>
        <v>Light Blue</v>
      </c>
      <c r="E1251" s="4" t="s">
        <v>10</v>
      </c>
      <c r="F1251" s="4" t="s">
        <v>18</v>
      </c>
      <c r="G1251" s="4" t="str">
        <f t="shared" si="147"/>
        <v>Bodysuit</v>
      </c>
      <c r="H1251" s="38">
        <f t="shared" si="143"/>
        <v>5</v>
      </c>
      <c r="I1251" s="54">
        <f t="shared" si="141"/>
        <v>22</v>
      </c>
      <c r="J1251" s="14" t="str">
        <f t="shared" si="145"/>
        <v>MothersDay</v>
      </c>
      <c r="K1251" s="16" t="str">
        <f t="shared" si="148"/>
        <v>0-3</v>
      </c>
      <c r="L1251" s="14" t="str">
        <f t="shared" si="146"/>
        <v>Bodysuit | 0-3 | Light Blue</v>
      </c>
      <c r="M1251" s="16" t="s">
        <v>3610</v>
      </c>
    </row>
    <row r="1252" spans="1:13" ht="25" customHeight="1" x14ac:dyDescent="0.45">
      <c r="A1252" s="6">
        <v>46170</v>
      </c>
      <c r="B1252" s="3" t="s">
        <v>62</v>
      </c>
      <c r="C1252" s="4" t="s">
        <v>8</v>
      </c>
      <c r="D1252" s="53" t="str">
        <f t="shared" si="144"/>
        <v>Light Pink</v>
      </c>
      <c r="E1252" s="4" t="s">
        <v>6</v>
      </c>
      <c r="F1252" s="4" t="s">
        <v>7</v>
      </c>
      <c r="G1252" s="4" t="str">
        <f t="shared" si="147"/>
        <v>Bodysuit</v>
      </c>
      <c r="H1252" s="38">
        <f t="shared" si="143"/>
        <v>5</v>
      </c>
      <c r="I1252" s="54">
        <f t="shared" si="141"/>
        <v>22</v>
      </c>
      <c r="J1252" s="14" t="str">
        <f t="shared" si="145"/>
        <v>MothersDay</v>
      </c>
      <c r="K1252" s="16" t="str">
        <f t="shared" si="148"/>
        <v>3-6</v>
      </c>
      <c r="L1252" s="14" t="str">
        <f t="shared" si="146"/>
        <v>Bodysuit | 3-6 | Light Pink</v>
      </c>
      <c r="M1252" s="16" t="s">
        <v>3610</v>
      </c>
    </row>
    <row r="1253" spans="1:13" ht="25" customHeight="1" x14ac:dyDescent="0.45">
      <c r="A1253" s="6">
        <v>46171</v>
      </c>
      <c r="B1253" s="3" t="s">
        <v>63</v>
      </c>
      <c r="C1253" s="4" t="s">
        <v>8</v>
      </c>
      <c r="D1253" s="53" t="str">
        <f t="shared" si="144"/>
        <v>Light Pink</v>
      </c>
      <c r="E1253" s="4" t="s">
        <v>6</v>
      </c>
      <c r="F1253" s="4" t="s">
        <v>7</v>
      </c>
      <c r="G1253" s="4" t="str">
        <f t="shared" si="147"/>
        <v>Bodysuit</v>
      </c>
      <c r="H1253" s="38">
        <f t="shared" si="143"/>
        <v>5</v>
      </c>
      <c r="I1253" s="54">
        <f t="shared" si="141"/>
        <v>22</v>
      </c>
      <c r="J1253" s="14" t="str">
        <f t="shared" si="145"/>
        <v>MothersDay</v>
      </c>
      <c r="K1253" s="16" t="str">
        <f t="shared" si="148"/>
        <v>3-6</v>
      </c>
      <c r="L1253" s="14" t="str">
        <f t="shared" si="146"/>
        <v>Bodysuit | 3-6 | Light Pink</v>
      </c>
      <c r="M1253" s="16" t="s">
        <v>3610</v>
      </c>
    </row>
    <row r="1254" spans="1:13" ht="25" customHeight="1" x14ac:dyDescent="0.45">
      <c r="A1254" s="6">
        <v>46171</v>
      </c>
      <c r="B1254" s="3" t="s">
        <v>64</v>
      </c>
      <c r="C1254" s="4" t="s">
        <v>9</v>
      </c>
      <c r="D1254" s="53" t="str">
        <f t="shared" si="144"/>
        <v>Cream</v>
      </c>
      <c r="E1254" s="4" t="s">
        <v>10</v>
      </c>
      <c r="F1254" s="4" t="s">
        <v>7</v>
      </c>
      <c r="G1254" s="4" t="str">
        <f t="shared" si="147"/>
        <v>Bodysuit</v>
      </c>
      <c r="H1254" s="38">
        <f t="shared" si="143"/>
        <v>5</v>
      </c>
      <c r="I1254" s="54">
        <f t="shared" si="141"/>
        <v>22</v>
      </c>
      <c r="J1254" s="14" t="str">
        <f t="shared" si="145"/>
        <v>MothersDay</v>
      </c>
      <c r="K1254" s="16" t="str">
        <f t="shared" si="148"/>
        <v>0-3</v>
      </c>
      <c r="L1254" s="14" t="str">
        <f t="shared" si="146"/>
        <v>Bodysuit | 0-3 | Cream</v>
      </c>
      <c r="M1254" s="16" t="s">
        <v>3610</v>
      </c>
    </row>
    <row r="1255" spans="1:13" ht="25" customHeight="1" x14ac:dyDescent="0.45">
      <c r="A1255" s="6">
        <v>46171</v>
      </c>
      <c r="B1255" s="3" t="s">
        <v>65</v>
      </c>
      <c r="C1255" s="4" t="s">
        <v>5</v>
      </c>
      <c r="D1255" s="53" t="str">
        <f t="shared" si="144"/>
        <v>Light Blue</v>
      </c>
      <c r="E1255" s="4" t="s">
        <v>6</v>
      </c>
      <c r="F1255" s="4" t="s">
        <v>7</v>
      </c>
      <c r="G1255" s="4" t="str">
        <f t="shared" si="147"/>
        <v>Bodysuit</v>
      </c>
      <c r="H1255" s="38">
        <f t="shared" si="143"/>
        <v>5</v>
      </c>
      <c r="I1255" s="54">
        <f t="shared" si="141"/>
        <v>22</v>
      </c>
      <c r="J1255" s="14" t="str">
        <f t="shared" si="145"/>
        <v>MothersDay</v>
      </c>
      <c r="K1255" s="16" t="str">
        <f t="shared" si="148"/>
        <v>3-6</v>
      </c>
      <c r="L1255" s="14" t="str">
        <f t="shared" si="146"/>
        <v>Bodysuit | 3-6 | Light Blue</v>
      </c>
      <c r="M1255" s="16" t="s">
        <v>3610</v>
      </c>
    </row>
    <row r="1256" spans="1:13" ht="25" customHeight="1" x14ac:dyDescent="0.45">
      <c r="A1256" s="6">
        <v>46174</v>
      </c>
      <c r="B1256" s="3" t="s">
        <v>66</v>
      </c>
      <c r="C1256" s="4" t="s">
        <v>8</v>
      </c>
      <c r="D1256" s="53" t="str">
        <f t="shared" si="144"/>
        <v>Light Pink</v>
      </c>
      <c r="E1256" s="4" t="s">
        <v>10</v>
      </c>
      <c r="F1256" s="57" t="s">
        <v>37</v>
      </c>
      <c r="G1256" s="4" t="str">
        <f t="shared" si="147"/>
        <v>Bodysuit</v>
      </c>
      <c r="H1256" s="38">
        <f t="shared" si="143"/>
        <v>6</v>
      </c>
      <c r="I1256" s="54">
        <f t="shared" si="141"/>
        <v>23</v>
      </c>
      <c r="J1256" s="14" t="str">
        <f t="shared" si="145"/>
        <v>FathersDay</v>
      </c>
      <c r="K1256" s="16" t="str">
        <f t="shared" si="148"/>
        <v>0-3</v>
      </c>
      <c r="L1256" s="14" t="str">
        <f t="shared" si="146"/>
        <v>Bodysuit | 0-3 | Light Pink</v>
      </c>
      <c r="M1256" s="16" t="s">
        <v>3610</v>
      </c>
    </row>
    <row r="1257" spans="1:13" ht="25" customHeight="1" x14ac:dyDescent="0.45">
      <c r="A1257" s="6">
        <v>46174</v>
      </c>
      <c r="B1257" s="3" t="s">
        <v>66</v>
      </c>
      <c r="C1257" s="4" t="s">
        <v>9</v>
      </c>
      <c r="D1257" s="53" t="str">
        <f t="shared" si="144"/>
        <v>Cream</v>
      </c>
      <c r="E1257" s="4" t="s">
        <v>6</v>
      </c>
      <c r="F1257" s="57"/>
      <c r="G1257" s="4" t="str">
        <f t="shared" si="147"/>
        <v>Bodysuit</v>
      </c>
      <c r="H1257" s="38">
        <f t="shared" si="143"/>
        <v>6</v>
      </c>
      <c r="I1257" s="54">
        <f t="shared" si="141"/>
        <v>23</v>
      </c>
      <c r="J1257" s="14" t="str">
        <f t="shared" si="145"/>
        <v>FathersDay</v>
      </c>
      <c r="K1257" s="16" t="str">
        <f t="shared" si="148"/>
        <v>3-6</v>
      </c>
      <c r="L1257" s="14" t="str">
        <f t="shared" si="146"/>
        <v>Bodysuit | 3-6 | Cream</v>
      </c>
      <c r="M1257" s="16" t="s">
        <v>3611</v>
      </c>
    </row>
    <row r="1258" spans="1:13" ht="25" customHeight="1" x14ac:dyDescent="0.45">
      <c r="A1258" s="6">
        <v>46174</v>
      </c>
      <c r="B1258" s="3" t="s">
        <v>67</v>
      </c>
      <c r="C1258" s="4" t="s">
        <v>9</v>
      </c>
      <c r="D1258" s="53" t="str">
        <f t="shared" si="144"/>
        <v>Cream</v>
      </c>
      <c r="E1258" s="4" t="s">
        <v>6</v>
      </c>
      <c r="F1258" s="4" t="s">
        <v>7</v>
      </c>
      <c r="G1258" s="4" t="str">
        <f t="shared" si="147"/>
        <v>Bodysuit</v>
      </c>
      <c r="H1258" s="38">
        <f t="shared" si="143"/>
        <v>6</v>
      </c>
      <c r="I1258" s="54">
        <f t="shared" si="141"/>
        <v>23</v>
      </c>
      <c r="J1258" s="14" t="str">
        <f t="shared" si="145"/>
        <v>FathersDay</v>
      </c>
      <c r="K1258" s="16" t="str">
        <f t="shared" si="148"/>
        <v>3-6</v>
      </c>
      <c r="L1258" s="14" t="str">
        <f t="shared" si="146"/>
        <v>Bodysuit | 3-6 | Cream</v>
      </c>
      <c r="M1258" s="16" t="s">
        <v>3611</v>
      </c>
    </row>
    <row r="1259" spans="1:13" ht="25" customHeight="1" x14ac:dyDescent="0.45">
      <c r="A1259" s="6">
        <v>46174</v>
      </c>
      <c r="B1259" s="3" t="s">
        <v>68</v>
      </c>
      <c r="C1259" s="4" t="s">
        <v>9</v>
      </c>
      <c r="D1259" s="53" t="str">
        <f t="shared" si="144"/>
        <v>Cream</v>
      </c>
      <c r="E1259" s="4" t="s">
        <v>10</v>
      </c>
      <c r="F1259" s="4" t="s">
        <v>69</v>
      </c>
      <c r="G1259" s="4" t="str">
        <f t="shared" si="147"/>
        <v>Bodysuit</v>
      </c>
      <c r="H1259" s="38">
        <f t="shared" si="143"/>
        <v>6</v>
      </c>
      <c r="I1259" s="54">
        <f t="shared" si="141"/>
        <v>23</v>
      </c>
      <c r="J1259" s="14" t="str">
        <f t="shared" si="145"/>
        <v>FathersDay</v>
      </c>
      <c r="K1259" s="16" t="str">
        <f t="shared" si="148"/>
        <v>0-3</v>
      </c>
      <c r="L1259" s="14" t="str">
        <f t="shared" si="146"/>
        <v>Bodysuit | 0-3 | Cream</v>
      </c>
      <c r="M1259" s="16" t="s">
        <v>3610</v>
      </c>
    </row>
    <row r="1260" spans="1:13" ht="25" customHeight="1" x14ac:dyDescent="0.45">
      <c r="A1260" s="39">
        <v>46113</v>
      </c>
      <c r="B1260" s="19" t="s">
        <v>1328</v>
      </c>
      <c r="C1260" s="5" t="s">
        <v>1329</v>
      </c>
      <c r="D1260" s="53" t="str">
        <f t="shared" si="144"/>
        <v xml:space="preserve">Cream </v>
      </c>
      <c r="E1260" s="5" t="s">
        <v>6</v>
      </c>
      <c r="F1260" s="5" t="s">
        <v>7</v>
      </c>
      <c r="G1260" s="4" t="str">
        <f t="shared" si="147"/>
        <v>Bodysuit</v>
      </c>
      <c r="H1260" s="38">
        <f t="shared" ref="H1260:H1275" si="149">MONTH(A1260)</f>
        <v>4</v>
      </c>
      <c r="I1260" s="54">
        <f t="shared" si="141"/>
        <v>14</v>
      </c>
      <c r="J1260" s="14" t="str">
        <f t="shared" si="145"/>
        <v>Easter</v>
      </c>
      <c r="K1260" s="16" t="str">
        <f t="shared" si="148"/>
        <v>3-6</v>
      </c>
      <c r="L1260" s="14" t="str">
        <f t="shared" si="146"/>
        <v>Bodysuit | 3-6 | Cream</v>
      </c>
      <c r="M1260" s="16" t="s">
        <v>3611</v>
      </c>
    </row>
    <row r="1261" spans="1:13" ht="25" customHeight="1" x14ac:dyDescent="0.45">
      <c r="A1261" s="39">
        <v>46113</v>
      </c>
      <c r="B1261" s="19" t="s">
        <v>1330</v>
      </c>
      <c r="C1261" s="5" t="s">
        <v>1329</v>
      </c>
      <c r="D1261" s="53" t="str">
        <f t="shared" si="144"/>
        <v xml:space="preserve">Cream </v>
      </c>
      <c r="E1261" s="5" t="s">
        <v>10</v>
      </c>
      <c r="F1261" s="5" t="s">
        <v>7</v>
      </c>
      <c r="G1261" s="4" t="str">
        <f t="shared" si="147"/>
        <v>Bodysuit</v>
      </c>
      <c r="H1261" s="38">
        <f t="shared" si="149"/>
        <v>4</v>
      </c>
      <c r="I1261" s="54">
        <f t="shared" si="141"/>
        <v>14</v>
      </c>
      <c r="J1261" s="14" t="str">
        <f t="shared" si="145"/>
        <v>Easter</v>
      </c>
      <c r="K1261" s="16" t="str">
        <f t="shared" si="148"/>
        <v>0-3</v>
      </c>
      <c r="L1261" s="14" t="str">
        <f t="shared" si="146"/>
        <v>Bodysuit | 0-3 | Cream</v>
      </c>
      <c r="M1261" s="16" t="s">
        <v>3610</v>
      </c>
    </row>
    <row r="1262" spans="1:13" ht="25" customHeight="1" x14ac:dyDescent="0.45">
      <c r="A1262" s="39">
        <v>46113</v>
      </c>
      <c r="B1262" s="23" t="s">
        <v>1331</v>
      </c>
      <c r="C1262" s="5" t="s">
        <v>1332</v>
      </c>
      <c r="D1262" s="53" t="str">
        <f t="shared" si="144"/>
        <v xml:space="preserve">Light Pink </v>
      </c>
      <c r="E1262" s="5" t="s">
        <v>6</v>
      </c>
      <c r="F1262" s="5" t="s">
        <v>7</v>
      </c>
      <c r="G1262" s="4" t="str">
        <f t="shared" si="147"/>
        <v>Bodysuit</v>
      </c>
      <c r="H1262" s="38">
        <f t="shared" si="149"/>
        <v>4</v>
      </c>
      <c r="I1262" s="54">
        <f t="shared" si="141"/>
        <v>14</v>
      </c>
      <c r="J1262" s="14" t="str">
        <f t="shared" si="145"/>
        <v>Easter</v>
      </c>
      <c r="K1262" s="16" t="str">
        <f t="shared" si="148"/>
        <v>3-6</v>
      </c>
      <c r="L1262" s="14" t="str">
        <f t="shared" si="146"/>
        <v>Bodysuit | 3-6 | Light Pink</v>
      </c>
      <c r="M1262" s="16" t="s">
        <v>3610</v>
      </c>
    </row>
    <row r="1263" spans="1:13" ht="25" customHeight="1" x14ac:dyDescent="0.45">
      <c r="A1263" s="39">
        <v>46117</v>
      </c>
      <c r="B1263" s="19" t="s">
        <v>1333</v>
      </c>
      <c r="C1263" s="5" t="s">
        <v>9</v>
      </c>
      <c r="D1263" s="53" t="str">
        <f t="shared" si="144"/>
        <v>Cream</v>
      </c>
      <c r="E1263" s="5" t="s">
        <v>6</v>
      </c>
      <c r="F1263" s="5" t="s">
        <v>7</v>
      </c>
      <c r="G1263" s="4" t="str">
        <f t="shared" si="147"/>
        <v>Bodysuit</v>
      </c>
      <c r="H1263" s="38">
        <f t="shared" si="149"/>
        <v>4</v>
      </c>
      <c r="I1263" s="54">
        <f t="shared" ref="I1263:I1326" si="150">WEEKNUM(A1263)</f>
        <v>15</v>
      </c>
      <c r="J1263" s="14" t="str">
        <f t="shared" si="145"/>
        <v>Easter</v>
      </c>
      <c r="K1263" s="16" t="str">
        <f t="shared" si="148"/>
        <v>3-6</v>
      </c>
      <c r="L1263" s="14" t="str">
        <f t="shared" si="146"/>
        <v>Bodysuit | 3-6 | Cream</v>
      </c>
      <c r="M1263" s="16" t="s">
        <v>3611</v>
      </c>
    </row>
    <row r="1264" spans="1:13" ht="25" customHeight="1" x14ac:dyDescent="0.45">
      <c r="A1264" s="39">
        <v>46117</v>
      </c>
      <c r="B1264" s="19" t="s">
        <v>1334</v>
      </c>
      <c r="C1264" s="5" t="s">
        <v>1335</v>
      </c>
      <c r="D1264" s="53" t="str">
        <f t="shared" si="144"/>
        <v xml:space="preserve">Caldet Blue </v>
      </c>
      <c r="E1264" s="5" t="s">
        <v>1336</v>
      </c>
      <c r="F1264" s="5" t="s">
        <v>7</v>
      </c>
      <c r="G1264" s="4" t="str">
        <f t="shared" si="147"/>
        <v>Romper Short</v>
      </c>
      <c r="H1264" s="38">
        <f t="shared" si="149"/>
        <v>4</v>
      </c>
      <c r="I1264" s="54">
        <f t="shared" si="150"/>
        <v>15</v>
      </c>
      <c r="J1264" s="14" t="str">
        <f t="shared" si="145"/>
        <v>Easter</v>
      </c>
      <c r="K1264" s="16" t="str">
        <f>TRIM(LEFT(E1264,FIND("(",E1264&amp;"(")-8))</f>
        <v>3-6</v>
      </c>
      <c r="L1264" s="14" t="str">
        <f t="shared" si="146"/>
        <v>Romper Short | 3-6 | Caldet Blue</v>
      </c>
      <c r="M1264" s="16" t="s">
        <v>3610</v>
      </c>
    </row>
    <row r="1265" spans="1:13" ht="25" customHeight="1" x14ac:dyDescent="0.45">
      <c r="A1265" s="39">
        <v>46117</v>
      </c>
      <c r="B1265" s="19" t="s">
        <v>1337</v>
      </c>
      <c r="C1265" s="5" t="s">
        <v>1329</v>
      </c>
      <c r="D1265" s="53" t="str">
        <f t="shared" si="144"/>
        <v xml:space="preserve">Cream </v>
      </c>
      <c r="E1265" s="5" t="s">
        <v>1338</v>
      </c>
      <c r="F1265" s="5" t="s">
        <v>19</v>
      </c>
      <c r="G1265" s="4" t="str">
        <f t="shared" si="147"/>
        <v>Romper Longer</v>
      </c>
      <c r="H1265" s="38">
        <f t="shared" si="149"/>
        <v>4</v>
      </c>
      <c r="I1265" s="54">
        <f t="shared" si="150"/>
        <v>15</v>
      </c>
      <c r="J1265" s="14" t="str">
        <f t="shared" si="145"/>
        <v>Easter</v>
      </c>
      <c r="K1265" s="16" t="str">
        <f>TRIM(LEFT(E1265,FIND("(",E1265&amp;"(")-7))</f>
        <v>0-3</v>
      </c>
      <c r="L1265" s="14" t="str">
        <f t="shared" si="146"/>
        <v>Romper Longer | 0-3 | Cream</v>
      </c>
      <c r="M1265" s="16" t="s">
        <v>3609</v>
      </c>
    </row>
    <row r="1266" spans="1:13" ht="25" customHeight="1" x14ac:dyDescent="0.45">
      <c r="A1266" s="39">
        <v>46119</v>
      </c>
      <c r="B1266" s="19" t="s">
        <v>1339</v>
      </c>
      <c r="C1266" s="5" t="s">
        <v>5</v>
      </c>
      <c r="D1266" s="53" t="str">
        <f t="shared" si="144"/>
        <v>Light Blue</v>
      </c>
      <c r="E1266" s="5" t="s">
        <v>6</v>
      </c>
      <c r="F1266" s="5" t="s">
        <v>7</v>
      </c>
      <c r="G1266" s="4" t="str">
        <f t="shared" si="147"/>
        <v>Bodysuit</v>
      </c>
      <c r="H1266" s="38">
        <f t="shared" si="149"/>
        <v>4</v>
      </c>
      <c r="I1266" s="54">
        <f t="shared" si="150"/>
        <v>15</v>
      </c>
      <c r="J1266" s="14" t="str">
        <f t="shared" si="145"/>
        <v>Easter</v>
      </c>
      <c r="K1266" s="16" t="str">
        <f>TRIM(LEFT(E1266,FIND("(",E1266&amp;"(")-7))</f>
        <v>3-6</v>
      </c>
      <c r="L1266" s="14" t="str">
        <f t="shared" si="146"/>
        <v>Bodysuit | 3-6 | Light Blue</v>
      </c>
      <c r="M1266" s="16" t="s">
        <v>3610</v>
      </c>
    </row>
    <row r="1267" spans="1:13" ht="25" customHeight="1" x14ac:dyDescent="0.45">
      <c r="A1267" s="39">
        <v>46120</v>
      </c>
      <c r="B1267" s="19" t="s">
        <v>1340</v>
      </c>
      <c r="C1267" s="5" t="s">
        <v>1341</v>
      </c>
      <c r="D1267" s="53" t="str">
        <f t="shared" si="144"/>
        <v xml:space="preserve">Dusty Pink </v>
      </c>
      <c r="E1267" s="5" t="s">
        <v>1342</v>
      </c>
      <c r="F1267" s="5" t="s">
        <v>19</v>
      </c>
      <c r="G1267" s="4" t="str">
        <f t="shared" si="147"/>
        <v>Romper Longer</v>
      </c>
      <c r="H1267" s="38">
        <f t="shared" si="149"/>
        <v>4</v>
      </c>
      <c r="I1267" s="54">
        <f t="shared" si="150"/>
        <v>15</v>
      </c>
      <c r="J1267" s="14" t="str">
        <f t="shared" si="145"/>
        <v>Easter</v>
      </c>
      <c r="K1267" s="16" t="str">
        <f>TRIM(LEFT(E1267,FIND("(",E1267&amp;"(")-7))</f>
        <v>3-6</v>
      </c>
      <c r="L1267" s="14" t="str">
        <f t="shared" si="146"/>
        <v>Romper Longer | 3-6 | Dusty Pink</v>
      </c>
      <c r="M1267" s="16" t="s">
        <v>3610</v>
      </c>
    </row>
    <row r="1268" spans="1:13" ht="25" customHeight="1" x14ac:dyDescent="0.45">
      <c r="A1268" s="39">
        <v>46120</v>
      </c>
      <c r="B1268" s="19" t="s">
        <v>1343</v>
      </c>
      <c r="C1268" s="5" t="s">
        <v>1344</v>
      </c>
      <c r="D1268" s="53" t="str">
        <f t="shared" si="144"/>
        <v xml:space="preserve">Light Blue </v>
      </c>
      <c r="E1268" s="5" t="s">
        <v>6</v>
      </c>
      <c r="F1268" s="5" t="s">
        <v>18</v>
      </c>
      <c r="G1268" s="4" t="str">
        <f t="shared" si="147"/>
        <v>Bodysuit</v>
      </c>
      <c r="H1268" s="38">
        <f t="shared" si="149"/>
        <v>4</v>
      </c>
      <c r="I1268" s="54">
        <f t="shared" si="150"/>
        <v>15</v>
      </c>
      <c r="J1268" s="14" t="str">
        <f t="shared" si="145"/>
        <v>Easter</v>
      </c>
      <c r="K1268" s="16" t="str">
        <f>TRIM(LEFT(E1268,FIND("(",E1268&amp;"(")-7))</f>
        <v>3-6</v>
      </c>
      <c r="L1268" s="14" t="str">
        <f t="shared" si="146"/>
        <v>Bodysuit | 3-6 | Light Blue</v>
      </c>
      <c r="M1268" s="16" t="s">
        <v>3610</v>
      </c>
    </row>
    <row r="1269" spans="1:13" ht="25" customHeight="1" x14ac:dyDescent="0.45">
      <c r="A1269" s="39">
        <v>46120</v>
      </c>
      <c r="B1269" s="19" t="s">
        <v>1345</v>
      </c>
      <c r="C1269" s="5" t="s">
        <v>1332</v>
      </c>
      <c r="D1269" s="53" t="str">
        <f t="shared" si="144"/>
        <v xml:space="preserve">Light Pink </v>
      </c>
      <c r="E1269" s="5" t="s">
        <v>10</v>
      </c>
      <c r="F1269" s="5" t="s">
        <v>7</v>
      </c>
      <c r="G1269" s="4" t="str">
        <f t="shared" si="147"/>
        <v>Bodysuit</v>
      </c>
      <c r="H1269" s="38">
        <f t="shared" si="149"/>
        <v>4</v>
      </c>
      <c r="I1269" s="54">
        <f t="shared" si="150"/>
        <v>15</v>
      </c>
      <c r="J1269" s="14" t="str">
        <f t="shared" si="145"/>
        <v>Easter</v>
      </c>
      <c r="K1269" s="16" t="str">
        <f>TRIM(LEFT(E1269,FIND("(",E1269&amp;"(")-7))</f>
        <v>0-3</v>
      </c>
      <c r="L1269" s="14" t="str">
        <f t="shared" si="146"/>
        <v>Bodysuit | 0-3 | Light Pink</v>
      </c>
      <c r="M1269" s="16" t="s">
        <v>3610</v>
      </c>
    </row>
    <row r="1270" spans="1:13" ht="25" customHeight="1" x14ac:dyDescent="0.45">
      <c r="A1270" s="39">
        <v>46122</v>
      </c>
      <c r="B1270" s="23" t="s">
        <v>1346</v>
      </c>
      <c r="C1270" s="5" t="s">
        <v>1347</v>
      </c>
      <c r="D1270" s="53" t="str">
        <f t="shared" si="144"/>
        <v xml:space="preserve">White </v>
      </c>
      <c r="E1270" s="5" t="s">
        <v>1348</v>
      </c>
      <c r="F1270" s="5" t="s">
        <v>19</v>
      </c>
      <c r="G1270" s="4" t="str">
        <f t="shared" si="147"/>
        <v>Romper Longer</v>
      </c>
      <c r="H1270" s="38">
        <f t="shared" si="149"/>
        <v>4</v>
      </c>
      <c r="I1270" s="54">
        <f t="shared" si="150"/>
        <v>15</v>
      </c>
      <c r="J1270" s="14" t="str">
        <f t="shared" si="145"/>
        <v>Easter</v>
      </c>
      <c r="K1270" s="16" t="str">
        <f>TRIM(LEFT(E1270,FIND("(",E1270&amp;"(")-3))</f>
        <v>12-18</v>
      </c>
      <c r="L1270" s="14" t="str">
        <f t="shared" si="146"/>
        <v>Romper Longer | 12-18 | White</v>
      </c>
      <c r="M1270" s="16" t="s">
        <v>3610</v>
      </c>
    </row>
    <row r="1271" spans="1:13" ht="25" customHeight="1" x14ac:dyDescent="0.45">
      <c r="A1271" s="8">
        <v>46122</v>
      </c>
      <c r="B1271" s="19" t="s">
        <v>1327</v>
      </c>
      <c r="C1271" s="5" t="s">
        <v>1344</v>
      </c>
      <c r="D1271" s="53" t="str">
        <f t="shared" si="144"/>
        <v xml:space="preserve">Light Blue </v>
      </c>
      <c r="E1271" s="5" t="s">
        <v>6</v>
      </c>
      <c r="F1271" s="5" t="s">
        <v>7</v>
      </c>
      <c r="G1271" s="4" t="str">
        <f t="shared" si="147"/>
        <v>Bodysuit</v>
      </c>
      <c r="H1271" s="38">
        <f t="shared" si="149"/>
        <v>4</v>
      </c>
      <c r="I1271" s="54">
        <f t="shared" si="150"/>
        <v>15</v>
      </c>
      <c r="J1271" s="14" t="str">
        <f t="shared" si="145"/>
        <v>Easter</v>
      </c>
      <c r="K1271" s="16" t="str">
        <f>TRIM(LEFT(E1271,FIND("(",E1271&amp;"(")-7))</f>
        <v>3-6</v>
      </c>
      <c r="L1271" s="14" t="str">
        <f t="shared" si="146"/>
        <v>Bodysuit | 3-6 | Light Blue</v>
      </c>
      <c r="M1271" s="16" t="s">
        <v>3610</v>
      </c>
    </row>
    <row r="1272" spans="1:13" ht="25" customHeight="1" x14ac:dyDescent="0.45">
      <c r="A1272" s="39">
        <v>46122</v>
      </c>
      <c r="B1272" s="19" t="s">
        <v>1349</v>
      </c>
      <c r="C1272" s="5" t="s">
        <v>1332</v>
      </c>
      <c r="D1272" s="53" t="str">
        <f t="shared" si="144"/>
        <v xml:space="preserve">Light Pink </v>
      </c>
      <c r="E1272" s="5" t="s">
        <v>6</v>
      </c>
      <c r="F1272" s="5" t="s">
        <v>7</v>
      </c>
      <c r="G1272" s="4" t="str">
        <f t="shared" si="147"/>
        <v>Bodysuit</v>
      </c>
      <c r="H1272" s="38">
        <f t="shared" si="149"/>
        <v>4</v>
      </c>
      <c r="I1272" s="54">
        <f t="shared" si="150"/>
        <v>15</v>
      </c>
      <c r="J1272" s="14" t="str">
        <f t="shared" si="145"/>
        <v>Easter</v>
      </c>
      <c r="K1272" s="16" t="str">
        <f>TRIM(LEFT(E1272,FIND("(",E1272&amp;"(")-7))</f>
        <v>3-6</v>
      </c>
      <c r="L1272" s="14" t="str">
        <f t="shared" si="146"/>
        <v>Bodysuit | 3-6 | Light Pink</v>
      </c>
      <c r="M1272" s="16" t="s">
        <v>3610</v>
      </c>
    </row>
    <row r="1273" spans="1:13" ht="25" customHeight="1" x14ac:dyDescent="0.45">
      <c r="A1273" s="39">
        <v>46122</v>
      </c>
      <c r="B1273" s="19" t="s">
        <v>1350</v>
      </c>
      <c r="C1273" s="5" t="s">
        <v>1351</v>
      </c>
      <c r="D1273" s="53" t="str">
        <f t="shared" si="144"/>
        <v xml:space="preserve">Forest Green </v>
      </c>
      <c r="E1273" s="5" t="s">
        <v>1352</v>
      </c>
      <c r="F1273" s="5" t="s">
        <v>7</v>
      </c>
      <c r="G1273" s="4" t="str">
        <f t="shared" si="147"/>
        <v>Romper Longer</v>
      </c>
      <c r="H1273" s="38">
        <f t="shared" si="149"/>
        <v>4</v>
      </c>
      <c r="I1273" s="54">
        <f t="shared" si="150"/>
        <v>15</v>
      </c>
      <c r="J1273" s="14" t="str">
        <f t="shared" si="145"/>
        <v>Easter</v>
      </c>
      <c r="K1273" s="16" t="str">
        <f>TRIM(LEFT(E1273,FIND("(",E1273&amp;"(")-8))</f>
        <v>0-3</v>
      </c>
      <c r="L1273" s="14" t="str">
        <f t="shared" si="146"/>
        <v>Romper Longer | 0-3 | Forest Green</v>
      </c>
      <c r="M1273" s="16" t="s">
        <v>3610</v>
      </c>
    </row>
    <row r="1274" spans="1:13" ht="25" customHeight="1" x14ac:dyDescent="0.45">
      <c r="A1274" s="39">
        <v>46122</v>
      </c>
      <c r="B1274" s="19" t="s">
        <v>1350</v>
      </c>
      <c r="C1274" s="5" t="s">
        <v>1351</v>
      </c>
      <c r="D1274" s="53" t="str">
        <f t="shared" si="144"/>
        <v xml:space="preserve">Forest Green </v>
      </c>
      <c r="E1274" s="5" t="s">
        <v>1352</v>
      </c>
      <c r="F1274" s="5" t="s">
        <v>7</v>
      </c>
      <c r="G1274" s="4" t="str">
        <f t="shared" si="147"/>
        <v>Romper Longer</v>
      </c>
      <c r="H1274" s="38">
        <f t="shared" si="149"/>
        <v>4</v>
      </c>
      <c r="I1274" s="54">
        <f t="shared" si="150"/>
        <v>15</v>
      </c>
      <c r="J1274" s="14" t="str">
        <f t="shared" si="145"/>
        <v>Easter</v>
      </c>
      <c r="K1274" s="16" t="str">
        <f>TRIM(LEFT(E1274,FIND("(",E1274&amp;"(")-8))</f>
        <v>0-3</v>
      </c>
      <c r="L1274" s="14" t="str">
        <f t="shared" si="146"/>
        <v>Romper Longer | 0-3 | Forest Green</v>
      </c>
      <c r="M1274" s="16" t="s">
        <v>3610</v>
      </c>
    </row>
    <row r="1275" spans="1:13" ht="25" customHeight="1" x14ac:dyDescent="0.45">
      <c r="A1275" s="39">
        <v>46123</v>
      </c>
      <c r="B1275" s="19" t="s">
        <v>1350</v>
      </c>
      <c r="C1275" s="5" t="s">
        <v>1347</v>
      </c>
      <c r="D1275" s="53" t="str">
        <f t="shared" si="144"/>
        <v xml:space="preserve">White </v>
      </c>
      <c r="E1275" s="5" t="s">
        <v>1353</v>
      </c>
      <c r="F1275" s="5" t="s">
        <v>7</v>
      </c>
      <c r="G1275" s="4" t="str">
        <f t="shared" si="147"/>
        <v>Romper Short</v>
      </c>
      <c r="H1275" s="38">
        <f t="shared" si="149"/>
        <v>4</v>
      </c>
      <c r="I1275" s="54">
        <f t="shared" si="150"/>
        <v>15</v>
      </c>
      <c r="J1275" s="14" t="str">
        <f t="shared" si="145"/>
        <v>Easter</v>
      </c>
      <c r="K1275" s="16" t="str">
        <f>TRIM(LEFT(E1275,FIND("(",E1275&amp;"(")-2))</f>
        <v>6-12</v>
      </c>
      <c r="L1275" s="14" t="str">
        <f t="shared" si="146"/>
        <v>Romper Short | 6-12 | White</v>
      </c>
      <c r="M1275" s="16" t="s">
        <v>3610</v>
      </c>
    </row>
    <row r="1276" spans="1:13" ht="25" customHeight="1" x14ac:dyDescent="0.45">
      <c r="A1276" s="39">
        <v>46123</v>
      </c>
      <c r="B1276" s="19" t="s">
        <v>1350</v>
      </c>
      <c r="C1276" s="5" t="s">
        <v>1329</v>
      </c>
      <c r="D1276" s="53" t="str">
        <f t="shared" si="144"/>
        <v xml:space="preserve">Cream </v>
      </c>
      <c r="E1276" s="5" t="s">
        <v>1354</v>
      </c>
      <c r="F1276" s="5" t="s">
        <v>7</v>
      </c>
      <c r="G1276" s="4" t="str">
        <f t="shared" si="147"/>
        <v>Romper Longer</v>
      </c>
      <c r="H1276" s="38">
        <f t="shared" ref="H1276:H1283" si="151">MONTH(A1276)</f>
        <v>4</v>
      </c>
      <c r="I1276" s="54">
        <f t="shared" si="150"/>
        <v>15</v>
      </c>
      <c r="J1276" s="14" t="str">
        <f t="shared" si="145"/>
        <v>Easter</v>
      </c>
      <c r="K1276" s="16" t="str">
        <f>TRIM(LEFT(E1276,FIND("(",E1276&amp;"(")-8))</f>
        <v>0-3</v>
      </c>
      <c r="L1276" s="14" t="str">
        <f t="shared" si="146"/>
        <v>Romper Longer | 0-3 | Cream</v>
      </c>
      <c r="M1276" s="16" t="s">
        <v>3609</v>
      </c>
    </row>
    <row r="1277" spans="1:13" ht="25" customHeight="1" x14ac:dyDescent="0.45">
      <c r="A1277" s="39">
        <v>46123</v>
      </c>
      <c r="B1277" s="19" t="s">
        <v>1350</v>
      </c>
      <c r="C1277" s="40" t="s">
        <v>9</v>
      </c>
      <c r="D1277" s="53" t="str">
        <f t="shared" si="144"/>
        <v>Cream</v>
      </c>
      <c r="E1277" s="5" t="s">
        <v>1355</v>
      </c>
      <c r="F1277" s="5" t="s">
        <v>7</v>
      </c>
      <c r="G1277" s="4" t="str">
        <f t="shared" si="147"/>
        <v>Romper Short</v>
      </c>
      <c r="H1277" s="38">
        <f t="shared" si="151"/>
        <v>4</v>
      </c>
      <c r="I1277" s="54">
        <f t="shared" si="150"/>
        <v>15</v>
      </c>
      <c r="J1277" s="14" t="str">
        <f t="shared" si="145"/>
        <v>Easter</v>
      </c>
      <c r="K1277" s="16" t="str">
        <f>TRIM(LEFT(E1277,FIND("(",E1277&amp;"(")-2))</f>
        <v>18-24</v>
      </c>
      <c r="L1277" s="14" t="str">
        <f t="shared" si="146"/>
        <v>Romper Short | 18-24 | Cream</v>
      </c>
      <c r="M1277" s="16" t="s">
        <v>3610</v>
      </c>
    </row>
    <row r="1278" spans="1:13" ht="25" customHeight="1" x14ac:dyDescent="0.45">
      <c r="A1278" s="39">
        <v>46124</v>
      </c>
      <c r="B1278" s="19" t="s">
        <v>1350</v>
      </c>
      <c r="C1278" s="40" t="s">
        <v>9</v>
      </c>
      <c r="D1278" s="53" t="str">
        <f t="shared" si="144"/>
        <v>Cream</v>
      </c>
      <c r="E1278" s="5" t="s">
        <v>1356</v>
      </c>
      <c r="F1278" s="5" t="s">
        <v>7</v>
      </c>
      <c r="G1278" s="4" t="str">
        <f t="shared" si="147"/>
        <v>Romper Short</v>
      </c>
      <c r="H1278" s="38">
        <f t="shared" si="151"/>
        <v>4</v>
      </c>
      <c r="I1278" s="54">
        <f t="shared" si="150"/>
        <v>16</v>
      </c>
      <c r="J1278" s="14" t="str">
        <f t="shared" si="145"/>
        <v>Easter</v>
      </c>
      <c r="K1278" s="16" t="str">
        <f>TRIM(LEFT(E1278,FIND("(",E1278&amp;"(")-8))</f>
        <v>0-3</v>
      </c>
      <c r="L1278" s="14" t="str">
        <f t="shared" si="146"/>
        <v>Romper Short | 0-3 | Cream</v>
      </c>
      <c r="M1278" s="16" t="s">
        <v>3609</v>
      </c>
    </row>
    <row r="1279" spans="1:13" ht="25" customHeight="1" x14ac:dyDescent="0.45">
      <c r="A1279" s="39">
        <v>46124</v>
      </c>
      <c r="B1279" s="19" t="s">
        <v>1357</v>
      </c>
      <c r="C1279" s="40" t="s">
        <v>1329</v>
      </c>
      <c r="D1279" s="53" t="str">
        <f t="shared" si="144"/>
        <v xml:space="preserve">Cream </v>
      </c>
      <c r="E1279" s="5" t="s">
        <v>10</v>
      </c>
      <c r="F1279" s="5" t="s">
        <v>7</v>
      </c>
      <c r="G1279" s="4" t="str">
        <f t="shared" si="147"/>
        <v>Bodysuit</v>
      </c>
      <c r="H1279" s="38">
        <f t="shared" si="151"/>
        <v>4</v>
      </c>
      <c r="I1279" s="54">
        <f t="shared" si="150"/>
        <v>16</v>
      </c>
      <c r="J1279" s="14" t="str">
        <f t="shared" si="145"/>
        <v>Easter</v>
      </c>
      <c r="K1279" s="16" t="str">
        <f>TRIM(LEFT(E1279,FIND("(",E1279&amp;"(")-7))</f>
        <v>0-3</v>
      </c>
      <c r="L1279" s="14" t="str">
        <f t="shared" si="146"/>
        <v>Bodysuit | 0-3 | Cream</v>
      </c>
      <c r="M1279" s="16" t="s">
        <v>3610</v>
      </c>
    </row>
    <row r="1280" spans="1:13" ht="25" customHeight="1" x14ac:dyDescent="0.45">
      <c r="A1280" s="8">
        <v>46105</v>
      </c>
      <c r="B1280" s="19" t="s">
        <v>1326</v>
      </c>
      <c r="C1280" s="5" t="s">
        <v>1329</v>
      </c>
      <c r="D1280" s="53" t="str">
        <f t="shared" si="144"/>
        <v xml:space="preserve">Cream </v>
      </c>
      <c r="E1280" s="5" t="s">
        <v>6</v>
      </c>
      <c r="F1280" s="5" t="s">
        <v>19</v>
      </c>
      <c r="G1280" s="4" t="str">
        <f t="shared" si="147"/>
        <v>Bodysuit</v>
      </c>
      <c r="H1280" s="38">
        <f t="shared" si="151"/>
        <v>3</v>
      </c>
      <c r="I1280" s="54">
        <f t="shared" si="150"/>
        <v>13</v>
      </c>
      <c r="J1280" s="14" t="str">
        <f t="shared" si="145"/>
        <v>Easter</v>
      </c>
      <c r="K1280" s="16" t="str">
        <f>TRIM(LEFT(E1280,FIND("(",E1280&amp;"(")-7))</f>
        <v>3-6</v>
      </c>
      <c r="L1280" s="14" t="str">
        <f t="shared" si="146"/>
        <v>Bodysuit | 3-6 | Cream</v>
      </c>
      <c r="M1280" s="16" t="s">
        <v>3611</v>
      </c>
    </row>
    <row r="1281" spans="1:13" ht="25" customHeight="1" x14ac:dyDescent="0.45">
      <c r="A1281" s="39">
        <v>46125</v>
      </c>
      <c r="B1281" s="19" t="s">
        <v>1358</v>
      </c>
      <c r="C1281" s="40" t="s">
        <v>110</v>
      </c>
      <c r="D1281" s="53" t="str">
        <f t="shared" si="144"/>
        <v>Sage Green</v>
      </c>
      <c r="E1281" s="5" t="s">
        <v>1359</v>
      </c>
      <c r="F1281" s="5" t="s">
        <v>7</v>
      </c>
      <c r="G1281" s="4" t="str">
        <f t="shared" si="147"/>
        <v>Romper Short</v>
      </c>
      <c r="H1281" s="38">
        <f t="shared" si="151"/>
        <v>4</v>
      </c>
      <c r="I1281" s="54">
        <f t="shared" si="150"/>
        <v>16</v>
      </c>
      <c r="J1281" s="14" t="str">
        <f t="shared" si="145"/>
        <v>Easter</v>
      </c>
      <c r="K1281" s="16" t="str">
        <f>TRIM(LEFT(E1281,FIND("(",E1281&amp;"(")-2))</f>
        <v>6-12</v>
      </c>
      <c r="L1281" s="14" t="str">
        <f t="shared" si="146"/>
        <v>Romper Short | 6-12 | Sage Green</v>
      </c>
      <c r="M1281" s="16" t="s">
        <v>3610</v>
      </c>
    </row>
    <row r="1282" spans="1:13" ht="25" customHeight="1" x14ac:dyDescent="0.45">
      <c r="A1282" s="39">
        <v>46126</v>
      </c>
      <c r="B1282" s="19" t="s">
        <v>1360</v>
      </c>
      <c r="C1282" s="5" t="s">
        <v>1329</v>
      </c>
      <c r="D1282" s="53" t="str">
        <f t="shared" si="144"/>
        <v xml:space="preserve">Cream </v>
      </c>
      <c r="E1282" s="5" t="s">
        <v>1361</v>
      </c>
      <c r="F1282" s="5" t="s">
        <v>7</v>
      </c>
      <c r="G1282" s="4" t="str">
        <f t="shared" si="147"/>
        <v>Romper Short</v>
      </c>
      <c r="H1282" s="38">
        <f t="shared" si="151"/>
        <v>4</v>
      </c>
      <c r="I1282" s="54">
        <f t="shared" si="150"/>
        <v>16</v>
      </c>
      <c r="J1282" s="14" t="str">
        <f t="shared" si="145"/>
        <v>Easter</v>
      </c>
      <c r="K1282" s="16" t="str">
        <f>TRIM(LEFT(E1282,FIND("(",E1282&amp;"(")-2))</f>
        <v>12-18</v>
      </c>
      <c r="L1282" s="14" t="str">
        <f t="shared" si="146"/>
        <v>Romper Short | 12-18 | Cream</v>
      </c>
      <c r="M1282" s="16" t="s">
        <v>3610</v>
      </c>
    </row>
    <row r="1283" spans="1:13" ht="25" customHeight="1" x14ac:dyDescent="0.45">
      <c r="A1283" s="39">
        <v>46127</v>
      </c>
      <c r="B1283" s="19" t="s">
        <v>1362</v>
      </c>
      <c r="C1283" s="40" t="s">
        <v>110</v>
      </c>
      <c r="D1283" s="53" t="str">
        <f t="shared" ref="D1283:D1346" si="152">PROPER(C1283)</f>
        <v>Sage Green</v>
      </c>
      <c r="E1283" s="5" t="s">
        <v>1363</v>
      </c>
      <c r="F1283" s="5" t="s">
        <v>7</v>
      </c>
      <c r="G1283" s="4" t="str">
        <f t="shared" si="147"/>
        <v>Romper Longer</v>
      </c>
      <c r="H1283" s="38">
        <f t="shared" si="151"/>
        <v>4</v>
      </c>
      <c r="I1283" s="54">
        <f t="shared" si="150"/>
        <v>16</v>
      </c>
      <c r="J1283" s="14" t="str">
        <f t="shared" ref="J1283:J1346" si="153">IF(H1283=1,"NewYear",
IF(H1283=2,"Valentine",
IF(OR(H1283=3,H1283=4),"Easter",
IF(H1283=5,"MothersDay",
IF(H1283=6,"FathersDay",
IF(OR(H1283=7,H1283=8),"Summer",
IF(H1283=10,"Halloween",
IF(OR(H1283=11,H1283=12),"Christmas","Normal"))))))))</f>
        <v>Easter</v>
      </c>
      <c r="K1283" s="16" t="str">
        <f t="shared" ref="K1283:K1289" si="154">TRIM(LEFT(E1283,FIND("(",E1283&amp;"(")-7))</f>
        <v>0-3</v>
      </c>
      <c r="L1283" s="14" t="str">
        <f t="shared" ref="L1283:L1346" si="155">TRIM(G1283)&amp;" | "&amp;TRIM(K1283)&amp;" | "&amp;PROPER(TRIM(D1283))</f>
        <v>Romper Longer | 0-3 | Sage Green</v>
      </c>
      <c r="M1283" s="16" t="s">
        <v>3611</v>
      </c>
    </row>
    <row r="1284" spans="1:13" ht="25" customHeight="1" x14ac:dyDescent="0.45">
      <c r="A1284" s="39">
        <v>46127</v>
      </c>
      <c r="B1284" s="19" t="s">
        <v>1364</v>
      </c>
      <c r="C1284" s="5" t="s">
        <v>1332</v>
      </c>
      <c r="D1284" s="53" t="str">
        <f t="shared" si="152"/>
        <v xml:space="preserve">Light Pink </v>
      </c>
      <c r="E1284" s="5" t="s">
        <v>10</v>
      </c>
      <c r="F1284" s="5" t="s">
        <v>7</v>
      </c>
      <c r="G1284" s="4" t="str">
        <f t="shared" si="147"/>
        <v>Bodysuit</v>
      </c>
      <c r="H1284" s="38">
        <f t="shared" ref="H1284:H1347" si="156">MONTH(A1284)</f>
        <v>4</v>
      </c>
      <c r="I1284" s="54">
        <f t="shared" si="150"/>
        <v>16</v>
      </c>
      <c r="J1284" s="14" t="str">
        <f t="shared" si="153"/>
        <v>Easter</v>
      </c>
      <c r="K1284" s="16" t="str">
        <f t="shared" si="154"/>
        <v>0-3</v>
      </c>
      <c r="L1284" s="14" t="str">
        <f t="shared" si="155"/>
        <v>Bodysuit | 0-3 | Light Pink</v>
      </c>
      <c r="M1284" s="16" t="s">
        <v>3610</v>
      </c>
    </row>
    <row r="1285" spans="1:13" ht="25" customHeight="1" x14ac:dyDescent="0.45">
      <c r="A1285" s="39">
        <v>46127</v>
      </c>
      <c r="B1285" s="19" t="s">
        <v>1364</v>
      </c>
      <c r="C1285" s="5" t="s">
        <v>5</v>
      </c>
      <c r="D1285" s="53" t="str">
        <f t="shared" si="152"/>
        <v>Light Blue</v>
      </c>
      <c r="E1285" s="5" t="s">
        <v>10</v>
      </c>
      <c r="F1285" s="5" t="s">
        <v>7</v>
      </c>
      <c r="G1285" s="4" t="str">
        <f t="shared" si="147"/>
        <v>Bodysuit</v>
      </c>
      <c r="H1285" s="38">
        <f t="shared" si="156"/>
        <v>4</v>
      </c>
      <c r="I1285" s="54">
        <f t="shared" si="150"/>
        <v>16</v>
      </c>
      <c r="J1285" s="14" t="str">
        <f t="shared" si="153"/>
        <v>Easter</v>
      </c>
      <c r="K1285" s="16" t="str">
        <f t="shared" si="154"/>
        <v>0-3</v>
      </c>
      <c r="L1285" s="14" t="str">
        <f t="shared" si="155"/>
        <v>Bodysuit | 0-3 | Light Blue</v>
      </c>
      <c r="M1285" s="16" t="s">
        <v>3610</v>
      </c>
    </row>
    <row r="1286" spans="1:13" ht="25" customHeight="1" x14ac:dyDescent="0.45">
      <c r="A1286" s="39">
        <v>46128</v>
      </c>
      <c r="B1286" s="19" t="s">
        <v>1365</v>
      </c>
      <c r="C1286" s="40" t="s">
        <v>1344</v>
      </c>
      <c r="D1286" s="53" t="str">
        <f>PROPER(C1286)</f>
        <v xml:space="preserve">Light Blue </v>
      </c>
      <c r="E1286" s="5" t="s">
        <v>10</v>
      </c>
      <c r="F1286" s="5" t="s">
        <v>7</v>
      </c>
      <c r="G1286" s="4" t="str">
        <f t="shared" si="147"/>
        <v>Bodysuit</v>
      </c>
      <c r="H1286" s="38">
        <f t="shared" si="156"/>
        <v>4</v>
      </c>
      <c r="I1286" s="54">
        <f t="shared" si="150"/>
        <v>16</v>
      </c>
      <c r="J1286" s="14" t="str">
        <f t="shared" si="153"/>
        <v>Easter</v>
      </c>
      <c r="K1286" s="16" t="str">
        <f t="shared" si="154"/>
        <v>0-3</v>
      </c>
      <c r="L1286" s="14" t="str">
        <f t="shared" si="155"/>
        <v>Bodysuit | 0-3 | Light Blue</v>
      </c>
      <c r="M1286" s="16" t="s">
        <v>3610</v>
      </c>
    </row>
    <row r="1287" spans="1:13" ht="25" customHeight="1" x14ac:dyDescent="0.45">
      <c r="A1287" s="39">
        <v>46129</v>
      </c>
      <c r="B1287" s="19" t="s">
        <v>1366</v>
      </c>
      <c r="C1287" s="5" t="s">
        <v>1344</v>
      </c>
      <c r="D1287" s="53" t="str">
        <f t="shared" si="152"/>
        <v xml:space="preserve">Light Blue </v>
      </c>
      <c r="E1287" s="5" t="s">
        <v>10</v>
      </c>
      <c r="F1287" s="5" t="s">
        <v>7</v>
      </c>
      <c r="G1287" s="4" t="str">
        <f t="shared" si="147"/>
        <v>Bodysuit</v>
      </c>
      <c r="H1287" s="38">
        <f t="shared" si="156"/>
        <v>4</v>
      </c>
      <c r="I1287" s="54">
        <f t="shared" si="150"/>
        <v>16</v>
      </c>
      <c r="J1287" s="14" t="str">
        <f t="shared" si="153"/>
        <v>Easter</v>
      </c>
      <c r="K1287" s="16" t="str">
        <f t="shared" si="154"/>
        <v>0-3</v>
      </c>
      <c r="L1287" s="14" t="str">
        <f t="shared" si="155"/>
        <v>Bodysuit | 0-3 | Light Blue</v>
      </c>
      <c r="M1287" s="16" t="s">
        <v>3610</v>
      </c>
    </row>
    <row r="1288" spans="1:13" ht="25" customHeight="1" x14ac:dyDescent="0.45">
      <c r="A1288" s="39">
        <v>46129</v>
      </c>
      <c r="B1288" s="23" t="s">
        <v>1346</v>
      </c>
      <c r="C1288" s="5" t="s">
        <v>1329</v>
      </c>
      <c r="D1288" s="53" t="str">
        <f t="shared" si="152"/>
        <v xml:space="preserve">Cream </v>
      </c>
      <c r="E1288" s="5" t="s">
        <v>10</v>
      </c>
      <c r="F1288" s="5" t="s">
        <v>7</v>
      </c>
      <c r="G1288" s="4" t="str">
        <f t="shared" si="147"/>
        <v>Bodysuit</v>
      </c>
      <c r="H1288" s="38">
        <f t="shared" si="156"/>
        <v>4</v>
      </c>
      <c r="I1288" s="54">
        <f t="shared" si="150"/>
        <v>16</v>
      </c>
      <c r="J1288" s="14" t="str">
        <f t="shared" si="153"/>
        <v>Easter</v>
      </c>
      <c r="K1288" s="16" t="str">
        <f t="shared" si="154"/>
        <v>0-3</v>
      </c>
      <c r="L1288" s="14" t="str">
        <f t="shared" si="155"/>
        <v>Bodysuit | 0-3 | Cream</v>
      </c>
      <c r="M1288" s="16" t="s">
        <v>3610</v>
      </c>
    </row>
    <row r="1289" spans="1:13" ht="25" customHeight="1" x14ac:dyDescent="0.45">
      <c r="A1289" s="39">
        <v>46130</v>
      </c>
      <c r="B1289" s="19" t="s">
        <v>1367</v>
      </c>
      <c r="C1289" s="5" t="s">
        <v>5</v>
      </c>
      <c r="D1289" s="53" t="str">
        <f t="shared" si="152"/>
        <v>Light Blue</v>
      </c>
      <c r="E1289" s="5" t="s">
        <v>10</v>
      </c>
      <c r="F1289" s="5" t="s">
        <v>7</v>
      </c>
      <c r="G1289" s="4" t="str">
        <f t="shared" si="147"/>
        <v>Bodysuit</v>
      </c>
      <c r="H1289" s="38">
        <f t="shared" si="156"/>
        <v>4</v>
      </c>
      <c r="I1289" s="54">
        <f t="shared" si="150"/>
        <v>16</v>
      </c>
      <c r="J1289" s="14" t="str">
        <f t="shared" si="153"/>
        <v>Easter</v>
      </c>
      <c r="K1289" s="16" t="str">
        <f t="shared" si="154"/>
        <v>0-3</v>
      </c>
      <c r="L1289" s="14" t="str">
        <f t="shared" si="155"/>
        <v>Bodysuit | 0-3 | Light Blue</v>
      </c>
      <c r="M1289" s="16" t="s">
        <v>3610</v>
      </c>
    </row>
    <row r="1290" spans="1:13" ht="25" customHeight="1" x14ac:dyDescent="0.45">
      <c r="A1290" s="39">
        <v>46131</v>
      </c>
      <c r="B1290" s="19" t="s">
        <v>1368</v>
      </c>
      <c r="C1290" s="5" t="s">
        <v>110</v>
      </c>
      <c r="D1290" s="53" t="str">
        <f t="shared" si="152"/>
        <v>Sage Green</v>
      </c>
      <c r="E1290" s="5" t="s">
        <v>1369</v>
      </c>
      <c r="F1290" s="5" t="s">
        <v>7</v>
      </c>
      <c r="G1290" s="4" t="str">
        <f t="shared" si="147"/>
        <v>Romper Longer</v>
      </c>
      <c r="H1290" s="38">
        <f t="shared" si="156"/>
        <v>4</v>
      </c>
      <c r="I1290" s="54">
        <f t="shared" si="150"/>
        <v>17</v>
      </c>
      <c r="J1290" s="14" t="str">
        <f t="shared" si="153"/>
        <v>Easter</v>
      </c>
      <c r="K1290" s="16" t="str">
        <f>TRIM(LEFT(E1290,FIND("(",E1290&amp;"(")-8))</f>
        <v>0-3</v>
      </c>
      <c r="L1290" s="14" t="str">
        <f t="shared" si="155"/>
        <v>Romper Longer | 0-3 | Sage Green</v>
      </c>
      <c r="M1290" s="16" t="s">
        <v>3611</v>
      </c>
    </row>
    <row r="1291" spans="1:13" ht="25" customHeight="1" x14ac:dyDescent="0.45">
      <c r="A1291" s="39">
        <v>46132</v>
      </c>
      <c r="B1291" s="23"/>
      <c r="C1291" s="40" t="s">
        <v>85</v>
      </c>
      <c r="D1291" s="53" t="str">
        <f t="shared" si="152"/>
        <v>Forest Green</v>
      </c>
      <c r="E1291" s="5" t="s">
        <v>1370</v>
      </c>
      <c r="F1291" s="5" t="s">
        <v>7</v>
      </c>
      <c r="G1291" s="4" t="str">
        <f t="shared" si="147"/>
        <v>Romper Short</v>
      </c>
      <c r="H1291" s="38">
        <f t="shared" si="156"/>
        <v>4</v>
      </c>
      <c r="I1291" s="54">
        <f t="shared" si="150"/>
        <v>17</v>
      </c>
      <c r="J1291" s="14" t="str">
        <f t="shared" si="153"/>
        <v>Easter</v>
      </c>
      <c r="K1291" s="16" t="str">
        <f>TRIM(LEFT(E1291,FIND("(",E1291&amp;"(")-3))</f>
        <v>18-24</v>
      </c>
      <c r="L1291" s="14" t="str">
        <f t="shared" si="155"/>
        <v>Romper Short | 18-24 | Forest Green</v>
      </c>
      <c r="M1291" s="16" t="s">
        <v>3610</v>
      </c>
    </row>
    <row r="1292" spans="1:13" ht="25" customHeight="1" x14ac:dyDescent="0.45">
      <c r="A1292" s="39">
        <v>46132</v>
      </c>
      <c r="B1292" s="19" t="s">
        <v>1371</v>
      </c>
      <c r="C1292" s="5" t="s">
        <v>79</v>
      </c>
      <c r="D1292" s="53" t="str">
        <f t="shared" si="152"/>
        <v>White</v>
      </c>
      <c r="E1292" s="5" t="s">
        <v>1372</v>
      </c>
      <c r="F1292" s="5" t="s">
        <v>7</v>
      </c>
      <c r="G1292" s="4" t="str">
        <f t="shared" si="147"/>
        <v>Romper Short</v>
      </c>
      <c r="H1292" s="38">
        <f t="shared" si="156"/>
        <v>4</v>
      </c>
      <c r="I1292" s="54">
        <f t="shared" si="150"/>
        <v>17</v>
      </c>
      <c r="J1292" s="14" t="str">
        <f t="shared" si="153"/>
        <v>Easter</v>
      </c>
      <c r="K1292" s="16" t="str">
        <f t="shared" ref="K1292:K1301" si="157">TRIM(LEFT(E1292,FIND("(",E1292&amp;"(")-7))</f>
        <v>3-6</v>
      </c>
      <c r="L1292" s="14" t="str">
        <f t="shared" si="155"/>
        <v>Romper Short | 3-6 | White</v>
      </c>
      <c r="M1292" s="16" t="s">
        <v>3610</v>
      </c>
    </row>
    <row r="1293" spans="1:13" ht="25" customHeight="1" x14ac:dyDescent="0.45">
      <c r="A1293" s="39">
        <v>46132</v>
      </c>
      <c r="B1293" s="19" t="s">
        <v>1373</v>
      </c>
      <c r="C1293" s="40" t="s">
        <v>9</v>
      </c>
      <c r="D1293" s="53" t="str">
        <f t="shared" si="152"/>
        <v>Cream</v>
      </c>
      <c r="E1293" s="5" t="s">
        <v>6</v>
      </c>
      <c r="F1293" s="5" t="s">
        <v>7</v>
      </c>
      <c r="G1293" s="4" t="str">
        <f t="shared" si="147"/>
        <v>Bodysuit</v>
      </c>
      <c r="H1293" s="38">
        <f t="shared" si="156"/>
        <v>4</v>
      </c>
      <c r="I1293" s="54">
        <f t="shared" si="150"/>
        <v>17</v>
      </c>
      <c r="J1293" s="14" t="str">
        <f t="shared" si="153"/>
        <v>Easter</v>
      </c>
      <c r="K1293" s="16" t="str">
        <f t="shared" si="157"/>
        <v>3-6</v>
      </c>
      <c r="L1293" s="14" t="str">
        <f t="shared" si="155"/>
        <v>Bodysuit | 3-6 | Cream</v>
      </c>
      <c r="M1293" s="16" t="s">
        <v>3611</v>
      </c>
    </row>
    <row r="1294" spans="1:13" ht="25" customHeight="1" x14ac:dyDescent="0.45">
      <c r="A1294" s="39">
        <v>46133</v>
      </c>
      <c r="B1294" s="19" t="s">
        <v>1374</v>
      </c>
      <c r="C1294" s="40" t="s">
        <v>5</v>
      </c>
      <c r="D1294" s="53" t="str">
        <f t="shared" si="152"/>
        <v>Light Blue</v>
      </c>
      <c r="E1294" s="5" t="s">
        <v>6</v>
      </c>
      <c r="F1294" s="5" t="s">
        <v>7</v>
      </c>
      <c r="G1294" s="4" t="str">
        <f t="shared" si="147"/>
        <v>Bodysuit</v>
      </c>
      <c r="H1294" s="38">
        <f t="shared" si="156"/>
        <v>4</v>
      </c>
      <c r="I1294" s="54">
        <f t="shared" si="150"/>
        <v>17</v>
      </c>
      <c r="J1294" s="14" t="str">
        <f t="shared" si="153"/>
        <v>Easter</v>
      </c>
      <c r="K1294" s="16" t="str">
        <f t="shared" si="157"/>
        <v>3-6</v>
      </c>
      <c r="L1294" s="14" t="str">
        <f t="shared" si="155"/>
        <v>Bodysuit | 3-6 | Light Blue</v>
      </c>
      <c r="M1294" s="16" t="s">
        <v>3610</v>
      </c>
    </row>
    <row r="1295" spans="1:13" ht="25" customHeight="1" x14ac:dyDescent="0.45">
      <c r="A1295" s="39">
        <v>46133</v>
      </c>
      <c r="B1295" s="19" t="s">
        <v>1375</v>
      </c>
      <c r="C1295" s="5" t="s">
        <v>9</v>
      </c>
      <c r="D1295" s="53" t="str">
        <f t="shared" si="152"/>
        <v>Cream</v>
      </c>
      <c r="E1295" s="5" t="s">
        <v>1376</v>
      </c>
      <c r="F1295" s="5" t="s">
        <v>13</v>
      </c>
      <c r="G1295" s="4" t="str">
        <f t="shared" si="147"/>
        <v>Romper Longer</v>
      </c>
      <c r="H1295" s="38">
        <f t="shared" si="156"/>
        <v>4</v>
      </c>
      <c r="I1295" s="54">
        <f t="shared" si="150"/>
        <v>17</v>
      </c>
      <c r="J1295" s="14" t="str">
        <f t="shared" si="153"/>
        <v>Easter</v>
      </c>
      <c r="K1295" s="16" t="str">
        <f t="shared" si="157"/>
        <v>0-3</v>
      </c>
      <c r="L1295" s="14" t="str">
        <f t="shared" si="155"/>
        <v>Romper Longer | 0-3 | Cream</v>
      </c>
      <c r="M1295" s="16" t="s">
        <v>3609</v>
      </c>
    </row>
    <row r="1296" spans="1:13" ht="25" customHeight="1" x14ac:dyDescent="0.45">
      <c r="A1296" s="39">
        <v>46134</v>
      </c>
      <c r="B1296" s="19" t="s">
        <v>1377</v>
      </c>
      <c r="C1296" s="5" t="s">
        <v>1329</v>
      </c>
      <c r="D1296" s="53" t="str">
        <f t="shared" si="152"/>
        <v xml:space="preserve">Cream </v>
      </c>
      <c r="E1296" s="5" t="s">
        <v>6</v>
      </c>
      <c r="F1296" s="5" t="s">
        <v>11</v>
      </c>
      <c r="G1296" s="4" t="str">
        <f t="shared" ref="G1296:G1359" si="158">IF(ISNUMBER(SEARCH("LONG",E1296)),"Romper Longer",IF(ISNUMBER(SEARCH("SHORT",E1296)),"Romper Short","Bodysuit"))</f>
        <v>Bodysuit</v>
      </c>
      <c r="H1296" s="38">
        <f t="shared" si="156"/>
        <v>4</v>
      </c>
      <c r="I1296" s="54">
        <f t="shared" si="150"/>
        <v>17</v>
      </c>
      <c r="J1296" s="14" t="str">
        <f t="shared" si="153"/>
        <v>Easter</v>
      </c>
      <c r="K1296" s="16" t="str">
        <f t="shared" si="157"/>
        <v>3-6</v>
      </c>
      <c r="L1296" s="14" t="str">
        <f t="shared" si="155"/>
        <v>Bodysuit | 3-6 | Cream</v>
      </c>
      <c r="M1296" s="16" t="s">
        <v>3611</v>
      </c>
    </row>
    <row r="1297" spans="1:13" ht="25" customHeight="1" x14ac:dyDescent="0.45">
      <c r="A1297" s="39">
        <v>46134</v>
      </c>
      <c r="B1297" s="19" t="s">
        <v>1378</v>
      </c>
      <c r="C1297" s="40" t="s">
        <v>5</v>
      </c>
      <c r="D1297" s="53" t="str">
        <f t="shared" si="152"/>
        <v>Light Blue</v>
      </c>
      <c r="E1297" s="5" t="s">
        <v>6</v>
      </c>
      <c r="F1297" s="5" t="s">
        <v>7</v>
      </c>
      <c r="G1297" s="4" t="str">
        <f t="shared" si="158"/>
        <v>Bodysuit</v>
      </c>
      <c r="H1297" s="38">
        <f t="shared" si="156"/>
        <v>4</v>
      </c>
      <c r="I1297" s="54">
        <f t="shared" si="150"/>
        <v>17</v>
      </c>
      <c r="J1297" s="14" t="str">
        <f t="shared" si="153"/>
        <v>Easter</v>
      </c>
      <c r="K1297" s="16" t="str">
        <f t="shared" si="157"/>
        <v>3-6</v>
      </c>
      <c r="L1297" s="14" t="str">
        <f t="shared" si="155"/>
        <v>Bodysuit | 3-6 | Light Blue</v>
      </c>
      <c r="M1297" s="16" t="s">
        <v>3610</v>
      </c>
    </row>
    <row r="1298" spans="1:13" ht="25" customHeight="1" x14ac:dyDescent="0.45">
      <c r="A1298" s="39">
        <v>46134</v>
      </c>
      <c r="B1298" s="19" t="s">
        <v>1379</v>
      </c>
      <c r="C1298" s="5" t="s">
        <v>76</v>
      </c>
      <c r="D1298" s="53" t="str">
        <f t="shared" si="152"/>
        <v>Caldet Blue</v>
      </c>
      <c r="E1298" s="5" t="s">
        <v>1380</v>
      </c>
      <c r="F1298" s="5" t="s">
        <v>7</v>
      </c>
      <c r="G1298" s="4" t="str">
        <f t="shared" si="158"/>
        <v>Romper Longer</v>
      </c>
      <c r="H1298" s="38">
        <f t="shared" si="156"/>
        <v>4</v>
      </c>
      <c r="I1298" s="54">
        <f t="shared" si="150"/>
        <v>17</v>
      </c>
      <c r="J1298" s="14" t="str">
        <f t="shared" si="153"/>
        <v>Easter</v>
      </c>
      <c r="K1298" s="16" t="str">
        <f t="shared" si="157"/>
        <v>3-6</v>
      </c>
      <c r="L1298" s="14" t="str">
        <f t="shared" si="155"/>
        <v>Romper Longer | 3-6 | Caldet Blue</v>
      </c>
      <c r="M1298" s="16" t="s">
        <v>3610</v>
      </c>
    </row>
    <row r="1299" spans="1:13" ht="25" customHeight="1" x14ac:dyDescent="0.45">
      <c r="A1299" s="39">
        <v>46135</v>
      </c>
      <c r="B1299" s="19" t="s">
        <v>1381</v>
      </c>
      <c r="C1299" s="5" t="s">
        <v>9</v>
      </c>
      <c r="D1299" s="53" t="str">
        <f t="shared" si="152"/>
        <v>Cream</v>
      </c>
      <c r="E1299" s="5" t="s">
        <v>1376</v>
      </c>
      <c r="F1299" s="5" t="s">
        <v>13</v>
      </c>
      <c r="G1299" s="4" t="str">
        <f t="shared" si="158"/>
        <v>Romper Longer</v>
      </c>
      <c r="H1299" s="38">
        <f t="shared" si="156"/>
        <v>4</v>
      </c>
      <c r="I1299" s="54">
        <f t="shared" si="150"/>
        <v>17</v>
      </c>
      <c r="J1299" s="14" t="str">
        <f t="shared" si="153"/>
        <v>Easter</v>
      </c>
      <c r="K1299" s="16" t="str">
        <f t="shared" si="157"/>
        <v>0-3</v>
      </c>
      <c r="L1299" s="14" t="str">
        <f t="shared" si="155"/>
        <v>Romper Longer | 0-3 | Cream</v>
      </c>
      <c r="M1299" s="16" t="s">
        <v>3609</v>
      </c>
    </row>
    <row r="1300" spans="1:13" ht="25" customHeight="1" x14ac:dyDescent="0.45">
      <c r="A1300" s="39">
        <v>46135</v>
      </c>
      <c r="B1300" s="19"/>
      <c r="C1300" s="5" t="s">
        <v>1382</v>
      </c>
      <c r="D1300" s="53" t="str">
        <f t="shared" si="152"/>
        <v xml:space="preserve"> Light Pink </v>
      </c>
      <c r="E1300" s="5" t="s">
        <v>10</v>
      </c>
      <c r="F1300" s="5" t="s">
        <v>7</v>
      </c>
      <c r="G1300" s="4" t="str">
        <f t="shared" si="158"/>
        <v>Bodysuit</v>
      </c>
      <c r="H1300" s="38">
        <f t="shared" si="156"/>
        <v>4</v>
      </c>
      <c r="I1300" s="54">
        <f t="shared" si="150"/>
        <v>17</v>
      </c>
      <c r="J1300" s="14" t="str">
        <f t="shared" si="153"/>
        <v>Easter</v>
      </c>
      <c r="K1300" s="16" t="str">
        <f t="shared" si="157"/>
        <v>0-3</v>
      </c>
      <c r="L1300" s="14" t="str">
        <f t="shared" si="155"/>
        <v>Bodysuit | 0-3 | Light Pink</v>
      </c>
      <c r="M1300" s="16" t="s">
        <v>3610</v>
      </c>
    </row>
    <row r="1301" spans="1:13" ht="25" customHeight="1" x14ac:dyDescent="0.45">
      <c r="A1301" s="39">
        <v>46135</v>
      </c>
      <c r="B1301" s="19" t="s">
        <v>1383</v>
      </c>
      <c r="C1301" s="5" t="s">
        <v>9</v>
      </c>
      <c r="D1301" s="53" t="str">
        <f t="shared" si="152"/>
        <v>Cream</v>
      </c>
      <c r="E1301" s="5" t="s">
        <v>10</v>
      </c>
      <c r="F1301" s="5" t="s">
        <v>7</v>
      </c>
      <c r="G1301" s="4" t="str">
        <f t="shared" si="158"/>
        <v>Bodysuit</v>
      </c>
      <c r="H1301" s="38">
        <f t="shared" si="156"/>
        <v>4</v>
      </c>
      <c r="I1301" s="54">
        <f t="shared" si="150"/>
        <v>17</v>
      </c>
      <c r="J1301" s="14" t="str">
        <f t="shared" si="153"/>
        <v>Easter</v>
      </c>
      <c r="K1301" s="16" t="str">
        <f t="shared" si="157"/>
        <v>0-3</v>
      </c>
      <c r="L1301" s="14" t="str">
        <f t="shared" si="155"/>
        <v>Bodysuit | 0-3 | Cream</v>
      </c>
      <c r="M1301" s="16" t="s">
        <v>3610</v>
      </c>
    </row>
    <row r="1302" spans="1:13" ht="25" customHeight="1" x14ac:dyDescent="0.45">
      <c r="A1302" s="39">
        <v>46136</v>
      </c>
      <c r="B1302" s="19" t="s">
        <v>1384</v>
      </c>
      <c r="C1302" s="5" t="s">
        <v>9</v>
      </c>
      <c r="D1302" s="53" t="str">
        <f t="shared" si="152"/>
        <v>Cream</v>
      </c>
      <c r="E1302" s="5" t="s">
        <v>1385</v>
      </c>
      <c r="F1302" s="5" t="s">
        <v>7</v>
      </c>
      <c r="G1302" s="4" t="str">
        <f t="shared" si="158"/>
        <v>Romper Longer</v>
      </c>
      <c r="H1302" s="38">
        <f t="shared" si="156"/>
        <v>4</v>
      </c>
      <c r="I1302" s="54">
        <f t="shared" si="150"/>
        <v>17</v>
      </c>
      <c r="J1302" s="14" t="str">
        <f t="shared" si="153"/>
        <v>Easter</v>
      </c>
      <c r="K1302" s="16" t="str">
        <f>TRIM(LEFT(E1302,FIND("(",E1302&amp;"(")-3))</f>
        <v>6-12</v>
      </c>
      <c r="L1302" s="14" t="str">
        <f t="shared" si="155"/>
        <v>Romper Longer | 6-12 | Cream</v>
      </c>
      <c r="M1302" s="16" t="s">
        <v>3611</v>
      </c>
    </row>
    <row r="1303" spans="1:13" ht="25" customHeight="1" x14ac:dyDescent="0.45">
      <c r="A1303" s="39">
        <v>46136</v>
      </c>
      <c r="B1303" s="19" t="s">
        <v>1386</v>
      </c>
      <c r="C1303" s="5" t="s">
        <v>9</v>
      </c>
      <c r="D1303" s="53" t="str">
        <f t="shared" si="152"/>
        <v>Cream</v>
      </c>
      <c r="E1303" s="5" t="s">
        <v>1387</v>
      </c>
      <c r="F1303" s="5" t="s">
        <v>7</v>
      </c>
      <c r="G1303" s="4" t="str">
        <f t="shared" si="158"/>
        <v>Romper Short</v>
      </c>
      <c r="H1303" s="38">
        <f t="shared" si="156"/>
        <v>4</v>
      </c>
      <c r="I1303" s="54">
        <f t="shared" si="150"/>
        <v>17</v>
      </c>
      <c r="J1303" s="14" t="str">
        <f t="shared" si="153"/>
        <v>Easter</v>
      </c>
      <c r="K1303" s="16" t="str">
        <f>TRIM(LEFT(E1303,FIND("(",E1303&amp;"(")-2))</f>
        <v>12-18</v>
      </c>
      <c r="L1303" s="14" t="str">
        <f t="shared" si="155"/>
        <v>Romper Short | 12-18 | Cream</v>
      </c>
      <c r="M1303" s="16" t="s">
        <v>3610</v>
      </c>
    </row>
    <row r="1304" spans="1:13" ht="25" customHeight="1" x14ac:dyDescent="0.45">
      <c r="A1304" s="39">
        <v>46137</v>
      </c>
      <c r="B1304" s="19" t="s">
        <v>1388</v>
      </c>
      <c r="C1304" s="5" t="s">
        <v>1389</v>
      </c>
      <c r="D1304" s="53" t="str">
        <f t="shared" si="152"/>
        <v xml:space="preserve"> Light Blue</v>
      </c>
      <c r="E1304" s="5" t="s">
        <v>10</v>
      </c>
      <c r="F1304" s="5" t="s">
        <v>7</v>
      </c>
      <c r="G1304" s="4" t="str">
        <f t="shared" si="158"/>
        <v>Bodysuit</v>
      </c>
      <c r="H1304" s="38">
        <f t="shared" si="156"/>
        <v>4</v>
      </c>
      <c r="I1304" s="54">
        <f t="shared" si="150"/>
        <v>17</v>
      </c>
      <c r="J1304" s="14" t="str">
        <f t="shared" si="153"/>
        <v>Easter</v>
      </c>
      <c r="K1304" s="16" t="str">
        <f t="shared" ref="K1304:K1310" si="159">TRIM(LEFT(E1304,FIND("(",E1304&amp;"(")-7))</f>
        <v>0-3</v>
      </c>
      <c r="L1304" s="14" t="str">
        <f t="shared" si="155"/>
        <v>Bodysuit | 0-3 | Light Blue</v>
      </c>
      <c r="M1304" s="16" t="s">
        <v>3610</v>
      </c>
    </row>
    <row r="1305" spans="1:13" ht="25" customHeight="1" x14ac:dyDescent="0.45">
      <c r="A1305" s="39">
        <v>46138</v>
      </c>
      <c r="B1305" s="19" t="s">
        <v>1390</v>
      </c>
      <c r="C1305" s="5" t="s">
        <v>224</v>
      </c>
      <c r="D1305" s="53" t="str">
        <f t="shared" si="152"/>
        <v>Salmon</v>
      </c>
      <c r="E1305" s="5" t="s">
        <v>1376</v>
      </c>
      <c r="F1305" s="5" t="s">
        <v>7</v>
      </c>
      <c r="G1305" s="4" t="str">
        <f t="shared" si="158"/>
        <v>Romper Longer</v>
      </c>
      <c r="H1305" s="38">
        <f t="shared" si="156"/>
        <v>4</v>
      </c>
      <c r="I1305" s="54">
        <f t="shared" si="150"/>
        <v>18</v>
      </c>
      <c r="J1305" s="14" t="str">
        <f t="shared" si="153"/>
        <v>Easter</v>
      </c>
      <c r="K1305" s="16" t="str">
        <f t="shared" si="159"/>
        <v>0-3</v>
      </c>
      <c r="L1305" s="14" t="str">
        <f t="shared" si="155"/>
        <v>Romper Longer | 0-3 | Salmon</v>
      </c>
      <c r="M1305" s="16" t="s">
        <v>3610</v>
      </c>
    </row>
    <row r="1306" spans="1:13" ht="25" customHeight="1" x14ac:dyDescent="0.45">
      <c r="A1306" s="39">
        <v>46139</v>
      </c>
      <c r="B1306" s="19" t="s">
        <v>1391</v>
      </c>
      <c r="C1306" s="5" t="s">
        <v>1392</v>
      </c>
      <c r="D1306" s="53" t="str">
        <f t="shared" si="152"/>
        <v>Sage Green</v>
      </c>
      <c r="E1306" s="5" t="s">
        <v>1376</v>
      </c>
      <c r="F1306" s="5" t="s">
        <v>7</v>
      </c>
      <c r="G1306" s="4" t="str">
        <f t="shared" si="158"/>
        <v>Romper Longer</v>
      </c>
      <c r="H1306" s="38">
        <f t="shared" si="156"/>
        <v>4</v>
      </c>
      <c r="I1306" s="54">
        <f t="shared" si="150"/>
        <v>18</v>
      </c>
      <c r="J1306" s="14" t="str">
        <f t="shared" si="153"/>
        <v>Easter</v>
      </c>
      <c r="K1306" s="16" t="str">
        <f t="shared" si="159"/>
        <v>0-3</v>
      </c>
      <c r="L1306" s="14" t="str">
        <f t="shared" si="155"/>
        <v>Romper Longer | 0-3 | Sage Green</v>
      </c>
      <c r="M1306" s="16" t="s">
        <v>3611</v>
      </c>
    </row>
    <row r="1307" spans="1:13" ht="25" customHeight="1" x14ac:dyDescent="0.45">
      <c r="A1307" s="39">
        <v>46140</v>
      </c>
      <c r="B1307" s="19" t="s">
        <v>1393</v>
      </c>
      <c r="C1307" s="5" t="s">
        <v>1329</v>
      </c>
      <c r="D1307" s="53" t="str">
        <f t="shared" si="152"/>
        <v xml:space="preserve">Cream </v>
      </c>
      <c r="E1307" s="5" t="s">
        <v>10</v>
      </c>
      <c r="F1307" s="5" t="s">
        <v>7</v>
      </c>
      <c r="G1307" s="4" t="str">
        <f t="shared" si="158"/>
        <v>Bodysuit</v>
      </c>
      <c r="H1307" s="38">
        <f t="shared" si="156"/>
        <v>4</v>
      </c>
      <c r="I1307" s="54">
        <f t="shared" si="150"/>
        <v>18</v>
      </c>
      <c r="J1307" s="14" t="str">
        <f t="shared" si="153"/>
        <v>Easter</v>
      </c>
      <c r="K1307" s="16" t="str">
        <f t="shared" si="159"/>
        <v>0-3</v>
      </c>
      <c r="L1307" s="14" t="str">
        <f t="shared" si="155"/>
        <v>Bodysuit | 0-3 | Cream</v>
      </c>
      <c r="M1307" s="16" t="s">
        <v>3610</v>
      </c>
    </row>
    <row r="1308" spans="1:13" ht="25" customHeight="1" x14ac:dyDescent="0.45">
      <c r="A1308" s="39">
        <v>46140</v>
      </c>
      <c r="B1308" s="19" t="s">
        <v>1394</v>
      </c>
      <c r="C1308" s="5" t="s">
        <v>1389</v>
      </c>
      <c r="D1308" s="53" t="str">
        <f t="shared" si="152"/>
        <v xml:space="preserve"> Light Blue</v>
      </c>
      <c r="E1308" s="5" t="s">
        <v>6</v>
      </c>
      <c r="F1308" s="5" t="s">
        <v>7</v>
      </c>
      <c r="G1308" s="4" t="str">
        <f t="shared" si="158"/>
        <v>Bodysuit</v>
      </c>
      <c r="H1308" s="38">
        <f t="shared" si="156"/>
        <v>4</v>
      </c>
      <c r="I1308" s="54">
        <f t="shared" si="150"/>
        <v>18</v>
      </c>
      <c r="J1308" s="14" t="str">
        <f t="shared" si="153"/>
        <v>Easter</v>
      </c>
      <c r="K1308" s="16" t="str">
        <f t="shared" si="159"/>
        <v>3-6</v>
      </c>
      <c r="L1308" s="14" t="str">
        <f t="shared" si="155"/>
        <v>Bodysuit | 3-6 | Light Blue</v>
      </c>
      <c r="M1308" s="16" t="s">
        <v>3610</v>
      </c>
    </row>
    <row r="1309" spans="1:13" ht="25" customHeight="1" x14ac:dyDescent="0.45">
      <c r="A1309" s="39">
        <v>46145</v>
      </c>
      <c r="B1309" s="19" t="s">
        <v>1395</v>
      </c>
      <c r="C1309" s="5" t="s">
        <v>1396</v>
      </c>
      <c r="D1309" s="53" t="str">
        <f t="shared" si="152"/>
        <v>Caldet Blue</v>
      </c>
      <c r="E1309" s="5" t="s">
        <v>1397</v>
      </c>
      <c r="F1309" s="5" t="s">
        <v>7</v>
      </c>
      <c r="G1309" s="4" t="str">
        <f t="shared" si="158"/>
        <v>Romper Short</v>
      </c>
      <c r="H1309" s="38">
        <f t="shared" si="156"/>
        <v>5</v>
      </c>
      <c r="I1309" s="54">
        <f t="shared" si="150"/>
        <v>19</v>
      </c>
      <c r="J1309" s="14" t="str">
        <f t="shared" si="153"/>
        <v>MothersDay</v>
      </c>
      <c r="K1309" s="16" t="str">
        <f t="shared" si="159"/>
        <v>0-3</v>
      </c>
      <c r="L1309" s="14" t="str">
        <f t="shared" si="155"/>
        <v>Romper Short | 0-3 | Caldet Blue</v>
      </c>
      <c r="M1309" s="16" t="s">
        <v>3610</v>
      </c>
    </row>
    <row r="1310" spans="1:13" ht="25" customHeight="1" x14ac:dyDescent="0.45">
      <c r="A1310" s="39">
        <v>46141</v>
      </c>
      <c r="B1310" s="19" t="s">
        <v>1398</v>
      </c>
      <c r="C1310" s="5" t="s">
        <v>1399</v>
      </c>
      <c r="D1310" s="53" t="str">
        <f t="shared" si="152"/>
        <v xml:space="preserve"> Light Blue </v>
      </c>
      <c r="E1310" s="5" t="s">
        <v>10</v>
      </c>
      <c r="F1310" s="5" t="s">
        <v>7</v>
      </c>
      <c r="G1310" s="4" t="str">
        <f t="shared" si="158"/>
        <v>Bodysuit</v>
      </c>
      <c r="H1310" s="38">
        <f t="shared" si="156"/>
        <v>4</v>
      </c>
      <c r="I1310" s="54">
        <f t="shared" si="150"/>
        <v>18</v>
      </c>
      <c r="J1310" s="14" t="str">
        <f t="shared" si="153"/>
        <v>Easter</v>
      </c>
      <c r="K1310" s="16" t="str">
        <f t="shared" si="159"/>
        <v>0-3</v>
      </c>
      <c r="L1310" s="14" t="str">
        <f t="shared" si="155"/>
        <v>Bodysuit | 0-3 | Light Blue</v>
      </c>
      <c r="M1310" s="16" t="s">
        <v>3610</v>
      </c>
    </row>
    <row r="1311" spans="1:13" ht="25" customHeight="1" x14ac:dyDescent="0.45">
      <c r="A1311" s="39">
        <v>46142</v>
      </c>
      <c r="B1311" s="19" t="s">
        <v>1400</v>
      </c>
      <c r="C1311" s="5" t="s">
        <v>76</v>
      </c>
      <c r="D1311" s="53" t="str">
        <f t="shared" si="152"/>
        <v>Caldet Blue</v>
      </c>
      <c r="E1311" s="5" t="s">
        <v>1401</v>
      </c>
      <c r="F1311" s="5" t="s">
        <v>7</v>
      </c>
      <c r="G1311" s="4" t="str">
        <f t="shared" si="158"/>
        <v>Romper Longer</v>
      </c>
      <c r="H1311" s="38">
        <f t="shared" si="156"/>
        <v>4</v>
      </c>
      <c r="I1311" s="54">
        <f t="shared" si="150"/>
        <v>18</v>
      </c>
      <c r="J1311" s="14" t="str">
        <f t="shared" si="153"/>
        <v>Easter</v>
      </c>
      <c r="K1311" s="16" t="str">
        <f>TRIM(LEFT(E1311,FIND("(",E1311&amp;"(")-8))</f>
        <v>3-6</v>
      </c>
      <c r="L1311" s="14" t="str">
        <f t="shared" si="155"/>
        <v>Romper Longer | 3-6 | Caldet Blue</v>
      </c>
      <c r="M1311" s="16" t="s">
        <v>3610</v>
      </c>
    </row>
    <row r="1312" spans="1:13" ht="25" customHeight="1" x14ac:dyDescent="0.45">
      <c r="A1312" s="39">
        <v>46144</v>
      </c>
      <c r="B1312" s="19" t="s">
        <v>1402</v>
      </c>
      <c r="C1312" s="5" t="s">
        <v>76</v>
      </c>
      <c r="D1312" s="53" t="str">
        <f t="shared" si="152"/>
        <v>Caldet Blue</v>
      </c>
      <c r="E1312" s="5" t="s">
        <v>1380</v>
      </c>
      <c r="F1312" s="5" t="s">
        <v>7</v>
      </c>
      <c r="G1312" s="4" t="str">
        <f t="shared" si="158"/>
        <v>Romper Longer</v>
      </c>
      <c r="H1312" s="38">
        <f t="shared" si="156"/>
        <v>5</v>
      </c>
      <c r="I1312" s="54">
        <f t="shared" si="150"/>
        <v>18</v>
      </c>
      <c r="J1312" s="14" t="str">
        <f t="shared" si="153"/>
        <v>MothersDay</v>
      </c>
      <c r="K1312" s="16" t="str">
        <f t="shared" ref="K1312:K1324" si="160">TRIM(LEFT(E1312,FIND("(",E1312&amp;"(")-7))</f>
        <v>3-6</v>
      </c>
      <c r="L1312" s="14" t="str">
        <f t="shared" si="155"/>
        <v>Romper Longer | 3-6 | Caldet Blue</v>
      </c>
      <c r="M1312" s="16" t="s">
        <v>3610</v>
      </c>
    </row>
    <row r="1313" spans="1:13" ht="25" customHeight="1" x14ac:dyDescent="0.45">
      <c r="A1313" s="39">
        <v>46145</v>
      </c>
      <c r="B1313" s="19" t="s">
        <v>1403</v>
      </c>
      <c r="C1313" s="5" t="s">
        <v>5</v>
      </c>
      <c r="D1313" s="53" t="str">
        <f t="shared" si="152"/>
        <v>Light Blue</v>
      </c>
      <c r="E1313" s="5" t="s">
        <v>10</v>
      </c>
      <c r="F1313" s="5" t="s">
        <v>7</v>
      </c>
      <c r="G1313" s="4" t="str">
        <f t="shared" si="158"/>
        <v>Bodysuit</v>
      </c>
      <c r="H1313" s="38">
        <f t="shared" si="156"/>
        <v>5</v>
      </c>
      <c r="I1313" s="54">
        <f t="shared" si="150"/>
        <v>19</v>
      </c>
      <c r="J1313" s="14" t="str">
        <f t="shared" si="153"/>
        <v>MothersDay</v>
      </c>
      <c r="K1313" s="16" t="str">
        <f t="shared" si="160"/>
        <v>0-3</v>
      </c>
      <c r="L1313" s="14" t="str">
        <f t="shared" si="155"/>
        <v>Bodysuit | 0-3 | Light Blue</v>
      </c>
      <c r="M1313" s="16" t="s">
        <v>3610</v>
      </c>
    </row>
    <row r="1314" spans="1:13" ht="25" customHeight="1" x14ac:dyDescent="0.45">
      <c r="A1314" s="39">
        <v>46144</v>
      </c>
      <c r="B1314" s="19" t="s">
        <v>1404</v>
      </c>
      <c r="C1314" s="5" t="s">
        <v>9</v>
      </c>
      <c r="D1314" s="53" t="str">
        <f t="shared" si="152"/>
        <v>Cream</v>
      </c>
      <c r="E1314" s="5" t="s">
        <v>1380</v>
      </c>
      <c r="F1314" s="5" t="s">
        <v>7</v>
      </c>
      <c r="G1314" s="4" t="str">
        <f t="shared" si="158"/>
        <v>Romper Longer</v>
      </c>
      <c r="H1314" s="38">
        <f t="shared" si="156"/>
        <v>5</v>
      </c>
      <c r="I1314" s="54">
        <f t="shared" si="150"/>
        <v>18</v>
      </c>
      <c r="J1314" s="14" t="str">
        <f t="shared" si="153"/>
        <v>MothersDay</v>
      </c>
      <c r="K1314" s="16" t="str">
        <f t="shared" si="160"/>
        <v>3-6</v>
      </c>
      <c r="L1314" s="14" t="str">
        <f t="shared" si="155"/>
        <v>Romper Longer | 3-6 | Cream</v>
      </c>
      <c r="M1314" s="16" t="s">
        <v>3609</v>
      </c>
    </row>
    <row r="1315" spans="1:13" ht="25" customHeight="1" x14ac:dyDescent="0.45">
      <c r="A1315" s="39">
        <v>46145</v>
      </c>
      <c r="B1315" s="19" t="s">
        <v>1405</v>
      </c>
      <c r="C1315" s="5" t="s">
        <v>9</v>
      </c>
      <c r="D1315" s="53" t="str">
        <f t="shared" si="152"/>
        <v>Cream</v>
      </c>
      <c r="E1315" s="5" t="s">
        <v>1380</v>
      </c>
      <c r="F1315" s="5" t="s">
        <v>826</v>
      </c>
      <c r="G1315" s="4" t="str">
        <f t="shared" si="158"/>
        <v>Romper Longer</v>
      </c>
      <c r="H1315" s="38">
        <f t="shared" si="156"/>
        <v>5</v>
      </c>
      <c r="I1315" s="54">
        <f t="shared" si="150"/>
        <v>19</v>
      </c>
      <c r="J1315" s="14" t="str">
        <f t="shared" si="153"/>
        <v>MothersDay</v>
      </c>
      <c r="K1315" s="16" t="str">
        <f t="shared" si="160"/>
        <v>3-6</v>
      </c>
      <c r="L1315" s="14" t="str">
        <f t="shared" si="155"/>
        <v>Romper Longer | 3-6 | Cream</v>
      </c>
      <c r="M1315" s="16" t="s">
        <v>3609</v>
      </c>
    </row>
    <row r="1316" spans="1:13" ht="25" customHeight="1" x14ac:dyDescent="0.45">
      <c r="A1316" s="39">
        <v>46145</v>
      </c>
      <c r="B1316" s="19" t="s">
        <v>1406</v>
      </c>
      <c r="C1316" s="5" t="s">
        <v>110</v>
      </c>
      <c r="D1316" s="53" t="str">
        <f t="shared" si="152"/>
        <v>Sage Green</v>
      </c>
      <c r="E1316" s="5" t="s">
        <v>1407</v>
      </c>
      <c r="F1316" s="5" t="s">
        <v>7</v>
      </c>
      <c r="G1316" s="4" t="str">
        <f t="shared" si="158"/>
        <v>Romper Short</v>
      </c>
      <c r="H1316" s="38">
        <f t="shared" si="156"/>
        <v>5</v>
      </c>
      <c r="I1316" s="54">
        <f t="shared" si="150"/>
        <v>19</v>
      </c>
      <c r="J1316" s="14" t="str">
        <f t="shared" si="153"/>
        <v>MothersDay</v>
      </c>
      <c r="K1316" s="16" t="str">
        <f t="shared" si="160"/>
        <v>0-3</v>
      </c>
      <c r="L1316" s="14" t="str">
        <f t="shared" si="155"/>
        <v>Romper Short | 0-3 | Sage Green</v>
      </c>
      <c r="M1316" s="16" t="s">
        <v>3610</v>
      </c>
    </row>
    <row r="1317" spans="1:13" ht="25" customHeight="1" x14ac:dyDescent="0.45">
      <c r="A1317" s="39">
        <v>46145</v>
      </c>
      <c r="B1317" s="19" t="s">
        <v>1406</v>
      </c>
      <c r="C1317" s="5" t="s">
        <v>76</v>
      </c>
      <c r="D1317" s="53" t="str">
        <f t="shared" si="152"/>
        <v>Caldet Blue</v>
      </c>
      <c r="E1317" s="5" t="s">
        <v>1407</v>
      </c>
      <c r="F1317" s="5" t="s">
        <v>7</v>
      </c>
      <c r="G1317" s="4" t="str">
        <f t="shared" si="158"/>
        <v>Romper Short</v>
      </c>
      <c r="H1317" s="38">
        <f t="shared" si="156"/>
        <v>5</v>
      </c>
      <c r="I1317" s="54">
        <f t="shared" si="150"/>
        <v>19</v>
      </c>
      <c r="J1317" s="14" t="str">
        <f t="shared" si="153"/>
        <v>MothersDay</v>
      </c>
      <c r="K1317" s="16" t="str">
        <f t="shared" si="160"/>
        <v>0-3</v>
      </c>
      <c r="L1317" s="14" t="str">
        <f t="shared" si="155"/>
        <v>Romper Short | 0-3 | Caldet Blue</v>
      </c>
      <c r="M1317" s="16" t="s">
        <v>3610</v>
      </c>
    </row>
    <row r="1318" spans="1:13" ht="25" customHeight="1" x14ac:dyDescent="0.45">
      <c r="A1318" s="39">
        <v>46145</v>
      </c>
      <c r="B1318" s="19" t="s">
        <v>1408</v>
      </c>
      <c r="C1318" s="5" t="s">
        <v>1344</v>
      </c>
      <c r="D1318" s="53" t="str">
        <f t="shared" si="152"/>
        <v xml:space="preserve">Light Blue </v>
      </c>
      <c r="E1318" s="5" t="s">
        <v>10</v>
      </c>
      <c r="F1318" s="5" t="s">
        <v>13</v>
      </c>
      <c r="G1318" s="4" t="str">
        <f t="shared" si="158"/>
        <v>Bodysuit</v>
      </c>
      <c r="H1318" s="38">
        <f t="shared" si="156"/>
        <v>5</v>
      </c>
      <c r="I1318" s="54">
        <f t="shared" si="150"/>
        <v>19</v>
      </c>
      <c r="J1318" s="14" t="str">
        <f t="shared" si="153"/>
        <v>MothersDay</v>
      </c>
      <c r="K1318" s="16" t="str">
        <f t="shared" si="160"/>
        <v>0-3</v>
      </c>
      <c r="L1318" s="14" t="str">
        <f t="shared" si="155"/>
        <v>Bodysuit | 0-3 | Light Blue</v>
      </c>
      <c r="M1318" s="16" t="s">
        <v>3610</v>
      </c>
    </row>
    <row r="1319" spans="1:13" ht="25" customHeight="1" x14ac:dyDescent="0.45">
      <c r="A1319" s="39">
        <v>46146</v>
      </c>
      <c r="B1319" s="19" t="s">
        <v>1409</v>
      </c>
      <c r="C1319" s="5" t="s">
        <v>8</v>
      </c>
      <c r="D1319" s="53" t="str">
        <f t="shared" si="152"/>
        <v>Light Pink</v>
      </c>
      <c r="E1319" s="5" t="s">
        <v>6</v>
      </c>
      <c r="F1319" s="5" t="s">
        <v>7</v>
      </c>
      <c r="G1319" s="4" t="str">
        <f t="shared" si="158"/>
        <v>Bodysuit</v>
      </c>
      <c r="H1319" s="38">
        <f t="shared" si="156"/>
        <v>5</v>
      </c>
      <c r="I1319" s="54">
        <f t="shared" si="150"/>
        <v>19</v>
      </c>
      <c r="J1319" s="14" t="str">
        <f t="shared" si="153"/>
        <v>MothersDay</v>
      </c>
      <c r="K1319" s="16" t="str">
        <f t="shared" si="160"/>
        <v>3-6</v>
      </c>
      <c r="L1319" s="14" t="str">
        <f t="shared" si="155"/>
        <v>Bodysuit | 3-6 | Light Pink</v>
      </c>
      <c r="M1319" s="16" t="s">
        <v>3610</v>
      </c>
    </row>
    <row r="1320" spans="1:13" ht="25" customHeight="1" x14ac:dyDescent="0.45">
      <c r="A1320" s="39">
        <v>46146</v>
      </c>
      <c r="B1320" s="19" t="s">
        <v>1410</v>
      </c>
      <c r="C1320" s="5" t="s">
        <v>1329</v>
      </c>
      <c r="D1320" s="53" t="str">
        <f t="shared" si="152"/>
        <v xml:space="preserve">Cream </v>
      </c>
      <c r="E1320" s="5" t="s">
        <v>10</v>
      </c>
      <c r="F1320" s="5" t="s">
        <v>19</v>
      </c>
      <c r="G1320" s="4" t="str">
        <f t="shared" si="158"/>
        <v>Bodysuit</v>
      </c>
      <c r="H1320" s="38">
        <f t="shared" si="156"/>
        <v>5</v>
      </c>
      <c r="I1320" s="54">
        <f t="shared" si="150"/>
        <v>19</v>
      </c>
      <c r="J1320" s="14" t="str">
        <f t="shared" si="153"/>
        <v>MothersDay</v>
      </c>
      <c r="K1320" s="16" t="str">
        <f t="shared" si="160"/>
        <v>0-3</v>
      </c>
      <c r="L1320" s="14" t="str">
        <f t="shared" si="155"/>
        <v>Bodysuit | 0-3 | Cream</v>
      </c>
      <c r="M1320" s="16" t="s">
        <v>3610</v>
      </c>
    </row>
    <row r="1321" spans="1:13" ht="25" customHeight="1" x14ac:dyDescent="0.45">
      <c r="A1321" s="39">
        <v>46146</v>
      </c>
      <c r="B1321" s="19" t="s">
        <v>1411</v>
      </c>
      <c r="C1321" s="5" t="s">
        <v>9</v>
      </c>
      <c r="D1321" s="53" t="str">
        <f t="shared" si="152"/>
        <v>Cream</v>
      </c>
      <c r="E1321" s="5" t="s">
        <v>1380</v>
      </c>
      <c r="F1321" s="5" t="s">
        <v>7</v>
      </c>
      <c r="G1321" s="4" t="str">
        <f t="shared" si="158"/>
        <v>Romper Longer</v>
      </c>
      <c r="H1321" s="38">
        <f t="shared" si="156"/>
        <v>5</v>
      </c>
      <c r="I1321" s="54">
        <f t="shared" si="150"/>
        <v>19</v>
      </c>
      <c r="J1321" s="14" t="str">
        <f t="shared" si="153"/>
        <v>MothersDay</v>
      </c>
      <c r="K1321" s="16" t="str">
        <f t="shared" si="160"/>
        <v>3-6</v>
      </c>
      <c r="L1321" s="14" t="str">
        <f t="shared" si="155"/>
        <v>Romper Longer | 3-6 | Cream</v>
      </c>
      <c r="M1321" s="16" t="s">
        <v>3609</v>
      </c>
    </row>
    <row r="1322" spans="1:13" ht="25" customHeight="1" x14ac:dyDescent="0.45">
      <c r="A1322" s="39">
        <v>46147</v>
      </c>
      <c r="B1322" s="19" t="s">
        <v>1412</v>
      </c>
      <c r="C1322" s="5" t="s">
        <v>1389</v>
      </c>
      <c r="D1322" s="53" t="str">
        <f t="shared" si="152"/>
        <v xml:space="preserve"> Light Blue</v>
      </c>
      <c r="E1322" s="5" t="s">
        <v>6</v>
      </c>
      <c r="F1322" s="5" t="s">
        <v>7</v>
      </c>
      <c r="G1322" s="4" t="str">
        <f t="shared" si="158"/>
        <v>Bodysuit</v>
      </c>
      <c r="H1322" s="38">
        <f t="shared" si="156"/>
        <v>5</v>
      </c>
      <c r="I1322" s="54">
        <f t="shared" si="150"/>
        <v>19</v>
      </c>
      <c r="J1322" s="14" t="str">
        <f t="shared" si="153"/>
        <v>MothersDay</v>
      </c>
      <c r="K1322" s="16" t="str">
        <f t="shared" si="160"/>
        <v>3-6</v>
      </c>
      <c r="L1322" s="14" t="str">
        <f t="shared" si="155"/>
        <v>Bodysuit | 3-6 | Light Blue</v>
      </c>
      <c r="M1322" s="16" t="s">
        <v>3610</v>
      </c>
    </row>
    <row r="1323" spans="1:13" ht="25" customHeight="1" x14ac:dyDescent="0.45">
      <c r="A1323" s="39">
        <v>46147</v>
      </c>
      <c r="B1323" s="19" t="s">
        <v>1413</v>
      </c>
      <c r="C1323" s="5" t="s">
        <v>79</v>
      </c>
      <c r="D1323" s="53" t="str">
        <f t="shared" si="152"/>
        <v>White</v>
      </c>
      <c r="E1323" s="5" t="s">
        <v>1380</v>
      </c>
      <c r="F1323" s="5" t="s">
        <v>7</v>
      </c>
      <c r="G1323" s="4" t="str">
        <f t="shared" si="158"/>
        <v>Romper Longer</v>
      </c>
      <c r="H1323" s="38">
        <f t="shared" si="156"/>
        <v>5</v>
      </c>
      <c r="I1323" s="54">
        <f t="shared" si="150"/>
        <v>19</v>
      </c>
      <c r="J1323" s="14" t="str">
        <f t="shared" si="153"/>
        <v>MothersDay</v>
      </c>
      <c r="K1323" s="16" t="str">
        <f t="shared" si="160"/>
        <v>3-6</v>
      </c>
      <c r="L1323" s="14" t="str">
        <f t="shared" si="155"/>
        <v>Romper Longer | 3-6 | White</v>
      </c>
      <c r="M1323" s="16" t="s">
        <v>3610</v>
      </c>
    </row>
    <row r="1324" spans="1:13" ht="25" customHeight="1" x14ac:dyDescent="0.45">
      <c r="A1324" s="39">
        <v>46147</v>
      </c>
      <c r="B1324" s="19" t="s">
        <v>1414</v>
      </c>
      <c r="C1324" s="5" t="s">
        <v>76</v>
      </c>
      <c r="D1324" s="53" t="str">
        <f t="shared" si="152"/>
        <v>Caldet Blue</v>
      </c>
      <c r="E1324" s="5" t="s">
        <v>1372</v>
      </c>
      <c r="F1324" s="5" t="s">
        <v>13</v>
      </c>
      <c r="G1324" s="4" t="str">
        <f t="shared" si="158"/>
        <v>Romper Short</v>
      </c>
      <c r="H1324" s="38">
        <f t="shared" si="156"/>
        <v>5</v>
      </c>
      <c r="I1324" s="54">
        <f t="shared" si="150"/>
        <v>19</v>
      </c>
      <c r="J1324" s="14" t="str">
        <f t="shared" si="153"/>
        <v>MothersDay</v>
      </c>
      <c r="K1324" s="16" t="str">
        <f t="shared" si="160"/>
        <v>3-6</v>
      </c>
      <c r="L1324" s="14" t="str">
        <f t="shared" si="155"/>
        <v>Romper Short | 3-6 | Caldet Blue</v>
      </c>
      <c r="M1324" s="16" t="s">
        <v>3610</v>
      </c>
    </row>
    <row r="1325" spans="1:13" ht="25" customHeight="1" x14ac:dyDescent="0.45">
      <c r="A1325" s="39">
        <v>46148</v>
      </c>
      <c r="B1325" s="19" t="s">
        <v>1415</v>
      </c>
      <c r="C1325" s="5" t="s">
        <v>9</v>
      </c>
      <c r="D1325" s="53" t="str">
        <f t="shared" si="152"/>
        <v>Cream</v>
      </c>
      <c r="E1325" s="5" t="s">
        <v>1416</v>
      </c>
      <c r="F1325" s="5" t="s">
        <v>7</v>
      </c>
      <c r="G1325" s="4" t="str">
        <f t="shared" si="158"/>
        <v>Romper Short</v>
      </c>
      <c r="H1325" s="38">
        <f t="shared" si="156"/>
        <v>5</v>
      </c>
      <c r="I1325" s="54">
        <f t="shared" si="150"/>
        <v>19</v>
      </c>
      <c r="J1325" s="14" t="str">
        <f t="shared" si="153"/>
        <v>MothersDay</v>
      </c>
      <c r="K1325" s="16" t="str">
        <f>TRIM(LEFT(E1325,FIND("(",E1325&amp;"(")-2))</f>
        <v>6-12</v>
      </c>
      <c r="L1325" s="14" t="str">
        <f t="shared" si="155"/>
        <v>Romper Short | 6-12 | Cream</v>
      </c>
      <c r="M1325" s="16" t="s">
        <v>3611</v>
      </c>
    </row>
    <row r="1326" spans="1:13" ht="25" customHeight="1" x14ac:dyDescent="0.45">
      <c r="A1326" s="39">
        <v>46149</v>
      </c>
      <c r="B1326" s="19" t="s">
        <v>1417</v>
      </c>
      <c r="C1326" s="5" t="s">
        <v>85</v>
      </c>
      <c r="D1326" s="53" t="str">
        <f t="shared" si="152"/>
        <v>Forest Green</v>
      </c>
      <c r="E1326" s="5" t="s">
        <v>1380</v>
      </c>
      <c r="F1326" s="5" t="s">
        <v>11</v>
      </c>
      <c r="G1326" s="4" t="str">
        <f t="shared" si="158"/>
        <v>Romper Longer</v>
      </c>
      <c r="H1326" s="38">
        <f t="shared" si="156"/>
        <v>5</v>
      </c>
      <c r="I1326" s="54">
        <f t="shared" si="150"/>
        <v>19</v>
      </c>
      <c r="J1326" s="14" t="str">
        <f t="shared" si="153"/>
        <v>MothersDay</v>
      </c>
      <c r="K1326" s="16" t="str">
        <f>TRIM(LEFT(E1326,FIND("(",E1326&amp;"(")-7))</f>
        <v>3-6</v>
      </c>
      <c r="L1326" s="14" t="str">
        <f t="shared" si="155"/>
        <v>Romper Longer | 3-6 | Forest Green</v>
      </c>
      <c r="M1326" s="16" t="s">
        <v>3610</v>
      </c>
    </row>
    <row r="1327" spans="1:13" ht="25" customHeight="1" x14ac:dyDescent="0.45">
      <c r="A1327" s="39">
        <v>46149</v>
      </c>
      <c r="B1327" s="19" t="s">
        <v>1418</v>
      </c>
      <c r="C1327" s="5" t="s">
        <v>9</v>
      </c>
      <c r="D1327" s="53" t="str">
        <f t="shared" si="152"/>
        <v>Cream</v>
      </c>
      <c r="E1327" s="5" t="s">
        <v>6</v>
      </c>
      <c r="F1327" s="5" t="s">
        <v>7</v>
      </c>
      <c r="G1327" s="4" t="str">
        <f t="shared" si="158"/>
        <v>Bodysuit</v>
      </c>
      <c r="H1327" s="38">
        <f t="shared" si="156"/>
        <v>5</v>
      </c>
      <c r="I1327" s="54">
        <f t="shared" ref="I1327:I1390" si="161">WEEKNUM(A1327)</f>
        <v>19</v>
      </c>
      <c r="J1327" s="14" t="str">
        <f t="shared" si="153"/>
        <v>MothersDay</v>
      </c>
      <c r="K1327" s="16" t="str">
        <f>TRIM(LEFT(E1327,FIND("(",E1327&amp;"(")-7))</f>
        <v>3-6</v>
      </c>
      <c r="L1327" s="14" t="str">
        <f t="shared" si="155"/>
        <v>Bodysuit | 3-6 | Cream</v>
      </c>
      <c r="M1327" s="16" t="s">
        <v>3611</v>
      </c>
    </row>
    <row r="1328" spans="1:13" ht="25" customHeight="1" x14ac:dyDescent="0.45">
      <c r="A1328" s="39">
        <v>46149</v>
      </c>
      <c r="B1328" s="19" t="s">
        <v>1419</v>
      </c>
      <c r="C1328" s="5" t="s">
        <v>79</v>
      </c>
      <c r="D1328" s="53" t="str">
        <f t="shared" si="152"/>
        <v>White</v>
      </c>
      <c r="E1328" s="5" t="s">
        <v>1420</v>
      </c>
      <c r="F1328" s="5" t="s">
        <v>7</v>
      </c>
      <c r="G1328" s="4" t="str">
        <f t="shared" si="158"/>
        <v>Romper Short</v>
      </c>
      <c r="H1328" s="38">
        <f t="shared" si="156"/>
        <v>5</v>
      </c>
      <c r="I1328" s="54">
        <f t="shared" si="161"/>
        <v>19</v>
      </c>
      <c r="J1328" s="14" t="str">
        <f t="shared" si="153"/>
        <v>MothersDay</v>
      </c>
      <c r="K1328" s="16" t="str">
        <f>TRIM(LEFT(E1328,FIND("(",E1328&amp;"(")-3))</f>
        <v>6-12</v>
      </c>
      <c r="L1328" s="14" t="str">
        <f t="shared" si="155"/>
        <v>Romper Short | 6-12 | White</v>
      </c>
      <c r="M1328" s="16" t="s">
        <v>3610</v>
      </c>
    </row>
    <row r="1329" spans="1:13" ht="25" customHeight="1" x14ac:dyDescent="0.45">
      <c r="A1329" s="39">
        <v>46149</v>
      </c>
      <c r="B1329" s="19" t="s">
        <v>1421</v>
      </c>
      <c r="C1329" s="5" t="s">
        <v>9</v>
      </c>
      <c r="D1329" s="53" t="str">
        <f t="shared" si="152"/>
        <v>Cream</v>
      </c>
      <c r="E1329" s="5" t="s">
        <v>1376</v>
      </c>
      <c r="F1329" s="5" t="s">
        <v>7</v>
      </c>
      <c r="G1329" s="4" t="str">
        <f t="shared" si="158"/>
        <v>Romper Longer</v>
      </c>
      <c r="H1329" s="38">
        <f t="shared" si="156"/>
        <v>5</v>
      </c>
      <c r="I1329" s="54">
        <f t="shared" si="161"/>
        <v>19</v>
      </c>
      <c r="J1329" s="14" t="str">
        <f t="shared" si="153"/>
        <v>MothersDay</v>
      </c>
      <c r="K1329" s="16" t="str">
        <f t="shared" ref="K1329:K1339" si="162">TRIM(LEFT(E1329,FIND("(",E1329&amp;"(")-7))</f>
        <v>0-3</v>
      </c>
      <c r="L1329" s="14" t="str">
        <f t="shared" si="155"/>
        <v>Romper Longer | 0-3 | Cream</v>
      </c>
      <c r="M1329" s="16" t="s">
        <v>3609</v>
      </c>
    </row>
    <row r="1330" spans="1:13" ht="25" customHeight="1" x14ac:dyDescent="0.45">
      <c r="A1330" s="39">
        <v>46150</v>
      </c>
      <c r="B1330" s="19" t="s">
        <v>1422</v>
      </c>
      <c r="C1330" s="5" t="s">
        <v>1382</v>
      </c>
      <c r="D1330" s="53" t="str">
        <f t="shared" si="152"/>
        <v xml:space="preserve"> Light Pink </v>
      </c>
      <c r="E1330" s="5" t="s">
        <v>6</v>
      </c>
      <c r="F1330" s="5" t="s">
        <v>7</v>
      </c>
      <c r="G1330" s="4" t="str">
        <f t="shared" si="158"/>
        <v>Bodysuit</v>
      </c>
      <c r="H1330" s="38">
        <f t="shared" si="156"/>
        <v>5</v>
      </c>
      <c r="I1330" s="54">
        <f t="shared" si="161"/>
        <v>19</v>
      </c>
      <c r="J1330" s="14" t="str">
        <f t="shared" si="153"/>
        <v>MothersDay</v>
      </c>
      <c r="K1330" s="16" t="str">
        <f t="shared" si="162"/>
        <v>3-6</v>
      </c>
      <c r="L1330" s="14" t="str">
        <f t="shared" si="155"/>
        <v>Bodysuit | 3-6 | Light Pink</v>
      </c>
      <c r="M1330" s="16" t="s">
        <v>3610</v>
      </c>
    </row>
    <row r="1331" spans="1:13" ht="25" customHeight="1" x14ac:dyDescent="0.45">
      <c r="A1331" s="39">
        <v>46150</v>
      </c>
      <c r="B1331" s="19" t="s">
        <v>1423</v>
      </c>
      <c r="C1331" s="40" t="s">
        <v>9</v>
      </c>
      <c r="D1331" s="53" t="str">
        <f t="shared" si="152"/>
        <v>Cream</v>
      </c>
      <c r="E1331" s="5" t="s">
        <v>10</v>
      </c>
      <c r="F1331" s="5" t="s">
        <v>7</v>
      </c>
      <c r="G1331" s="4" t="str">
        <f t="shared" si="158"/>
        <v>Bodysuit</v>
      </c>
      <c r="H1331" s="38">
        <f t="shared" si="156"/>
        <v>5</v>
      </c>
      <c r="I1331" s="54">
        <f t="shared" si="161"/>
        <v>19</v>
      </c>
      <c r="J1331" s="14" t="str">
        <f t="shared" si="153"/>
        <v>MothersDay</v>
      </c>
      <c r="K1331" s="16" t="str">
        <f t="shared" si="162"/>
        <v>0-3</v>
      </c>
      <c r="L1331" s="14" t="str">
        <f t="shared" si="155"/>
        <v>Bodysuit | 0-3 | Cream</v>
      </c>
      <c r="M1331" s="16" t="s">
        <v>3610</v>
      </c>
    </row>
    <row r="1332" spans="1:13" ht="25" customHeight="1" x14ac:dyDescent="0.45">
      <c r="A1332" s="39">
        <v>46150</v>
      </c>
      <c r="B1332" s="19" t="s">
        <v>1424</v>
      </c>
      <c r="C1332" s="5" t="s">
        <v>8</v>
      </c>
      <c r="D1332" s="53" t="str">
        <f t="shared" si="152"/>
        <v>Light Pink</v>
      </c>
      <c r="E1332" s="5" t="s">
        <v>10</v>
      </c>
      <c r="F1332" s="5" t="s">
        <v>7</v>
      </c>
      <c r="G1332" s="4" t="str">
        <f t="shared" si="158"/>
        <v>Bodysuit</v>
      </c>
      <c r="H1332" s="38">
        <f t="shared" si="156"/>
        <v>5</v>
      </c>
      <c r="I1332" s="54">
        <f t="shared" si="161"/>
        <v>19</v>
      </c>
      <c r="J1332" s="14" t="str">
        <f t="shared" si="153"/>
        <v>MothersDay</v>
      </c>
      <c r="K1332" s="16" t="str">
        <f t="shared" si="162"/>
        <v>0-3</v>
      </c>
      <c r="L1332" s="14" t="str">
        <f t="shared" si="155"/>
        <v>Bodysuit | 0-3 | Light Pink</v>
      </c>
      <c r="M1332" s="16" t="s">
        <v>3610</v>
      </c>
    </row>
    <row r="1333" spans="1:13" ht="25" customHeight="1" x14ac:dyDescent="0.45">
      <c r="A1333" s="39">
        <v>46152</v>
      </c>
      <c r="B1333" s="19" t="s">
        <v>1425</v>
      </c>
      <c r="C1333" s="5" t="s">
        <v>79</v>
      </c>
      <c r="D1333" s="53" t="str">
        <f t="shared" si="152"/>
        <v>White</v>
      </c>
      <c r="E1333" s="5" t="s">
        <v>1372</v>
      </c>
      <c r="F1333" s="5" t="s">
        <v>7</v>
      </c>
      <c r="G1333" s="4" t="str">
        <f t="shared" si="158"/>
        <v>Romper Short</v>
      </c>
      <c r="H1333" s="38">
        <f t="shared" si="156"/>
        <v>5</v>
      </c>
      <c r="I1333" s="54">
        <f t="shared" si="161"/>
        <v>20</v>
      </c>
      <c r="J1333" s="14" t="str">
        <f t="shared" si="153"/>
        <v>MothersDay</v>
      </c>
      <c r="K1333" s="16" t="str">
        <f t="shared" si="162"/>
        <v>3-6</v>
      </c>
      <c r="L1333" s="14" t="str">
        <f t="shared" si="155"/>
        <v>Romper Short | 3-6 | White</v>
      </c>
      <c r="M1333" s="16" t="s">
        <v>3610</v>
      </c>
    </row>
    <row r="1334" spans="1:13" ht="25" customHeight="1" x14ac:dyDescent="0.45">
      <c r="A1334" s="39">
        <v>46141</v>
      </c>
      <c r="B1334" s="19" t="s">
        <v>1398</v>
      </c>
      <c r="C1334" s="5" t="s">
        <v>1389</v>
      </c>
      <c r="D1334" s="53" t="str">
        <f t="shared" si="152"/>
        <v xml:space="preserve"> Light Blue</v>
      </c>
      <c r="E1334" s="5" t="s">
        <v>10</v>
      </c>
      <c r="F1334" s="5" t="s">
        <v>7</v>
      </c>
      <c r="G1334" s="4" t="str">
        <f t="shared" si="158"/>
        <v>Bodysuit</v>
      </c>
      <c r="H1334" s="38">
        <f t="shared" si="156"/>
        <v>4</v>
      </c>
      <c r="I1334" s="54">
        <f t="shared" si="161"/>
        <v>18</v>
      </c>
      <c r="J1334" s="14" t="str">
        <f t="shared" si="153"/>
        <v>Easter</v>
      </c>
      <c r="K1334" s="16" t="str">
        <f t="shared" si="162"/>
        <v>0-3</v>
      </c>
      <c r="L1334" s="14" t="str">
        <f t="shared" si="155"/>
        <v>Bodysuit | 0-3 | Light Blue</v>
      </c>
      <c r="M1334" s="16" t="s">
        <v>3610</v>
      </c>
    </row>
    <row r="1335" spans="1:13" ht="25" customHeight="1" x14ac:dyDescent="0.45">
      <c r="A1335" s="39">
        <v>46152</v>
      </c>
      <c r="B1335" s="19" t="s">
        <v>1426</v>
      </c>
      <c r="C1335" s="5" t="s">
        <v>8</v>
      </c>
      <c r="D1335" s="53" t="str">
        <f t="shared" si="152"/>
        <v>Light Pink</v>
      </c>
      <c r="E1335" s="5" t="s">
        <v>6</v>
      </c>
      <c r="F1335" s="5" t="s">
        <v>7</v>
      </c>
      <c r="G1335" s="4" t="str">
        <f t="shared" si="158"/>
        <v>Bodysuit</v>
      </c>
      <c r="H1335" s="38">
        <f t="shared" si="156"/>
        <v>5</v>
      </c>
      <c r="I1335" s="54">
        <f t="shared" si="161"/>
        <v>20</v>
      </c>
      <c r="J1335" s="14" t="str">
        <f t="shared" si="153"/>
        <v>MothersDay</v>
      </c>
      <c r="K1335" s="16" t="str">
        <f t="shared" si="162"/>
        <v>3-6</v>
      </c>
      <c r="L1335" s="14" t="str">
        <f t="shared" si="155"/>
        <v>Bodysuit | 3-6 | Light Pink</v>
      </c>
      <c r="M1335" s="16" t="s">
        <v>3610</v>
      </c>
    </row>
    <row r="1336" spans="1:13" ht="25" customHeight="1" x14ac:dyDescent="0.45">
      <c r="A1336" s="39">
        <v>46153</v>
      </c>
      <c r="B1336" s="19" t="s">
        <v>1427</v>
      </c>
      <c r="C1336" s="5" t="s">
        <v>1389</v>
      </c>
      <c r="D1336" s="53" t="str">
        <f t="shared" si="152"/>
        <v xml:space="preserve"> Light Blue</v>
      </c>
      <c r="E1336" s="5" t="s">
        <v>10</v>
      </c>
      <c r="F1336" s="5" t="s">
        <v>7</v>
      </c>
      <c r="G1336" s="4" t="str">
        <f t="shared" si="158"/>
        <v>Bodysuit</v>
      </c>
      <c r="H1336" s="38">
        <f t="shared" si="156"/>
        <v>5</v>
      </c>
      <c r="I1336" s="54">
        <f t="shared" si="161"/>
        <v>20</v>
      </c>
      <c r="J1336" s="14" t="str">
        <f t="shared" si="153"/>
        <v>MothersDay</v>
      </c>
      <c r="K1336" s="16" t="str">
        <f t="shared" si="162"/>
        <v>0-3</v>
      </c>
      <c r="L1336" s="14" t="str">
        <f t="shared" si="155"/>
        <v>Bodysuit | 0-3 | Light Blue</v>
      </c>
      <c r="M1336" s="16" t="s">
        <v>3610</v>
      </c>
    </row>
    <row r="1337" spans="1:13" ht="25" customHeight="1" x14ac:dyDescent="0.45">
      <c r="A1337" s="39">
        <v>46153</v>
      </c>
      <c r="B1337" s="19" t="s">
        <v>1428</v>
      </c>
      <c r="C1337" s="5" t="s">
        <v>5</v>
      </c>
      <c r="D1337" s="53" t="str">
        <f t="shared" si="152"/>
        <v>Light Blue</v>
      </c>
      <c r="E1337" s="5" t="s">
        <v>10</v>
      </c>
      <c r="F1337" s="5" t="s">
        <v>7</v>
      </c>
      <c r="G1337" s="4" t="str">
        <f t="shared" si="158"/>
        <v>Bodysuit</v>
      </c>
      <c r="H1337" s="38">
        <f t="shared" si="156"/>
        <v>5</v>
      </c>
      <c r="I1337" s="54">
        <f t="shared" si="161"/>
        <v>20</v>
      </c>
      <c r="J1337" s="14" t="str">
        <f t="shared" si="153"/>
        <v>MothersDay</v>
      </c>
      <c r="K1337" s="16" t="str">
        <f t="shared" si="162"/>
        <v>0-3</v>
      </c>
      <c r="L1337" s="14" t="str">
        <f t="shared" si="155"/>
        <v>Bodysuit | 0-3 | Light Blue</v>
      </c>
      <c r="M1337" s="16" t="s">
        <v>3610</v>
      </c>
    </row>
    <row r="1338" spans="1:13" ht="25" customHeight="1" x14ac:dyDescent="0.45">
      <c r="A1338" s="39">
        <v>46153</v>
      </c>
      <c r="B1338" s="19" t="s">
        <v>1429</v>
      </c>
      <c r="C1338" s="5" t="s">
        <v>9</v>
      </c>
      <c r="D1338" s="53" t="str">
        <f t="shared" si="152"/>
        <v>Cream</v>
      </c>
      <c r="E1338" s="5" t="s">
        <v>10</v>
      </c>
      <c r="F1338" s="5" t="s">
        <v>7</v>
      </c>
      <c r="G1338" s="4" t="str">
        <f t="shared" si="158"/>
        <v>Bodysuit</v>
      </c>
      <c r="H1338" s="38">
        <f t="shared" si="156"/>
        <v>5</v>
      </c>
      <c r="I1338" s="54">
        <f t="shared" si="161"/>
        <v>20</v>
      </c>
      <c r="J1338" s="14" t="str">
        <f t="shared" si="153"/>
        <v>MothersDay</v>
      </c>
      <c r="K1338" s="16" t="str">
        <f t="shared" si="162"/>
        <v>0-3</v>
      </c>
      <c r="L1338" s="14" t="str">
        <f t="shared" si="155"/>
        <v>Bodysuit | 0-3 | Cream</v>
      </c>
      <c r="M1338" s="16" t="s">
        <v>3610</v>
      </c>
    </row>
    <row r="1339" spans="1:13" ht="25" customHeight="1" x14ac:dyDescent="0.45">
      <c r="A1339" s="39">
        <v>46154</v>
      </c>
      <c r="B1339" s="19" t="s">
        <v>1430</v>
      </c>
      <c r="C1339" s="5" t="s">
        <v>1389</v>
      </c>
      <c r="D1339" s="53" t="str">
        <f t="shared" si="152"/>
        <v xml:space="preserve"> Light Blue</v>
      </c>
      <c r="E1339" s="5" t="s">
        <v>6</v>
      </c>
      <c r="F1339" s="5" t="s">
        <v>7</v>
      </c>
      <c r="G1339" s="4" t="str">
        <f t="shared" si="158"/>
        <v>Bodysuit</v>
      </c>
      <c r="H1339" s="38">
        <f t="shared" si="156"/>
        <v>5</v>
      </c>
      <c r="I1339" s="54">
        <f t="shared" si="161"/>
        <v>20</v>
      </c>
      <c r="J1339" s="14" t="str">
        <f t="shared" si="153"/>
        <v>MothersDay</v>
      </c>
      <c r="K1339" s="16" t="str">
        <f t="shared" si="162"/>
        <v>3-6</v>
      </c>
      <c r="L1339" s="14" t="str">
        <f t="shared" si="155"/>
        <v>Bodysuit | 3-6 | Light Blue</v>
      </c>
      <c r="M1339" s="16" t="s">
        <v>3610</v>
      </c>
    </row>
    <row r="1340" spans="1:13" ht="25" customHeight="1" x14ac:dyDescent="0.45">
      <c r="A1340" s="39">
        <v>46154</v>
      </c>
      <c r="B1340" s="19" t="s">
        <v>1431</v>
      </c>
      <c r="C1340" s="5" t="s">
        <v>110</v>
      </c>
      <c r="D1340" s="53" t="str">
        <f t="shared" si="152"/>
        <v>Sage Green</v>
      </c>
      <c r="E1340" s="5" t="s">
        <v>1432</v>
      </c>
      <c r="F1340" s="5" t="s">
        <v>7</v>
      </c>
      <c r="G1340" s="4" t="str">
        <f t="shared" si="158"/>
        <v>Romper Short</v>
      </c>
      <c r="H1340" s="38">
        <f t="shared" si="156"/>
        <v>5</v>
      </c>
      <c r="I1340" s="54">
        <f t="shared" si="161"/>
        <v>20</v>
      </c>
      <c r="J1340" s="14" t="str">
        <f t="shared" si="153"/>
        <v>MothersDay</v>
      </c>
      <c r="K1340" s="16" t="str">
        <f>TRIM(LEFT(E1340,FIND("(",E1340&amp;"(")-8))</f>
        <v>3-6</v>
      </c>
      <c r="L1340" s="14" t="str">
        <f t="shared" si="155"/>
        <v>Romper Short | 3-6 | Sage Green</v>
      </c>
      <c r="M1340" s="16" t="s">
        <v>3611</v>
      </c>
    </row>
    <row r="1341" spans="1:13" ht="25" customHeight="1" x14ac:dyDescent="0.45">
      <c r="A1341" s="39">
        <v>46155</v>
      </c>
      <c r="B1341" s="19" t="s">
        <v>1433</v>
      </c>
      <c r="C1341" s="5" t="s">
        <v>9</v>
      </c>
      <c r="D1341" s="53" t="str">
        <f t="shared" si="152"/>
        <v>Cream</v>
      </c>
      <c r="E1341" s="5" t="s">
        <v>6</v>
      </c>
      <c r="F1341" s="5" t="s">
        <v>7</v>
      </c>
      <c r="G1341" s="4" t="str">
        <f t="shared" si="158"/>
        <v>Bodysuit</v>
      </c>
      <c r="H1341" s="38">
        <f t="shared" si="156"/>
        <v>5</v>
      </c>
      <c r="I1341" s="54">
        <f t="shared" si="161"/>
        <v>20</v>
      </c>
      <c r="J1341" s="14" t="str">
        <f t="shared" si="153"/>
        <v>MothersDay</v>
      </c>
      <c r="K1341" s="16" t="str">
        <f>TRIM(LEFT(E1341,FIND("(",E1341&amp;"(")-7))</f>
        <v>3-6</v>
      </c>
      <c r="L1341" s="14" t="str">
        <f t="shared" si="155"/>
        <v>Bodysuit | 3-6 | Cream</v>
      </c>
      <c r="M1341" s="16" t="s">
        <v>3611</v>
      </c>
    </row>
    <row r="1342" spans="1:13" ht="25" customHeight="1" x14ac:dyDescent="0.45">
      <c r="A1342" s="39">
        <v>46155</v>
      </c>
      <c r="B1342" s="19" t="s">
        <v>1434</v>
      </c>
      <c r="C1342" s="40" t="s">
        <v>76</v>
      </c>
      <c r="D1342" s="53" t="str">
        <f t="shared" si="152"/>
        <v>Caldet Blue</v>
      </c>
      <c r="E1342" s="5" t="s">
        <v>1416</v>
      </c>
      <c r="F1342" s="5" t="s">
        <v>7</v>
      </c>
      <c r="G1342" s="4" t="str">
        <f t="shared" si="158"/>
        <v>Romper Short</v>
      </c>
      <c r="H1342" s="38">
        <f t="shared" si="156"/>
        <v>5</v>
      </c>
      <c r="I1342" s="54">
        <f t="shared" si="161"/>
        <v>20</v>
      </c>
      <c r="J1342" s="14" t="str">
        <f t="shared" si="153"/>
        <v>MothersDay</v>
      </c>
      <c r="K1342" s="16" t="str">
        <f>TRIM(LEFT(E1342,FIND("(",E1342&amp;"(")-2))</f>
        <v>6-12</v>
      </c>
      <c r="L1342" s="14" t="str">
        <f t="shared" si="155"/>
        <v>Romper Short | 6-12 | Caldet Blue</v>
      </c>
      <c r="M1342" s="16" t="s">
        <v>3610</v>
      </c>
    </row>
    <row r="1343" spans="1:13" ht="25" customHeight="1" x14ac:dyDescent="0.45">
      <c r="A1343" s="39">
        <v>46155</v>
      </c>
      <c r="B1343" s="19" t="s">
        <v>1435</v>
      </c>
      <c r="C1343" s="5" t="s">
        <v>8</v>
      </c>
      <c r="D1343" s="53" t="str">
        <f t="shared" si="152"/>
        <v>Light Pink</v>
      </c>
      <c r="E1343" s="5" t="s">
        <v>10</v>
      </c>
      <c r="F1343" s="5" t="s">
        <v>7</v>
      </c>
      <c r="G1343" s="4" t="str">
        <f t="shared" si="158"/>
        <v>Bodysuit</v>
      </c>
      <c r="H1343" s="38">
        <f t="shared" si="156"/>
        <v>5</v>
      </c>
      <c r="I1343" s="54">
        <f t="shared" si="161"/>
        <v>20</v>
      </c>
      <c r="J1343" s="14" t="str">
        <f t="shared" si="153"/>
        <v>MothersDay</v>
      </c>
      <c r="K1343" s="16" t="str">
        <f>TRIM(LEFT(E1343,FIND("(",E1343&amp;"(")-7))</f>
        <v>0-3</v>
      </c>
      <c r="L1343" s="14" t="str">
        <f t="shared" si="155"/>
        <v>Bodysuit | 0-3 | Light Pink</v>
      </c>
      <c r="M1343" s="16" t="s">
        <v>3610</v>
      </c>
    </row>
    <row r="1344" spans="1:13" ht="25" customHeight="1" x14ac:dyDescent="0.45">
      <c r="A1344" s="39">
        <v>46155</v>
      </c>
      <c r="B1344" s="19" t="s">
        <v>1436</v>
      </c>
      <c r="C1344" s="5" t="s">
        <v>71</v>
      </c>
      <c r="D1344" s="53" t="str">
        <f t="shared" si="152"/>
        <v>Coffee</v>
      </c>
      <c r="E1344" s="5" t="s">
        <v>3607</v>
      </c>
      <c r="F1344" s="5" t="s">
        <v>7</v>
      </c>
      <c r="G1344" s="4" t="str">
        <f t="shared" si="158"/>
        <v>Romper Short</v>
      </c>
      <c r="H1344" s="38">
        <f t="shared" si="156"/>
        <v>5</v>
      </c>
      <c r="I1344" s="54">
        <f t="shared" si="161"/>
        <v>20</v>
      </c>
      <c r="J1344" s="14" t="str">
        <f t="shared" si="153"/>
        <v>MothersDay</v>
      </c>
      <c r="K1344" s="16" t="str">
        <f>TRIM(LEFT(E1344,FIND("(",E1344&amp;"(")-1))</f>
        <v>0-3</v>
      </c>
      <c r="L1344" s="14" t="str">
        <f t="shared" si="155"/>
        <v>Romper Short | 0-3 | Coffee</v>
      </c>
      <c r="M1344" s="16" t="s">
        <v>3610</v>
      </c>
    </row>
    <row r="1345" spans="1:13" ht="25" customHeight="1" x14ac:dyDescent="0.45">
      <c r="A1345" s="39">
        <v>46155</v>
      </c>
      <c r="B1345" s="19" t="s">
        <v>1437</v>
      </c>
      <c r="C1345" s="5" t="s">
        <v>9</v>
      </c>
      <c r="D1345" s="53" t="str">
        <f t="shared" si="152"/>
        <v>Cream</v>
      </c>
      <c r="E1345" s="5" t="s">
        <v>1416</v>
      </c>
      <c r="F1345" s="5" t="s">
        <v>19</v>
      </c>
      <c r="G1345" s="4" t="str">
        <f t="shared" si="158"/>
        <v>Romper Short</v>
      </c>
      <c r="H1345" s="38">
        <f t="shared" si="156"/>
        <v>5</v>
      </c>
      <c r="I1345" s="54">
        <f t="shared" si="161"/>
        <v>20</v>
      </c>
      <c r="J1345" s="14" t="str">
        <f t="shared" si="153"/>
        <v>MothersDay</v>
      </c>
      <c r="K1345" s="16" t="str">
        <f>TRIM(LEFT(E1345,FIND("(",E1345&amp;"(")-2))</f>
        <v>6-12</v>
      </c>
      <c r="L1345" s="14" t="str">
        <f t="shared" si="155"/>
        <v>Romper Short | 6-12 | Cream</v>
      </c>
      <c r="M1345" s="16" t="s">
        <v>3611</v>
      </c>
    </row>
    <row r="1346" spans="1:13" ht="25" customHeight="1" x14ac:dyDescent="0.45">
      <c r="A1346" s="39">
        <v>46155</v>
      </c>
      <c r="B1346" s="19" t="s">
        <v>1438</v>
      </c>
      <c r="C1346" s="5" t="s">
        <v>407</v>
      </c>
      <c r="D1346" s="53" t="str">
        <f t="shared" si="152"/>
        <v>Texas Orange</v>
      </c>
      <c r="E1346" s="5" t="s">
        <v>1376</v>
      </c>
      <c r="F1346" s="5" t="s">
        <v>7</v>
      </c>
      <c r="G1346" s="4" t="str">
        <f t="shared" si="158"/>
        <v>Romper Longer</v>
      </c>
      <c r="H1346" s="38">
        <f t="shared" si="156"/>
        <v>5</v>
      </c>
      <c r="I1346" s="54">
        <f t="shared" si="161"/>
        <v>20</v>
      </c>
      <c r="J1346" s="14" t="str">
        <f t="shared" si="153"/>
        <v>MothersDay</v>
      </c>
      <c r="K1346" s="16" t="str">
        <f>TRIM(LEFT(E1346,FIND("(",E1346&amp;"(")-7))</f>
        <v>0-3</v>
      </c>
      <c r="L1346" s="14" t="str">
        <f t="shared" si="155"/>
        <v>Romper Longer | 0-3 | Texas Orange</v>
      </c>
      <c r="M1346" s="16" t="s">
        <v>3610</v>
      </c>
    </row>
    <row r="1347" spans="1:13" ht="25" customHeight="1" x14ac:dyDescent="0.45">
      <c r="A1347" s="39">
        <v>46156</v>
      </c>
      <c r="B1347" s="19" t="s">
        <v>1439</v>
      </c>
      <c r="C1347" s="5" t="s">
        <v>1344</v>
      </c>
      <c r="D1347" s="53" t="str">
        <f t="shared" ref="D1347:D1400" si="163">PROPER(C1347)</f>
        <v xml:space="preserve">Light Blue </v>
      </c>
      <c r="E1347" s="5" t="s">
        <v>10</v>
      </c>
      <c r="F1347" s="5" t="s">
        <v>7</v>
      </c>
      <c r="G1347" s="4" t="str">
        <f t="shared" si="158"/>
        <v>Bodysuit</v>
      </c>
      <c r="H1347" s="38">
        <f t="shared" si="156"/>
        <v>5</v>
      </c>
      <c r="I1347" s="54">
        <f t="shared" si="161"/>
        <v>20</v>
      </c>
      <c r="J1347" s="14" t="str">
        <f t="shared" ref="J1347:J1410" si="164">IF(H1347=1,"NewYear",
IF(H1347=2,"Valentine",
IF(OR(H1347=3,H1347=4),"Easter",
IF(H1347=5,"MothersDay",
IF(H1347=6,"FathersDay",
IF(OR(H1347=7,H1347=8),"Summer",
IF(H1347=10,"Halloween",
IF(OR(H1347=11,H1347=12),"Christmas","Normal"))))))))</f>
        <v>MothersDay</v>
      </c>
      <c r="K1347" s="16" t="str">
        <f>TRIM(LEFT(E1347,FIND("(",E1347&amp;"(")-7))</f>
        <v>0-3</v>
      </c>
      <c r="L1347" s="14" t="str">
        <f t="shared" ref="L1347:L1410" si="165">TRIM(G1347)&amp;" | "&amp;TRIM(K1347)&amp;" | "&amp;PROPER(TRIM(D1347))</f>
        <v>Bodysuit | 0-3 | Light Blue</v>
      </c>
      <c r="M1347" s="16" t="s">
        <v>3610</v>
      </c>
    </row>
    <row r="1348" spans="1:13" ht="25" customHeight="1" x14ac:dyDescent="0.45">
      <c r="A1348" s="39">
        <v>46156</v>
      </c>
      <c r="B1348" s="19" t="s">
        <v>1440</v>
      </c>
      <c r="C1348" s="5" t="s">
        <v>81</v>
      </c>
      <c r="D1348" s="53" t="str">
        <f t="shared" si="163"/>
        <v>Dusty Pink</v>
      </c>
      <c r="E1348" s="5" t="s">
        <v>1376</v>
      </c>
      <c r="F1348" s="5" t="s">
        <v>19</v>
      </c>
      <c r="G1348" s="4" t="str">
        <f t="shared" si="158"/>
        <v>Romper Longer</v>
      </c>
      <c r="H1348" s="38">
        <f t="shared" ref="H1348:H1411" si="166">MONTH(A1348)</f>
        <v>5</v>
      </c>
      <c r="I1348" s="54">
        <f t="shared" si="161"/>
        <v>20</v>
      </c>
      <c r="J1348" s="14" t="str">
        <f t="shared" si="164"/>
        <v>MothersDay</v>
      </c>
      <c r="K1348" s="16" t="str">
        <f>TRIM(LEFT(E1348,FIND("(",E1348&amp;"(")-7))</f>
        <v>0-3</v>
      </c>
      <c r="L1348" s="14" t="str">
        <f t="shared" si="165"/>
        <v>Romper Longer | 0-3 | Dusty Pink</v>
      </c>
      <c r="M1348" s="16" t="s">
        <v>3610</v>
      </c>
    </row>
    <row r="1349" spans="1:13" ht="25" customHeight="1" x14ac:dyDescent="0.45">
      <c r="A1349" s="39">
        <v>46156</v>
      </c>
      <c r="B1349" s="19" t="s">
        <v>1379</v>
      </c>
      <c r="C1349" s="5" t="s">
        <v>114</v>
      </c>
      <c r="D1349" s="53" t="str">
        <f t="shared" si="163"/>
        <v>White</v>
      </c>
      <c r="E1349" s="5" t="s">
        <v>1380</v>
      </c>
      <c r="F1349" s="5" t="s">
        <v>7</v>
      </c>
      <c r="G1349" s="4" t="str">
        <f t="shared" si="158"/>
        <v>Romper Longer</v>
      </c>
      <c r="H1349" s="38">
        <f t="shared" si="166"/>
        <v>5</v>
      </c>
      <c r="I1349" s="54">
        <f t="shared" si="161"/>
        <v>20</v>
      </c>
      <c r="J1349" s="14" t="str">
        <f t="shared" si="164"/>
        <v>MothersDay</v>
      </c>
      <c r="K1349" s="16" t="str">
        <f>TRIM(LEFT(E1349,FIND("(",E1349&amp;"(")-7))</f>
        <v>3-6</v>
      </c>
      <c r="L1349" s="14" t="str">
        <f t="shared" si="165"/>
        <v>Romper Longer | 3-6 | White</v>
      </c>
      <c r="M1349" s="16" t="s">
        <v>3610</v>
      </c>
    </row>
    <row r="1350" spans="1:13" ht="25" customHeight="1" x14ac:dyDescent="0.45">
      <c r="A1350" s="39">
        <v>46158</v>
      </c>
      <c r="B1350" s="19" t="s">
        <v>1441</v>
      </c>
      <c r="C1350" s="5" t="s">
        <v>1442</v>
      </c>
      <c r="D1350" s="53" t="str">
        <f t="shared" si="163"/>
        <v xml:space="preserve"> White </v>
      </c>
      <c r="E1350" s="5" t="s">
        <v>1420</v>
      </c>
      <c r="F1350" s="5" t="s">
        <v>7</v>
      </c>
      <c r="G1350" s="4" t="str">
        <f t="shared" si="158"/>
        <v>Romper Short</v>
      </c>
      <c r="H1350" s="38">
        <f t="shared" si="166"/>
        <v>5</v>
      </c>
      <c r="I1350" s="54">
        <f t="shared" si="161"/>
        <v>20</v>
      </c>
      <c r="J1350" s="14" t="str">
        <f t="shared" si="164"/>
        <v>MothersDay</v>
      </c>
      <c r="K1350" s="16" t="str">
        <f>TRIM(LEFT(E1350,FIND("(",E1350&amp;"(")-3))</f>
        <v>6-12</v>
      </c>
      <c r="L1350" s="14" t="str">
        <f t="shared" si="165"/>
        <v>Romper Short | 6-12 | White</v>
      </c>
      <c r="M1350" s="16" t="s">
        <v>3610</v>
      </c>
    </row>
    <row r="1351" spans="1:13" ht="25" customHeight="1" x14ac:dyDescent="0.45">
      <c r="A1351" s="39">
        <v>46159</v>
      </c>
      <c r="B1351" s="19" t="s">
        <v>1443</v>
      </c>
      <c r="C1351" s="5" t="s">
        <v>1329</v>
      </c>
      <c r="D1351" s="53" t="str">
        <f t="shared" si="163"/>
        <v xml:space="preserve">Cream </v>
      </c>
      <c r="E1351" s="5" t="s">
        <v>6</v>
      </c>
      <c r="F1351" s="5" t="s">
        <v>11</v>
      </c>
      <c r="G1351" s="4" t="str">
        <f t="shared" si="158"/>
        <v>Bodysuit</v>
      </c>
      <c r="H1351" s="38">
        <f t="shared" si="166"/>
        <v>5</v>
      </c>
      <c r="I1351" s="54">
        <f t="shared" si="161"/>
        <v>21</v>
      </c>
      <c r="J1351" s="14" t="str">
        <f t="shared" si="164"/>
        <v>MothersDay</v>
      </c>
      <c r="K1351" s="16" t="str">
        <f>TRIM(LEFT(E1351,FIND("(",E1351&amp;"(")-7))</f>
        <v>3-6</v>
      </c>
      <c r="L1351" s="14" t="str">
        <f t="shared" si="165"/>
        <v>Bodysuit | 3-6 | Cream</v>
      </c>
      <c r="M1351" s="16" t="s">
        <v>3611</v>
      </c>
    </row>
    <row r="1352" spans="1:13" ht="25" customHeight="1" x14ac:dyDescent="0.45">
      <c r="A1352" s="39">
        <v>46159</v>
      </c>
      <c r="B1352" s="19" t="s">
        <v>1444</v>
      </c>
      <c r="C1352" s="5" t="s">
        <v>9</v>
      </c>
      <c r="D1352" s="53" t="str">
        <f t="shared" si="163"/>
        <v>Cream</v>
      </c>
      <c r="E1352" s="5" t="s">
        <v>1372</v>
      </c>
      <c r="F1352" s="5" t="s">
        <v>37</v>
      </c>
      <c r="G1352" s="4" t="str">
        <f t="shared" si="158"/>
        <v>Romper Short</v>
      </c>
      <c r="H1352" s="38">
        <f t="shared" si="166"/>
        <v>5</v>
      </c>
      <c r="I1352" s="54">
        <f t="shared" si="161"/>
        <v>21</v>
      </c>
      <c r="J1352" s="14" t="str">
        <f t="shared" si="164"/>
        <v>MothersDay</v>
      </c>
      <c r="K1352" s="16" t="str">
        <f>TRIM(LEFT(E1352,FIND("(",E1352&amp;"(")-7))</f>
        <v>3-6</v>
      </c>
      <c r="L1352" s="14" t="str">
        <f t="shared" si="165"/>
        <v>Romper Short | 3-6 | Cream</v>
      </c>
      <c r="M1352" s="16" t="s">
        <v>3609</v>
      </c>
    </row>
    <row r="1353" spans="1:13" ht="25" customHeight="1" x14ac:dyDescent="0.45">
      <c r="A1353" s="39">
        <v>46159</v>
      </c>
      <c r="B1353" s="19" t="s">
        <v>1445</v>
      </c>
      <c r="C1353" s="5" t="s">
        <v>1446</v>
      </c>
      <c r="D1353" s="53" t="str">
        <f t="shared" si="163"/>
        <v xml:space="preserve">Watermelon  </v>
      </c>
      <c r="E1353" s="5" t="s">
        <v>1447</v>
      </c>
      <c r="F1353" s="5" t="s">
        <v>7</v>
      </c>
      <c r="G1353" s="4" t="str">
        <f t="shared" si="158"/>
        <v>Romper Longer</v>
      </c>
      <c r="H1353" s="38">
        <f t="shared" si="166"/>
        <v>5</v>
      </c>
      <c r="I1353" s="54">
        <f t="shared" si="161"/>
        <v>21</v>
      </c>
      <c r="J1353" s="14" t="str">
        <f t="shared" si="164"/>
        <v>MothersDay</v>
      </c>
      <c r="K1353" s="16" t="str">
        <f>TRIM(LEFT(E1353,FIND("(",E1353&amp;"(")-3))</f>
        <v>18-24</v>
      </c>
      <c r="L1353" s="14" t="str">
        <f t="shared" si="165"/>
        <v>Romper Longer | 18-24 | Watermelon</v>
      </c>
      <c r="M1353" s="16" t="s">
        <v>3610</v>
      </c>
    </row>
    <row r="1354" spans="1:13" ht="25" customHeight="1" x14ac:dyDescent="0.45">
      <c r="A1354" s="39">
        <v>46159</v>
      </c>
      <c r="B1354" s="19" t="s">
        <v>1448</v>
      </c>
      <c r="C1354" s="5" t="s">
        <v>1449</v>
      </c>
      <c r="D1354" s="53" t="str">
        <f t="shared" si="163"/>
        <v xml:space="preserve"> Cream</v>
      </c>
      <c r="E1354" s="5" t="s">
        <v>1555</v>
      </c>
      <c r="F1354" s="5" t="s">
        <v>7</v>
      </c>
      <c r="G1354" s="4" t="str">
        <f t="shared" si="158"/>
        <v>Romper Longer</v>
      </c>
      <c r="H1354" s="38">
        <f t="shared" si="166"/>
        <v>5</v>
      </c>
      <c r="I1354" s="54">
        <f t="shared" si="161"/>
        <v>21</v>
      </c>
      <c r="J1354" s="14" t="str">
        <f t="shared" si="164"/>
        <v>MothersDay</v>
      </c>
      <c r="K1354" s="16" t="str">
        <f>TRIM(LEFT(E1354,FIND("(",E1354&amp;"(")-8))</f>
        <v>3-6</v>
      </c>
      <c r="L1354" s="14" t="str">
        <f t="shared" si="165"/>
        <v>Romper Longer | 3-6 | Cream</v>
      </c>
      <c r="M1354" s="16" t="s">
        <v>3609</v>
      </c>
    </row>
    <row r="1355" spans="1:13" ht="25" customHeight="1" x14ac:dyDescent="0.45">
      <c r="A1355" s="39">
        <v>46161</v>
      </c>
      <c r="B1355" s="19" t="s">
        <v>1450</v>
      </c>
      <c r="C1355" s="5" t="s">
        <v>1329</v>
      </c>
      <c r="D1355" s="53" t="str">
        <f t="shared" si="163"/>
        <v xml:space="preserve">Cream </v>
      </c>
      <c r="E1355" s="5" t="s">
        <v>10</v>
      </c>
      <c r="F1355" s="5" t="s">
        <v>7</v>
      </c>
      <c r="G1355" s="4" t="str">
        <f t="shared" si="158"/>
        <v>Bodysuit</v>
      </c>
      <c r="H1355" s="38">
        <f t="shared" si="166"/>
        <v>5</v>
      </c>
      <c r="I1355" s="54">
        <f t="shared" si="161"/>
        <v>21</v>
      </c>
      <c r="J1355" s="14" t="str">
        <f t="shared" si="164"/>
        <v>MothersDay</v>
      </c>
      <c r="K1355" s="16" t="str">
        <f>TRIM(LEFT(E1355,FIND("(",E1355&amp;"(")-7))</f>
        <v>0-3</v>
      </c>
      <c r="L1355" s="14" t="str">
        <f t="shared" si="165"/>
        <v>Bodysuit | 0-3 | Cream</v>
      </c>
      <c r="M1355" s="16" t="s">
        <v>3610</v>
      </c>
    </row>
    <row r="1356" spans="1:13" ht="25" customHeight="1" x14ac:dyDescent="0.45">
      <c r="A1356" s="39">
        <v>46161</v>
      </c>
      <c r="B1356" s="19" t="s">
        <v>1451</v>
      </c>
      <c r="C1356" s="5" t="s">
        <v>5</v>
      </c>
      <c r="D1356" s="53" t="str">
        <f t="shared" si="163"/>
        <v>Light Blue</v>
      </c>
      <c r="E1356" s="5" t="s">
        <v>10</v>
      </c>
      <c r="F1356" s="5" t="s">
        <v>7</v>
      </c>
      <c r="G1356" s="4" t="str">
        <f t="shared" si="158"/>
        <v>Bodysuit</v>
      </c>
      <c r="H1356" s="38">
        <f t="shared" si="166"/>
        <v>5</v>
      </c>
      <c r="I1356" s="54">
        <f t="shared" si="161"/>
        <v>21</v>
      </c>
      <c r="J1356" s="14" t="str">
        <f t="shared" si="164"/>
        <v>MothersDay</v>
      </c>
      <c r="K1356" s="16" t="str">
        <f>TRIM(LEFT(E1356,FIND("(",E1356&amp;"(")-7))</f>
        <v>0-3</v>
      </c>
      <c r="L1356" s="14" t="str">
        <f t="shared" si="165"/>
        <v>Bodysuit | 0-3 | Light Blue</v>
      </c>
      <c r="M1356" s="16" t="s">
        <v>3610</v>
      </c>
    </row>
    <row r="1357" spans="1:13" ht="25" customHeight="1" x14ac:dyDescent="0.45">
      <c r="A1357" s="39">
        <v>46161</v>
      </c>
      <c r="B1357" s="19" t="s">
        <v>1452</v>
      </c>
      <c r="C1357" s="5" t="s">
        <v>5</v>
      </c>
      <c r="D1357" s="53" t="str">
        <f t="shared" si="163"/>
        <v>Light Blue</v>
      </c>
      <c r="E1357" s="5" t="s">
        <v>6</v>
      </c>
      <c r="F1357" s="5" t="s">
        <v>7</v>
      </c>
      <c r="G1357" s="4" t="str">
        <f t="shared" si="158"/>
        <v>Bodysuit</v>
      </c>
      <c r="H1357" s="38">
        <f t="shared" si="166"/>
        <v>5</v>
      </c>
      <c r="I1357" s="54">
        <f t="shared" si="161"/>
        <v>21</v>
      </c>
      <c r="J1357" s="14" t="str">
        <f t="shared" si="164"/>
        <v>MothersDay</v>
      </c>
      <c r="K1357" s="16" t="str">
        <f>TRIM(LEFT(E1357,FIND("(",E1357&amp;"(")-7))</f>
        <v>3-6</v>
      </c>
      <c r="L1357" s="14" t="str">
        <f t="shared" si="165"/>
        <v>Bodysuit | 3-6 | Light Blue</v>
      </c>
      <c r="M1357" s="16" t="s">
        <v>3610</v>
      </c>
    </row>
    <row r="1358" spans="1:13" ht="25" customHeight="1" x14ac:dyDescent="0.45">
      <c r="A1358" s="39">
        <v>46161</v>
      </c>
      <c r="B1358" s="19" t="s">
        <v>1453</v>
      </c>
      <c r="C1358" s="5" t="s">
        <v>148</v>
      </c>
      <c r="D1358" s="53" t="str">
        <f t="shared" si="163"/>
        <v xml:space="preserve"> Caldet Blue</v>
      </c>
      <c r="E1358" s="5" t="s">
        <v>1376</v>
      </c>
      <c r="F1358" s="5" t="s">
        <v>7</v>
      </c>
      <c r="G1358" s="4" t="str">
        <f t="shared" si="158"/>
        <v>Romper Longer</v>
      </c>
      <c r="H1358" s="38">
        <f t="shared" si="166"/>
        <v>5</v>
      </c>
      <c r="I1358" s="54">
        <f t="shared" si="161"/>
        <v>21</v>
      </c>
      <c r="J1358" s="14" t="str">
        <f t="shared" si="164"/>
        <v>MothersDay</v>
      </c>
      <c r="K1358" s="16" t="str">
        <f>TRIM(LEFT(E1358,FIND("(",E1358&amp;"(")-7))</f>
        <v>0-3</v>
      </c>
      <c r="L1358" s="14" t="str">
        <f t="shared" si="165"/>
        <v>Romper Longer | 0-3 | Caldet Blue</v>
      </c>
      <c r="M1358" s="16" t="s">
        <v>3610</v>
      </c>
    </row>
    <row r="1359" spans="1:13" ht="25" customHeight="1" x14ac:dyDescent="0.45">
      <c r="A1359" s="39">
        <v>46161</v>
      </c>
      <c r="B1359" s="19" t="s">
        <v>1454</v>
      </c>
      <c r="C1359" s="5" t="s">
        <v>1455</v>
      </c>
      <c r="D1359" s="53" t="str">
        <f t="shared" si="163"/>
        <v xml:space="preserve"> White</v>
      </c>
      <c r="E1359" s="5" t="s">
        <v>1369</v>
      </c>
      <c r="F1359" s="5" t="s">
        <v>7</v>
      </c>
      <c r="G1359" s="4" t="str">
        <f t="shared" si="158"/>
        <v>Romper Longer</v>
      </c>
      <c r="H1359" s="38">
        <f t="shared" si="166"/>
        <v>5</v>
      </c>
      <c r="I1359" s="54">
        <f t="shared" si="161"/>
        <v>21</v>
      </c>
      <c r="J1359" s="14" t="str">
        <f t="shared" si="164"/>
        <v>MothersDay</v>
      </c>
      <c r="K1359" s="16" t="str">
        <f>TRIM(LEFT(E1359,FIND("(",E1359&amp;"(")-8))</f>
        <v>0-3</v>
      </c>
      <c r="L1359" s="14" t="str">
        <f t="shared" si="165"/>
        <v>Romper Longer | 0-3 | White</v>
      </c>
      <c r="M1359" s="16" t="s">
        <v>3610</v>
      </c>
    </row>
    <row r="1360" spans="1:13" ht="25" customHeight="1" x14ac:dyDescent="0.45">
      <c r="A1360" s="39">
        <v>46162</v>
      </c>
      <c r="B1360" s="19" t="s">
        <v>1456</v>
      </c>
      <c r="C1360" s="5" t="s">
        <v>5</v>
      </c>
      <c r="D1360" s="53" t="str">
        <f t="shared" si="163"/>
        <v>Light Blue</v>
      </c>
      <c r="E1360" s="5" t="s">
        <v>6</v>
      </c>
      <c r="F1360" s="5" t="s">
        <v>7</v>
      </c>
      <c r="G1360" s="4" t="str">
        <f t="shared" ref="G1360:G1423" si="167">IF(ISNUMBER(SEARCH("LONG",E1360)),"Romper Longer",IF(ISNUMBER(SEARCH("SHORT",E1360)),"Romper Short","Bodysuit"))</f>
        <v>Bodysuit</v>
      </c>
      <c r="H1360" s="38">
        <f t="shared" si="166"/>
        <v>5</v>
      </c>
      <c r="I1360" s="54">
        <f t="shared" si="161"/>
        <v>21</v>
      </c>
      <c r="J1360" s="14" t="str">
        <f t="shared" si="164"/>
        <v>MothersDay</v>
      </c>
      <c r="K1360" s="16" t="str">
        <f>TRIM(LEFT(E1360,FIND("(",E1360&amp;"(")-7))</f>
        <v>3-6</v>
      </c>
      <c r="L1360" s="14" t="str">
        <f t="shared" si="165"/>
        <v>Bodysuit | 3-6 | Light Blue</v>
      </c>
      <c r="M1360" s="16" t="s">
        <v>3610</v>
      </c>
    </row>
    <row r="1361" spans="1:13" ht="25" customHeight="1" x14ac:dyDescent="0.45">
      <c r="A1361" s="39">
        <v>46162</v>
      </c>
      <c r="B1361" s="19" t="s">
        <v>1457</v>
      </c>
      <c r="C1361" s="5" t="s">
        <v>1458</v>
      </c>
      <c r="D1361" s="53" t="str">
        <f t="shared" si="163"/>
        <v xml:space="preserve">Cream  </v>
      </c>
      <c r="E1361" s="5" t="s">
        <v>1459</v>
      </c>
      <c r="F1361" s="5" t="s">
        <v>7</v>
      </c>
      <c r="G1361" s="4" t="str">
        <f t="shared" si="167"/>
        <v>Romper Longer</v>
      </c>
      <c r="H1361" s="38">
        <f t="shared" si="166"/>
        <v>5</v>
      </c>
      <c r="I1361" s="54">
        <f t="shared" si="161"/>
        <v>21</v>
      </c>
      <c r="J1361" s="14" t="str">
        <f t="shared" si="164"/>
        <v>MothersDay</v>
      </c>
      <c r="K1361" s="16" t="str">
        <f>TRIM(LEFT(E1361,FIND("(",E1361&amp;"(")-2))</f>
        <v>6-12</v>
      </c>
      <c r="L1361" s="14" t="str">
        <f t="shared" si="165"/>
        <v>Romper Longer | 6-12 | Cream</v>
      </c>
      <c r="M1361" s="16" t="s">
        <v>3611</v>
      </c>
    </row>
    <row r="1362" spans="1:13" ht="25" customHeight="1" x14ac:dyDescent="0.45">
      <c r="A1362" s="39">
        <v>46162</v>
      </c>
      <c r="B1362" s="19" t="s">
        <v>1460</v>
      </c>
      <c r="C1362" s="40" t="s">
        <v>76</v>
      </c>
      <c r="D1362" s="53" t="str">
        <f t="shared" si="163"/>
        <v>Caldet Blue</v>
      </c>
      <c r="E1362" s="5" t="s">
        <v>1407</v>
      </c>
      <c r="F1362" s="5" t="s">
        <v>7</v>
      </c>
      <c r="G1362" s="4" t="str">
        <f t="shared" si="167"/>
        <v>Romper Short</v>
      </c>
      <c r="H1362" s="38">
        <f t="shared" si="166"/>
        <v>5</v>
      </c>
      <c r="I1362" s="54">
        <f t="shared" si="161"/>
        <v>21</v>
      </c>
      <c r="J1362" s="14" t="str">
        <f t="shared" si="164"/>
        <v>MothersDay</v>
      </c>
      <c r="K1362" s="16" t="str">
        <f>TRIM(LEFT(E1362,FIND("(",E1362&amp;"(")-7))</f>
        <v>0-3</v>
      </c>
      <c r="L1362" s="14" t="str">
        <f t="shared" si="165"/>
        <v>Romper Short | 0-3 | Caldet Blue</v>
      </c>
      <c r="M1362" s="16" t="s">
        <v>3610</v>
      </c>
    </row>
    <row r="1363" spans="1:13" ht="25" customHeight="1" x14ac:dyDescent="0.45">
      <c r="A1363" s="39">
        <v>46162</v>
      </c>
      <c r="B1363" s="19" t="s">
        <v>1461</v>
      </c>
      <c r="C1363" s="5" t="s">
        <v>1449</v>
      </c>
      <c r="D1363" s="53" t="str">
        <f t="shared" si="163"/>
        <v xml:space="preserve"> Cream</v>
      </c>
      <c r="E1363" s="5" t="s">
        <v>1407</v>
      </c>
      <c r="F1363" s="5" t="s">
        <v>13</v>
      </c>
      <c r="G1363" s="4" t="str">
        <f t="shared" si="167"/>
        <v>Romper Short</v>
      </c>
      <c r="H1363" s="38">
        <f t="shared" si="166"/>
        <v>5</v>
      </c>
      <c r="I1363" s="54">
        <f t="shared" si="161"/>
        <v>21</v>
      </c>
      <c r="J1363" s="14" t="str">
        <f t="shared" si="164"/>
        <v>MothersDay</v>
      </c>
      <c r="K1363" s="16" t="str">
        <f>TRIM(LEFT(E1363,FIND("(",E1363&amp;"(")-7))</f>
        <v>0-3</v>
      </c>
      <c r="L1363" s="14" t="str">
        <f t="shared" si="165"/>
        <v>Romper Short | 0-3 | Cream</v>
      </c>
      <c r="M1363" s="16" t="s">
        <v>3609</v>
      </c>
    </row>
    <row r="1364" spans="1:13" ht="25" customHeight="1" x14ac:dyDescent="0.45">
      <c r="A1364" s="39">
        <v>46164</v>
      </c>
      <c r="B1364" s="19" t="s">
        <v>1462</v>
      </c>
      <c r="C1364" s="5" t="s">
        <v>8</v>
      </c>
      <c r="D1364" s="53" t="str">
        <f t="shared" si="163"/>
        <v>Light Pink</v>
      </c>
      <c r="E1364" s="5" t="s">
        <v>6</v>
      </c>
      <c r="F1364" s="5" t="s">
        <v>19</v>
      </c>
      <c r="G1364" s="4" t="str">
        <f t="shared" si="167"/>
        <v>Bodysuit</v>
      </c>
      <c r="H1364" s="38">
        <f t="shared" si="166"/>
        <v>5</v>
      </c>
      <c r="I1364" s="54">
        <f t="shared" si="161"/>
        <v>21</v>
      </c>
      <c r="J1364" s="14" t="str">
        <f t="shared" si="164"/>
        <v>MothersDay</v>
      </c>
      <c r="K1364" s="16" t="str">
        <f>TRIM(LEFT(E1364,FIND("(",E1364&amp;"(")-7))</f>
        <v>3-6</v>
      </c>
      <c r="L1364" s="14" t="str">
        <f t="shared" si="165"/>
        <v>Bodysuit | 3-6 | Light Pink</v>
      </c>
      <c r="M1364" s="16" t="s">
        <v>3610</v>
      </c>
    </row>
    <row r="1365" spans="1:13" ht="25" customHeight="1" x14ac:dyDescent="0.45">
      <c r="A1365" s="39">
        <v>46163</v>
      </c>
      <c r="B1365" s="19" t="s">
        <v>1463</v>
      </c>
      <c r="C1365" s="5" t="s">
        <v>9</v>
      </c>
      <c r="D1365" s="53" t="str">
        <f t="shared" si="163"/>
        <v>Cream</v>
      </c>
      <c r="E1365" s="5" t="s">
        <v>10</v>
      </c>
      <c r="F1365" s="5" t="s">
        <v>7</v>
      </c>
      <c r="G1365" s="4" t="str">
        <f t="shared" si="167"/>
        <v>Bodysuit</v>
      </c>
      <c r="H1365" s="38">
        <f t="shared" si="166"/>
        <v>5</v>
      </c>
      <c r="I1365" s="54">
        <f t="shared" si="161"/>
        <v>21</v>
      </c>
      <c r="J1365" s="14" t="str">
        <f t="shared" si="164"/>
        <v>MothersDay</v>
      </c>
      <c r="K1365" s="16" t="str">
        <f>TRIM(LEFT(E1365,FIND("(",E1365&amp;"(")-7))</f>
        <v>0-3</v>
      </c>
      <c r="L1365" s="14" t="str">
        <f t="shared" si="165"/>
        <v>Bodysuit | 0-3 | Cream</v>
      </c>
      <c r="M1365" s="16" t="s">
        <v>3610</v>
      </c>
    </row>
    <row r="1366" spans="1:13" ht="25" customHeight="1" x14ac:dyDescent="0.45">
      <c r="A1366" s="39">
        <v>46163</v>
      </c>
      <c r="B1366" s="19" t="s">
        <v>1464</v>
      </c>
      <c r="C1366" s="5" t="s">
        <v>330</v>
      </c>
      <c r="D1366" s="53" t="str">
        <f t="shared" si="163"/>
        <v xml:space="preserve"> Light Pink</v>
      </c>
      <c r="E1366" s="5" t="s">
        <v>6</v>
      </c>
      <c r="F1366" s="5" t="s">
        <v>7</v>
      </c>
      <c r="G1366" s="4" t="str">
        <f t="shared" si="167"/>
        <v>Bodysuit</v>
      </c>
      <c r="H1366" s="38">
        <f t="shared" si="166"/>
        <v>5</v>
      </c>
      <c r="I1366" s="54">
        <f t="shared" si="161"/>
        <v>21</v>
      </c>
      <c r="J1366" s="14" t="str">
        <f t="shared" si="164"/>
        <v>MothersDay</v>
      </c>
      <c r="K1366" s="16" t="str">
        <f>TRIM(LEFT(E1366,FIND("(",E1366&amp;"(")-7))</f>
        <v>3-6</v>
      </c>
      <c r="L1366" s="14" t="str">
        <f t="shared" si="165"/>
        <v>Bodysuit | 3-6 | Light Pink</v>
      </c>
      <c r="M1366" s="16" t="s">
        <v>3610</v>
      </c>
    </row>
    <row r="1367" spans="1:13" ht="25" customHeight="1" x14ac:dyDescent="0.45">
      <c r="A1367" s="39">
        <v>46163</v>
      </c>
      <c r="B1367" s="19" t="s">
        <v>1465</v>
      </c>
      <c r="C1367" s="5" t="s">
        <v>126</v>
      </c>
      <c r="D1367" s="53" t="str">
        <f t="shared" si="163"/>
        <v xml:space="preserve"> Sage Green</v>
      </c>
      <c r="E1367" s="5" t="s">
        <v>1466</v>
      </c>
      <c r="F1367" s="5" t="s">
        <v>7</v>
      </c>
      <c r="G1367" s="4" t="str">
        <f t="shared" si="167"/>
        <v>Romper Short</v>
      </c>
      <c r="H1367" s="38">
        <f t="shared" si="166"/>
        <v>5</v>
      </c>
      <c r="I1367" s="54">
        <f t="shared" si="161"/>
        <v>21</v>
      </c>
      <c r="J1367" s="14" t="str">
        <f t="shared" si="164"/>
        <v>MothersDay</v>
      </c>
      <c r="K1367" s="16" t="str">
        <f>TRIM(LEFT(E1367,FIND("(",E1367&amp;"(")-8))</f>
        <v>0-3</v>
      </c>
      <c r="L1367" s="14" t="str">
        <f t="shared" si="165"/>
        <v>Romper Short | 0-3 | Sage Green</v>
      </c>
      <c r="M1367" s="16" t="s">
        <v>3610</v>
      </c>
    </row>
    <row r="1368" spans="1:13" ht="25" customHeight="1" x14ac:dyDescent="0.45">
      <c r="A1368" s="39">
        <v>46164</v>
      </c>
      <c r="B1368" s="19" t="s">
        <v>1467</v>
      </c>
      <c r="C1368" s="5" t="s">
        <v>5</v>
      </c>
      <c r="D1368" s="53" t="str">
        <f t="shared" si="163"/>
        <v>Light Blue</v>
      </c>
      <c r="E1368" s="5" t="s">
        <v>10</v>
      </c>
      <c r="F1368" s="5" t="s">
        <v>7</v>
      </c>
      <c r="G1368" s="4" t="str">
        <f t="shared" si="167"/>
        <v>Bodysuit</v>
      </c>
      <c r="H1368" s="38">
        <f t="shared" si="166"/>
        <v>5</v>
      </c>
      <c r="I1368" s="54">
        <f t="shared" si="161"/>
        <v>21</v>
      </c>
      <c r="J1368" s="14" t="str">
        <f t="shared" si="164"/>
        <v>MothersDay</v>
      </c>
      <c r="K1368" s="16" t="str">
        <f>TRIM(LEFT(E1368,FIND("(",E1368&amp;"(")-7))</f>
        <v>0-3</v>
      </c>
      <c r="L1368" s="14" t="str">
        <f t="shared" si="165"/>
        <v>Bodysuit | 0-3 | Light Blue</v>
      </c>
      <c r="M1368" s="16" t="s">
        <v>3610</v>
      </c>
    </row>
    <row r="1369" spans="1:13" ht="25" customHeight="1" x14ac:dyDescent="0.45">
      <c r="A1369" s="39">
        <v>46164</v>
      </c>
      <c r="B1369" s="19" t="s">
        <v>1468</v>
      </c>
      <c r="C1369" s="5" t="s">
        <v>9</v>
      </c>
      <c r="D1369" s="53" t="str">
        <f t="shared" si="163"/>
        <v>Cream</v>
      </c>
      <c r="E1369" s="5" t="s">
        <v>1401</v>
      </c>
      <c r="F1369" s="5" t="s">
        <v>7</v>
      </c>
      <c r="G1369" s="4" t="str">
        <f t="shared" si="167"/>
        <v>Romper Longer</v>
      </c>
      <c r="H1369" s="38">
        <f t="shared" si="166"/>
        <v>5</v>
      </c>
      <c r="I1369" s="54">
        <f t="shared" si="161"/>
        <v>21</v>
      </c>
      <c r="J1369" s="14" t="str">
        <f t="shared" si="164"/>
        <v>MothersDay</v>
      </c>
      <c r="K1369" s="16" t="str">
        <f>TRIM(LEFT(E1369,FIND("(",E1369&amp;"(")-8))</f>
        <v>3-6</v>
      </c>
      <c r="L1369" s="14" t="str">
        <f t="shared" si="165"/>
        <v>Romper Longer | 3-6 | Cream</v>
      </c>
      <c r="M1369" s="16" t="s">
        <v>3609</v>
      </c>
    </row>
    <row r="1370" spans="1:13" ht="25" customHeight="1" x14ac:dyDescent="0.45">
      <c r="A1370" s="39">
        <v>46165</v>
      </c>
      <c r="B1370" s="19" t="s">
        <v>1469</v>
      </c>
      <c r="C1370" s="5" t="s">
        <v>462</v>
      </c>
      <c r="D1370" s="53" t="str">
        <f t="shared" si="163"/>
        <v xml:space="preserve"> Dusty Pink</v>
      </c>
      <c r="E1370" s="5" t="s">
        <v>1407</v>
      </c>
      <c r="F1370" s="5" t="s">
        <v>7</v>
      </c>
      <c r="G1370" s="4" t="str">
        <f t="shared" si="167"/>
        <v>Romper Short</v>
      </c>
      <c r="H1370" s="38">
        <f t="shared" si="166"/>
        <v>5</v>
      </c>
      <c r="I1370" s="54">
        <f t="shared" si="161"/>
        <v>21</v>
      </c>
      <c r="J1370" s="14" t="str">
        <f t="shared" si="164"/>
        <v>MothersDay</v>
      </c>
      <c r="K1370" s="16" t="str">
        <f>TRIM(LEFT(E1370,FIND("(",E1370&amp;"(")-7))</f>
        <v>0-3</v>
      </c>
      <c r="L1370" s="14" t="str">
        <f t="shared" si="165"/>
        <v>Romper Short | 0-3 | Dusty Pink</v>
      </c>
      <c r="M1370" s="16" t="s">
        <v>3610</v>
      </c>
    </row>
    <row r="1371" spans="1:13" ht="25" customHeight="1" x14ac:dyDescent="0.45">
      <c r="A1371" s="39">
        <v>46166</v>
      </c>
      <c r="B1371" s="19" t="s">
        <v>1470</v>
      </c>
      <c r="C1371" s="5" t="s">
        <v>1455</v>
      </c>
      <c r="D1371" s="53" t="str">
        <f t="shared" si="163"/>
        <v xml:space="preserve"> White</v>
      </c>
      <c r="E1371" s="5" t="s">
        <v>1471</v>
      </c>
      <c r="F1371" s="5" t="s">
        <v>7</v>
      </c>
      <c r="G1371" s="4" t="str">
        <f t="shared" si="167"/>
        <v>Romper Short</v>
      </c>
      <c r="H1371" s="38">
        <f t="shared" si="166"/>
        <v>5</v>
      </c>
      <c r="I1371" s="54">
        <f t="shared" si="161"/>
        <v>22</v>
      </c>
      <c r="J1371" s="14" t="str">
        <f t="shared" si="164"/>
        <v>MothersDay</v>
      </c>
      <c r="K1371" s="16" t="str">
        <f>TRIM(LEFT(E1371,FIND("(",E1371&amp;"(")-2))</f>
        <v>18-24</v>
      </c>
      <c r="L1371" s="14" t="str">
        <f t="shared" si="165"/>
        <v>Romper Short | 18-24 | White</v>
      </c>
      <c r="M1371" s="16" t="s">
        <v>3610</v>
      </c>
    </row>
    <row r="1372" spans="1:13" ht="25" customHeight="1" x14ac:dyDescent="0.45">
      <c r="A1372" s="39">
        <v>46166</v>
      </c>
      <c r="B1372" s="19" t="s">
        <v>1472</v>
      </c>
      <c r="C1372" s="5" t="s">
        <v>9</v>
      </c>
      <c r="D1372" s="53" t="str">
        <f t="shared" si="163"/>
        <v>Cream</v>
      </c>
      <c r="E1372" s="5" t="s">
        <v>1407</v>
      </c>
      <c r="F1372" s="5" t="s">
        <v>7</v>
      </c>
      <c r="G1372" s="4" t="str">
        <f t="shared" si="167"/>
        <v>Romper Short</v>
      </c>
      <c r="H1372" s="38">
        <f t="shared" si="166"/>
        <v>5</v>
      </c>
      <c r="I1372" s="54">
        <f t="shared" si="161"/>
        <v>22</v>
      </c>
      <c r="J1372" s="14" t="str">
        <f t="shared" si="164"/>
        <v>MothersDay</v>
      </c>
      <c r="K1372" s="16" t="str">
        <f t="shared" ref="K1372:K1378" si="168">TRIM(LEFT(E1372,FIND("(",E1372&amp;"(")-7))</f>
        <v>0-3</v>
      </c>
      <c r="L1372" s="14" t="str">
        <f t="shared" si="165"/>
        <v>Romper Short | 0-3 | Cream</v>
      </c>
      <c r="M1372" s="16" t="s">
        <v>3609</v>
      </c>
    </row>
    <row r="1373" spans="1:13" ht="25" customHeight="1" x14ac:dyDescent="0.45">
      <c r="A1373" s="39">
        <v>46165</v>
      </c>
      <c r="B1373" s="19" t="s">
        <v>1473</v>
      </c>
      <c r="C1373" s="5" t="s">
        <v>330</v>
      </c>
      <c r="D1373" s="53" t="str">
        <f t="shared" si="163"/>
        <v xml:space="preserve"> Light Pink</v>
      </c>
      <c r="E1373" s="5" t="s">
        <v>6</v>
      </c>
      <c r="F1373" s="5" t="s">
        <v>7</v>
      </c>
      <c r="G1373" s="4" t="str">
        <f t="shared" si="167"/>
        <v>Bodysuit</v>
      </c>
      <c r="H1373" s="38">
        <f t="shared" si="166"/>
        <v>5</v>
      </c>
      <c r="I1373" s="54">
        <f t="shared" si="161"/>
        <v>21</v>
      </c>
      <c r="J1373" s="14" t="str">
        <f t="shared" si="164"/>
        <v>MothersDay</v>
      </c>
      <c r="K1373" s="16" t="str">
        <f t="shared" si="168"/>
        <v>3-6</v>
      </c>
      <c r="L1373" s="14" t="str">
        <f t="shared" si="165"/>
        <v>Bodysuit | 3-6 | Light Pink</v>
      </c>
      <c r="M1373" s="16" t="s">
        <v>3610</v>
      </c>
    </row>
    <row r="1374" spans="1:13" ht="25" customHeight="1" x14ac:dyDescent="0.45">
      <c r="A1374" s="39">
        <v>46165</v>
      </c>
      <c r="B1374" s="19" t="s">
        <v>1474</v>
      </c>
      <c r="C1374" s="5" t="s">
        <v>8</v>
      </c>
      <c r="D1374" s="53" t="str">
        <f t="shared" si="163"/>
        <v>Light Pink</v>
      </c>
      <c r="E1374" s="5" t="s">
        <v>6</v>
      </c>
      <c r="F1374" s="5" t="s">
        <v>7</v>
      </c>
      <c r="G1374" s="4" t="str">
        <f t="shared" si="167"/>
        <v>Bodysuit</v>
      </c>
      <c r="H1374" s="38">
        <f t="shared" si="166"/>
        <v>5</v>
      </c>
      <c r="I1374" s="54">
        <f t="shared" si="161"/>
        <v>21</v>
      </c>
      <c r="J1374" s="14" t="str">
        <f t="shared" si="164"/>
        <v>MothersDay</v>
      </c>
      <c r="K1374" s="16" t="str">
        <f t="shared" si="168"/>
        <v>3-6</v>
      </c>
      <c r="L1374" s="14" t="str">
        <f t="shared" si="165"/>
        <v>Bodysuit | 3-6 | Light Pink</v>
      </c>
      <c r="M1374" s="16" t="s">
        <v>3610</v>
      </c>
    </row>
    <row r="1375" spans="1:13" ht="25" customHeight="1" x14ac:dyDescent="0.45">
      <c r="A1375" s="39">
        <v>46166</v>
      </c>
      <c r="B1375" s="19" t="s">
        <v>1475</v>
      </c>
      <c r="C1375" s="5" t="s">
        <v>74</v>
      </c>
      <c r="D1375" s="53" t="str">
        <f t="shared" si="163"/>
        <v>Watermelon</v>
      </c>
      <c r="E1375" s="5" t="s">
        <v>1380</v>
      </c>
      <c r="F1375" s="5" t="s">
        <v>7</v>
      </c>
      <c r="G1375" s="4" t="str">
        <f t="shared" si="167"/>
        <v>Romper Longer</v>
      </c>
      <c r="H1375" s="38">
        <f t="shared" si="166"/>
        <v>5</v>
      </c>
      <c r="I1375" s="54">
        <f t="shared" si="161"/>
        <v>22</v>
      </c>
      <c r="J1375" s="14" t="str">
        <f t="shared" si="164"/>
        <v>MothersDay</v>
      </c>
      <c r="K1375" s="16" t="str">
        <f t="shared" si="168"/>
        <v>3-6</v>
      </c>
      <c r="L1375" s="14" t="str">
        <f t="shared" si="165"/>
        <v>Romper Longer | 3-6 | Watermelon</v>
      </c>
      <c r="M1375" s="16" t="s">
        <v>3610</v>
      </c>
    </row>
    <row r="1376" spans="1:13" ht="25" customHeight="1" x14ac:dyDescent="0.45">
      <c r="A1376" s="39">
        <v>46166</v>
      </c>
      <c r="B1376" s="19" t="s">
        <v>1476</v>
      </c>
      <c r="C1376" s="40" t="s">
        <v>5</v>
      </c>
      <c r="D1376" s="53" t="str">
        <f t="shared" si="163"/>
        <v>Light Blue</v>
      </c>
      <c r="E1376" s="5" t="s">
        <v>10</v>
      </c>
      <c r="F1376" s="5" t="s">
        <v>7</v>
      </c>
      <c r="G1376" s="4" t="str">
        <f t="shared" si="167"/>
        <v>Bodysuit</v>
      </c>
      <c r="H1376" s="38">
        <f t="shared" si="166"/>
        <v>5</v>
      </c>
      <c r="I1376" s="54">
        <f t="shared" si="161"/>
        <v>22</v>
      </c>
      <c r="J1376" s="14" t="str">
        <f t="shared" si="164"/>
        <v>MothersDay</v>
      </c>
      <c r="K1376" s="16" t="str">
        <f t="shared" si="168"/>
        <v>0-3</v>
      </c>
      <c r="L1376" s="14" t="str">
        <f t="shared" si="165"/>
        <v>Bodysuit | 0-3 | Light Blue</v>
      </c>
      <c r="M1376" s="16" t="s">
        <v>3610</v>
      </c>
    </row>
    <row r="1377" spans="1:13" ht="25" customHeight="1" x14ac:dyDescent="0.45">
      <c r="A1377" s="39">
        <v>46167</v>
      </c>
      <c r="B1377" s="19" t="s">
        <v>1477</v>
      </c>
      <c r="C1377" s="40" t="s">
        <v>76</v>
      </c>
      <c r="D1377" s="53" t="str">
        <f t="shared" si="163"/>
        <v>Caldet Blue</v>
      </c>
      <c r="E1377" s="5" t="s">
        <v>1380</v>
      </c>
      <c r="F1377" s="5" t="s">
        <v>7</v>
      </c>
      <c r="G1377" s="4" t="str">
        <f t="shared" si="167"/>
        <v>Romper Longer</v>
      </c>
      <c r="H1377" s="38">
        <f t="shared" si="166"/>
        <v>5</v>
      </c>
      <c r="I1377" s="54">
        <f t="shared" si="161"/>
        <v>22</v>
      </c>
      <c r="J1377" s="14" t="str">
        <f t="shared" si="164"/>
        <v>MothersDay</v>
      </c>
      <c r="K1377" s="16" t="str">
        <f t="shared" si="168"/>
        <v>3-6</v>
      </c>
      <c r="L1377" s="14" t="str">
        <f t="shared" si="165"/>
        <v>Romper Longer | 3-6 | Caldet Blue</v>
      </c>
      <c r="M1377" s="16" t="s">
        <v>3610</v>
      </c>
    </row>
    <row r="1378" spans="1:13" ht="25" customHeight="1" x14ac:dyDescent="0.45">
      <c r="A1378" s="39">
        <v>46168</v>
      </c>
      <c r="B1378" s="19" t="s">
        <v>1478</v>
      </c>
      <c r="C1378" s="5" t="s">
        <v>1449</v>
      </c>
      <c r="D1378" s="53" t="str">
        <f t="shared" si="163"/>
        <v xml:space="preserve"> Cream</v>
      </c>
      <c r="E1378" s="5" t="s">
        <v>10</v>
      </c>
      <c r="F1378" s="5" t="s">
        <v>7</v>
      </c>
      <c r="G1378" s="4" t="str">
        <f t="shared" si="167"/>
        <v>Bodysuit</v>
      </c>
      <c r="H1378" s="38">
        <f t="shared" si="166"/>
        <v>5</v>
      </c>
      <c r="I1378" s="54">
        <f t="shared" si="161"/>
        <v>22</v>
      </c>
      <c r="J1378" s="14" t="str">
        <f t="shared" si="164"/>
        <v>MothersDay</v>
      </c>
      <c r="K1378" s="16" t="str">
        <f t="shared" si="168"/>
        <v>0-3</v>
      </c>
      <c r="L1378" s="14" t="str">
        <f t="shared" si="165"/>
        <v>Bodysuit | 0-3 | Cream</v>
      </c>
      <c r="M1378" s="16" t="s">
        <v>3610</v>
      </c>
    </row>
    <row r="1379" spans="1:13" ht="25" customHeight="1" x14ac:dyDescent="0.45">
      <c r="A1379" s="39">
        <v>46168</v>
      </c>
      <c r="B1379" s="19" t="s">
        <v>1479</v>
      </c>
      <c r="C1379" s="5" t="s">
        <v>79</v>
      </c>
      <c r="D1379" s="53" t="str">
        <f t="shared" si="163"/>
        <v>White</v>
      </c>
      <c r="E1379" s="5" t="s">
        <v>1401</v>
      </c>
      <c r="F1379" s="5" t="s">
        <v>7</v>
      </c>
      <c r="G1379" s="4" t="str">
        <f t="shared" si="167"/>
        <v>Romper Longer</v>
      </c>
      <c r="H1379" s="38">
        <f t="shared" si="166"/>
        <v>5</v>
      </c>
      <c r="I1379" s="54">
        <f t="shared" si="161"/>
        <v>22</v>
      </c>
      <c r="J1379" s="14" t="str">
        <f t="shared" si="164"/>
        <v>MothersDay</v>
      </c>
      <c r="K1379" s="16" t="str">
        <f>TRIM(LEFT(E1379,FIND("(",E1379&amp;"(")-8))</f>
        <v>3-6</v>
      </c>
      <c r="L1379" s="14" t="str">
        <f t="shared" si="165"/>
        <v>Romper Longer | 3-6 | White</v>
      </c>
      <c r="M1379" s="16" t="s">
        <v>3610</v>
      </c>
    </row>
    <row r="1380" spans="1:13" ht="25" customHeight="1" x14ac:dyDescent="0.45">
      <c r="A1380" s="39">
        <v>46168</v>
      </c>
      <c r="B1380" s="19" t="s">
        <v>1480</v>
      </c>
      <c r="C1380" s="5" t="s">
        <v>1389</v>
      </c>
      <c r="D1380" s="53" t="str">
        <f t="shared" si="163"/>
        <v xml:space="preserve"> Light Blue</v>
      </c>
      <c r="E1380" s="5" t="s">
        <v>6</v>
      </c>
      <c r="F1380" s="5" t="s">
        <v>7</v>
      </c>
      <c r="G1380" s="4" t="str">
        <f t="shared" si="167"/>
        <v>Bodysuit</v>
      </c>
      <c r="H1380" s="38">
        <f t="shared" si="166"/>
        <v>5</v>
      </c>
      <c r="I1380" s="54">
        <f t="shared" si="161"/>
        <v>22</v>
      </c>
      <c r="J1380" s="14" t="str">
        <f t="shared" si="164"/>
        <v>MothersDay</v>
      </c>
      <c r="K1380" s="16" t="str">
        <f t="shared" ref="K1380:K1387" si="169">TRIM(LEFT(E1380,FIND("(",E1380&amp;"(")-7))</f>
        <v>3-6</v>
      </c>
      <c r="L1380" s="14" t="str">
        <f t="shared" si="165"/>
        <v>Bodysuit | 3-6 | Light Blue</v>
      </c>
      <c r="M1380" s="16" t="s">
        <v>3610</v>
      </c>
    </row>
    <row r="1381" spans="1:13" ht="25" customHeight="1" x14ac:dyDescent="0.45">
      <c r="A1381" s="39">
        <v>46168</v>
      </c>
      <c r="B1381" s="19" t="s">
        <v>1481</v>
      </c>
      <c r="C1381" s="5" t="s">
        <v>1449</v>
      </c>
      <c r="D1381" s="53" t="str">
        <f t="shared" si="163"/>
        <v xml:space="preserve"> Cream</v>
      </c>
      <c r="E1381" s="5" t="s">
        <v>6</v>
      </c>
      <c r="F1381" s="5" t="s">
        <v>19</v>
      </c>
      <c r="G1381" s="4" t="str">
        <f t="shared" si="167"/>
        <v>Bodysuit</v>
      </c>
      <c r="H1381" s="38">
        <f t="shared" si="166"/>
        <v>5</v>
      </c>
      <c r="I1381" s="54">
        <f t="shared" si="161"/>
        <v>22</v>
      </c>
      <c r="J1381" s="14" t="str">
        <f t="shared" si="164"/>
        <v>MothersDay</v>
      </c>
      <c r="K1381" s="16" t="str">
        <f t="shared" si="169"/>
        <v>3-6</v>
      </c>
      <c r="L1381" s="14" t="str">
        <f t="shared" si="165"/>
        <v>Bodysuit | 3-6 | Cream</v>
      </c>
      <c r="M1381" s="16" t="s">
        <v>3611</v>
      </c>
    </row>
    <row r="1382" spans="1:13" ht="25" customHeight="1" x14ac:dyDescent="0.45">
      <c r="A1382" s="39">
        <v>46169</v>
      </c>
      <c r="B1382" s="19" t="s">
        <v>1482</v>
      </c>
      <c r="C1382" s="5" t="s">
        <v>1449</v>
      </c>
      <c r="D1382" s="53" t="str">
        <f t="shared" si="163"/>
        <v xml:space="preserve"> Cream</v>
      </c>
      <c r="E1382" s="5" t="s">
        <v>6</v>
      </c>
      <c r="F1382" s="5" t="s">
        <v>7</v>
      </c>
      <c r="G1382" s="4" t="str">
        <f t="shared" si="167"/>
        <v>Bodysuit</v>
      </c>
      <c r="H1382" s="38">
        <f t="shared" si="166"/>
        <v>5</v>
      </c>
      <c r="I1382" s="54">
        <f t="shared" si="161"/>
        <v>22</v>
      </c>
      <c r="J1382" s="14" t="str">
        <f t="shared" si="164"/>
        <v>MothersDay</v>
      </c>
      <c r="K1382" s="16" t="str">
        <f t="shared" si="169"/>
        <v>3-6</v>
      </c>
      <c r="L1382" s="14" t="str">
        <f t="shared" si="165"/>
        <v>Bodysuit | 3-6 | Cream</v>
      </c>
      <c r="M1382" s="16" t="s">
        <v>3611</v>
      </c>
    </row>
    <row r="1383" spans="1:13" ht="25" customHeight="1" x14ac:dyDescent="0.45">
      <c r="A1383" s="39">
        <v>46169</v>
      </c>
      <c r="B1383" s="19" t="s">
        <v>1483</v>
      </c>
      <c r="C1383" s="5" t="s">
        <v>1449</v>
      </c>
      <c r="D1383" s="53" t="str">
        <f t="shared" si="163"/>
        <v xml:space="preserve"> Cream</v>
      </c>
      <c r="E1383" s="5" t="s">
        <v>6</v>
      </c>
      <c r="F1383" s="5" t="s">
        <v>7</v>
      </c>
      <c r="G1383" s="4" t="str">
        <f t="shared" si="167"/>
        <v>Bodysuit</v>
      </c>
      <c r="H1383" s="38">
        <f t="shared" si="166"/>
        <v>5</v>
      </c>
      <c r="I1383" s="54">
        <f t="shared" si="161"/>
        <v>22</v>
      </c>
      <c r="J1383" s="14" t="str">
        <f t="shared" si="164"/>
        <v>MothersDay</v>
      </c>
      <c r="K1383" s="16" t="str">
        <f t="shared" si="169"/>
        <v>3-6</v>
      </c>
      <c r="L1383" s="14" t="str">
        <f t="shared" si="165"/>
        <v>Bodysuit | 3-6 | Cream</v>
      </c>
      <c r="M1383" s="16" t="s">
        <v>3611</v>
      </c>
    </row>
    <row r="1384" spans="1:13" ht="25" customHeight="1" x14ac:dyDescent="0.45">
      <c r="A1384" s="39">
        <v>46169</v>
      </c>
      <c r="B1384" s="19" t="s">
        <v>1484</v>
      </c>
      <c r="C1384" s="5" t="s">
        <v>81</v>
      </c>
      <c r="D1384" s="53" t="str">
        <f t="shared" si="163"/>
        <v>Dusty Pink</v>
      </c>
      <c r="E1384" s="5" t="s">
        <v>1407</v>
      </c>
      <c r="F1384" s="5" t="s">
        <v>7</v>
      </c>
      <c r="G1384" s="4" t="str">
        <f t="shared" si="167"/>
        <v>Romper Short</v>
      </c>
      <c r="H1384" s="38">
        <f t="shared" si="166"/>
        <v>5</v>
      </c>
      <c r="I1384" s="54">
        <f t="shared" si="161"/>
        <v>22</v>
      </c>
      <c r="J1384" s="14" t="str">
        <f t="shared" si="164"/>
        <v>MothersDay</v>
      </c>
      <c r="K1384" s="16" t="str">
        <f t="shared" si="169"/>
        <v>0-3</v>
      </c>
      <c r="L1384" s="14" t="str">
        <f t="shared" si="165"/>
        <v>Romper Short | 0-3 | Dusty Pink</v>
      </c>
      <c r="M1384" s="16" t="s">
        <v>3610</v>
      </c>
    </row>
    <row r="1385" spans="1:13" ht="25" customHeight="1" x14ac:dyDescent="0.45">
      <c r="A1385" s="39">
        <v>46169</v>
      </c>
      <c r="B1385" s="19" t="s">
        <v>1485</v>
      </c>
      <c r="C1385" s="5" t="s">
        <v>9</v>
      </c>
      <c r="D1385" s="53" t="str">
        <f t="shared" si="163"/>
        <v>Cream</v>
      </c>
      <c r="E1385" s="5" t="s">
        <v>6</v>
      </c>
      <c r="F1385" s="5" t="s">
        <v>7</v>
      </c>
      <c r="G1385" s="4" t="str">
        <f t="shared" si="167"/>
        <v>Bodysuit</v>
      </c>
      <c r="H1385" s="38">
        <f t="shared" si="166"/>
        <v>5</v>
      </c>
      <c r="I1385" s="54">
        <f t="shared" si="161"/>
        <v>22</v>
      </c>
      <c r="J1385" s="14" t="str">
        <f t="shared" si="164"/>
        <v>MothersDay</v>
      </c>
      <c r="K1385" s="16" t="str">
        <f t="shared" si="169"/>
        <v>3-6</v>
      </c>
      <c r="L1385" s="14" t="str">
        <f t="shared" si="165"/>
        <v>Bodysuit | 3-6 | Cream</v>
      </c>
      <c r="M1385" s="16" t="s">
        <v>3611</v>
      </c>
    </row>
    <row r="1386" spans="1:13" ht="25" customHeight="1" x14ac:dyDescent="0.45">
      <c r="A1386" s="39">
        <v>46169</v>
      </c>
      <c r="B1386" s="19" t="s">
        <v>1486</v>
      </c>
      <c r="C1386" s="5" t="s">
        <v>1449</v>
      </c>
      <c r="D1386" s="53" t="str">
        <f t="shared" si="163"/>
        <v xml:space="preserve"> Cream</v>
      </c>
      <c r="E1386" s="5" t="s">
        <v>1372</v>
      </c>
      <c r="F1386" s="5" t="s">
        <v>7</v>
      </c>
      <c r="G1386" s="4" t="str">
        <f t="shared" si="167"/>
        <v>Romper Short</v>
      </c>
      <c r="H1386" s="38">
        <f t="shared" si="166"/>
        <v>5</v>
      </c>
      <c r="I1386" s="54">
        <f t="shared" si="161"/>
        <v>22</v>
      </c>
      <c r="J1386" s="14" t="str">
        <f t="shared" si="164"/>
        <v>MothersDay</v>
      </c>
      <c r="K1386" s="16" t="str">
        <f t="shared" si="169"/>
        <v>3-6</v>
      </c>
      <c r="L1386" s="14" t="str">
        <f t="shared" si="165"/>
        <v>Romper Short | 3-6 | Cream</v>
      </c>
      <c r="M1386" s="16" t="s">
        <v>3609</v>
      </c>
    </row>
    <row r="1387" spans="1:13" ht="25" customHeight="1" x14ac:dyDescent="0.45">
      <c r="A1387" s="39">
        <v>46170</v>
      </c>
      <c r="B1387" s="19" t="s">
        <v>1487</v>
      </c>
      <c r="C1387" s="5" t="s">
        <v>1449</v>
      </c>
      <c r="D1387" s="53" t="str">
        <f t="shared" si="163"/>
        <v xml:space="preserve"> Cream</v>
      </c>
      <c r="E1387" s="5" t="s">
        <v>1380</v>
      </c>
      <c r="F1387" s="5" t="s">
        <v>19</v>
      </c>
      <c r="G1387" s="4" t="str">
        <f t="shared" si="167"/>
        <v>Romper Longer</v>
      </c>
      <c r="H1387" s="38">
        <f t="shared" si="166"/>
        <v>5</v>
      </c>
      <c r="I1387" s="54">
        <f t="shared" si="161"/>
        <v>22</v>
      </c>
      <c r="J1387" s="14" t="str">
        <f t="shared" si="164"/>
        <v>MothersDay</v>
      </c>
      <c r="K1387" s="16" t="str">
        <f t="shared" si="169"/>
        <v>3-6</v>
      </c>
      <c r="L1387" s="14" t="str">
        <f t="shared" si="165"/>
        <v>Romper Longer | 3-6 | Cream</v>
      </c>
      <c r="M1387" s="16" t="s">
        <v>3609</v>
      </c>
    </row>
    <row r="1388" spans="1:13" ht="25" customHeight="1" x14ac:dyDescent="0.45">
      <c r="A1388" s="39">
        <v>46171</v>
      </c>
      <c r="B1388" s="19" t="s">
        <v>1488</v>
      </c>
      <c r="C1388" s="5" t="s">
        <v>110</v>
      </c>
      <c r="D1388" s="53" t="str">
        <f t="shared" si="163"/>
        <v>Sage Green</v>
      </c>
      <c r="E1388" s="5" t="s">
        <v>1432</v>
      </c>
      <c r="F1388" s="5" t="s">
        <v>7</v>
      </c>
      <c r="G1388" s="4" t="str">
        <f t="shared" si="167"/>
        <v>Romper Short</v>
      </c>
      <c r="H1388" s="38">
        <f t="shared" si="166"/>
        <v>5</v>
      </c>
      <c r="I1388" s="54">
        <f t="shared" si="161"/>
        <v>22</v>
      </c>
      <c r="J1388" s="14" t="str">
        <f t="shared" si="164"/>
        <v>MothersDay</v>
      </c>
      <c r="K1388" s="16" t="str">
        <f>TRIM(LEFT(E1388,FIND("(",E1388&amp;"(")-8))</f>
        <v>3-6</v>
      </c>
      <c r="L1388" s="14" t="str">
        <f t="shared" si="165"/>
        <v>Romper Short | 3-6 | Sage Green</v>
      </c>
      <c r="M1388" s="16" t="s">
        <v>3611</v>
      </c>
    </row>
    <row r="1389" spans="1:13" ht="25" customHeight="1" x14ac:dyDescent="0.45">
      <c r="A1389" s="39">
        <v>46171</v>
      </c>
      <c r="B1389" s="19" t="s">
        <v>1489</v>
      </c>
      <c r="C1389" s="5" t="s">
        <v>440</v>
      </c>
      <c r="D1389" s="53" t="str">
        <f t="shared" si="163"/>
        <v xml:space="preserve"> Watermelon</v>
      </c>
      <c r="E1389" s="5" t="s">
        <v>1376</v>
      </c>
      <c r="F1389" s="5" t="s">
        <v>7</v>
      </c>
      <c r="G1389" s="4" t="str">
        <f t="shared" si="167"/>
        <v>Romper Longer</v>
      </c>
      <c r="H1389" s="38">
        <f t="shared" si="166"/>
        <v>5</v>
      </c>
      <c r="I1389" s="54">
        <f t="shared" si="161"/>
        <v>22</v>
      </c>
      <c r="J1389" s="14" t="str">
        <f t="shared" si="164"/>
        <v>MothersDay</v>
      </c>
      <c r="K1389" s="16" t="str">
        <f>TRIM(LEFT(E1389,FIND("(",E1389&amp;"(")-7))</f>
        <v>0-3</v>
      </c>
      <c r="L1389" s="14" t="str">
        <f t="shared" si="165"/>
        <v>Romper Longer | 0-3 | Watermelon</v>
      </c>
      <c r="M1389" s="16" t="s">
        <v>3610</v>
      </c>
    </row>
    <row r="1390" spans="1:13" ht="25" customHeight="1" x14ac:dyDescent="0.45">
      <c r="A1390" s="39">
        <v>46171</v>
      </c>
      <c r="B1390" s="19" t="s">
        <v>1490</v>
      </c>
      <c r="C1390" s="5" t="s">
        <v>79</v>
      </c>
      <c r="D1390" s="53" t="str">
        <f t="shared" si="163"/>
        <v>White</v>
      </c>
      <c r="E1390" s="5" t="s">
        <v>1369</v>
      </c>
      <c r="F1390" s="5" t="s">
        <v>7</v>
      </c>
      <c r="G1390" s="4" t="str">
        <f t="shared" si="167"/>
        <v>Romper Longer</v>
      </c>
      <c r="H1390" s="38">
        <f t="shared" si="166"/>
        <v>5</v>
      </c>
      <c r="I1390" s="54">
        <f t="shared" si="161"/>
        <v>22</v>
      </c>
      <c r="J1390" s="14" t="str">
        <f t="shared" si="164"/>
        <v>MothersDay</v>
      </c>
      <c r="K1390" s="16" t="str">
        <f>TRIM(LEFT(E1390,FIND("(",E1390&amp;"(")-8))</f>
        <v>0-3</v>
      </c>
      <c r="L1390" s="14" t="str">
        <f t="shared" si="165"/>
        <v>Romper Longer | 0-3 | White</v>
      </c>
      <c r="M1390" s="16" t="s">
        <v>3610</v>
      </c>
    </row>
    <row r="1391" spans="1:13" ht="25" customHeight="1" x14ac:dyDescent="0.45">
      <c r="A1391" s="39">
        <v>46171</v>
      </c>
      <c r="B1391" s="19" t="s">
        <v>1491</v>
      </c>
      <c r="C1391" s="5" t="s">
        <v>9</v>
      </c>
      <c r="D1391" s="53" t="str">
        <f t="shared" si="163"/>
        <v>Cream</v>
      </c>
      <c r="E1391" s="5" t="s">
        <v>1387</v>
      </c>
      <c r="F1391" s="5" t="s">
        <v>7</v>
      </c>
      <c r="G1391" s="4" t="str">
        <f t="shared" si="167"/>
        <v>Romper Short</v>
      </c>
      <c r="H1391" s="38">
        <f t="shared" si="166"/>
        <v>5</v>
      </c>
      <c r="I1391" s="54">
        <f t="shared" ref="I1391:I1454" si="170">WEEKNUM(A1391)</f>
        <v>22</v>
      </c>
      <c r="J1391" s="14" t="str">
        <f t="shared" si="164"/>
        <v>MothersDay</v>
      </c>
      <c r="K1391" s="16" t="str">
        <f>TRIM(LEFT(E1391,FIND("(",E1391&amp;"(")-2))</f>
        <v>12-18</v>
      </c>
      <c r="L1391" s="14" t="str">
        <f t="shared" si="165"/>
        <v>Romper Short | 12-18 | Cream</v>
      </c>
      <c r="M1391" s="16" t="s">
        <v>3610</v>
      </c>
    </row>
    <row r="1392" spans="1:13" ht="25" customHeight="1" x14ac:dyDescent="0.45">
      <c r="A1392" s="39">
        <v>46172</v>
      </c>
      <c r="B1392" s="19" t="s">
        <v>1492</v>
      </c>
      <c r="C1392" s="5" t="s">
        <v>1493</v>
      </c>
      <c r="D1392" s="53" t="str">
        <f t="shared" si="163"/>
        <v>Dusty Pink</v>
      </c>
      <c r="E1392" s="5" t="s">
        <v>1494</v>
      </c>
      <c r="F1392" s="5" t="s">
        <v>7</v>
      </c>
      <c r="G1392" s="4" t="str">
        <f t="shared" si="167"/>
        <v>Romper Short</v>
      </c>
      <c r="H1392" s="38">
        <f t="shared" si="166"/>
        <v>5</v>
      </c>
      <c r="I1392" s="54">
        <f t="shared" si="170"/>
        <v>22</v>
      </c>
      <c r="J1392" s="14" t="str">
        <f t="shared" si="164"/>
        <v>MothersDay</v>
      </c>
      <c r="K1392" s="16" t="str">
        <f>TRIM(LEFT(E1392,FIND("(",E1392&amp;"(")-7))</f>
        <v>3-6</v>
      </c>
      <c r="L1392" s="14" t="str">
        <f t="shared" si="165"/>
        <v>Romper Short | 3-6 | Dusty Pink</v>
      </c>
      <c r="M1392" s="16" t="s">
        <v>3610</v>
      </c>
    </row>
    <row r="1393" spans="1:13" ht="25" customHeight="1" x14ac:dyDescent="0.45">
      <c r="A1393" s="39">
        <v>46173</v>
      </c>
      <c r="B1393" s="19" t="s">
        <v>1495</v>
      </c>
      <c r="C1393" s="5" t="s">
        <v>1449</v>
      </c>
      <c r="D1393" s="53" t="str">
        <f t="shared" si="163"/>
        <v xml:space="preserve"> Cream</v>
      </c>
      <c r="E1393" s="5" t="s">
        <v>1385</v>
      </c>
      <c r="F1393" s="5" t="s">
        <v>7</v>
      </c>
      <c r="G1393" s="4" t="str">
        <f t="shared" si="167"/>
        <v>Romper Longer</v>
      </c>
      <c r="H1393" s="38">
        <f t="shared" si="166"/>
        <v>5</v>
      </c>
      <c r="I1393" s="54">
        <f t="shared" si="170"/>
        <v>23</v>
      </c>
      <c r="J1393" s="14" t="str">
        <f t="shared" si="164"/>
        <v>MothersDay</v>
      </c>
      <c r="K1393" s="16" t="str">
        <f>TRIM(LEFT(E1393,FIND("(",E1393&amp;"(")-3))</f>
        <v>6-12</v>
      </c>
      <c r="L1393" s="14" t="str">
        <f t="shared" si="165"/>
        <v>Romper Longer | 6-12 | Cream</v>
      </c>
      <c r="M1393" s="16" t="s">
        <v>3611</v>
      </c>
    </row>
    <row r="1394" spans="1:13" ht="25" customHeight="1" x14ac:dyDescent="0.45">
      <c r="A1394" s="39">
        <v>46170</v>
      </c>
      <c r="B1394" s="19" t="s">
        <v>1496</v>
      </c>
      <c r="C1394" s="40" t="s">
        <v>9</v>
      </c>
      <c r="D1394" s="53" t="str">
        <f t="shared" si="163"/>
        <v>Cream</v>
      </c>
      <c r="E1394" s="5" t="s">
        <v>6</v>
      </c>
      <c r="F1394" s="5" t="s">
        <v>7</v>
      </c>
      <c r="G1394" s="4" t="str">
        <f t="shared" si="167"/>
        <v>Bodysuit</v>
      </c>
      <c r="H1394" s="38">
        <f t="shared" si="166"/>
        <v>5</v>
      </c>
      <c r="I1394" s="54">
        <f t="shared" si="170"/>
        <v>22</v>
      </c>
      <c r="J1394" s="14" t="str">
        <f t="shared" si="164"/>
        <v>MothersDay</v>
      </c>
      <c r="K1394" s="16" t="str">
        <f>TRIM(LEFT(E1394,FIND("(",E1394&amp;"(")-7))</f>
        <v>3-6</v>
      </c>
      <c r="L1394" s="14" t="str">
        <f t="shared" si="165"/>
        <v>Bodysuit | 3-6 | Cream</v>
      </c>
      <c r="M1394" s="16" t="s">
        <v>3611</v>
      </c>
    </row>
    <row r="1395" spans="1:13" ht="25" customHeight="1" x14ac:dyDescent="0.45">
      <c r="A1395" s="39">
        <v>46171</v>
      </c>
      <c r="B1395" s="19" t="s">
        <v>1497</v>
      </c>
      <c r="C1395" s="5" t="s">
        <v>9</v>
      </c>
      <c r="D1395" s="53" t="str">
        <f t="shared" si="163"/>
        <v>Cream</v>
      </c>
      <c r="E1395" s="5" t="s">
        <v>1401</v>
      </c>
      <c r="F1395" s="5" t="s">
        <v>13</v>
      </c>
      <c r="G1395" s="4" t="str">
        <f t="shared" si="167"/>
        <v>Romper Longer</v>
      </c>
      <c r="H1395" s="38">
        <f t="shared" si="166"/>
        <v>5</v>
      </c>
      <c r="I1395" s="54">
        <f t="shared" si="170"/>
        <v>22</v>
      </c>
      <c r="J1395" s="14" t="str">
        <f t="shared" si="164"/>
        <v>MothersDay</v>
      </c>
      <c r="K1395" s="16" t="str">
        <f>TRIM(LEFT(E1395,FIND("(",E1395&amp;"(")-8))</f>
        <v>3-6</v>
      </c>
      <c r="L1395" s="14" t="str">
        <f t="shared" si="165"/>
        <v>Romper Longer | 3-6 | Cream</v>
      </c>
      <c r="M1395" s="16" t="s">
        <v>3609</v>
      </c>
    </row>
    <row r="1396" spans="1:13" ht="25" customHeight="1" x14ac:dyDescent="0.45">
      <c r="A1396" s="39">
        <v>46171</v>
      </c>
      <c r="B1396" s="19" t="s">
        <v>1498</v>
      </c>
      <c r="C1396" s="5" t="s">
        <v>8</v>
      </c>
      <c r="D1396" s="53" t="str">
        <f t="shared" si="163"/>
        <v>Light Pink</v>
      </c>
      <c r="E1396" s="5" t="s">
        <v>6</v>
      </c>
      <c r="F1396" s="5" t="s">
        <v>7</v>
      </c>
      <c r="G1396" s="4" t="str">
        <f t="shared" si="167"/>
        <v>Bodysuit</v>
      </c>
      <c r="H1396" s="38">
        <f t="shared" si="166"/>
        <v>5</v>
      </c>
      <c r="I1396" s="54">
        <f t="shared" si="170"/>
        <v>22</v>
      </c>
      <c r="J1396" s="14" t="str">
        <f t="shared" si="164"/>
        <v>MothersDay</v>
      </c>
      <c r="K1396" s="16" t="str">
        <f>TRIM(LEFT(E1396,FIND("(",E1396&amp;"(")-7))</f>
        <v>3-6</v>
      </c>
      <c r="L1396" s="14" t="str">
        <f t="shared" si="165"/>
        <v>Bodysuit | 3-6 | Light Pink</v>
      </c>
      <c r="M1396" s="16" t="s">
        <v>3610</v>
      </c>
    </row>
    <row r="1397" spans="1:13" ht="25" customHeight="1" x14ac:dyDescent="0.45">
      <c r="A1397" s="39">
        <v>46172</v>
      </c>
      <c r="B1397" s="19" t="s">
        <v>1499</v>
      </c>
      <c r="C1397" s="5" t="s">
        <v>85</v>
      </c>
      <c r="D1397" s="53" t="str">
        <f t="shared" si="163"/>
        <v>Forest Green</v>
      </c>
      <c r="E1397" s="5" t="s">
        <v>1385</v>
      </c>
      <c r="F1397" s="5" t="s">
        <v>13</v>
      </c>
      <c r="G1397" s="4" t="str">
        <f t="shared" si="167"/>
        <v>Romper Longer</v>
      </c>
      <c r="H1397" s="38">
        <f t="shared" si="166"/>
        <v>5</v>
      </c>
      <c r="I1397" s="54">
        <f t="shared" si="170"/>
        <v>22</v>
      </c>
      <c r="J1397" s="14" t="str">
        <f t="shared" si="164"/>
        <v>MothersDay</v>
      </c>
      <c r="K1397" s="16" t="str">
        <f>TRIM(LEFT(E1397,FIND("(",E1397&amp;"(")-3))</f>
        <v>6-12</v>
      </c>
      <c r="L1397" s="14" t="str">
        <f t="shared" si="165"/>
        <v>Romper Longer | 6-12 | Forest Green</v>
      </c>
      <c r="M1397" s="16" t="s">
        <v>3610</v>
      </c>
    </row>
    <row r="1398" spans="1:13" ht="25" customHeight="1" x14ac:dyDescent="0.45">
      <c r="A1398" s="39">
        <v>46172</v>
      </c>
      <c r="B1398" s="19" t="s">
        <v>1500</v>
      </c>
      <c r="C1398" s="5" t="s">
        <v>1455</v>
      </c>
      <c r="D1398" s="53" t="str">
        <f t="shared" si="163"/>
        <v xml:space="preserve"> White</v>
      </c>
      <c r="E1398" s="5" t="s">
        <v>1416</v>
      </c>
      <c r="F1398" s="5" t="s">
        <v>7</v>
      </c>
      <c r="G1398" s="4" t="str">
        <f t="shared" si="167"/>
        <v>Romper Short</v>
      </c>
      <c r="H1398" s="38">
        <f t="shared" si="166"/>
        <v>5</v>
      </c>
      <c r="I1398" s="54">
        <f t="shared" si="170"/>
        <v>22</v>
      </c>
      <c r="J1398" s="14" t="str">
        <f t="shared" si="164"/>
        <v>MothersDay</v>
      </c>
      <c r="K1398" s="16" t="str">
        <f>TRIM(LEFT(E1398,FIND("(",E1398&amp;"(")-2))</f>
        <v>6-12</v>
      </c>
      <c r="L1398" s="14" t="str">
        <f t="shared" si="165"/>
        <v>Romper Short | 6-12 | White</v>
      </c>
      <c r="M1398" s="16" t="s">
        <v>3610</v>
      </c>
    </row>
    <row r="1399" spans="1:13" ht="25" customHeight="1" x14ac:dyDescent="0.45">
      <c r="A1399" s="39">
        <v>46172</v>
      </c>
      <c r="B1399" s="19" t="s">
        <v>1501</v>
      </c>
      <c r="C1399" s="40" t="s">
        <v>1449</v>
      </c>
      <c r="D1399" s="53" t="str">
        <f t="shared" si="163"/>
        <v xml:space="preserve"> Cream</v>
      </c>
      <c r="E1399" s="5" t="s">
        <v>6</v>
      </c>
      <c r="F1399" s="5" t="s">
        <v>7</v>
      </c>
      <c r="G1399" s="4" t="str">
        <f t="shared" si="167"/>
        <v>Bodysuit</v>
      </c>
      <c r="H1399" s="38">
        <f t="shared" si="166"/>
        <v>5</v>
      </c>
      <c r="I1399" s="54">
        <f t="shared" si="170"/>
        <v>22</v>
      </c>
      <c r="J1399" s="14" t="str">
        <f t="shared" si="164"/>
        <v>MothersDay</v>
      </c>
      <c r="K1399" s="16" t="str">
        <f>TRIM(LEFT(E1399,FIND("(",E1399&amp;"(")-7))</f>
        <v>3-6</v>
      </c>
      <c r="L1399" s="14" t="str">
        <f t="shared" si="165"/>
        <v>Bodysuit | 3-6 | Cream</v>
      </c>
      <c r="M1399" s="16" t="s">
        <v>3611</v>
      </c>
    </row>
    <row r="1400" spans="1:13" ht="25" customHeight="1" x14ac:dyDescent="0.45">
      <c r="A1400" s="39">
        <v>46172</v>
      </c>
      <c r="B1400" s="19" t="s">
        <v>1502</v>
      </c>
      <c r="C1400" s="5" t="s">
        <v>182</v>
      </c>
      <c r="D1400" s="53" t="str">
        <f t="shared" si="163"/>
        <v xml:space="preserve"> Forest Green</v>
      </c>
      <c r="E1400" s="5" t="s">
        <v>1380</v>
      </c>
      <c r="F1400" s="5" t="s">
        <v>13</v>
      </c>
      <c r="G1400" s="4" t="str">
        <f t="shared" si="167"/>
        <v>Romper Longer</v>
      </c>
      <c r="H1400" s="38">
        <f t="shared" si="166"/>
        <v>5</v>
      </c>
      <c r="I1400" s="54">
        <f t="shared" si="170"/>
        <v>22</v>
      </c>
      <c r="J1400" s="14" t="str">
        <f t="shared" si="164"/>
        <v>MothersDay</v>
      </c>
      <c r="K1400" s="16" t="str">
        <f>TRIM(LEFT(E1400,FIND("(",E1400&amp;"(")-7))</f>
        <v>3-6</v>
      </c>
      <c r="L1400" s="14" t="str">
        <f t="shared" si="165"/>
        <v>Romper Longer | 3-6 | Forest Green</v>
      </c>
      <c r="M1400" s="16" t="s">
        <v>3610</v>
      </c>
    </row>
    <row r="1401" spans="1:13" ht="25" customHeight="1" x14ac:dyDescent="0.45">
      <c r="A1401" s="39">
        <v>46172</v>
      </c>
      <c r="B1401" s="19" t="s">
        <v>1503</v>
      </c>
      <c r="C1401" s="5" t="s">
        <v>462</v>
      </c>
      <c r="D1401" s="53" t="str">
        <f>PROPER(C1401)</f>
        <v xml:space="preserve"> Dusty Pink</v>
      </c>
      <c r="E1401" s="5" t="s">
        <v>1376</v>
      </c>
      <c r="F1401" s="5" t="s">
        <v>7</v>
      </c>
      <c r="G1401" s="4" t="str">
        <f t="shared" si="167"/>
        <v>Romper Longer</v>
      </c>
      <c r="H1401" s="38">
        <f t="shared" si="166"/>
        <v>5</v>
      </c>
      <c r="I1401" s="54">
        <f t="shared" si="170"/>
        <v>22</v>
      </c>
      <c r="J1401" s="14" t="str">
        <f t="shared" si="164"/>
        <v>MothersDay</v>
      </c>
      <c r="K1401" s="16" t="str">
        <f>TRIM(LEFT(E1401,FIND("(",E1401&amp;"(")-7))</f>
        <v>0-3</v>
      </c>
      <c r="L1401" s="14" t="str">
        <f t="shared" si="165"/>
        <v>Romper Longer | 0-3 | Dusty Pink</v>
      </c>
      <c r="M1401" s="16" t="s">
        <v>3610</v>
      </c>
    </row>
    <row r="1402" spans="1:13" ht="25" customHeight="1" x14ac:dyDescent="0.45">
      <c r="A1402" s="39">
        <v>46174</v>
      </c>
      <c r="B1402" s="19" t="s">
        <v>1504</v>
      </c>
      <c r="C1402" s="40" t="s">
        <v>8</v>
      </c>
      <c r="D1402" s="53" t="str">
        <f t="shared" ref="D1402:D1465" si="171">PROPER(C1402)</f>
        <v>Light Pink</v>
      </c>
      <c r="E1402" s="5" t="s">
        <v>6</v>
      </c>
      <c r="F1402" s="5" t="s">
        <v>40</v>
      </c>
      <c r="G1402" s="4" t="str">
        <f t="shared" si="167"/>
        <v>Bodysuit</v>
      </c>
      <c r="H1402" s="38">
        <f t="shared" si="166"/>
        <v>6</v>
      </c>
      <c r="I1402" s="54">
        <f t="shared" si="170"/>
        <v>23</v>
      </c>
      <c r="J1402" s="14" t="str">
        <f t="shared" si="164"/>
        <v>FathersDay</v>
      </c>
      <c r="K1402" s="16" t="str">
        <f>TRIM(LEFT(E1402,FIND("(",E1402&amp;"(")-7))</f>
        <v>3-6</v>
      </c>
      <c r="L1402" s="14" t="str">
        <f t="shared" si="165"/>
        <v>Bodysuit | 3-6 | Light Pink</v>
      </c>
      <c r="M1402" s="16" t="s">
        <v>3610</v>
      </c>
    </row>
    <row r="1403" spans="1:13" ht="25" customHeight="1" x14ac:dyDescent="0.45">
      <c r="A1403" s="39">
        <v>46174</v>
      </c>
      <c r="B1403" s="19" t="s">
        <v>1505</v>
      </c>
      <c r="C1403" s="5" t="s">
        <v>76</v>
      </c>
      <c r="D1403" s="53" t="str">
        <f t="shared" si="171"/>
        <v>Caldet Blue</v>
      </c>
      <c r="E1403" s="5" t="s">
        <v>1506</v>
      </c>
      <c r="F1403" s="5" t="s">
        <v>13</v>
      </c>
      <c r="G1403" s="4" t="str">
        <f t="shared" si="167"/>
        <v>Romper Short</v>
      </c>
      <c r="H1403" s="38">
        <f t="shared" si="166"/>
        <v>6</v>
      </c>
      <c r="I1403" s="54">
        <f t="shared" si="170"/>
        <v>23</v>
      </c>
      <c r="J1403" s="14" t="str">
        <f t="shared" si="164"/>
        <v>FathersDay</v>
      </c>
      <c r="K1403" s="16" t="str">
        <f>TRIM(LEFT(E1403,FIND("(",E1403&amp;"(")-2))</f>
        <v>6-12</v>
      </c>
      <c r="L1403" s="14" t="str">
        <f t="shared" si="165"/>
        <v>Romper Short | 6-12 | Caldet Blue</v>
      </c>
      <c r="M1403" s="16" t="s">
        <v>3610</v>
      </c>
    </row>
    <row r="1404" spans="1:13" ht="25" customHeight="1" x14ac:dyDescent="0.45">
      <c r="A1404" s="39">
        <v>46174</v>
      </c>
      <c r="B1404" s="19" t="s">
        <v>1507</v>
      </c>
      <c r="C1404" s="5" t="s">
        <v>9</v>
      </c>
      <c r="D1404" s="53" t="str">
        <f t="shared" si="171"/>
        <v>Cream</v>
      </c>
      <c r="E1404" s="5" t="s">
        <v>1508</v>
      </c>
      <c r="F1404" s="5" t="s">
        <v>7</v>
      </c>
      <c r="G1404" s="4" t="str">
        <f t="shared" si="167"/>
        <v>Romper Short</v>
      </c>
      <c r="H1404" s="38">
        <f t="shared" si="166"/>
        <v>6</v>
      </c>
      <c r="I1404" s="54">
        <f t="shared" si="170"/>
        <v>23</v>
      </c>
      <c r="J1404" s="14" t="str">
        <f t="shared" si="164"/>
        <v>FathersDay</v>
      </c>
      <c r="K1404" s="16" t="str">
        <f>TRIM(LEFT(E1404,FIND("(",E1404&amp;"(")-7))</f>
        <v>3-6</v>
      </c>
      <c r="L1404" s="14" t="str">
        <f t="shared" si="165"/>
        <v>Romper Short | 3-6 | Cream</v>
      </c>
      <c r="M1404" s="16" t="s">
        <v>3609</v>
      </c>
    </row>
    <row r="1405" spans="1:13" ht="25" customHeight="1" x14ac:dyDescent="0.45">
      <c r="A1405" s="39">
        <v>46174</v>
      </c>
      <c r="B1405" s="19" t="s">
        <v>1507</v>
      </c>
      <c r="C1405" s="5" t="s">
        <v>110</v>
      </c>
      <c r="D1405" s="53" t="str">
        <f t="shared" si="171"/>
        <v>Sage Green</v>
      </c>
      <c r="E1405" s="5" t="s">
        <v>1387</v>
      </c>
      <c r="F1405" s="5" t="s">
        <v>7</v>
      </c>
      <c r="G1405" s="4" t="str">
        <f t="shared" si="167"/>
        <v>Romper Short</v>
      </c>
      <c r="H1405" s="38">
        <f t="shared" si="166"/>
        <v>6</v>
      </c>
      <c r="I1405" s="54">
        <f t="shared" si="170"/>
        <v>23</v>
      </c>
      <c r="J1405" s="14" t="str">
        <f t="shared" si="164"/>
        <v>FathersDay</v>
      </c>
      <c r="K1405" s="16" t="str">
        <f>TRIM(LEFT(E1405,FIND("(",E1405&amp;"(")-2))</f>
        <v>12-18</v>
      </c>
      <c r="L1405" s="14" t="str">
        <f t="shared" si="165"/>
        <v>Romper Short | 12-18 | Sage Green</v>
      </c>
      <c r="M1405" s="16" t="s">
        <v>3610</v>
      </c>
    </row>
    <row r="1406" spans="1:13" ht="25" customHeight="1" x14ac:dyDescent="0.45">
      <c r="A1406" s="39">
        <v>46175</v>
      </c>
      <c r="B1406" s="41" t="s">
        <v>1509</v>
      </c>
      <c r="C1406" s="5" t="s">
        <v>9</v>
      </c>
      <c r="D1406" s="53" t="str">
        <f t="shared" si="171"/>
        <v>Cream</v>
      </c>
      <c r="E1406" s="5" t="s">
        <v>1369</v>
      </c>
      <c r="F1406" s="5" t="s">
        <v>7</v>
      </c>
      <c r="G1406" s="4" t="str">
        <f t="shared" si="167"/>
        <v>Romper Longer</v>
      </c>
      <c r="H1406" s="38">
        <f t="shared" si="166"/>
        <v>6</v>
      </c>
      <c r="I1406" s="54">
        <f t="shared" si="170"/>
        <v>23</v>
      </c>
      <c r="J1406" s="14" t="str">
        <f t="shared" si="164"/>
        <v>FathersDay</v>
      </c>
      <c r="K1406" s="16" t="str">
        <f>TRIM(LEFT(E1406,FIND("(",E1406&amp;"(")-8))</f>
        <v>0-3</v>
      </c>
      <c r="L1406" s="14" t="str">
        <f t="shared" si="165"/>
        <v>Romper Longer | 0-3 | Cream</v>
      </c>
      <c r="M1406" s="16" t="s">
        <v>3609</v>
      </c>
    </row>
    <row r="1407" spans="1:13" ht="25" customHeight="1" x14ac:dyDescent="0.45">
      <c r="A1407" s="39">
        <v>46175</v>
      </c>
      <c r="B1407" s="19" t="s">
        <v>1510</v>
      </c>
      <c r="C1407" s="5" t="s">
        <v>9</v>
      </c>
      <c r="D1407" s="53" t="str">
        <f t="shared" si="171"/>
        <v>Cream</v>
      </c>
      <c r="E1407" s="5" t="s">
        <v>1387</v>
      </c>
      <c r="F1407" s="5" t="s">
        <v>7</v>
      </c>
      <c r="G1407" s="4" t="str">
        <f t="shared" si="167"/>
        <v>Romper Short</v>
      </c>
      <c r="H1407" s="38">
        <f t="shared" si="166"/>
        <v>6</v>
      </c>
      <c r="I1407" s="54">
        <f t="shared" si="170"/>
        <v>23</v>
      </c>
      <c r="J1407" s="14" t="str">
        <f t="shared" si="164"/>
        <v>FathersDay</v>
      </c>
      <c r="K1407" s="16" t="str">
        <f>TRIM(LEFT(E1407,FIND("(",E1407&amp;"(")-2))</f>
        <v>12-18</v>
      </c>
      <c r="L1407" s="14" t="str">
        <f t="shared" si="165"/>
        <v>Romper Short | 12-18 | Cream</v>
      </c>
      <c r="M1407" s="16" t="s">
        <v>3610</v>
      </c>
    </row>
    <row r="1408" spans="1:13" ht="25" customHeight="1" x14ac:dyDescent="0.45">
      <c r="A1408" s="39">
        <v>46175</v>
      </c>
      <c r="B1408" s="19" t="s">
        <v>1511</v>
      </c>
      <c r="C1408" s="5" t="s">
        <v>1512</v>
      </c>
      <c r="D1408" s="53" t="str">
        <f t="shared" si="171"/>
        <v xml:space="preserve"> Cream </v>
      </c>
      <c r="E1408" s="5" t="s">
        <v>10</v>
      </c>
      <c r="F1408" s="5" t="s">
        <v>7</v>
      </c>
      <c r="G1408" s="4" t="str">
        <f t="shared" si="167"/>
        <v>Bodysuit</v>
      </c>
      <c r="H1408" s="38">
        <f t="shared" si="166"/>
        <v>6</v>
      </c>
      <c r="I1408" s="54">
        <f t="shared" si="170"/>
        <v>23</v>
      </c>
      <c r="J1408" s="14" t="str">
        <f t="shared" si="164"/>
        <v>FathersDay</v>
      </c>
      <c r="K1408" s="16" t="str">
        <f>TRIM(LEFT(E1408,FIND("(",E1408&amp;"(")-7))</f>
        <v>0-3</v>
      </c>
      <c r="L1408" s="14" t="str">
        <f t="shared" si="165"/>
        <v>Bodysuit | 0-3 | Cream</v>
      </c>
      <c r="M1408" s="16" t="s">
        <v>3610</v>
      </c>
    </row>
    <row r="1409" spans="1:13" ht="25" customHeight="1" x14ac:dyDescent="0.45">
      <c r="A1409" s="39">
        <v>46175</v>
      </c>
      <c r="B1409" s="19" t="s">
        <v>1513</v>
      </c>
      <c r="C1409" s="5" t="s">
        <v>9</v>
      </c>
      <c r="D1409" s="53" t="str">
        <f t="shared" si="171"/>
        <v>Cream</v>
      </c>
      <c r="E1409" s="5" t="s">
        <v>1416</v>
      </c>
      <c r="F1409" s="5" t="s">
        <v>15</v>
      </c>
      <c r="G1409" s="4" t="str">
        <f t="shared" si="167"/>
        <v>Romper Short</v>
      </c>
      <c r="H1409" s="38">
        <f t="shared" si="166"/>
        <v>6</v>
      </c>
      <c r="I1409" s="54">
        <f t="shared" si="170"/>
        <v>23</v>
      </c>
      <c r="J1409" s="14" t="str">
        <f t="shared" si="164"/>
        <v>FathersDay</v>
      </c>
      <c r="K1409" s="16" t="str">
        <f>TRIM(LEFT(E1409,FIND("(",E1409&amp;"(")-2))</f>
        <v>6-12</v>
      </c>
      <c r="L1409" s="14" t="str">
        <f t="shared" si="165"/>
        <v>Romper Short | 6-12 | Cream</v>
      </c>
      <c r="M1409" s="16" t="s">
        <v>3611</v>
      </c>
    </row>
    <row r="1410" spans="1:13" ht="25" customHeight="1" x14ac:dyDescent="0.45">
      <c r="A1410" s="39">
        <v>46176</v>
      </c>
      <c r="B1410" s="19" t="s">
        <v>1514</v>
      </c>
      <c r="C1410" s="5" t="s">
        <v>1449</v>
      </c>
      <c r="D1410" s="53" t="str">
        <f t="shared" si="171"/>
        <v xml:space="preserve"> Cream</v>
      </c>
      <c r="E1410" s="5" t="s">
        <v>1380</v>
      </c>
      <c r="F1410" s="5" t="s">
        <v>13</v>
      </c>
      <c r="G1410" s="4" t="str">
        <f t="shared" si="167"/>
        <v>Romper Longer</v>
      </c>
      <c r="H1410" s="38">
        <f t="shared" si="166"/>
        <v>6</v>
      </c>
      <c r="I1410" s="54">
        <f t="shared" si="170"/>
        <v>23</v>
      </c>
      <c r="J1410" s="14" t="str">
        <f t="shared" si="164"/>
        <v>FathersDay</v>
      </c>
      <c r="K1410" s="16" t="str">
        <f>TRIM(LEFT(E1410,FIND("(",E1410&amp;"(")-7))</f>
        <v>3-6</v>
      </c>
      <c r="L1410" s="14" t="str">
        <f t="shared" si="165"/>
        <v>Romper Longer | 3-6 | Cream</v>
      </c>
      <c r="M1410" s="16" t="s">
        <v>3609</v>
      </c>
    </row>
    <row r="1411" spans="1:13" ht="25" customHeight="1" x14ac:dyDescent="0.45">
      <c r="A1411" s="39">
        <v>46176</v>
      </c>
      <c r="B1411" s="19" t="s">
        <v>1515</v>
      </c>
      <c r="C1411" s="5" t="s">
        <v>110</v>
      </c>
      <c r="D1411" s="53" t="str">
        <f t="shared" si="171"/>
        <v>Sage Green</v>
      </c>
      <c r="E1411" s="5" t="s">
        <v>1432</v>
      </c>
      <c r="F1411" s="5" t="s">
        <v>19</v>
      </c>
      <c r="G1411" s="4" t="str">
        <f t="shared" si="167"/>
        <v>Romper Short</v>
      </c>
      <c r="H1411" s="38">
        <f t="shared" si="166"/>
        <v>6</v>
      </c>
      <c r="I1411" s="54">
        <f t="shared" si="170"/>
        <v>23</v>
      </c>
      <c r="J1411" s="14" t="str">
        <f t="shared" ref="J1411:J1474" si="172">IF(H1411=1,"NewYear",
IF(H1411=2,"Valentine",
IF(OR(H1411=3,H1411=4),"Easter",
IF(H1411=5,"MothersDay",
IF(H1411=6,"FathersDay",
IF(OR(H1411=7,H1411=8),"Summer",
IF(H1411=10,"Halloween",
IF(OR(H1411=11,H1411=12),"Christmas","Normal"))))))))</f>
        <v>FathersDay</v>
      </c>
      <c r="K1411" s="16" t="str">
        <f>TRIM(LEFT(E1411,FIND("(",E1411&amp;"(")-8))</f>
        <v>3-6</v>
      </c>
      <c r="L1411" s="14" t="str">
        <f t="shared" ref="L1411:L1474" si="173">TRIM(G1411)&amp;" | "&amp;TRIM(K1411)&amp;" | "&amp;PROPER(TRIM(D1411))</f>
        <v>Romper Short | 3-6 | Sage Green</v>
      </c>
      <c r="M1411" s="16" t="s">
        <v>3611</v>
      </c>
    </row>
    <row r="1412" spans="1:13" ht="25" customHeight="1" x14ac:dyDescent="0.45">
      <c r="A1412" s="39">
        <v>46176</v>
      </c>
      <c r="B1412" s="19" t="s">
        <v>1516</v>
      </c>
      <c r="C1412" s="5" t="s">
        <v>1449</v>
      </c>
      <c r="D1412" s="53" t="str">
        <f t="shared" si="171"/>
        <v xml:space="preserve"> Cream</v>
      </c>
      <c r="E1412" s="5" t="s">
        <v>1385</v>
      </c>
      <c r="F1412" s="5" t="s">
        <v>7</v>
      </c>
      <c r="G1412" s="4" t="str">
        <f t="shared" si="167"/>
        <v>Romper Longer</v>
      </c>
      <c r="H1412" s="38">
        <f t="shared" ref="H1412:H1475" si="174">MONTH(A1412)</f>
        <v>6</v>
      </c>
      <c r="I1412" s="54">
        <f t="shared" si="170"/>
        <v>23</v>
      </c>
      <c r="J1412" s="14" t="str">
        <f t="shared" si="172"/>
        <v>FathersDay</v>
      </c>
      <c r="K1412" s="16" t="str">
        <f>TRIM(LEFT(E1412,FIND("(",E1412&amp;"(")-3))</f>
        <v>6-12</v>
      </c>
      <c r="L1412" s="14" t="str">
        <f t="shared" si="173"/>
        <v>Romper Longer | 6-12 | Cream</v>
      </c>
      <c r="M1412" s="16" t="s">
        <v>3611</v>
      </c>
    </row>
    <row r="1413" spans="1:13" ht="25" customHeight="1" x14ac:dyDescent="0.45">
      <c r="A1413" s="39">
        <v>46176</v>
      </c>
      <c r="B1413" s="19" t="s">
        <v>1517</v>
      </c>
      <c r="C1413" s="40" t="s">
        <v>8</v>
      </c>
      <c r="D1413" s="53" t="str">
        <f t="shared" si="171"/>
        <v>Light Pink</v>
      </c>
      <c r="E1413" s="5" t="s">
        <v>10</v>
      </c>
      <c r="F1413" s="5" t="s">
        <v>37</v>
      </c>
      <c r="G1413" s="4" t="str">
        <f t="shared" si="167"/>
        <v>Bodysuit</v>
      </c>
      <c r="H1413" s="38">
        <f t="shared" si="174"/>
        <v>6</v>
      </c>
      <c r="I1413" s="54">
        <f t="shared" si="170"/>
        <v>23</v>
      </c>
      <c r="J1413" s="14" t="str">
        <f t="shared" si="172"/>
        <v>FathersDay</v>
      </c>
      <c r="K1413" s="16" t="str">
        <f>TRIM(LEFT(E1413,FIND("(",E1413&amp;"(")-7))</f>
        <v>0-3</v>
      </c>
      <c r="L1413" s="14" t="str">
        <f t="shared" si="173"/>
        <v>Bodysuit | 0-3 | Light Pink</v>
      </c>
      <c r="M1413" s="16" t="s">
        <v>3610</v>
      </c>
    </row>
    <row r="1414" spans="1:13" ht="25" customHeight="1" x14ac:dyDescent="0.45">
      <c r="A1414" s="39">
        <v>46176</v>
      </c>
      <c r="B1414" s="19" t="s">
        <v>1518</v>
      </c>
      <c r="C1414" s="5" t="s">
        <v>1519</v>
      </c>
      <c r="D1414" s="53" t="str">
        <f t="shared" si="171"/>
        <v xml:space="preserve">  Light Pink</v>
      </c>
      <c r="E1414" s="5" t="s">
        <v>10</v>
      </c>
      <c r="F1414" s="5" t="s">
        <v>13</v>
      </c>
      <c r="G1414" s="4" t="str">
        <f t="shared" si="167"/>
        <v>Bodysuit</v>
      </c>
      <c r="H1414" s="38">
        <f t="shared" si="174"/>
        <v>6</v>
      </c>
      <c r="I1414" s="54">
        <f t="shared" si="170"/>
        <v>23</v>
      </c>
      <c r="J1414" s="14" t="str">
        <f t="shared" si="172"/>
        <v>FathersDay</v>
      </c>
      <c r="K1414" s="16" t="str">
        <f>TRIM(LEFT(E1414,FIND("(",E1414&amp;"(")-7))</f>
        <v>0-3</v>
      </c>
      <c r="L1414" s="14" t="str">
        <f t="shared" si="173"/>
        <v>Bodysuit | 0-3 | Light Pink</v>
      </c>
      <c r="M1414" s="16" t="s">
        <v>3610</v>
      </c>
    </row>
    <row r="1415" spans="1:13" ht="25" customHeight="1" x14ac:dyDescent="0.45">
      <c r="A1415" s="39">
        <v>46177</v>
      </c>
      <c r="B1415" s="19" t="s">
        <v>1520</v>
      </c>
      <c r="C1415" s="5" t="s">
        <v>5</v>
      </c>
      <c r="D1415" s="53" t="str">
        <f t="shared" si="171"/>
        <v>Light Blue</v>
      </c>
      <c r="E1415" s="5" t="s">
        <v>6</v>
      </c>
      <c r="F1415" s="5" t="s">
        <v>7</v>
      </c>
      <c r="G1415" s="4" t="str">
        <f t="shared" si="167"/>
        <v>Bodysuit</v>
      </c>
      <c r="H1415" s="38">
        <f t="shared" si="174"/>
        <v>6</v>
      </c>
      <c r="I1415" s="54">
        <f t="shared" si="170"/>
        <v>23</v>
      </c>
      <c r="J1415" s="14" t="str">
        <f t="shared" si="172"/>
        <v>FathersDay</v>
      </c>
      <c r="K1415" s="16" t="str">
        <f>TRIM(LEFT(E1415,FIND("(",E1415&amp;"(")-7))</f>
        <v>3-6</v>
      </c>
      <c r="L1415" s="14" t="str">
        <f t="shared" si="173"/>
        <v>Bodysuit | 3-6 | Light Blue</v>
      </c>
      <c r="M1415" s="16" t="s">
        <v>3610</v>
      </c>
    </row>
    <row r="1416" spans="1:13" ht="25" customHeight="1" x14ac:dyDescent="0.45">
      <c r="A1416" s="39">
        <v>46177</v>
      </c>
      <c r="B1416" s="19" t="s">
        <v>1521</v>
      </c>
      <c r="C1416" s="5" t="s">
        <v>9</v>
      </c>
      <c r="D1416" s="53" t="str">
        <f t="shared" si="171"/>
        <v>Cream</v>
      </c>
      <c r="E1416" s="5" t="s">
        <v>6</v>
      </c>
      <c r="F1416" s="5" t="s">
        <v>7</v>
      </c>
      <c r="G1416" s="4" t="str">
        <f t="shared" si="167"/>
        <v>Bodysuit</v>
      </c>
      <c r="H1416" s="38">
        <f t="shared" si="174"/>
        <v>6</v>
      </c>
      <c r="I1416" s="54">
        <f t="shared" si="170"/>
        <v>23</v>
      </c>
      <c r="J1416" s="14" t="str">
        <f t="shared" si="172"/>
        <v>FathersDay</v>
      </c>
      <c r="K1416" s="16" t="str">
        <f>TRIM(LEFT(E1416,FIND("(",E1416&amp;"(")-7))</f>
        <v>3-6</v>
      </c>
      <c r="L1416" s="14" t="str">
        <f t="shared" si="173"/>
        <v>Bodysuit | 3-6 | Cream</v>
      </c>
      <c r="M1416" s="16" t="s">
        <v>3611</v>
      </c>
    </row>
    <row r="1417" spans="1:13" ht="25" customHeight="1" x14ac:dyDescent="0.45">
      <c r="A1417" s="39">
        <v>46177</v>
      </c>
      <c r="B1417" s="19" t="s">
        <v>1522</v>
      </c>
      <c r="C1417" s="40" t="s">
        <v>1449</v>
      </c>
      <c r="D1417" s="53" t="str">
        <f t="shared" si="171"/>
        <v xml:space="preserve"> Cream</v>
      </c>
      <c r="E1417" s="5" t="s">
        <v>6</v>
      </c>
      <c r="F1417" s="5" t="s">
        <v>7</v>
      </c>
      <c r="G1417" s="4" t="str">
        <f t="shared" si="167"/>
        <v>Bodysuit</v>
      </c>
      <c r="H1417" s="38">
        <f t="shared" si="174"/>
        <v>6</v>
      </c>
      <c r="I1417" s="54">
        <f t="shared" si="170"/>
        <v>23</v>
      </c>
      <c r="J1417" s="14" t="str">
        <f t="shared" si="172"/>
        <v>FathersDay</v>
      </c>
      <c r="K1417" s="16" t="str">
        <f>TRIM(LEFT(E1417,FIND("(",E1417&amp;"(")-7))</f>
        <v>3-6</v>
      </c>
      <c r="L1417" s="14" t="str">
        <f t="shared" si="173"/>
        <v>Bodysuit | 3-6 | Cream</v>
      </c>
      <c r="M1417" s="16" t="s">
        <v>3611</v>
      </c>
    </row>
    <row r="1418" spans="1:13" ht="25" customHeight="1" x14ac:dyDescent="0.45">
      <c r="A1418" s="39">
        <v>46177</v>
      </c>
      <c r="B1418" s="19" t="s">
        <v>1523</v>
      </c>
      <c r="C1418" s="5" t="s">
        <v>1449</v>
      </c>
      <c r="D1418" s="53" t="str">
        <f t="shared" si="171"/>
        <v xml:space="preserve"> Cream</v>
      </c>
      <c r="E1418" s="5" t="s">
        <v>1524</v>
      </c>
      <c r="F1418" s="5" t="s">
        <v>7</v>
      </c>
      <c r="G1418" s="4" t="str">
        <f t="shared" si="167"/>
        <v>Romper Longer</v>
      </c>
      <c r="H1418" s="38">
        <f t="shared" si="174"/>
        <v>6</v>
      </c>
      <c r="I1418" s="54">
        <f t="shared" si="170"/>
        <v>23</v>
      </c>
      <c r="J1418" s="14" t="str">
        <f t="shared" si="172"/>
        <v>FathersDay</v>
      </c>
      <c r="K1418" s="16" t="str">
        <f>TRIM(LEFT(E1418,FIND("(",E1418&amp;"(")-2))</f>
        <v>6-12</v>
      </c>
      <c r="L1418" s="14" t="str">
        <f t="shared" si="173"/>
        <v>Romper Longer | 6-12 | Cream</v>
      </c>
      <c r="M1418" s="16" t="s">
        <v>3611</v>
      </c>
    </row>
    <row r="1419" spans="1:13" ht="25" customHeight="1" x14ac:dyDescent="0.45">
      <c r="A1419" s="39">
        <v>46177</v>
      </c>
      <c r="B1419" s="19" t="s">
        <v>1525</v>
      </c>
      <c r="C1419" s="5" t="s">
        <v>81</v>
      </c>
      <c r="D1419" s="53" t="str">
        <f t="shared" si="171"/>
        <v>Dusty Pink</v>
      </c>
      <c r="E1419" s="5" t="s">
        <v>1432</v>
      </c>
      <c r="F1419" s="5" t="s">
        <v>40</v>
      </c>
      <c r="G1419" s="4" t="str">
        <f t="shared" si="167"/>
        <v>Romper Short</v>
      </c>
      <c r="H1419" s="38">
        <f t="shared" si="174"/>
        <v>6</v>
      </c>
      <c r="I1419" s="54">
        <f t="shared" si="170"/>
        <v>23</v>
      </c>
      <c r="J1419" s="14" t="str">
        <f t="shared" si="172"/>
        <v>FathersDay</v>
      </c>
      <c r="K1419" s="16" t="str">
        <f>TRIM(LEFT(E1419,FIND("(",E1419&amp;"(")-8))</f>
        <v>3-6</v>
      </c>
      <c r="L1419" s="14" t="str">
        <f t="shared" si="173"/>
        <v>Romper Short | 3-6 | Dusty Pink</v>
      </c>
      <c r="M1419" s="16" t="s">
        <v>3610</v>
      </c>
    </row>
    <row r="1420" spans="1:13" ht="25" customHeight="1" x14ac:dyDescent="0.45">
      <c r="A1420" s="39">
        <v>46177</v>
      </c>
      <c r="B1420" s="19" t="s">
        <v>1526</v>
      </c>
      <c r="C1420" s="5" t="s">
        <v>462</v>
      </c>
      <c r="D1420" s="53" t="str">
        <f t="shared" si="171"/>
        <v xml:space="preserve"> Dusty Pink</v>
      </c>
      <c r="E1420" s="5" t="s">
        <v>1524</v>
      </c>
      <c r="F1420" s="5" t="s">
        <v>7</v>
      </c>
      <c r="G1420" s="4" t="str">
        <f t="shared" si="167"/>
        <v>Romper Longer</v>
      </c>
      <c r="H1420" s="38">
        <f t="shared" si="174"/>
        <v>6</v>
      </c>
      <c r="I1420" s="54">
        <f t="shared" si="170"/>
        <v>23</v>
      </c>
      <c r="J1420" s="14" t="str">
        <f t="shared" si="172"/>
        <v>FathersDay</v>
      </c>
      <c r="K1420" s="16" t="str">
        <f>TRIM(LEFT(E1420,FIND("(",E1420&amp;"(")-2))</f>
        <v>6-12</v>
      </c>
      <c r="L1420" s="14" t="str">
        <f t="shared" si="173"/>
        <v>Romper Longer | 6-12 | Dusty Pink</v>
      </c>
      <c r="M1420" s="16" t="s">
        <v>3610</v>
      </c>
    </row>
    <row r="1421" spans="1:13" ht="25" customHeight="1" x14ac:dyDescent="0.45">
      <c r="A1421" s="39">
        <v>46178</v>
      </c>
      <c r="B1421" s="19" t="s">
        <v>1527</v>
      </c>
      <c r="C1421" s="5" t="s">
        <v>462</v>
      </c>
      <c r="D1421" s="53" t="str">
        <f t="shared" si="171"/>
        <v xml:space="preserve"> Dusty Pink</v>
      </c>
      <c r="E1421" s="5" t="s">
        <v>1369</v>
      </c>
      <c r="F1421" s="5" t="s">
        <v>7</v>
      </c>
      <c r="G1421" s="4" t="str">
        <f t="shared" si="167"/>
        <v>Romper Longer</v>
      </c>
      <c r="H1421" s="38">
        <f t="shared" si="174"/>
        <v>6</v>
      </c>
      <c r="I1421" s="54">
        <f t="shared" si="170"/>
        <v>23</v>
      </c>
      <c r="J1421" s="14" t="str">
        <f t="shared" si="172"/>
        <v>FathersDay</v>
      </c>
      <c r="K1421" s="16" t="str">
        <f>TRIM(LEFT(E1421,FIND("(",E1421&amp;"(")-8))</f>
        <v>0-3</v>
      </c>
      <c r="L1421" s="14" t="str">
        <f t="shared" si="173"/>
        <v>Romper Longer | 0-3 | Dusty Pink</v>
      </c>
      <c r="M1421" s="16" t="s">
        <v>3610</v>
      </c>
    </row>
    <row r="1422" spans="1:13" ht="25" customHeight="1" x14ac:dyDescent="0.45">
      <c r="A1422" s="39">
        <v>46178</v>
      </c>
      <c r="B1422" s="19" t="s">
        <v>1528</v>
      </c>
      <c r="C1422" s="5" t="s">
        <v>1449</v>
      </c>
      <c r="D1422" s="53" t="str">
        <f t="shared" si="171"/>
        <v xml:space="preserve"> Cream</v>
      </c>
      <c r="E1422" s="5" t="s">
        <v>1376</v>
      </c>
      <c r="F1422" s="5" t="s">
        <v>18</v>
      </c>
      <c r="G1422" s="4" t="str">
        <f t="shared" si="167"/>
        <v>Romper Longer</v>
      </c>
      <c r="H1422" s="38">
        <f t="shared" si="174"/>
        <v>6</v>
      </c>
      <c r="I1422" s="54">
        <f t="shared" si="170"/>
        <v>23</v>
      </c>
      <c r="J1422" s="14" t="str">
        <f t="shared" si="172"/>
        <v>FathersDay</v>
      </c>
      <c r="K1422" s="16" t="str">
        <f>TRIM(LEFT(E1422,FIND("(",E1422&amp;"(")-7))</f>
        <v>0-3</v>
      </c>
      <c r="L1422" s="14" t="str">
        <f t="shared" si="173"/>
        <v>Romper Longer | 0-3 | Cream</v>
      </c>
      <c r="M1422" s="16" t="s">
        <v>3609</v>
      </c>
    </row>
    <row r="1423" spans="1:13" ht="25" customHeight="1" x14ac:dyDescent="0.45">
      <c r="A1423" s="39">
        <v>46178</v>
      </c>
      <c r="B1423" s="19" t="s">
        <v>1529</v>
      </c>
      <c r="C1423" s="5" t="s">
        <v>1449</v>
      </c>
      <c r="D1423" s="53" t="str">
        <f t="shared" si="171"/>
        <v xml:space="preserve"> Cream</v>
      </c>
      <c r="E1423" s="5" t="s">
        <v>1420</v>
      </c>
      <c r="F1423" s="5" t="s">
        <v>7</v>
      </c>
      <c r="G1423" s="4" t="str">
        <f t="shared" si="167"/>
        <v>Romper Short</v>
      </c>
      <c r="H1423" s="38">
        <f t="shared" si="174"/>
        <v>6</v>
      </c>
      <c r="I1423" s="54">
        <f t="shared" si="170"/>
        <v>23</v>
      </c>
      <c r="J1423" s="14" t="str">
        <f t="shared" si="172"/>
        <v>FathersDay</v>
      </c>
      <c r="K1423" s="16" t="str">
        <f>TRIM(LEFT(E1423,FIND("(",E1423&amp;"(")-3))</f>
        <v>6-12</v>
      </c>
      <c r="L1423" s="14" t="str">
        <f t="shared" si="173"/>
        <v>Romper Short | 6-12 | Cream</v>
      </c>
      <c r="M1423" s="16" t="s">
        <v>3611</v>
      </c>
    </row>
    <row r="1424" spans="1:13" ht="25" customHeight="1" x14ac:dyDescent="0.45">
      <c r="A1424" s="39">
        <v>46179</v>
      </c>
      <c r="B1424" s="19" t="s">
        <v>1530</v>
      </c>
      <c r="C1424" s="5" t="s">
        <v>8</v>
      </c>
      <c r="D1424" s="53" t="str">
        <f t="shared" si="171"/>
        <v>Light Pink</v>
      </c>
      <c r="E1424" s="5" t="s">
        <v>10</v>
      </c>
      <c r="F1424" s="5" t="s">
        <v>7</v>
      </c>
      <c r="G1424" s="4" t="str">
        <f t="shared" ref="G1424:G1487" si="175">IF(ISNUMBER(SEARCH("LONG",E1424)),"Romper Longer",IF(ISNUMBER(SEARCH("SHORT",E1424)),"Romper Short","Bodysuit"))</f>
        <v>Bodysuit</v>
      </c>
      <c r="H1424" s="38">
        <f t="shared" si="174"/>
        <v>6</v>
      </c>
      <c r="I1424" s="54">
        <f t="shared" si="170"/>
        <v>23</v>
      </c>
      <c r="J1424" s="14" t="str">
        <f t="shared" si="172"/>
        <v>FathersDay</v>
      </c>
      <c r="K1424" s="16" t="str">
        <f>TRIM(LEFT(E1424,FIND("(",E1424&amp;"(")-7))</f>
        <v>0-3</v>
      </c>
      <c r="L1424" s="14" t="str">
        <f t="shared" si="173"/>
        <v>Bodysuit | 0-3 | Light Pink</v>
      </c>
      <c r="M1424" s="16" t="s">
        <v>3610</v>
      </c>
    </row>
    <row r="1425" spans="1:13" ht="25" customHeight="1" x14ac:dyDescent="0.45">
      <c r="A1425" s="39">
        <v>46179</v>
      </c>
      <c r="B1425" s="19" t="s">
        <v>1531</v>
      </c>
      <c r="C1425" s="5" t="s">
        <v>1512</v>
      </c>
      <c r="D1425" s="53" t="str">
        <f t="shared" si="171"/>
        <v xml:space="preserve"> Cream </v>
      </c>
      <c r="E1425" s="5" t="s">
        <v>1432</v>
      </c>
      <c r="F1425" s="5" t="s">
        <v>7</v>
      </c>
      <c r="G1425" s="4" t="str">
        <f t="shared" si="175"/>
        <v>Romper Short</v>
      </c>
      <c r="H1425" s="38">
        <f t="shared" si="174"/>
        <v>6</v>
      </c>
      <c r="I1425" s="54">
        <f t="shared" si="170"/>
        <v>23</v>
      </c>
      <c r="J1425" s="14" t="str">
        <f t="shared" si="172"/>
        <v>FathersDay</v>
      </c>
      <c r="K1425" s="16" t="str">
        <f>TRIM(LEFT(E1425,FIND("(",E1425&amp;"(")-8))</f>
        <v>3-6</v>
      </c>
      <c r="L1425" s="14" t="str">
        <f t="shared" si="173"/>
        <v>Romper Short | 3-6 | Cream</v>
      </c>
      <c r="M1425" s="16" t="s">
        <v>3609</v>
      </c>
    </row>
    <row r="1426" spans="1:13" ht="25" customHeight="1" x14ac:dyDescent="0.45">
      <c r="A1426" s="39">
        <v>46179</v>
      </c>
      <c r="B1426" s="19" t="s">
        <v>1532</v>
      </c>
      <c r="C1426" s="40" t="s">
        <v>8</v>
      </c>
      <c r="D1426" s="53" t="str">
        <f t="shared" si="171"/>
        <v>Light Pink</v>
      </c>
      <c r="E1426" s="5" t="s">
        <v>6</v>
      </c>
      <c r="F1426" s="5" t="s">
        <v>7</v>
      </c>
      <c r="G1426" s="4" t="str">
        <f t="shared" si="175"/>
        <v>Bodysuit</v>
      </c>
      <c r="H1426" s="38">
        <f t="shared" si="174"/>
        <v>6</v>
      </c>
      <c r="I1426" s="54">
        <f t="shared" si="170"/>
        <v>23</v>
      </c>
      <c r="J1426" s="14" t="str">
        <f t="shared" si="172"/>
        <v>FathersDay</v>
      </c>
      <c r="K1426" s="16" t="str">
        <f>TRIM(LEFT(E1426,FIND("(",E1426&amp;"(")-7))</f>
        <v>3-6</v>
      </c>
      <c r="L1426" s="14" t="str">
        <f t="shared" si="173"/>
        <v>Bodysuit | 3-6 | Light Pink</v>
      </c>
      <c r="M1426" s="16" t="s">
        <v>3610</v>
      </c>
    </row>
    <row r="1427" spans="1:13" ht="25" customHeight="1" x14ac:dyDescent="0.45">
      <c r="A1427" s="39">
        <v>46179</v>
      </c>
      <c r="B1427" s="19" t="s">
        <v>1533</v>
      </c>
      <c r="C1427" s="5" t="s">
        <v>5</v>
      </c>
      <c r="D1427" s="53" t="str">
        <f t="shared" si="171"/>
        <v>Light Blue</v>
      </c>
      <c r="E1427" s="5" t="s">
        <v>10</v>
      </c>
      <c r="F1427" s="5" t="s">
        <v>7</v>
      </c>
      <c r="G1427" s="4" t="str">
        <f t="shared" si="175"/>
        <v>Bodysuit</v>
      </c>
      <c r="H1427" s="38">
        <f t="shared" si="174"/>
        <v>6</v>
      </c>
      <c r="I1427" s="54">
        <f t="shared" si="170"/>
        <v>23</v>
      </c>
      <c r="J1427" s="14" t="str">
        <f t="shared" si="172"/>
        <v>FathersDay</v>
      </c>
      <c r="K1427" s="16" t="str">
        <f>TRIM(LEFT(E1427,FIND("(",E1427&amp;"(")-7))</f>
        <v>0-3</v>
      </c>
      <c r="L1427" s="14" t="str">
        <f t="shared" si="173"/>
        <v>Bodysuit | 0-3 | Light Blue</v>
      </c>
      <c r="M1427" s="16" t="s">
        <v>3610</v>
      </c>
    </row>
    <row r="1428" spans="1:13" ht="25" customHeight="1" x14ac:dyDescent="0.45">
      <c r="A1428" s="39">
        <v>46180</v>
      </c>
      <c r="B1428" s="19" t="s">
        <v>1534</v>
      </c>
      <c r="C1428" s="5" t="s">
        <v>1535</v>
      </c>
      <c r="D1428" s="53" t="str">
        <f t="shared" si="171"/>
        <v>Dusty Pink</v>
      </c>
      <c r="E1428" s="5" t="s">
        <v>1372</v>
      </c>
      <c r="F1428" s="5" t="s">
        <v>7</v>
      </c>
      <c r="G1428" s="4" t="str">
        <f t="shared" si="175"/>
        <v>Romper Short</v>
      </c>
      <c r="H1428" s="38">
        <f t="shared" si="174"/>
        <v>6</v>
      </c>
      <c r="I1428" s="54">
        <f t="shared" si="170"/>
        <v>24</v>
      </c>
      <c r="J1428" s="14" t="str">
        <f t="shared" si="172"/>
        <v>FathersDay</v>
      </c>
      <c r="K1428" s="16" t="str">
        <f>TRIM(LEFT(E1428,FIND("(",E1428&amp;"(")-7))</f>
        <v>3-6</v>
      </c>
      <c r="L1428" s="14" t="str">
        <f t="shared" si="173"/>
        <v>Romper Short | 3-6 | Dusty Pink</v>
      </c>
      <c r="M1428" s="16" t="s">
        <v>3610</v>
      </c>
    </row>
    <row r="1429" spans="1:13" ht="25" customHeight="1" x14ac:dyDescent="0.45">
      <c r="A1429" s="39">
        <v>46180</v>
      </c>
      <c r="B1429" s="19" t="s">
        <v>1536</v>
      </c>
      <c r="C1429" s="5" t="s">
        <v>81</v>
      </c>
      <c r="D1429" s="53" t="str">
        <f t="shared" si="171"/>
        <v>Dusty Pink</v>
      </c>
      <c r="E1429" s="5" t="s">
        <v>1407</v>
      </c>
      <c r="F1429" s="5" t="s">
        <v>13</v>
      </c>
      <c r="G1429" s="4" t="str">
        <f t="shared" si="175"/>
        <v>Romper Short</v>
      </c>
      <c r="H1429" s="38">
        <f t="shared" si="174"/>
        <v>6</v>
      </c>
      <c r="I1429" s="54">
        <f t="shared" si="170"/>
        <v>24</v>
      </c>
      <c r="J1429" s="14" t="str">
        <f t="shared" si="172"/>
        <v>FathersDay</v>
      </c>
      <c r="K1429" s="16" t="str">
        <f>TRIM(LEFT(E1429,FIND("(",E1429&amp;"(")-7))</f>
        <v>0-3</v>
      </c>
      <c r="L1429" s="14" t="str">
        <f t="shared" si="173"/>
        <v>Romper Short | 0-3 | Dusty Pink</v>
      </c>
      <c r="M1429" s="16" t="s">
        <v>3610</v>
      </c>
    </row>
    <row r="1430" spans="1:13" ht="25" customHeight="1" x14ac:dyDescent="0.45">
      <c r="A1430" s="39">
        <v>46180</v>
      </c>
      <c r="B1430" s="19" t="s">
        <v>1537</v>
      </c>
      <c r="C1430" s="5" t="s">
        <v>148</v>
      </c>
      <c r="D1430" s="53" t="str">
        <f t="shared" si="171"/>
        <v xml:space="preserve"> Caldet Blue</v>
      </c>
      <c r="E1430" s="5" t="s">
        <v>1401</v>
      </c>
      <c r="F1430" s="5" t="s">
        <v>7</v>
      </c>
      <c r="G1430" s="4" t="str">
        <f t="shared" si="175"/>
        <v>Romper Longer</v>
      </c>
      <c r="H1430" s="38">
        <f t="shared" si="174"/>
        <v>6</v>
      </c>
      <c r="I1430" s="54">
        <f t="shared" si="170"/>
        <v>24</v>
      </c>
      <c r="J1430" s="14" t="str">
        <f t="shared" si="172"/>
        <v>FathersDay</v>
      </c>
      <c r="K1430" s="16" t="str">
        <f>TRIM(LEFT(E1430,FIND("(",E1430&amp;"(")-8))</f>
        <v>3-6</v>
      </c>
      <c r="L1430" s="14" t="str">
        <f t="shared" si="173"/>
        <v>Romper Longer | 3-6 | Caldet Blue</v>
      </c>
      <c r="M1430" s="16" t="s">
        <v>3610</v>
      </c>
    </row>
    <row r="1431" spans="1:13" ht="25" customHeight="1" x14ac:dyDescent="0.45">
      <c r="A1431" s="39">
        <v>46182</v>
      </c>
      <c r="B1431" s="19" t="s">
        <v>1538</v>
      </c>
      <c r="C1431" s="5" t="s">
        <v>8</v>
      </c>
      <c r="D1431" s="53" t="str">
        <f t="shared" si="171"/>
        <v>Light Pink</v>
      </c>
      <c r="E1431" s="5" t="s">
        <v>6</v>
      </c>
      <c r="F1431" s="5" t="s">
        <v>7</v>
      </c>
      <c r="G1431" s="4" t="str">
        <f t="shared" si="175"/>
        <v>Bodysuit</v>
      </c>
      <c r="H1431" s="38">
        <f t="shared" si="174"/>
        <v>6</v>
      </c>
      <c r="I1431" s="54">
        <f t="shared" si="170"/>
        <v>24</v>
      </c>
      <c r="J1431" s="14" t="str">
        <f t="shared" si="172"/>
        <v>FathersDay</v>
      </c>
      <c r="K1431" s="16" t="str">
        <f t="shared" ref="K1431:K1436" si="176">TRIM(LEFT(E1431,FIND("(",E1431&amp;"(")-7))</f>
        <v>3-6</v>
      </c>
      <c r="L1431" s="14" t="str">
        <f t="shared" si="173"/>
        <v>Bodysuit | 3-6 | Light Pink</v>
      </c>
      <c r="M1431" s="16" t="s">
        <v>3610</v>
      </c>
    </row>
    <row r="1432" spans="1:13" ht="25" customHeight="1" x14ac:dyDescent="0.45">
      <c r="A1432" s="39">
        <v>46182</v>
      </c>
      <c r="B1432" s="19" t="s">
        <v>1539</v>
      </c>
      <c r="C1432" s="5" t="s">
        <v>8</v>
      </c>
      <c r="D1432" s="53" t="str">
        <f t="shared" si="171"/>
        <v>Light Pink</v>
      </c>
      <c r="E1432" s="5" t="s">
        <v>6</v>
      </c>
      <c r="F1432" s="5" t="s">
        <v>7</v>
      </c>
      <c r="G1432" s="4" t="str">
        <f t="shared" si="175"/>
        <v>Bodysuit</v>
      </c>
      <c r="H1432" s="38">
        <f t="shared" si="174"/>
        <v>6</v>
      </c>
      <c r="I1432" s="54">
        <f t="shared" si="170"/>
        <v>24</v>
      </c>
      <c r="J1432" s="14" t="str">
        <f t="shared" si="172"/>
        <v>FathersDay</v>
      </c>
      <c r="K1432" s="16" t="str">
        <f t="shared" si="176"/>
        <v>3-6</v>
      </c>
      <c r="L1432" s="14" t="str">
        <f t="shared" si="173"/>
        <v>Bodysuit | 3-6 | Light Pink</v>
      </c>
      <c r="M1432" s="16" t="s">
        <v>3610</v>
      </c>
    </row>
    <row r="1433" spans="1:13" ht="25" customHeight="1" x14ac:dyDescent="0.45">
      <c r="A1433" s="39">
        <v>46182</v>
      </c>
      <c r="B1433" s="19" t="s">
        <v>1540</v>
      </c>
      <c r="C1433" s="5" t="s">
        <v>8</v>
      </c>
      <c r="D1433" s="53" t="str">
        <f t="shared" si="171"/>
        <v>Light Pink</v>
      </c>
      <c r="E1433" s="5" t="s">
        <v>6</v>
      </c>
      <c r="F1433" s="5" t="s">
        <v>7</v>
      </c>
      <c r="G1433" s="4" t="str">
        <f t="shared" si="175"/>
        <v>Bodysuit</v>
      </c>
      <c r="H1433" s="38">
        <f t="shared" si="174"/>
        <v>6</v>
      </c>
      <c r="I1433" s="54">
        <f t="shared" si="170"/>
        <v>24</v>
      </c>
      <c r="J1433" s="14" t="str">
        <f t="shared" si="172"/>
        <v>FathersDay</v>
      </c>
      <c r="K1433" s="16" t="str">
        <f t="shared" si="176"/>
        <v>3-6</v>
      </c>
      <c r="L1433" s="14" t="str">
        <f t="shared" si="173"/>
        <v>Bodysuit | 3-6 | Light Pink</v>
      </c>
      <c r="M1433" s="16" t="s">
        <v>3610</v>
      </c>
    </row>
    <row r="1434" spans="1:13" ht="25" customHeight="1" x14ac:dyDescent="0.45">
      <c r="A1434" s="39">
        <v>46182</v>
      </c>
      <c r="B1434" s="19" t="s">
        <v>1541</v>
      </c>
      <c r="C1434" s="5" t="s">
        <v>5</v>
      </c>
      <c r="D1434" s="53" t="str">
        <f t="shared" si="171"/>
        <v>Light Blue</v>
      </c>
      <c r="E1434" s="5" t="s">
        <v>6</v>
      </c>
      <c r="F1434" s="5" t="s">
        <v>40</v>
      </c>
      <c r="G1434" s="4" t="str">
        <f t="shared" si="175"/>
        <v>Bodysuit</v>
      </c>
      <c r="H1434" s="38">
        <f t="shared" si="174"/>
        <v>6</v>
      </c>
      <c r="I1434" s="54">
        <f t="shared" si="170"/>
        <v>24</v>
      </c>
      <c r="J1434" s="14" t="str">
        <f t="shared" si="172"/>
        <v>FathersDay</v>
      </c>
      <c r="K1434" s="16" t="str">
        <f t="shared" si="176"/>
        <v>3-6</v>
      </c>
      <c r="L1434" s="14" t="str">
        <f t="shared" si="173"/>
        <v>Bodysuit | 3-6 | Light Blue</v>
      </c>
      <c r="M1434" s="16" t="s">
        <v>3610</v>
      </c>
    </row>
    <row r="1435" spans="1:13" ht="25" customHeight="1" x14ac:dyDescent="0.45">
      <c r="A1435" s="39">
        <v>46183</v>
      </c>
      <c r="B1435" s="19" t="s">
        <v>1542</v>
      </c>
      <c r="C1435" s="5" t="s">
        <v>9</v>
      </c>
      <c r="D1435" s="53" t="str">
        <f t="shared" si="171"/>
        <v>Cream</v>
      </c>
      <c r="E1435" s="5" t="s">
        <v>10</v>
      </c>
      <c r="F1435" s="5" t="s">
        <v>40</v>
      </c>
      <c r="G1435" s="4" t="str">
        <f t="shared" si="175"/>
        <v>Bodysuit</v>
      </c>
      <c r="H1435" s="38">
        <f t="shared" si="174"/>
        <v>6</v>
      </c>
      <c r="I1435" s="54">
        <f t="shared" si="170"/>
        <v>24</v>
      </c>
      <c r="J1435" s="14" t="str">
        <f t="shared" si="172"/>
        <v>FathersDay</v>
      </c>
      <c r="K1435" s="16" t="str">
        <f t="shared" si="176"/>
        <v>0-3</v>
      </c>
      <c r="L1435" s="14" t="str">
        <f t="shared" si="173"/>
        <v>Bodysuit | 0-3 | Cream</v>
      </c>
      <c r="M1435" s="16" t="s">
        <v>3610</v>
      </c>
    </row>
    <row r="1436" spans="1:13" ht="25" customHeight="1" x14ac:dyDescent="0.45">
      <c r="A1436" s="39">
        <v>46184</v>
      </c>
      <c r="B1436" s="19" t="s">
        <v>1543</v>
      </c>
      <c r="C1436" s="5" t="s">
        <v>9</v>
      </c>
      <c r="D1436" s="53" t="str">
        <f t="shared" si="171"/>
        <v>Cream</v>
      </c>
      <c r="E1436" s="5" t="s">
        <v>10</v>
      </c>
      <c r="F1436" s="5" t="s">
        <v>7</v>
      </c>
      <c r="G1436" s="4" t="str">
        <f t="shared" si="175"/>
        <v>Bodysuit</v>
      </c>
      <c r="H1436" s="38">
        <f t="shared" si="174"/>
        <v>6</v>
      </c>
      <c r="I1436" s="54">
        <f t="shared" si="170"/>
        <v>24</v>
      </c>
      <c r="J1436" s="14" t="str">
        <f t="shared" si="172"/>
        <v>FathersDay</v>
      </c>
      <c r="K1436" s="16" t="str">
        <f t="shared" si="176"/>
        <v>0-3</v>
      </c>
      <c r="L1436" s="14" t="str">
        <f t="shared" si="173"/>
        <v>Bodysuit | 0-3 | Cream</v>
      </c>
      <c r="M1436" s="16" t="s">
        <v>3610</v>
      </c>
    </row>
    <row r="1437" spans="1:13" ht="25" customHeight="1" x14ac:dyDescent="0.45">
      <c r="A1437" s="39">
        <v>46182</v>
      </c>
      <c r="B1437" s="19" t="s">
        <v>1544</v>
      </c>
      <c r="C1437" s="5" t="s">
        <v>81</v>
      </c>
      <c r="D1437" s="53" t="str">
        <f t="shared" si="171"/>
        <v>Dusty Pink</v>
      </c>
      <c r="E1437" s="5" t="s">
        <v>1385</v>
      </c>
      <c r="F1437" s="5" t="s">
        <v>7</v>
      </c>
      <c r="G1437" s="4" t="str">
        <f t="shared" si="175"/>
        <v>Romper Longer</v>
      </c>
      <c r="H1437" s="38">
        <f t="shared" si="174"/>
        <v>6</v>
      </c>
      <c r="I1437" s="54">
        <f t="shared" si="170"/>
        <v>24</v>
      </c>
      <c r="J1437" s="14" t="str">
        <f t="shared" si="172"/>
        <v>FathersDay</v>
      </c>
      <c r="K1437" s="16" t="str">
        <f>TRIM(LEFT(E1437,FIND("(",E1437&amp;"(")-3))</f>
        <v>6-12</v>
      </c>
      <c r="L1437" s="14" t="str">
        <f t="shared" si="173"/>
        <v>Romper Longer | 6-12 | Dusty Pink</v>
      </c>
      <c r="M1437" s="16" t="s">
        <v>3610</v>
      </c>
    </row>
    <row r="1438" spans="1:13" ht="25" customHeight="1" x14ac:dyDescent="0.45">
      <c r="A1438" s="39">
        <v>46183</v>
      </c>
      <c r="B1438" s="19" t="s">
        <v>1545</v>
      </c>
      <c r="C1438" s="5" t="s">
        <v>1449</v>
      </c>
      <c r="D1438" s="53" t="str">
        <f t="shared" si="171"/>
        <v xml:space="preserve"> Cream</v>
      </c>
      <c r="E1438" s="5" t="s">
        <v>1401</v>
      </c>
      <c r="F1438" s="5" t="s">
        <v>7</v>
      </c>
      <c r="G1438" s="4" t="str">
        <f t="shared" si="175"/>
        <v>Romper Longer</v>
      </c>
      <c r="H1438" s="38">
        <f t="shared" si="174"/>
        <v>6</v>
      </c>
      <c r="I1438" s="54">
        <f t="shared" si="170"/>
        <v>24</v>
      </c>
      <c r="J1438" s="14" t="str">
        <f t="shared" si="172"/>
        <v>FathersDay</v>
      </c>
      <c r="K1438" s="16" t="str">
        <f>TRIM(LEFT(E1438,FIND("(",E1438&amp;"(")-8))</f>
        <v>3-6</v>
      </c>
      <c r="L1438" s="14" t="str">
        <f t="shared" si="173"/>
        <v>Romper Longer | 3-6 | Cream</v>
      </c>
      <c r="M1438" s="16" t="s">
        <v>3609</v>
      </c>
    </row>
    <row r="1439" spans="1:13" ht="25" customHeight="1" x14ac:dyDescent="0.45">
      <c r="A1439" s="39">
        <v>46184</v>
      </c>
      <c r="B1439" s="19" t="s">
        <v>1546</v>
      </c>
      <c r="C1439" s="5" t="s">
        <v>1455</v>
      </c>
      <c r="D1439" s="53" t="str">
        <f t="shared" si="171"/>
        <v xml:space="preserve"> White</v>
      </c>
      <c r="E1439" s="5" t="s">
        <v>1401</v>
      </c>
      <c r="F1439" s="5" t="s">
        <v>7</v>
      </c>
      <c r="G1439" s="4" t="str">
        <f t="shared" si="175"/>
        <v>Romper Longer</v>
      </c>
      <c r="H1439" s="38">
        <f t="shared" si="174"/>
        <v>6</v>
      </c>
      <c r="I1439" s="54">
        <f t="shared" si="170"/>
        <v>24</v>
      </c>
      <c r="J1439" s="14" t="str">
        <f t="shared" si="172"/>
        <v>FathersDay</v>
      </c>
      <c r="K1439" s="16" t="str">
        <f>TRIM(LEFT(E1439,FIND("(",E1439&amp;"(")-8))</f>
        <v>3-6</v>
      </c>
      <c r="L1439" s="14" t="str">
        <f t="shared" si="173"/>
        <v>Romper Longer | 3-6 | White</v>
      </c>
      <c r="M1439" s="16" t="s">
        <v>3610</v>
      </c>
    </row>
    <row r="1440" spans="1:13" ht="25" customHeight="1" x14ac:dyDescent="0.45">
      <c r="A1440" s="39">
        <v>46184</v>
      </c>
      <c r="B1440" s="19" t="s">
        <v>1547</v>
      </c>
      <c r="C1440" s="40" t="s">
        <v>126</v>
      </c>
      <c r="D1440" s="53" t="str">
        <f t="shared" si="171"/>
        <v xml:space="preserve"> Sage Green</v>
      </c>
      <c r="E1440" s="5" t="s">
        <v>1420</v>
      </c>
      <c r="F1440" s="5" t="s">
        <v>7</v>
      </c>
      <c r="G1440" s="4" t="str">
        <f t="shared" si="175"/>
        <v>Romper Short</v>
      </c>
      <c r="H1440" s="38">
        <f t="shared" si="174"/>
        <v>6</v>
      </c>
      <c r="I1440" s="54">
        <f t="shared" si="170"/>
        <v>24</v>
      </c>
      <c r="J1440" s="14" t="str">
        <f t="shared" si="172"/>
        <v>FathersDay</v>
      </c>
      <c r="K1440" s="16" t="str">
        <f>TRIM(LEFT(E1440,FIND("(",E1440&amp;"(")-3))</f>
        <v>6-12</v>
      </c>
      <c r="L1440" s="14" t="str">
        <f t="shared" si="173"/>
        <v>Romper Short | 6-12 | Sage Green</v>
      </c>
      <c r="M1440" s="16" t="s">
        <v>3610</v>
      </c>
    </row>
    <row r="1441" spans="1:13" ht="25" customHeight="1" x14ac:dyDescent="0.45">
      <c r="A1441" s="39">
        <v>46184</v>
      </c>
      <c r="B1441" s="19" t="s">
        <v>1548</v>
      </c>
      <c r="C1441" s="40" t="s">
        <v>76</v>
      </c>
      <c r="D1441" s="53" t="str">
        <f t="shared" si="171"/>
        <v>Caldet Blue</v>
      </c>
      <c r="E1441" s="5" t="s">
        <v>1420</v>
      </c>
      <c r="F1441" s="5" t="s">
        <v>7</v>
      </c>
      <c r="G1441" s="4" t="str">
        <f t="shared" si="175"/>
        <v>Romper Short</v>
      </c>
      <c r="H1441" s="38">
        <f t="shared" si="174"/>
        <v>6</v>
      </c>
      <c r="I1441" s="54">
        <f t="shared" si="170"/>
        <v>24</v>
      </c>
      <c r="J1441" s="14" t="str">
        <f t="shared" si="172"/>
        <v>FathersDay</v>
      </c>
      <c r="K1441" s="16" t="str">
        <f>TRIM(LEFT(E1441,FIND("(",E1441&amp;"(")-3))</f>
        <v>6-12</v>
      </c>
      <c r="L1441" s="14" t="str">
        <f t="shared" si="173"/>
        <v>Romper Short | 6-12 | Caldet Blue</v>
      </c>
      <c r="M1441" s="16" t="s">
        <v>3610</v>
      </c>
    </row>
    <row r="1442" spans="1:13" ht="25" customHeight="1" x14ac:dyDescent="0.45">
      <c r="A1442" s="39">
        <v>46184</v>
      </c>
      <c r="B1442" s="19" t="s">
        <v>1549</v>
      </c>
      <c r="C1442" s="40" t="s">
        <v>76</v>
      </c>
      <c r="D1442" s="53" t="str">
        <f t="shared" si="171"/>
        <v>Caldet Blue</v>
      </c>
      <c r="E1442" s="5" t="s">
        <v>1550</v>
      </c>
      <c r="F1442" s="5" t="s">
        <v>19</v>
      </c>
      <c r="G1442" s="4" t="str">
        <f t="shared" si="175"/>
        <v>Romper Longer</v>
      </c>
      <c r="H1442" s="38">
        <f t="shared" si="174"/>
        <v>6</v>
      </c>
      <c r="I1442" s="54">
        <f t="shared" si="170"/>
        <v>24</v>
      </c>
      <c r="J1442" s="14" t="str">
        <f t="shared" si="172"/>
        <v>FathersDay</v>
      </c>
      <c r="K1442" s="16" t="str">
        <f>TRIM(LEFT(E1442,FIND("(",E1442&amp;"(")-3))</f>
        <v>12-18</v>
      </c>
      <c r="L1442" s="14" t="str">
        <f t="shared" si="173"/>
        <v>Romper Longer | 12-18 | Caldet Blue</v>
      </c>
      <c r="M1442" s="16" t="s">
        <v>3610</v>
      </c>
    </row>
    <row r="1443" spans="1:13" ht="25" customHeight="1" x14ac:dyDescent="0.45">
      <c r="A1443" s="39">
        <v>46185</v>
      </c>
      <c r="B1443" s="19" t="s">
        <v>1551</v>
      </c>
      <c r="C1443" s="5" t="s">
        <v>1389</v>
      </c>
      <c r="D1443" s="53" t="str">
        <f t="shared" si="171"/>
        <v xml:space="preserve"> Light Blue</v>
      </c>
      <c r="E1443" s="5" t="s">
        <v>6</v>
      </c>
      <c r="F1443" s="5" t="s">
        <v>7</v>
      </c>
      <c r="G1443" s="4" t="str">
        <f t="shared" si="175"/>
        <v>Bodysuit</v>
      </c>
      <c r="H1443" s="38">
        <f t="shared" si="174"/>
        <v>6</v>
      </c>
      <c r="I1443" s="54">
        <f t="shared" si="170"/>
        <v>24</v>
      </c>
      <c r="J1443" s="14" t="str">
        <f t="shared" si="172"/>
        <v>FathersDay</v>
      </c>
      <c r="K1443" s="16" t="str">
        <f>TRIM(LEFT(E1443,FIND("(",E1443&amp;"(")-7))</f>
        <v>3-6</v>
      </c>
      <c r="L1443" s="14" t="str">
        <f t="shared" si="173"/>
        <v>Bodysuit | 3-6 | Light Blue</v>
      </c>
      <c r="M1443" s="16" t="s">
        <v>3610</v>
      </c>
    </row>
    <row r="1444" spans="1:13" ht="25" customHeight="1" x14ac:dyDescent="0.45">
      <c r="A1444" s="39">
        <v>46185</v>
      </c>
      <c r="B1444" s="19" t="s">
        <v>1552</v>
      </c>
      <c r="C1444" s="40" t="s">
        <v>1389</v>
      </c>
      <c r="D1444" s="53" t="str">
        <f t="shared" si="171"/>
        <v xml:space="preserve"> Light Blue</v>
      </c>
      <c r="E1444" s="5" t="s">
        <v>6</v>
      </c>
      <c r="F1444" s="5" t="s">
        <v>7</v>
      </c>
      <c r="G1444" s="4" t="str">
        <f t="shared" si="175"/>
        <v>Bodysuit</v>
      </c>
      <c r="H1444" s="38">
        <f t="shared" si="174"/>
        <v>6</v>
      </c>
      <c r="I1444" s="54">
        <f t="shared" si="170"/>
        <v>24</v>
      </c>
      <c r="J1444" s="14" t="str">
        <f t="shared" si="172"/>
        <v>FathersDay</v>
      </c>
      <c r="K1444" s="16" t="str">
        <f>TRIM(LEFT(E1444,FIND("(",E1444&amp;"(")-7))</f>
        <v>3-6</v>
      </c>
      <c r="L1444" s="14" t="str">
        <f t="shared" si="173"/>
        <v>Bodysuit | 3-6 | Light Blue</v>
      </c>
      <c r="M1444" s="16" t="s">
        <v>3610</v>
      </c>
    </row>
    <row r="1445" spans="1:13" ht="25" customHeight="1" x14ac:dyDescent="0.45">
      <c r="A1445" s="39">
        <v>46185</v>
      </c>
      <c r="B1445" s="19" t="s">
        <v>1553</v>
      </c>
      <c r="C1445" s="40" t="s">
        <v>462</v>
      </c>
      <c r="D1445" s="53" t="str">
        <f t="shared" si="171"/>
        <v xml:space="preserve"> Dusty Pink</v>
      </c>
      <c r="E1445" s="5" t="s">
        <v>1385</v>
      </c>
      <c r="F1445" s="5" t="s">
        <v>7</v>
      </c>
      <c r="G1445" s="4" t="str">
        <f t="shared" si="175"/>
        <v>Romper Longer</v>
      </c>
      <c r="H1445" s="38">
        <f t="shared" si="174"/>
        <v>6</v>
      </c>
      <c r="I1445" s="54">
        <f t="shared" si="170"/>
        <v>24</v>
      </c>
      <c r="J1445" s="14" t="str">
        <f t="shared" si="172"/>
        <v>FathersDay</v>
      </c>
      <c r="K1445" s="16" t="str">
        <f>TRIM(LEFT(E1445,FIND("(",E1445&amp;"(")-3))</f>
        <v>6-12</v>
      </c>
      <c r="L1445" s="14" t="str">
        <f t="shared" si="173"/>
        <v>Romper Longer | 6-12 | Dusty Pink</v>
      </c>
      <c r="M1445" s="16" t="s">
        <v>3610</v>
      </c>
    </row>
    <row r="1446" spans="1:13" ht="25" customHeight="1" x14ac:dyDescent="0.45">
      <c r="A1446" s="39">
        <v>46187</v>
      </c>
      <c r="B1446" s="19" t="s">
        <v>1554</v>
      </c>
      <c r="C1446" s="40" t="s">
        <v>462</v>
      </c>
      <c r="D1446" s="53" t="str">
        <f t="shared" si="171"/>
        <v xml:space="preserve"> Dusty Pink</v>
      </c>
      <c r="E1446" s="5" t="s">
        <v>1385</v>
      </c>
      <c r="F1446" s="5" t="s">
        <v>13</v>
      </c>
      <c r="G1446" s="4" t="str">
        <f t="shared" si="175"/>
        <v>Romper Longer</v>
      </c>
      <c r="H1446" s="38">
        <f t="shared" si="174"/>
        <v>6</v>
      </c>
      <c r="I1446" s="54">
        <f t="shared" si="170"/>
        <v>25</v>
      </c>
      <c r="J1446" s="14" t="str">
        <f t="shared" si="172"/>
        <v>FathersDay</v>
      </c>
      <c r="K1446" s="16" t="str">
        <f>TRIM(LEFT(E1446,FIND("(",E1446&amp;"(")-3))</f>
        <v>6-12</v>
      </c>
      <c r="L1446" s="14" t="str">
        <f t="shared" si="173"/>
        <v>Romper Longer | 6-12 | Dusty Pink</v>
      </c>
      <c r="M1446" s="16" t="s">
        <v>3610</v>
      </c>
    </row>
    <row r="1447" spans="1:13" ht="25" customHeight="1" x14ac:dyDescent="0.45">
      <c r="A1447" s="42">
        <v>46174</v>
      </c>
      <c r="B1447" s="43" t="s">
        <v>1556</v>
      </c>
      <c r="C1447" s="44" t="s">
        <v>9</v>
      </c>
      <c r="D1447" s="53" t="str">
        <f t="shared" si="171"/>
        <v>Cream</v>
      </c>
      <c r="E1447" s="44" t="s">
        <v>1660</v>
      </c>
      <c r="F1447" s="44" t="s">
        <v>7</v>
      </c>
      <c r="G1447" s="4" t="str">
        <f t="shared" si="175"/>
        <v>Romper Longer</v>
      </c>
      <c r="H1447" s="38">
        <f t="shared" si="174"/>
        <v>6</v>
      </c>
      <c r="I1447" s="54">
        <f t="shared" si="170"/>
        <v>23</v>
      </c>
      <c r="J1447" s="14" t="str">
        <f t="shared" si="172"/>
        <v>FathersDay</v>
      </c>
      <c r="K1447" s="16" t="str">
        <f t="shared" ref="K1447:K1510" si="177">TRIM(LEFT(E1447,FIND("(",E1447&amp;"(")-7))</f>
        <v>3-6</v>
      </c>
      <c r="L1447" s="14" t="str">
        <f t="shared" si="173"/>
        <v>Romper Longer | 3-6 | Cream</v>
      </c>
      <c r="M1447" s="16" t="s">
        <v>3609</v>
      </c>
    </row>
    <row r="1448" spans="1:13" ht="25" customHeight="1" x14ac:dyDescent="0.45">
      <c r="A1448" s="42">
        <v>46174</v>
      </c>
      <c r="B1448" s="43" t="s">
        <v>1557</v>
      </c>
      <c r="C1448" s="44" t="s">
        <v>126</v>
      </c>
      <c r="D1448" s="53" t="str">
        <f t="shared" si="171"/>
        <v xml:space="preserve"> Sage Green</v>
      </c>
      <c r="E1448" s="44" t="s">
        <v>1661</v>
      </c>
      <c r="F1448" s="44" t="s">
        <v>7</v>
      </c>
      <c r="G1448" s="4" t="str">
        <f t="shared" si="175"/>
        <v>Romper Short</v>
      </c>
      <c r="H1448" s="38">
        <f t="shared" si="174"/>
        <v>6</v>
      </c>
      <c r="I1448" s="54">
        <f t="shared" si="170"/>
        <v>23</v>
      </c>
      <c r="J1448" s="14" t="str">
        <f t="shared" si="172"/>
        <v>FathersDay</v>
      </c>
      <c r="K1448" s="16" t="str">
        <f t="shared" si="177"/>
        <v>0-3</v>
      </c>
      <c r="L1448" s="14" t="str">
        <f t="shared" si="173"/>
        <v>Romper Short | 0-3 | Sage Green</v>
      </c>
      <c r="M1448" s="16" t="s">
        <v>3610</v>
      </c>
    </row>
    <row r="1449" spans="1:13" ht="25" customHeight="1" x14ac:dyDescent="0.45">
      <c r="A1449" s="42">
        <v>46174</v>
      </c>
      <c r="B1449" s="43" t="s">
        <v>1556</v>
      </c>
      <c r="C1449" s="44" t="s">
        <v>9</v>
      </c>
      <c r="D1449" s="53" t="str">
        <f t="shared" si="171"/>
        <v>Cream</v>
      </c>
      <c r="E1449" s="44" t="s">
        <v>1661</v>
      </c>
      <c r="F1449" s="44" t="s">
        <v>7</v>
      </c>
      <c r="G1449" s="4" t="str">
        <f t="shared" si="175"/>
        <v>Romper Short</v>
      </c>
      <c r="H1449" s="38">
        <f t="shared" si="174"/>
        <v>6</v>
      </c>
      <c r="I1449" s="54">
        <f t="shared" si="170"/>
        <v>23</v>
      </c>
      <c r="J1449" s="14" t="str">
        <f t="shared" si="172"/>
        <v>FathersDay</v>
      </c>
      <c r="K1449" s="16" t="str">
        <f t="shared" si="177"/>
        <v>0-3</v>
      </c>
      <c r="L1449" s="14" t="str">
        <f t="shared" si="173"/>
        <v>Romper Short | 0-3 | Cream</v>
      </c>
      <c r="M1449" s="16" t="s">
        <v>3609</v>
      </c>
    </row>
    <row r="1450" spans="1:13" ht="25" customHeight="1" x14ac:dyDescent="0.45">
      <c r="A1450" s="42">
        <v>46174</v>
      </c>
      <c r="B1450" s="43" t="s">
        <v>1556</v>
      </c>
      <c r="C1450" s="44" t="s">
        <v>9</v>
      </c>
      <c r="D1450" s="53" t="str">
        <f t="shared" si="171"/>
        <v>Cream</v>
      </c>
      <c r="E1450" s="44" t="s">
        <v>1661</v>
      </c>
      <c r="F1450" s="44" t="s">
        <v>7</v>
      </c>
      <c r="G1450" s="4" t="str">
        <f t="shared" si="175"/>
        <v>Romper Short</v>
      </c>
      <c r="H1450" s="38">
        <f t="shared" si="174"/>
        <v>6</v>
      </c>
      <c r="I1450" s="54">
        <f t="shared" si="170"/>
        <v>23</v>
      </c>
      <c r="J1450" s="14" t="str">
        <f t="shared" si="172"/>
        <v>FathersDay</v>
      </c>
      <c r="K1450" s="16" t="str">
        <f t="shared" si="177"/>
        <v>0-3</v>
      </c>
      <c r="L1450" s="14" t="str">
        <f t="shared" si="173"/>
        <v>Romper Short | 0-3 | Cream</v>
      </c>
      <c r="M1450" s="16" t="s">
        <v>3609</v>
      </c>
    </row>
    <row r="1451" spans="1:13" ht="25" customHeight="1" x14ac:dyDescent="0.45">
      <c r="A1451" s="42">
        <v>46174</v>
      </c>
      <c r="B1451" s="43" t="s">
        <v>1556</v>
      </c>
      <c r="C1451" s="44" t="s">
        <v>81</v>
      </c>
      <c r="D1451" s="53" t="str">
        <f t="shared" si="171"/>
        <v>Dusty Pink</v>
      </c>
      <c r="E1451" s="44" t="s">
        <v>1662</v>
      </c>
      <c r="F1451" s="44" t="s">
        <v>7</v>
      </c>
      <c r="G1451" s="4" t="str">
        <f t="shared" si="175"/>
        <v>Romper Short</v>
      </c>
      <c r="H1451" s="38">
        <f t="shared" si="174"/>
        <v>6</v>
      </c>
      <c r="I1451" s="54">
        <f t="shared" si="170"/>
        <v>23</v>
      </c>
      <c r="J1451" s="14" t="str">
        <f t="shared" si="172"/>
        <v>FathersDay</v>
      </c>
      <c r="K1451" s="16" t="str">
        <f t="shared" si="177"/>
        <v>6-12</v>
      </c>
      <c r="L1451" s="14" t="str">
        <f t="shared" si="173"/>
        <v>Romper Short | 6-12 | Dusty Pink</v>
      </c>
      <c r="M1451" s="16" t="s">
        <v>3610</v>
      </c>
    </row>
    <row r="1452" spans="1:13" ht="25" customHeight="1" x14ac:dyDescent="0.45">
      <c r="A1452" s="42">
        <v>46174</v>
      </c>
      <c r="B1452" s="43" t="s">
        <v>1556</v>
      </c>
      <c r="C1452" s="44" t="s">
        <v>79</v>
      </c>
      <c r="D1452" s="53" t="str">
        <f t="shared" si="171"/>
        <v>White</v>
      </c>
      <c r="E1452" s="44" t="s">
        <v>1663</v>
      </c>
      <c r="F1452" s="44" t="s">
        <v>7</v>
      </c>
      <c r="G1452" s="4" t="str">
        <f t="shared" si="175"/>
        <v>Romper Short</v>
      </c>
      <c r="H1452" s="38">
        <f t="shared" si="174"/>
        <v>6</v>
      </c>
      <c r="I1452" s="54">
        <f t="shared" si="170"/>
        <v>23</v>
      </c>
      <c r="J1452" s="14" t="str">
        <f t="shared" si="172"/>
        <v>FathersDay</v>
      </c>
      <c r="K1452" s="16" t="str">
        <f t="shared" si="177"/>
        <v>3-6</v>
      </c>
      <c r="L1452" s="14" t="str">
        <f t="shared" si="173"/>
        <v>Romper Short | 3-6 | White</v>
      </c>
      <c r="M1452" s="16" t="s">
        <v>3610</v>
      </c>
    </row>
    <row r="1453" spans="1:13" ht="25" customHeight="1" x14ac:dyDescent="0.45">
      <c r="A1453" s="42">
        <v>46174</v>
      </c>
      <c r="B1453" s="43" t="s">
        <v>1556</v>
      </c>
      <c r="C1453" s="44" t="s">
        <v>1512</v>
      </c>
      <c r="D1453" s="53" t="str">
        <f t="shared" si="171"/>
        <v xml:space="preserve"> Cream </v>
      </c>
      <c r="E1453" s="44" t="s">
        <v>1660</v>
      </c>
      <c r="F1453" s="44" t="s">
        <v>7</v>
      </c>
      <c r="G1453" s="4" t="str">
        <f t="shared" si="175"/>
        <v>Romper Longer</v>
      </c>
      <c r="H1453" s="38">
        <f t="shared" si="174"/>
        <v>6</v>
      </c>
      <c r="I1453" s="54">
        <f t="shared" si="170"/>
        <v>23</v>
      </c>
      <c r="J1453" s="14" t="str">
        <f t="shared" si="172"/>
        <v>FathersDay</v>
      </c>
      <c r="K1453" s="16" t="str">
        <f t="shared" si="177"/>
        <v>3-6</v>
      </c>
      <c r="L1453" s="14" t="str">
        <f t="shared" si="173"/>
        <v>Romper Longer | 3-6 | Cream</v>
      </c>
      <c r="M1453" s="16" t="s">
        <v>3609</v>
      </c>
    </row>
    <row r="1454" spans="1:13" ht="25" customHeight="1" x14ac:dyDescent="0.45">
      <c r="A1454" s="42">
        <v>46174</v>
      </c>
      <c r="B1454" s="43" t="s">
        <v>1558</v>
      </c>
      <c r="C1454" s="44" t="s">
        <v>79</v>
      </c>
      <c r="D1454" s="53" t="str">
        <f t="shared" si="171"/>
        <v>White</v>
      </c>
      <c r="E1454" s="44" t="s">
        <v>1666</v>
      </c>
      <c r="F1454" s="44" t="s">
        <v>7</v>
      </c>
      <c r="G1454" s="4" t="str">
        <f t="shared" si="175"/>
        <v>Romper Longer</v>
      </c>
      <c r="H1454" s="38">
        <f t="shared" si="174"/>
        <v>6</v>
      </c>
      <c r="I1454" s="54">
        <f t="shared" si="170"/>
        <v>23</v>
      </c>
      <c r="J1454" s="14" t="str">
        <f t="shared" si="172"/>
        <v>FathersDay</v>
      </c>
      <c r="K1454" s="16" t="str">
        <f t="shared" si="177"/>
        <v>6-12</v>
      </c>
      <c r="L1454" s="14" t="str">
        <f t="shared" si="173"/>
        <v>Romper Longer | 6-12 | White</v>
      </c>
      <c r="M1454" s="16" t="s">
        <v>3610</v>
      </c>
    </row>
    <row r="1455" spans="1:13" ht="25" customHeight="1" x14ac:dyDescent="0.45">
      <c r="A1455" s="45">
        <v>46174</v>
      </c>
      <c r="B1455" s="43" t="s">
        <v>1559</v>
      </c>
      <c r="C1455" s="44" t="s">
        <v>1683</v>
      </c>
      <c r="D1455" s="53" t="str">
        <f t="shared" si="171"/>
        <v xml:space="preserve"> Sage Green </v>
      </c>
      <c r="E1455" s="44" t="s">
        <v>1663</v>
      </c>
      <c r="F1455" s="44" t="s">
        <v>7</v>
      </c>
      <c r="G1455" s="4" t="str">
        <f t="shared" si="175"/>
        <v>Romper Short</v>
      </c>
      <c r="H1455" s="38">
        <f t="shared" si="174"/>
        <v>6</v>
      </c>
      <c r="I1455" s="54">
        <f t="shared" ref="I1455:I1518" si="178">WEEKNUM(A1455)</f>
        <v>23</v>
      </c>
      <c r="J1455" s="14" t="str">
        <f t="shared" si="172"/>
        <v>FathersDay</v>
      </c>
      <c r="K1455" s="16" t="str">
        <f t="shared" si="177"/>
        <v>3-6</v>
      </c>
      <c r="L1455" s="14" t="str">
        <f t="shared" si="173"/>
        <v>Romper Short | 3-6 | Sage Green</v>
      </c>
      <c r="M1455" s="16" t="s">
        <v>3611</v>
      </c>
    </row>
    <row r="1456" spans="1:13" ht="25" customHeight="1" x14ac:dyDescent="0.45">
      <c r="A1456" s="45">
        <v>46174</v>
      </c>
      <c r="B1456" s="43" t="s">
        <v>1560</v>
      </c>
      <c r="C1456" s="44" t="s">
        <v>1677</v>
      </c>
      <c r="D1456" s="53" t="str">
        <f t="shared" si="171"/>
        <v xml:space="preserve">Salmon </v>
      </c>
      <c r="E1456" s="44" t="s">
        <v>1667</v>
      </c>
      <c r="F1456" s="44" t="s">
        <v>7</v>
      </c>
      <c r="G1456" s="4" t="str">
        <f t="shared" si="175"/>
        <v>Romper Longer</v>
      </c>
      <c r="H1456" s="38">
        <f t="shared" si="174"/>
        <v>6</v>
      </c>
      <c r="I1456" s="54">
        <f t="shared" si="178"/>
        <v>23</v>
      </c>
      <c r="J1456" s="14" t="str">
        <f t="shared" si="172"/>
        <v>FathersDay</v>
      </c>
      <c r="K1456" s="16" t="str">
        <f t="shared" si="177"/>
        <v>0-3</v>
      </c>
      <c r="L1456" s="14" t="str">
        <f t="shared" si="173"/>
        <v>Romper Longer | 0-3 | Salmon</v>
      </c>
      <c r="M1456" s="16" t="s">
        <v>3610</v>
      </c>
    </row>
    <row r="1457" spans="1:13" ht="25" customHeight="1" x14ac:dyDescent="0.45">
      <c r="A1457" s="45">
        <v>46174</v>
      </c>
      <c r="B1457" s="43" t="s">
        <v>1561</v>
      </c>
      <c r="C1457" s="44" t="s">
        <v>1679</v>
      </c>
      <c r="D1457" s="53" t="str">
        <f t="shared" si="171"/>
        <v xml:space="preserve">Coffee </v>
      </c>
      <c r="E1457" s="44" t="s">
        <v>1661</v>
      </c>
      <c r="F1457" s="44" t="s">
        <v>7</v>
      </c>
      <c r="G1457" s="4" t="str">
        <f t="shared" si="175"/>
        <v>Romper Short</v>
      </c>
      <c r="H1457" s="38">
        <f t="shared" si="174"/>
        <v>6</v>
      </c>
      <c r="I1457" s="54">
        <f t="shared" si="178"/>
        <v>23</v>
      </c>
      <c r="J1457" s="14" t="str">
        <f t="shared" si="172"/>
        <v>FathersDay</v>
      </c>
      <c r="K1457" s="16" t="str">
        <f t="shared" si="177"/>
        <v>0-3</v>
      </c>
      <c r="L1457" s="14" t="str">
        <f t="shared" si="173"/>
        <v>Romper Short | 0-3 | Coffee</v>
      </c>
      <c r="M1457" s="16" t="s">
        <v>3610</v>
      </c>
    </row>
    <row r="1458" spans="1:13" ht="25" customHeight="1" x14ac:dyDescent="0.45">
      <c r="A1458" s="45">
        <v>46174</v>
      </c>
      <c r="B1458" s="43" t="s">
        <v>1562</v>
      </c>
      <c r="C1458" s="44" t="s">
        <v>1347</v>
      </c>
      <c r="D1458" s="53" t="str">
        <f t="shared" si="171"/>
        <v xml:space="preserve">White </v>
      </c>
      <c r="E1458" s="44" t="s">
        <v>1663</v>
      </c>
      <c r="F1458" s="44" t="s">
        <v>7</v>
      </c>
      <c r="G1458" s="4" t="str">
        <f t="shared" si="175"/>
        <v>Romper Short</v>
      </c>
      <c r="H1458" s="38">
        <f t="shared" si="174"/>
        <v>6</v>
      </c>
      <c r="I1458" s="54">
        <f t="shared" si="178"/>
        <v>23</v>
      </c>
      <c r="J1458" s="14" t="str">
        <f t="shared" si="172"/>
        <v>FathersDay</v>
      </c>
      <c r="K1458" s="16" t="str">
        <f t="shared" si="177"/>
        <v>3-6</v>
      </c>
      <c r="L1458" s="14" t="str">
        <f t="shared" si="173"/>
        <v>Romper Short | 3-6 | White</v>
      </c>
      <c r="M1458" s="16" t="s">
        <v>3610</v>
      </c>
    </row>
    <row r="1459" spans="1:13" ht="25" customHeight="1" x14ac:dyDescent="0.45">
      <c r="A1459" s="45">
        <v>46174</v>
      </c>
      <c r="B1459" s="43" t="s">
        <v>1563</v>
      </c>
      <c r="C1459" s="44" t="s">
        <v>1682</v>
      </c>
      <c r="D1459" s="53" t="str">
        <f t="shared" si="171"/>
        <v xml:space="preserve">Sage Green  </v>
      </c>
      <c r="E1459" s="44" t="s">
        <v>1662</v>
      </c>
      <c r="F1459" s="44" t="s">
        <v>7</v>
      </c>
      <c r="G1459" s="4" t="str">
        <f t="shared" si="175"/>
        <v>Romper Short</v>
      </c>
      <c r="H1459" s="38">
        <f t="shared" si="174"/>
        <v>6</v>
      </c>
      <c r="I1459" s="54">
        <f t="shared" si="178"/>
        <v>23</v>
      </c>
      <c r="J1459" s="14" t="str">
        <f t="shared" si="172"/>
        <v>FathersDay</v>
      </c>
      <c r="K1459" s="16" t="str">
        <f t="shared" si="177"/>
        <v>6-12</v>
      </c>
      <c r="L1459" s="14" t="str">
        <f t="shared" si="173"/>
        <v>Romper Short | 6-12 | Sage Green</v>
      </c>
      <c r="M1459" s="16" t="s">
        <v>3610</v>
      </c>
    </row>
    <row r="1460" spans="1:13" ht="25" customHeight="1" x14ac:dyDescent="0.45">
      <c r="A1460" s="45">
        <v>46175</v>
      </c>
      <c r="B1460" s="46" t="s">
        <v>1564</v>
      </c>
      <c r="C1460" s="44" t="s">
        <v>1681</v>
      </c>
      <c r="D1460" s="53" t="str">
        <f t="shared" si="171"/>
        <v xml:space="preserve">Forest Green  </v>
      </c>
      <c r="E1460" s="44" t="s">
        <v>1664</v>
      </c>
      <c r="F1460" s="44" t="s">
        <v>7</v>
      </c>
      <c r="G1460" s="4" t="str">
        <f t="shared" si="175"/>
        <v>Romper Short</v>
      </c>
      <c r="H1460" s="38">
        <f t="shared" si="174"/>
        <v>6</v>
      </c>
      <c r="I1460" s="54">
        <f t="shared" si="178"/>
        <v>23</v>
      </c>
      <c r="J1460" s="14" t="str">
        <f t="shared" si="172"/>
        <v>FathersDay</v>
      </c>
      <c r="K1460" s="16" t="str">
        <f t="shared" si="177"/>
        <v>12-18</v>
      </c>
      <c r="L1460" s="14" t="str">
        <f t="shared" si="173"/>
        <v>Romper Short | 12-18 | Forest Green</v>
      </c>
      <c r="M1460" s="16" t="s">
        <v>3610</v>
      </c>
    </row>
    <row r="1461" spans="1:13" ht="25" customHeight="1" x14ac:dyDescent="0.45">
      <c r="A1461" s="45">
        <v>46174</v>
      </c>
      <c r="B1461" s="43" t="s">
        <v>1565</v>
      </c>
      <c r="C1461" s="44" t="s">
        <v>1329</v>
      </c>
      <c r="D1461" s="53" t="str">
        <f t="shared" si="171"/>
        <v xml:space="preserve">Cream </v>
      </c>
      <c r="E1461" s="44" t="s">
        <v>1667</v>
      </c>
      <c r="F1461" s="44" t="s">
        <v>7</v>
      </c>
      <c r="G1461" s="4" t="str">
        <f t="shared" si="175"/>
        <v>Romper Longer</v>
      </c>
      <c r="H1461" s="38">
        <f t="shared" si="174"/>
        <v>6</v>
      </c>
      <c r="I1461" s="54">
        <f t="shared" si="178"/>
        <v>23</v>
      </c>
      <c r="J1461" s="14" t="str">
        <f t="shared" si="172"/>
        <v>FathersDay</v>
      </c>
      <c r="K1461" s="16" t="str">
        <f t="shared" si="177"/>
        <v>0-3</v>
      </c>
      <c r="L1461" s="14" t="str">
        <f t="shared" si="173"/>
        <v>Romper Longer | 0-3 | Cream</v>
      </c>
      <c r="M1461" s="16" t="s">
        <v>3609</v>
      </c>
    </row>
    <row r="1462" spans="1:13" ht="25" customHeight="1" x14ac:dyDescent="0.45">
      <c r="A1462" s="45">
        <v>46174</v>
      </c>
      <c r="B1462" s="43" t="s">
        <v>1566</v>
      </c>
      <c r="C1462" s="44" t="s">
        <v>1329</v>
      </c>
      <c r="D1462" s="53" t="str">
        <f t="shared" si="171"/>
        <v xml:space="preserve">Cream </v>
      </c>
      <c r="E1462" s="44" t="s">
        <v>1664</v>
      </c>
      <c r="F1462" s="44" t="s">
        <v>7</v>
      </c>
      <c r="G1462" s="4" t="str">
        <f t="shared" si="175"/>
        <v>Romper Short</v>
      </c>
      <c r="H1462" s="38">
        <f t="shared" si="174"/>
        <v>6</v>
      </c>
      <c r="I1462" s="54">
        <f t="shared" si="178"/>
        <v>23</v>
      </c>
      <c r="J1462" s="14" t="str">
        <f t="shared" si="172"/>
        <v>FathersDay</v>
      </c>
      <c r="K1462" s="16" t="str">
        <f t="shared" si="177"/>
        <v>12-18</v>
      </c>
      <c r="L1462" s="14" t="str">
        <f t="shared" si="173"/>
        <v>Romper Short | 12-18 | Cream</v>
      </c>
      <c r="M1462" s="16" t="s">
        <v>3610</v>
      </c>
    </row>
    <row r="1463" spans="1:13" ht="25" customHeight="1" x14ac:dyDescent="0.45">
      <c r="A1463" s="45">
        <v>46174</v>
      </c>
      <c r="B1463" s="43" t="s">
        <v>1567</v>
      </c>
      <c r="C1463" s="44" t="s">
        <v>1347</v>
      </c>
      <c r="D1463" s="53" t="str">
        <f t="shared" si="171"/>
        <v xml:space="preserve">White </v>
      </c>
      <c r="E1463" s="44" t="s">
        <v>1663</v>
      </c>
      <c r="F1463" s="44" t="s">
        <v>7</v>
      </c>
      <c r="G1463" s="4" t="str">
        <f t="shared" si="175"/>
        <v>Romper Short</v>
      </c>
      <c r="H1463" s="38">
        <f t="shared" si="174"/>
        <v>6</v>
      </c>
      <c r="I1463" s="54">
        <f t="shared" si="178"/>
        <v>23</v>
      </c>
      <c r="J1463" s="14" t="str">
        <f t="shared" si="172"/>
        <v>FathersDay</v>
      </c>
      <c r="K1463" s="16" t="str">
        <f t="shared" si="177"/>
        <v>3-6</v>
      </c>
      <c r="L1463" s="14" t="str">
        <f t="shared" si="173"/>
        <v>Romper Short | 3-6 | White</v>
      </c>
      <c r="M1463" s="16" t="s">
        <v>3610</v>
      </c>
    </row>
    <row r="1464" spans="1:13" ht="25" customHeight="1" x14ac:dyDescent="0.45">
      <c r="A1464" s="45">
        <v>46174</v>
      </c>
      <c r="B1464" s="43" t="s">
        <v>1568</v>
      </c>
      <c r="C1464" s="44" t="s">
        <v>76</v>
      </c>
      <c r="D1464" s="53" t="str">
        <f t="shared" si="171"/>
        <v>Caldet Blue</v>
      </c>
      <c r="E1464" s="44" t="s">
        <v>1666</v>
      </c>
      <c r="F1464" s="44" t="s">
        <v>7</v>
      </c>
      <c r="G1464" s="4" t="str">
        <f t="shared" si="175"/>
        <v>Romper Longer</v>
      </c>
      <c r="H1464" s="38">
        <f t="shared" si="174"/>
        <v>6</v>
      </c>
      <c r="I1464" s="54">
        <f t="shared" si="178"/>
        <v>23</v>
      </c>
      <c r="J1464" s="14" t="str">
        <f t="shared" si="172"/>
        <v>FathersDay</v>
      </c>
      <c r="K1464" s="16" t="str">
        <f t="shared" si="177"/>
        <v>6-12</v>
      </c>
      <c r="L1464" s="14" t="str">
        <f t="shared" si="173"/>
        <v>Romper Longer | 6-12 | Caldet Blue</v>
      </c>
      <c r="M1464" s="16" t="s">
        <v>3610</v>
      </c>
    </row>
    <row r="1465" spans="1:13" ht="25" customHeight="1" x14ac:dyDescent="0.45">
      <c r="A1465" s="45">
        <v>46174</v>
      </c>
      <c r="B1465" s="43" t="s">
        <v>1568</v>
      </c>
      <c r="C1465" s="44" t="s">
        <v>1455</v>
      </c>
      <c r="D1465" s="53" t="str">
        <f t="shared" si="171"/>
        <v xml:space="preserve"> White</v>
      </c>
      <c r="E1465" s="44" t="s">
        <v>1660</v>
      </c>
      <c r="F1465" s="44" t="s">
        <v>7</v>
      </c>
      <c r="G1465" s="4" t="str">
        <f t="shared" si="175"/>
        <v>Romper Longer</v>
      </c>
      <c r="H1465" s="38">
        <f t="shared" si="174"/>
        <v>6</v>
      </c>
      <c r="I1465" s="54">
        <f t="shared" si="178"/>
        <v>23</v>
      </c>
      <c r="J1465" s="14" t="str">
        <f t="shared" si="172"/>
        <v>FathersDay</v>
      </c>
      <c r="K1465" s="16" t="str">
        <f t="shared" si="177"/>
        <v>3-6</v>
      </c>
      <c r="L1465" s="14" t="str">
        <f t="shared" si="173"/>
        <v>Romper Longer | 3-6 | White</v>
      </c>
      <c r="M1465" s="16" t="s">
        <v>3610</v>
      </c>
    </row>
    <row r="1466" spans="1:13" ht="25" customHeight="1" x14ac:dyDescent="0.45">
      <c r="A1466" s="45">
        <v>46174</v>
      </c>
      <c r="B1466" s="43" t="s">
        <v>1568</v>
      </c>
      <c r="C1466" s="44" t="s">
        <v>1329</v>
      </c>
      <c r="D1466" s="53" t="str">
        <f t="shared" ref="D1466:D1529" si="179">PROPER(C1466)</f>
        <v xml:space="preserve">Cream </v>
      </c>
      <c r="E1466" s="44" t="s">
        <v>1665</v>
      </c>
      <c r="F1466" s="44" t="s">
        <v>7</v>
      </c>
      <c r="G1466" s="4" t="str">
        <f t="shared" si="175"/>
        <v>Romper Short</v>
      </c>
      <c r="H1466" s="38">
        <f t="shared" si="174"/>
        <v>6</v>
      </c>
      <c r="I1466" s="54">
        <f t="shared" si="178"/>
        <v>23</v>
      </c>
      <c r="J1466" s="14" t="str">
        <f t="shared" si="172"/>
        <v>FathersDay</v>
      </c>
      <c r="K1466" s="16" t="str">
        <f t="shared" si="177"/>
        <v>18-24</v>
      </c>
      <c r="L1466" s="14" t="str">
        <f t="shared" si="173"/>
        <v>Romper Short | 18-24 | Cream</v>
      </c>
      <c r="M1466" s="16" t="s">
        <v>3610</v>
      </c>
    </row>
    <row r="1467" spans="1:13" ht="25" customHeight="1" x14ac:dyDescent="0.45">
      <c r="A1467" s="45">
        <v>46175</v>
      </c>
      <c r="B1467" s="43" t="s">
        <v>1569</v>
      </c>
      <c r="C1467" s="44" t="s">
        <v>1680</v>
      </c>
      <c r="D1467" s="53" t="str">
        <f t="shared" si="179"/>
        <v xml:space="preserve">Caldet Blue </v>
      </c>
      <c r="E1467" s="44" t="s">
        <v>1661</v>
      </c>
      <c r="F1467" s="44" t="s">
        <v>7</v>
      </c>
      <c r="G1467" s="4" t="str">
        <f t="shared" si="175"/>
        <v>Romper Short</v>
      </c>
      <c r="H1467" s="38">
        <f t="shared" si="174"/>
        <v>6</v>
      </c>
      <c r="I1467" s="54">
        <f t="shared" si="178"/>
        <v>23</v>
      </c>
      <c r="J1467" s="14" t="str">
        <f t="shared" si="172"/>
        <v>FathersDay</v>
      </c>
      <c r="K1467" s="16" t="str">
        <f t="shared" si="177"/>
        <v>0-3</v>
      </c>
      <c r="L1467" s="14" t="str">
        <f t="shared" si="173"/>
        <v>Romper Short | 0-3 | Caldet Blue</v>
      </c>
      <c r="M1467" s="16" t="s">
        <v>3610</v>
      </c>
    </row>
    <row r="1468" spans="1:13" ht="25" customHeight="1" x14ac:dyDescent="0.45">
      <c r="A1468" s="45">
        <v>46175</v>
      </c>
      <c r="B1468" s="43" t="s">
        <v>1570</v>
      </c>
      <c r="C1468" s="44" t="s">
        <v>126</v>
      </c>
      <c r="D1468" s="53" t="str">
        <f t="shared" si="179"/>
        <v xml:space="preserve"> Sage Green</v>
      </c>
      <c r="E1468" s="44" t="s">
        <v>1668</v>
      </c>
      <c r="F1468" s="44" t="s">
        <v>7</v>
      </c>
      <c r="G1468" s="4" t="str">
        <f t="shared" si="175"/>
        <v>Romper Longer</v>
      </c>
      <c r="H1468" s="38">
        <f t="shared" si="174"/>
        <v>6</v>
      </c>
      <c r="I1468" s="54">
        <f t="shared" si="178"/>
        <v>23</v>
      </c>
      <c r="J1468" s="14" t="str">
        <f t="shared" si="172"/>
        <v>FathersDay</v>
      </c>
      <c r="K1468" s="16" t="str">
        <f t="shared" si="177"/>
        <v>12-18</v>
      </c>
      <c r="L1468" s="14" t="str">
        <f t="shared" si="173"/>
        <v>Romper Longer | 12-18 | Sage Green</v>
      </c>
      <c r="M1468" s="16" t="s">
        <v>3610</v>
      </c>
    </row>
    <row r="1469" spans="1:13" ht="25" customHeight="1" x14ac:dyDescent="0.45">
      <c r="A1469" s="45">
        <v>46175</v>
      </c>
      <c r="B1469" s="43" t="s">
        <v>1571</v>
      </c>
      <c r="C1469" s="44" t="s">
        <v>1329</v>
      </c>
      <c r="D1469" s="53" t="str">
        <f t="shared" si="179"/>
        <v xml:space="preserve">Cream </v>
      </c>
      <c r="E1469" s="44" t="s">
        <v>1661</v>
      </c>
      <c r="F1469" s="44" t="s">
        <v>7</v>
      </c>
      <c r="G1469" s="4" t="str">
        <f t="shared" si="175"/>
        <v>Romper Short</v>
      </c>
      <c r="H1469" s="38">
        <f t="shared" si="174"/>
        <v>6</v>
      </c>
      <c r="I1469" s="54">
        <f t="shared" si="178"/>
        <v>23</v>
      </c>
      <c r="J1469" s="14" t="str">
        <f t="shared" si="172"/>
        <v>FathersDay</v>
      </c>
      <c r="K1469" s="16" t="str">
        <f t="shared" si="177"/>
        <v>0-3</v>
      </c>
      <c r="L1469" s="14" t="str">
        <f t="shared" si="173"/>
        <v>Romper Short | 0-3 | Cream</v>
      </c>
      <c r="M1469" s="16" t="s">
        <v>3609</v>
      </c>
    </row>
    <row r="1470" spans="1:13" ht="25" customHeight="1" x14ac:dyDescent="0.45">
      <c r="A1470" s="45">
        <v>46175</v>
      </c>
      <c r="B1470" s="43" t="s">
        <v>1572</v>
      </c>
      <c r="C1470" s="44" t="s">
        <v>1675</v>
      </c>
      <c r="D1470" s="53" t="str">
        <f t="shared" si="179"/>
        <v xml:space="preserve"> Sage Green </v>
      </c>
      <c r="E1470" s="44" t="s">
        <v>1660</v>
      </c>
      <c r="F1470" s="44" t="s">
        <v>13</v>
      </c>
      <c r="G1470" s="4" t="str">
        <f t="shared" si="175"/>
        <v>Romper Longer</v>
      </c>
      <c r="H1470" s="38">
        <f t="shared" si="174"/>
        <v>6</v>
      </c>
      <c r="I1470" s="54">
        <f t="shared" si="178"/>
        <v>23</v>
      </c>
      <c r="J1470" s="14" t="str">
        <f t="shared" si="172"/>
        <v>FathersDay</v>
      </c>
      <c r="K1470" s="16" t="str">
        <f t="shared" si="177"/>
        <v>3-6</v>
      </c>
      <c r="L1470" s="14" t="str">
        <f t="shared" si="173"/>
        <v>Romper Longer | 3-6 | Sage Green</v>
      </c>
      <c r="M1470" s="16" t="s">
        <v>3611</v>
      </c>
    </row>
    <row r="1471" spans="1:13" ht="25" customHeight="1" x14ac:dyDescent="0.45">
      <c r="A1471" s="45">
        <v>46175</v>
      </c>
      <c r="B1471" s="43" t="s">
        <v>1573</v>
      </c>
      <c r="C1471" s="44" t="s">
        <v>1329</v>
      </c>
      <c r="D1471" s="53" t="str">
        <f t="shared" si="179"/>
        <v xml:space="preserve">Cream </v>
      </c>
      <c r="E1471" s="44" t="s">
        <v>1667</v>
      </c>
      <c r="F1471" s="44" t="s">
        <v>7</v>
      </c>
      <c r="G1471" s="4" t="str">
        <f t="shared" si="175"/>
        <v>Romper Longer</v>
      </c>
      <c r="H1471" s="38">
        <f t="shared" si="174"/>
        <v>6</v>
      </c>
      <c r="I1471" s="54">
        <f t="shared" si="178"/>
        <v>23</v>
      </c>
      <c r="J1471" s="14" t="str">
        <f t="shared" si="172"/>
        <v>FathersDay</v>
      </c>
      <c r="K1471" s="16" t="str">
        <f t="shared" si="177"/>
        <v>0-3</v>
      </c>
      <c r="L1471" s="14" t="str">
        <f t="shared" si="173"/>
        <v>Romper Longer | 0-3 | Cream</v>
      </c>
      <c r="M1471" s="16" t="s">
        <v>3609</v>
      </c>
    </row>
    <row r="1472" spans="1:13" ht="25" customHeight="1" x14ac:dyDescent="0.45">
      <c r="A1472" s="45">
        <v>46175</v>
      </c>
      <c r="B1472" s="43" t="s">
        <v>1574</v>
      </c>
      <c r="C1472" s="44" t="s">
        <v>1679</v>
      </c>
      <c r="D1472" s="53" t="str">
        <f t="shared" si="179"/>
        <v xml:space="preserve">Coffee </v>
      </c>
      <c r="E1472" s="44" t="s">
        <v>1660</v>
      </c>
      <c r="F1472" s="44" t="s">
        <v>7</v>
      </c>
      <c r="G1472" s="4" t="str">
        <f t="shared" si="175"/>
        <v>Romper Longer</v>
      </c>
      <c r="H1472" s="38">
        <f t="shared" si="174"/>
        <v>6</v>
      </c>
      <c r="I1472" s="54">
        <f t="shared" si="178"/>
        <v>23</v>
      </c>
      <c r="J1472" s="14" t="str">
        <f t="shared" si="172"/>
        <v>FathersDay</v>
      </c>
      <c r="K1472" s="16" t="str">
        <f t="shared" si="177"/>
        <v>3-6</v>
      </c>
      <c r="L1472" s="14" t="str">
        <f t="shared" si="173"/>
        <v>Romper Longer | 3-6 | Coffee</v>
      </c>
      <c r="M1472" s="16" t="s">
        <v>3610</v>
      </c>
    </row>
    <row r="1473" spans="1:13" ht="25" customHeight="1" x14ac:dyDescent="0.45">
      <c r="A1473" s="45">
        <v>46175</v>
      </c>
      <c r="B1473" s="43" t="s">
        <v>1575</v>
      </c>
      <c r="C1473" s="44" t="s">
        <v>1329</v>
      </c>
      <c r="D1473" s="53" t="str">
        <f t="shared" si="179"/>
        <v xml:space="preserve">Cream </v>
      </c>
      <c r="E1473" s="44" t="s">
        <v>1662</v>
      </c>
      <c r="F1473" s="44" t="s">
        <v>7</v>
      </c>
      <c r="G1473" s="4" t="str">
        <f t="shared" si="175"/>
        <v>Romper Short</v>
      </c>
      <c r="H1473" s="38">
        <f t="shared" si="174"/>
        <v>6</v>
      </c>
      <c r="I1473" s="54">
        <f t="shared" si="178"/>
        <v>23</v>
      </c>
      <c r="J1473" s="14" t="str">
        <f t="shared" si="172"/>
        <v>FathersDay</v>
      </c>
      <c r="K1473" s="16" t="str">
        <f t="shared" si="177"/>
        <v>6-12</v>
      </c>
      <c r="L1473" s="14" t="str">
        <f t="shared" si="173"/>
        <v>Romper Short | 6-12 | Cream</v>
      </c>
      <c r="M1473" s="16" t="s">
        <v>3611</v>
      </c>
    </row>
    <row r="1474" spans="1:13" ht="25" customHeight="1" x14ac:dyDescent="0.45">
      <c r="A1474" s="45">
        <v>46175</v>
      </c>
      <c r="B1474" s="43" t="s">
        <v>1576</v>
      </c>
      <c r="C1474" s="44" t="s">
        <v>1329</v>
      </c>
      <c r="D1474" s="53" t="str">
        <f t="shared" si="179"/>
        <v xml:space="preserve">Cream </v>
      </c>
      <c r="E1474" s="44" t="s">
        <v>1662</v>
      </c>
      <c r="F1474" s="44" t="s">
        <v>7</v>
      </c>
      <c r="G1474" s="4" t="str">
        <f t="shared" si="175"/>
        <v>Romper Short</v>
      </c>
      <c r="H1474" s="38">
        <f t="shared" si="174"/>
        <v>6</v>
      </c>
      <c r="I1474" s="54">
        <f t="shared" si="178"/>
        <v>23</v>
      </c>
      <c r="J1474" s="14" t="str">
        <f t="shared" si="172"/>
        <v>FathersDay</v>
      </c>
      <c r="K1474" s="16" t="str">
        <f t="shared" si="177"/>
        <v>6-12</v>
      </c>
      <c r="L1474" s="14" t="str">
        <f t="shared" si="173"/>
        <v>Romper Short | 6-12 | Cream</v>
      </c>
      <c r="M1474" s="16" t="s">
        <v>3611</v>
      </c>
    </row>
    <row r="1475" spans="1:13" ht="25" customHeight="1" x14ac:dyDescent="0.45">
      <c r="A1475" s="45">
        <v>46175</v>
      </c>
      <c r="B1475" s="43" t="s">
        <v>1577</v>
      </c>
      <c r="C1475" s="44" t="s">
        <v>1329</v>
      </c>
      <c r="D1475" s="53" t="str">
        <f t="shared" si="179"/>
        <v xml:space="preserve">Cream </v>
      </c>
      <c r="E1475" s="44" t="s">
        <v>1660</v>
      </c>
      <c r="F1475" s="44" t="s">
        <v>11</v>
      </c>
      <c r="G1475" s="4" t="str">
        <f t="shared" si="175"/>
        <v>Romper Longer</v>
      </c>
      <c r="H1475" s="38">
        <f t="shared" si="174"/>
        <v>6</v>
      </c>
      <c r="I1475" s="54">
        <f t="shared" si="178"/>
        <v>23</v>
      </c>
      <c r="J1475" s="14" t="str">
        <f t="shared" ref="J1475:J1538" si="180">IF(H1475=1,"NewYear",
IF(H1475=2,"Valentine",
IF(OR(H1475=3,H1475=4),"Easter",
IF(H1475=5,"MothersDay",
IF(H1475=6,"FathersDay",
IF(OR(H1475=7,H1475=8),"Summer",
IF(H1475=10,"Halloween",
IF(OR(H1475=11,H1475=12),"Christmas","Normal"))))))))</f>
        <v>FathersDay</v>
      </c>
      <c r="K1475" s="16" t="str">
        <f t="shared" si="177"/>
        <v>3-6</v>
      </c>
      <c r="L1475" s="14" t="str">
        <f t="shared" ref="L1475:L1538" si="181">TRIM(G1475)&amp;" | "&amp;TRIM(K1475)&amp;" | "&amp;PROPER(TRIM(D1475))</f>
        <v>Romper Longer | 3-6 | Cream</v>
      </c>
      <c r="M1475" s="16" t="s">
        <v>3609</v>
      </c>
    </row>
    <row r="1476" spans="1:13" ht="25" customHeight="1" x14ac:dyDescent="0.45">
      <c r="A1476" s="45">
        <v>46176</v>
      </c>
      <c r="B1476" s="43" t="s">
        <v>1578</v>
      </c>
      <c r="C1476" s="44" t="s">
        <v>1351</v>
      </c>
      <c r="D1476" s="53" t="str">
        <f t="shared" si="179"/>
        <v xml:space="preserve">Forest Green </v>
      </c>
      <c r="E1476" s="44" t="s">
        <v>1660</v>
      </c>
      <c r="F1476" s="44" t="s">
        <v>7</v>
      </c>
      <c r="G1476" s="4" t="str">
        <f t="shared" si="175"/>
        <v>Romper Longer</v>
      </c>
      <c r="H1476" s="38">
        <f t="shared" ref="H1476:H1539" si="182">MONTH(A1476)</f>
        <v>6</v>
      </c>
      <c r="I1476" s="54">
        <f t="shared" si="178"/>
        <v>23</v>
      </c>
      <c r="J1476" s="14" t="str">
        <f t="shared" si="180"/>
        <v>FathersDay</v>
      </c>
      <c r="K1476" s="16" t="str">
        <f t="shared" si="177"/>
        <v>3-6</v>
      </c>
      <c r="L1476" s="14" t="str">
        <f t="shared" si="181"/>
        <v>Romper Longer | 3-6 | Forest Green</v>
      </c>
      <c r="M1476" s="16" t="s">
        <v>3610</v>
      </c>
    </row>
    <row r="1477" spans="1:13" ht="25" customHeight="1" x14ac:dyDescent="0.45">
      <c r="A1477" s="45">
        <v>46176</v>
      </c>
      <c r="B1477" s="43" t="s">
        <v>1579</v>
      </c>
      <c r="C1477" s="44" t="s">
        <v>9</v>
      </c>
      <c r="D1477" s="53" t="str">
        <f t="shared" si="179"/>
        <v>Cream</v>
      </c>
      <c r="E1477" s="44" t="s">
        <v>1660</v>
      </c>
      <c r="F1477" s="44" t="s">
        <v>7</v>
      </c>
      <c r="G1477" s="4" t="str">
        <f t="shared" si="175"/>
        <v>Romper Longer</v>
      </c>
      <c r="H1477" s="38">
        <f t="shared" si="182"/>
        <v>6</v>
      </c>
      <c r="I1477" s="54">
        <f t="shared" si="178"/>
        <v>23</v>
      </c>
      <c r="J1477" s="14" t="str">
        <f t="shared" si="180"/>
        <v>FathersDay</v>
      </c>
      <c r="K1477" s="16" t="str">
        <f t="shared" si="177"/>
        <v>3-6</v>
      </c>
      <c r="L1477" s="14" t="str">
        <f t="shared" si="181"/>
        <v>Romper Longer | 3-6 | Cream</v>
      </c>
      <c r="M1477" s="16" t="s">
        <v>3609</v>
      </c>
    </row>
    <row r="1478" spans="1:13" ht="25" customHeight="1" x14ac:dyDescent="0.45">
      <c r="A1478" s="45">
        <v>46176</v>
      </c>
      <c r="B1478" s="43" t="s">
        <v>1580</v>
      </c>
      <c r="C1478" s="44" t="s">
        <v>81</v>
      </c>
      <c r="D1478" s="53" t="str">
        <f t="shared" si="179"/>
        <v>Dusty Pink</v>
      </c>
      <c r="E1478" s="44" t="s">
        <v>1664</v>
      </c>
      <c r="F1478" s="44" t="s">
        <v>7</v>
      </c>
      <c r="G1478" s="4" t="str">
        <f t="shared" si="175"/>
        <v>Romper Short</v>
      </c>
      <c r="H1478" s="38">
        <f t="shared" si="182"/>
        <v>6</v>
      </c>
      <c r="I1478" s="54">
        <f t="shared" si="178"/>
        <v>23</v>
      </c>
      <c r="J1478" s="14" t="str">
        <f t="shared" si="180"/>
        <v>FathersDay</v>
      </c>
      <c r="K1478" s="16" t="str">
        <f t="shared" si="177"/>
        <v>12-18</v>
      </c>
      <c r="L1478" s="14" t="str">
        <f t="shared" si="181"/>
        <v>Romper Short | 12-18 | Dusty Pink</v>
      </c>
      <c r="M1478" s="16" t="s">
        <v>3610</v>
      </c>
    </row>
    <row r="1479" spans="1:13" ht="25" customHeight="1" x14ac:dyDescent="0.45">
      <c r="A1479" s="45">
        <v>46176</v>
      </c>
      <c r="B1479" s="43" t="s">
        <v>1581</v>
      </c>
      <c r="C1479" s="44" t="s">
        <v>1329</v>
      </c>
      <c r="D1479" s="53" t="str">
        <f t="shared" si="179"/>
        <v xml:space="preserve">Cream </v>
      </c>
      <c r="E1479" s="44" t="s">
        <v>1661</v>
      </c>
      <c r="F1479" s="44" t="s">
        <v>7</v>
      </c>
      <c r="G1479" s="4" t="str">
        <f t="shared" si="175"/>
        <v>Romper Short</v>
      </c>
      <c r="H1479" s="38">
        <f t="shared" si="182"/>
        <v>6</v>
      </c>
      <c r="I1479" s="54">
        <f t="shared" si="178"/>
        <v>23</v>
      </c>
      <c r="J1479" s="14" t="str">
        <f t="shared" si="180"/>
        <v>FathersDay</v>
      </c>
      <c r="K1479" s="16" t="str">
        <f t="shared" si="177"/>
        <v>0-3</v>
      </c>
      <c r="L1479" s="14" t="str">
        <f t="shared" si="181"/>
        <v>Romper Short | 0-3 | Cream</v>
      </c>
      <c r="M1479" s="16" t="s">
        <v>3609</v>
      </c>
    </row>
    <row r="1480" spans="1:13" ht="25" customHeight="1" x14ac:dyDescent="0.45">
      <c r="A1480" s="45">
        <v>46176</v>
      </c>
      <c r="B1480" s="43" t="s">
        <v>1582</v>
      </c>
      <c r="C1480" s="44" t="s">
        <v>9</v>
      </c>
      <c r="D1480" s="53" t="str">
        <f t="shared" si="179"/>
        <v>Cream</v>
      </c>
      <c r="E1480" s="44" t="s">
        <v>1660</v>
      </c>
      <c r="F1480" s="44" t="s">
        <v>19</v>
      </c>
      <c r="G1480" s="4" t="str">
        <f t="shared" si="175"/>
        <v>Romper Longer</v>
      </c>
      <c r="H1480" s="38">
        <f t="shared" si="182"/>
        <v>6</v>
      </c>
      <c r="I1480" s="54">
        <f t="shared" si="178"/>
        <v>23</v>
      </c>
      <c r="J1480" s="14" t="str">
        <f t="shared" si="180"/>
        <v>FathersDay</v>
      </c>
      <c r="K1480" s="16" t="str">
        <f t="shared" si="177"/>
        <v>3-6</v>
      </c>
      <c r="L1480" s="14" t="str">
        <f t="shared" si="181"/>
        <v>Romper Longer | 3-6 | Cream</v>
      </c>
      <c r="M1480" s="16" t="s">
        <v>3609</v>
      </c>
    </row>
    <row r="1481" spans="1:13" ht="25" customHeight="1" x14ac:dyDescent="0.45">
      <c r="A1481" s="45">
        <v>46176</v>
      </c>
      <c r="B1481" s="43" t="s">
        <v>1583</v>
      </c>
      <c r="C1481" s="44" t="s">
        <v>9</v>
      </c>
      <c r="D1481" s="53" t="str">
        <f t="shared" si="179"/>
        <v>Cream</v>
      </c>
      <c r="E1481" s="44" t="s">
        <v>1663</v>
      </c>
      <c r="F1481" s="44" t="s">
        <v>7</v>
      </c>
      <c r="G1481" s="4" t="str">
        <f t="shared" si="175"/>
        <v>Romper Short</v>
      </c>
      <c r="H1481" s="38">
        <f t="shared" si="182"/>
        <v>6</v>
      </c>
      <c r="I1481" s="54">
        <f t="shared" si="178"/>
        <v>23</v>
      </c>
      <c r="J1481" s="14" t="str">
        <f t="shared" si="180"/>
        <v>FathersDay</v>
      </c>
      <c r="K1481" s="16" t="str">
        <f t="shared" si="177"/>
        <v>3-6</v>
      </c>
      <c r="L1481" s="14" t="str">
        <f t="shared" si="181"/>
        <v>Romper Short | 3-6 | Cream</v>
      </c>
      <c r="M1481" s="16" t="s">
        <v>3609</v>
      </c>
    </row>
    <row r="1482" spans="1:13" ht="25" customHeight="1" x14ac:dyDescent="0.45">
      <c r="A1482" s="45">
        <v>46176</v>
      </c>
      <c r="B1482" s="43" t="s">
        <v>1584</v>
      </c>
      <c r="C1482" s="44" t="s">
        <v>9</v>
      </c>
      <c r="D1482" s="53" t="str">
        <f t="shared" si="179"/>
        <v>Cream</v>
      </c>
      <c r="E1482" s="44" t="s">
        <v>1661</v>
      </c>
      <c r="F1482" s="44" t="s">
        <v>7</v>
      </c>
      <c r="G1482" s="4" t="str">
        <f t="shared" si="175"/>
        <v>Romper Short</v>
      </c>
      <c r="H1482" s="38">
        <f t="shared" si="182"/>
        <v>6</v>
      </c>
      <c r="I1482" s="54">
        <f t="shared" si="178"/>
        <v>23</v>
      </c>
      <c r="J1482" s="14" t="str">
        <f t="shared" si="180"/>
        <v>FathersDay</v>
      </c>
      <c r="K1482" s="16" t="str">
        <f t="shared" si="177"/>
        <v>0-3</v>
      </c>
      <c r="L1482" s="14" t="str">
        <f t="shared" si="181"/>
        <v>Romper Short | 0-3 | Cream</v>
      </c>
      <c r="M1482" s="16" t="s">
        <v>3609</v>
      </c>
    </row>
    <row r="1483" spans="1:13" ht="25" customHeight="1" x14ac:dyDescent="0.45">
      <c r="A1483" s="45">
        <v>46176</v>
      </c>
      <c r="B1483" s="43" t="s">
        <v>1585</v>
      </c>
      <c r="C1483" s="44" t="s">
        <v>1676</v>
      </c>
      <c r="D1483" s="53" t="str">
        <f t="shared" si="179"/>
        <v xml:space="preserve">Sage Green </v>
      </c>
      <c r="E1483" s="44" t="s">
        <v>1660</v>
      </c>
      <c r="F1483" s="44" t="s">
        <v>7</v>
      </c>
      <c r="G1483" s="4" t="str">
        <f t="shared" si="175"/>
        <v>Romper Longer</v>
      </c>
      <c r="H1483" s="38">
        <f t="shared" si="182"/>
        <v>6</v>
      </c>
      <c r="I1483" s="54">
        <f t="shared" si="178"/>
        <v>23</v>
      </c>
      <c r="J1483" s="14" t="str">
        <f t="shared" si="180"/>
        <v>FathersDay</v>
      </c>
      <c r="K1483" s="16" t="str">
        <f t="shared" si="177"/>
        <v>3-6</v>
      </c>
      <c r="L1483" s="14" t="str">
        <f t="shared" si="181"/>
        <v>Romper Longer | 3-6 | Sage Green</v>
      </c>
      <c r="M1483" s="16" t="s">
        <v>3611</v>
      </c>
    </row>
    <row r="1484" spans="1:13" ht="25" customHeight="1" x14ac:dyDescent="0.45">
      <c r="A1484" s="45">
        <v>46176</v>
      </c>
      <c r="B1484" s="43" t="s">
        <v>1586</v>
      </c>
      <c r="C1484" s="44" t="s">
        <v>76</v>
      </c>
      <c r="D1484" s="53" t="str">
        <f t="shared" si="179"/>
        <v>Caldet Blue</v>
      </c>
      <c r="E1484" s="44" t="s">
        <v>1666</v>
      </c>
      <c r="F1484" s="44" t="s">
        <v>7</v>
      </c>
      <c r="G1484" s="4" t="str">
        <f t="shared" si="175"/>
        <v>Romper Longer</v>
      </c>
      <c r="H1484" s="38">
        <f t="shared" si="182"/>
        <v>6</v>
      </c>
      <c r="I1484" s="54">
        <f t="shared" si="178"/>
        <v>23</v>
      </c>
      <c r="J1484" s="14" t="str">
        <f t="shared" si="180"/>
        <v>FathersDay</v>
      </c>
      <c r="K1484" s="16" t="str">
        <f t="shared" si="177"/>
        <v>6-12</v>
      </c>
      <c r="L1484" s="14" t="str">
        <f t="shared" si="181"/>
        <v>Romper Longer | 6-12 | Caldet Blue</v>
      </c>
      <c r="M1484" s="16" t="s">
        <v>3610</v>
      </c>
    </row>
    <row r="1485" spans="1:13" ht="25" customHeight="1" x14ac:dyDescent="0.45">
      <c r="A1485" s="45">
        <v>46176</v>
      </c>
      <c r="B1485" s="43" t="s">
        <v>1587</v>
      </c>
      <c r="C1485" s="44" t="s">
        <v>74</v>
      </c>
      <c r="D1485" s="53" t="str">
        <f t="shared" si="179"/>
        <v>Watermelon</v>
      </c>
      <c r="E1485" s="44" t="s">
        <v>1663</v>
      </c>
      <c r="F1485" s="44" t="s">
        <v>7</v>
      </c>
      <c r="G1485" s="4" t="str">
        <f t="shared" si="175"/>
        <v>Romper Short</v>
      </c>
      <c r="H1485" s="38">
        <f t="shared" si="182"/>
        <v>6</v>
      </c>
      <c r="I1485" s="54">
        <f t="shared" si="178"/>
        <v>23</v>
      </c>
      <c r="J1485" s="14" t="str">
        <f t="shared" si="180"/>
        <v>FathersDay</v>
      </c>
      <c r="K1485" s="16" t="str">
        <f t="shared" si="177"/>
        <v>3-6</v>
      </c>
      <c r="L1485" s="14" t="str">
        <f t="shared" si="181"/>
        <v>Romper Short | 3-6 | Watermelon</v>
      </c>
      <c r="M1485" s="16" t="s">
        <v>3610</v>
      </c>
    </row>
    <row r="1486" spans="1:13" ht="25" customHeight="1" x14ac:dyDescent="0.45">
      <c r="A1486" s="45">
        <v>46176</v>
      </c>
      <c r="B1486" s="43" t="s">
        <v>1588</v>
      </c>
      <c r="C1486" s="44" t="s">
        <v>1329</v>
      </c>
      <c r="D1486" s="53" t="str">
        <f t="shared" si="179"/>
        <v xml:space="preserve">Cream </v>
      </c>
      <c r="E1486" s="44" t="s">
        <v>1666</v>
      </c>
      <c r="F1486" s="44" t="s">
        <v>7</v>
      </c>
      <c r="G1486" s="4" t="str">
        <f t="shared" si="175"/>
        <v>Romper Longer</v>
      </c>
      <c r="H1486" s="38">
        <f t="shared" si="182"/>
        <v>6</v>
      </c>
      <c r="I1486" s="54">
        <f t="shared" si="178"/>
        <v>23</v>
      </c>
      <c r="J1486" s="14" t="str">
        <f t="shared" si="180"/>
        <v>FathersDay</v>
      </c>
      <c r="K1486" s="16" t="str">
        <f t="shared" si="177"/>
        <v>6-12</v>
      </c>
      <c r="L1486" s="14" t="str">
        <f t="shared" si="181"/>
        <v>Romper Longer | 6-12 | Cream</v>
      </c>
      <c r="M1486" s="16" t="s">
        <v>3611</v>
      </c>
    </row>
    <row r="1487" spans="1:13" ht="25" customHeight="1" x14ac:dyDescent="0.45">
      <c r="A1487" s="45">
        <v>46176</v>
      </c>
      <c r="B1487" s="43" t="s">
        <v>1589</v>
      </c>
      <c r="C1487" s="44" t="s">
        <v>1329</v>
      </c>
      <c r="D1487" s="53" t="str">
        <f t="shared" si="179"/>
        <v xml:space="preserve">Cream </v>
      </c>
      <c r="E1487" s="44" t="s">
        <v>1667</v>
      </c>
      <c r="F1487" s="44" t="s">
        <v>7</v>
      </c>
      <c r="G1487" s="4" t="str">
        <f t="shared" si="175"/>
        <v>Romper Longer</v>
      </c>
      <c r="H1487" s="38">
        <f t="shared" si="182"/>
        <v>6</v>
      </c>
      <c r="I1487" s="54">
        <f t="shared" si="178"/>
        <v>23</v>
      </c>
      <c r="J1487" s="14" t="str">
        <f t="shared" si="180"/>
        <v>FathersDay</v>
      </c>
      <c r="K1487" s="16" t="str">
        <f t="shared" si="177"/>
        <v>0-3</v>
      </c>
      <c r="L1487" s="14" t="str">
        <f t="shared" si="181"/>
        <v>Romper Longer | 0-3 | Cream</v>
      </c>
      <c r="M1487" s="16" t="s">
        <v>3609</v>
      </c>
    </row>
    <row r="1488" spans="1:13" ht="25" customHeight="1" x14ac:dyDescent="0.45">
      <c r="A1488" s="45">
        <v>46176</v>
      </c>
      <c r="B1488" s="43" t="s">
        <v>1590</v>
      </c>
      <c r="C1488" s="44" t="s">
        <v>76</v>
      </c>
      <c r="D1488" s="53" t="str">
        <f t="shared" si="179"/>
        <v>Caldet Blue</v>
      </c>
      <c r="E1488" s="44" t="s">
        <v>1663</v>
      </c>
      <c r="F1488" s="44" t="s">
        <v>7</v>
      </c>
      <c r="G1488" s="4" t="str">
        <f t="shared" ref="G1488:G1551" si="183">IF(ISNUMBER(SEARCH("LONG",E1488)),"Romper Longer",IF(ISNUMBER(SEARCH("SHORT",E1488)),"Romper Short","Bodysuit"))</f>
        <v>Romper Short</v>
      </c>
      <c r="H1488" s="38">
        <f t="shared" si="182"/>
        <v>6</v>
      </c>
      <c r="I1488" s="54">
        <f t="shared" si="178"/>
        <v>23</v>
      </c>
      <c r="J1488" s="14" t="str">
        <f t="shared" si="180"/>
        <v>FathersDay</v>
      </c>
      <c r="K1488" s="16" t="str">
        <f t="shared" si="177"/>
        <v>3-6</v>
      </c>
      <c r="L1488" s="14" t="str">
        <f t="shared" si="181"/>
        <v>Romper Short | 3-6 | Caldet Blue</v>
      </c>
      <c r="M1488" s="16" t="s">
        <v>3610</v>
      </c>
    </row>
    <row r="1489" spans="1:13" ht="25" customHeight="1" x14ac:dyDescent="0.45">
      <c r="A1489" s="45">
        <v>46176</v>
      </c>
      <c r="B1489" s="43" t="s">
        <v>1591</v>
      </c>
      <c r="C1489" s="44" t="s">
        <v>1347</v>
      </c>
      <c r="D1489" s="53" t="str">
        <f t="shared" si="179"/>
        <v xml:space="preserve">White </v>
      </c>
      <c r="E1489" s="44" t="s">
        <v>1667</v>
      </c>
      <c r="F1489" s="44" t="s">
        <v>7</v>
      </c>
      <c r="G1489" s="4" t="str">
        <f t="shared" si="183"/>
        <v>Romper Longer</v>
      </c>
      <c r="H1489" s="38">
        <f t="shared" si="182"/>
        <v>6</v>
      </c>
      <c r="I1489" s="54">
        <f t="shared" si="178"/>
        <v>23</v>
      </c>
      <c r="J1489" s="14" t="str">
        <f t="shared" si="180"/>
        <v>FathersDay</v>
      </c>
      <c r="K1489" s="16" t="str">
        <f t="shared" si="177"/>
        <v>0-3</v>
      </c>
      <c r="L1489" s="14" t="str">
        <f t="shared" si="181"/>
        <v>Romper Longer | 0-3 | White</v>
      </c>
      <c r="M1489" s="16" t="s">
        <v>3610</v>
      </c>
    </row>
    <row r="1490" spans="1:13" ht="25" customHeight="1" x14ac:dyDescent="0.45">
      <c r="A1490" s="45">
        <v>46177</v>
      </c>
      <c r="B1490" s="43" t="s">
        <v>1592</v>
      </c>
      <c r="C1490" s="44" t="s">
        <v>110</v>
      </c>
      <c r="D1490" s="53" t="str">
        <f t="shared" si="179"/>
        <v>Sage Green</v>
      </c>
      <c r="E1490" s="44" t="s">
        <v>1666</v>
      </c>
      <c r="F1490" s="44" t="s">
        <v>7</v>
      </c>
      <c r="G1490" s="4" t="str">
        <f t="shared" si="183"/>
        <v>Romper Longer</v>
      </c>
      <c r="H1490" s="38">
        <f t="shared" si="182"/>
        <v>6</v>
      </c>
      <c r="I1490" s="54">
        <f t="shared" si="178"/>
        <v>23</v>
      </c>
      <c r="J1490" s="14" t="str">
        <f t="shared" si="180"/>
        <v>FathersDay</v>
      </c>
      <c r="K1490" s="16" t="str">
        <f t="shared" si="177"/>
        <v>6-12</v>
      </c>
      <c r="L1490" s="14" t="str">
        <f t="shared" si="181"/>
        <v>Romper Longer | 6-12 | Sage Green</v>
      </c>
      <c r="M1490" s="16" t="s">
        <v>3610</v>
      </c>
    </row>
    <row r="1491" spans="1:13" ht="25" customHeight="1" x14ac:dyDescent="0.45">
      <c r="A1491" s="45">
        <v>46177</v>
      </c>
      <c r="B1491" s="43" t="s">
        <v>1593</v>
      </c>
      <c r="C1491" s="44" t="s">
        <v>9</v>
      </c>
      <c r="D1491" s="53" t="str">
        <f t="shared" si="179"/>
        <v>Cream</v>
      </c>
      <c r="E1491" s="44" t="s">
        <v>1663</v>
      </c>
      <c r="F1491" s="44" t="s">
        <v>7</v>
      </c>
      <c r="G1491" s="4" t="str">
        <f t="shared" si="183"/>
        <v>Romper Short</v>
      </c>
      <c r="H1491" s="38">
        <f t="shared" si="182"/>
        <v>6</v>
      </c>
      <c r="I1491" s="54">
        <f t="shared" si="178"/>
        <v>23</v>
      </c>
      <c r="J1491" s="14" t="str">
        <f t="shared" si="180"/>
        <v>FathersDay</v>
      </c>
      <c r="K1491" s="16" t="str">
        <f t="shared" si="177"/>
        <v>3-6</v>
      </c>
      <c r="L1491" s="14" t="str">
        <f t="shared" si="181"/>
        <v>Romper Short | 3-6 | Cream</v>
      </c>
      <c r="M1491" s="16" t="s">
        <v>3609</v>
      </c>
    </row>
    <row r="1492" spans="1:13" ht="25" customHeight="1" x14ac:dyDescent="0.45">
      <c r="A1492" s="45">
        <v>46177</v>
      </c>
      <c r="B1492" s="43" t="s">
        <v>1594</v>
      </c>
      <c r="C1492" s="44" t="s">
        <v>110</v>
      </c>
      <c r="D1492" s="53" t="str">
        <f t="shared" si="179"/>
        <v>Sage Green</v>
      </c>
      <c r="E1492" s="44" t="s">
        <v>1661</v>
      </c>
      <c r="F1492" s="44" t="s">
        <v>7</v>
      </c>
      <c r="G1492" s="4" t="str">
        <f t="shared" si="183"/>
        <v>Romper Short</v>
      </c>
      <c r="H1492" s="38">
        <f t="shared" si="182"/>
        <v>6</v>
      </c>
      <c r="I1492" s="54">
        <f t="shared" si="178"/>
        <v>23</v>
      </c>
      <c r="J1492" s="14" t="str">
        <f t="shared" si="180"/>
        <v>FathersDay</v>
      </c>
      <c r="K1492" s="16" t="str">
        <f t="shared" si="177"/>
        <v>0-3</v>
      </c>
      <c r="L1492" s="14" t="str">
        <f t="shared" si="181"/>
        <v>Romper Short | 0-3 | Sage Green</v>
      </c>
      <c r="M1492" s="16" t="s">
        <v>3610</v>
      </c>
    </row>
    <row r="1493" spans="1:13" ht="25" customHeight="1" x14ac:dyDescent="0.45">
      <c r="A1493" s="45">
        <v>46177</v>
      </c>
      <c r="B1493" s="43" t="s">
        <v>1595</v>
      </c>
      <c r="C1493" s="44" t="s">
        <v>9</v>
      </c>
      <c r="D1493" s="53" t="str">
        <f t="shared" si="179"/>
        <v>Cream</v>
      </c>
      <c r="E1493" s="44" t="s">
        <v>1667</v>
      </c>
      <c r="F1493" s="44" t="s">
        <v>7</v>
      </c>
      <c r="G1493" s="4" t="str">
        <f t="shared" si="183"/>
        <v>Romper Longer</v>
      </c>
      <c r="H1493" s="38">
        <f t="shared" si="182"/>
        <v>6</v>
      </c>
      <c r="I1493" s="54">
        <f t="shared" si="178"/>
        <v>23</v>
      </c>
      <c r="J1493" s="14" t="str">
        <f t="shared" si="180"/>
        <v>FathersDay</v>
      </c>
      <c r="K1493" s="16" t="str">
        <f t="shared" si="177"/>
        <v>0-3</v>
      </c>
      <c r="L1493" s="14" t="str">
        <f t="shared" si="181"/>
        <v>Romper Longer | 0-3 | Cream</v>
      </c>
      <c r="M1493" s="16" t="s">
        <v>3609</v>
      </c>
    </row>
    <row r="1494" spans="1:13" ht="25" customHeight="1" x14ac:dyDescent="0.45">
      <c r="A1494" s="45">
        <v>46177</v>
      </c>
      <c r="B1494" s="43" t="s">
        <v>1596</v>
      </c>
      <c r="C1494" s="44" t="s">
        <v>9</v>
      </c>
      <c r="D1494" s="53" t="str">
        <f t="shared" si="179"/>
        <v>Cream</v>
      </c>
      <c r="E1494" s="44" t="s">
        <v>1661</v>
      </c>
      <c r="F1494" s="44" t="s">
        <v>7</v>
      </c>
      <c r="G1494" s="4" t="str">
        <f t="shared" si="183"/>
        <v>Romper Short</v>
      </c>
      <c r="H1494" s="38">
        <f t="shared" si="182"/>
        <v>6</v>
      </c>
      <c r="I1494" s="54">
        <f t="shared" si="178"/>
        <v>23</v>
      </c>
      <c r="J1494" s="14" t="str">
        <f t="shared" si="180"/>
        <v>FathersDay</v>
      </c>
      <c r="K1494" s="16" t="str">
        <f t="shared" si="177"/>
        <v>0-3</v>
      </c>
      <c r="L1494" s="14" t="str">
        <f t="shared" si="181"/>
        <v>Romper Short | 0-3 | Cream</v>
      </c>
      <c r="M1494" s="16" t="s">
        <v>3609</v>
      </c>
    </row>
    <row r="1495" spans="1:13" ht="25" customHeight="1" x14ac:dyDescent="0.45">
      <c r="A1495" s="45">
        <v>46177</v>
      </c>
      <c r="B1495" s="43" t="s">
        <v>1597</v>
      </c>
      <c r="C1495" s="44" t="s">
        <v>9</v>
      </c>
      <c r="D1495" s="53" t="str">
        <f t="shared" si="179"/>
        <v>Cream</v>
      </c>
      <c r="E1495" s="44" t="s">
        <v>1663</v>
      </c>
      <c r="F1495" s="44" t="s">
        <v>18</v>
      </c>
      <c r="G1495" s="4" t="str">
        <f t="shared" si="183"/>
        <v>Romper Short</v>
      </c>
      <c r="H1495" s="38">
        <f t="shared" si="182"/>
        <v>6</v>
      </c>
      <c r="I1495" s="54">
        <f t="shared" si="178"/>
        <v>23</v>
      </c>
      <c r="J1495" s="14" t="str">
        <f t="shared" si="180"/>
        <v>FathersDay</v>
      </c>
      <c r="K1495" s="16" t="str">
        <f t="shared" si="177"/>
        <v>3-6</v>
      </c>
      <c r="L1495" s="14" t="str">
        <f t="shared" si="181"/>
        <v>Romper Short | 3-6 | Cream</v>
      </c>
      <c r="M1495" s="16" t="s">
        <v>3609</v>
      </c>
    </row>
    <row r="1496" spans="1:13" ht="25" customHeight="1" x14ac:dyDescent="0.45">
      <c r="A1496" s="45">
        <v>46177</v>
      </c>
      <c r="B1496" s="43" t="s">
        <v>1598</v>
      </c>
      <c r="C1496" s="44" t="s">
        <v>79</v>
      </c>
      <c r="D1496" s="53" t="str">
        <f t="shared" si="179"/>
        <v>White</v>
      </c>
      <c r="E1496" s="44" t="s">
        <v>1662</v>
      </c>
      <c r="F1496" s="44" t="s">
        <v>7</v>
      </c>
      <c r="G1496" s="4" t="str">
        <f t="shared" si="183"/>
        <v>Romper Short</v>
      </c>
      <c r="H1496" s="38">
        <f t="shared" si="182"/>
        <v>6</v>
      </c>
      <c r="I1496" s="54">
        <f t="shared" si="178"/>
        <v>23</v>
      </c>
      <c r="J1496" s="14" t="str">
        <f t="shared" si="180"/>
        <v>FathersDay</v>
      </c>
      <c r="K1496" s="16" t="str">
        <f t="shared" si="177"/>
        <v>6-12</v>
      </c>
      <c r="L1496" s="14" t="str">
        <f t="shared" si="181"/>
        <v>Romper Short | 6-12 | White</v>
      </c>
      <c r="M1496" s="16" t="s">
        <v>3610</v>
      </c>
    </row>
    <row r="1497" spans="1:13" ht="25" customHeight="1" x14ac:dyDescent="0.45">
      <c r="A1497" s="45">
        <v>46177</v>
      </c>
      <c r="B1497" s="43" t="s">
        <v>1599</v>
      </c>
      <c r="C1497" s="44" t="s">
        <v>9</v>
      </c>
      <c r="D1497" s="53" t="str">
        <f t="shared" si="179"/>
        <v>Cream</v>
      </c>
      <c r="E1497" s="44" t="s">
        <v>1663</v>
      </c>
      <c r="F1497" s="44" t="s">
        <v>7</v>
      </c>
      <c r="G1497" s="4" t="str">
        <f t="shared" si="183"/>
        <v>Romper Short</v>
      </c>
      <c r="H1497" s="38">
        <f t="shared" si="182"/>
        <v>6</v>
      </c>
      <c r="I1497" s="54">
        <f t="shared" si="178"/>
        <v>23</v>
      </c>
      <c r="J1497" s="14" t="str">
        <f t="shared" si="180"/>
        <v>FathersDay</v>
      </c>
      <c r="K1497" s="16" t="str">
        <f t="shared" si="177"/>
        <v>3-6</v>
      </c>
      <c r="L1497" s="14" t="str">
        <f t="shared" si="181"/>
        <v>Romper Short | 3-6 | Cream</v>
      </c>
      <c r="M1497" s="16" t="s">
        <v>3609</v>
      </c>
    </row>
    <row r="1498" spans="1:13" ht="25" customHeight="1" x14ac:dyDescent="0.45">
      <c r="A1498" s="45">
        <v>46177</v>
      </c>
      <c r="B1498" s="43" t="s">
        <v>1599</v>
      </c>
      <c r="C1498" s="44" t="s">
        <v>9</v>
      </c>
      <c r="D1498" s="53" t="str">
        <f t="shared" si="179"/>
        <v>Cream</v>
      </c>
      <c r="E1498" s="44" t="s">
        <v>1663</v>
      </c>
      <c r="F1498" s="44" t="s">
        <v>7</v>
      </c>
      <c r="G1498" s="4" t="str">
        <f t="shared" si="183"/>
        <v>Romper Short</v>
      </c>
      <c r="H1498" s="38">
        <f t="shared" si="182"/>
        <v>6</v>
      </c>
      <c r="I1498" s="54">
        <f t="shared" si="178"/>
        <v>23</v>
      </c>
      <c r="J1498" s="14" t="str">
        <f t="shared" si="180"/>
        <v>FathersDay</v>
      </c>
      <c r="K1498" s="16" t="str">
        <f t="shared" si="177"/>
        <v>3-6</v>
      </c>
      <c r="L1498" s="14" t="str">
        <f t="shared" si="181"/>
        <v>Romper Short | 3-6 | Cream</v>
      </c>
      <c r="M1498" s="16" t="s">
        <v>3609</v>
      </c>
    </row>
    <row r="1499" spans="1:13" ht="25" customHeight="1" x14ac:dyDescent="0.45">
      <c r="A1499" s="45">
        <v>46177</v>
      </c>
      <c r="B1499" s="43" t="s">
        <v>1600</v>
      </c>
      <c r="C1499" s="44" t="s">
        <v>1329</v>
      </c>
      <c r="D1499" s="53" t="str">
        <f t="shared" si="179"/>
        <v xml:space="preserve">Cream </v>
      </c>
      <c r="E1499" s="44" t="s">
        <v>1663</v>
      </c>
      <c r="F1499" s="44" t="s">
        <v>7</v>
      </c>
      <c r="G1499" s="4" t="str">
        <f t="shared" si="183"/>
        <v>Romper Short</v>
      </c>
      <c r="H1499" s="38">
        <f t="shared" si="182"/>
        <v>6</v>
      </c>
      <c r="I1499" s="54">
        <f t="shared" si="178"/>
        <v>23</v>
      </c>
      <c r="J1499" s="14" t="str">
        <f t="shared" si="180"/>
        <v>FathersDay</v>
      </c>
      <c r="K1499" s="16" t="str">
        <f t="shared" si="177"/>
        <v>3-6</v>
      </c>
      <c r="L1499" s="14" t="str">
        <f t="shared" si="181"/>
        <v>Romper Short | 3-6 | Cream</v>
      </c>
      <c r="M1499" s="16" t="s">
        <v>3609</v>
      </c>
    </row>
    <row r="1500" spans="1:13" ht="25" customHeight="1" x14ac:dyDescent="0.45">
      <c r="A1500" s="45">
        <v>46177</v>
      </c>
      <c r="B1500" s="43" t="s">
        <v>1601</v>
      </c>
      <c r="C1500" s="44" t="s">
        <v>1329</v>
      </c>
      <c r="D1500" s="53" t="str">
        <f t="shared" si="179"/>
        <v xml:space="preserve">Cream </v>
      </c>
      <c r="E1500" s="44" t="s">
        <v>1661</v>
      </c>
      <c r="F1500" s="44" t="s">
        <v>7</v>
      </c>
      <c r="G1500" s="4" t="str">
        <f t="shared" si="183"/>
        <v>Romper Short</v>
      </c>
      <c r="H1500" s="38">
        <f t="shared" si="182"/>
        <v>6</v>
      </c>
      <c r="I1500" s="54">
        <f t="shared" si="178"/>
        <v>23</v>
      </c>
      <c r="J1500" s="14" t="str">
        <f t="shared" si="180"/>
        <v>FathersDay</v>
      </c>
      <c r="K1500" s="16" t="str">
        <f t="shared" si="177"/>
        <v>0-3</v>
      </c>
      <c r="L1500" s="14" t="str">
        <f t="shared" si="181"/>
        <v>Romper Short | 0-3 | Cream</v>
      </c>
      <c r="M1500" s="16" t="s">
        <v>3609</v>
      </c>
    </row>
    <row r="1501" spans="1:13" ht="25" customHeight="1" x14ac:dyDescent="0.45">
      <c r="A1501" s="45">
        <v>46177</v>
      </c>
      <c r="B1501" s="46" t="s">
        <v>1602</v>
      </c>
      <c r="C1501" s="44" t="s">
        <v>9</v>
      </c>
      <c r="D1501" s="53" t="str">
        <f t="shared" si="179"/>
        <v>Cream</v>
      </c>
      <c r="E1501" s="44" t="s">
        <v>1660</v>
      </c>
      <c r="F1501" s="44" t="s">
        <v>18</v>
      </c>
      <c r="G1501" s="4" t="str">
        <f t="shared" si="183"/>
        <v>Romper Longer</v>
      </c>
      <c r="H1501" s="38">
        <f t="shared" si="182"/>
        <v>6</v>
      </c>
      <c r="I1501" s="54">
        <f t="shared" si="178"/>
        <v>23</v>
      </c>
      <c r="J1501" s="14" t="str">
        <f t="shared" si="180"/>
        <v>FathersDay</v>
      </c>
      <c r="K1501" s="16" t="str">
        <f t="shared" si="177"/>
        <v>3-6</v>
      </c>
      <c r="L1501" s="14" t="str">
        <f t="shared" si="181"/>
        <v>Romper Longer | 3-6 | Cream</v>
      </c>
      <c r="M1501" s="16" t="s">
        <v>3609</v>
      </c>
    </row>
    <row r="1502" spans="1:13" ht="25" customHeight="1" x14ac:dyDescent="0.45">
      <c r="A1502" s="45">
        <v>46178</v>
      </c>
      <c r="B1502" s="43" t="s">
        <v>1603</v>
      </c>
      <c r="C1502" s="44" t="s">
        <v>462</v>
      </c>
      <c r="D1502" s="53" t="str">
        <f t="shared" si="179"/>
        <v xml:space="preserve"> Dusty Pink</v>
      </c>
      <c r="E1502" s="44" t="s">
        <v>1666</v>
      </c>
      <c r="F1502" s="44" t="s">
        <v>7</v>
      </c>
      <c r="G1502" s="4" t="str">
        <f t="shared" si="183"/>
        <v>Romper Longer</v>
      </c>
      <c r="H1502" s="38">
        <f t="shared" si="182"/>
        <v>6</v>
      </c>
      <c r="I1502" s="54">
        <f t="shared" si="178"/>
        <v>23</v>
      </c>
      <c r="J1502" s="14" t="str">
        <f t="shared" si="180"/>
        <v>FathersDay</v>
      </c>
      <c r="K1502" s="16" t="str">
        <f t="shared" si="177"/>
        <v>6-12</v>
      </c>
      <c r="L1502" s="14" t="str">
        <f t="shared" si="181"/>
        <v>Romper Longer | 6-12 | Dusty Pink</v>
      </c>
      <c r="M1502" s="16" t="s">
        <v>3610</v>
      </c>
    </row>
    <row r="1503" spans="1:13" ht="25" customHeight="1" x14ac:dyDescent="0.45">
      <c r="A1503" s="45">
        <v>46178</v>
      </c>
      <c r="B1503" s="43" t="s">
        <v>1604</v>
      </c>
      <c r="C1503" s="44" t="s">
        <v>1678</v>
      </c>
      <c r="D1503" s="53" t="str">
        <f t="shared" si="179"/>
        <v xml:space="preserve"> Mauve Taupe </v>
      </c>
      <c r="E1503" s="44" t="s">
        <v>1667</v>
      </c>
      <c r="F1503" s="44" t="s">
        <v>7</v>
      </c>
      <c r="G1503" s="4" t="str">
        <f t="shared" si="183"/>
        <v>Romper Longer</v>
      </c>
      <c r="H1503" s="38">
        <f t="shared" si="182"/>
        <v>6</v>
      </c>
      <c r="I1503" s="54">
        <f t="shared" si="178"/>
        <v>23</v>
      </c>
      <c r="J1503" s="14" t="str">
        <f t="shared" si="180"/>
        <v>FathersDay</v>
      </c>
      <c r="K1503" s="16" t="str">
        <f t="shared" si="177"/>
        <v>0-3</v>
      </c>
      <c r="L1503" s="14" t="str">
        <f t="shared" si="181"/>
        <v>Romper Longer | 0-3 | Mauve Taupe</v>
      </c>
      <c r="M1503" s="16" t="s">
        <v>3610</v>
      </c>
    </row>
    <row r="1504" spans="1:13" ht="25" customHeight="1" x14ac:dyDescent="0.45">
      <c r="A1504" s="45">
        <v>46178</v>
      </c>
      <c r="B1504" s="43" t="s">
        <v>1605</v>
      </c>
      <c r="C1504" s="44" t="s">
        <v>1677</v>
      </c>
      <c r="D1504" s="53" t="str">
        <f t="shared" si="179"/>
        <v xml:space="preserve">Salmon </v>
      </c>
      <c r="E1504" s="44" t="s">
        <v>1661</v>
      </c>
      <c r="F1504" s="44" t="s">
        <v>7</v>
      </c>
      <c r="G1504" s="4" t="str">
        <f t="shared" si="183"/>
        <v>Romper Short</v>
      </c>
      <c r="H1504" s="38">
        <f t="shared" si="182"/>
        <v>6</v>
      </c>
      <c r="I1504" s="54">
        <f t="shared" si="178"/>
        <v>23</v>
      </c>
      <c r="J1504" s="14" t="str">
        <f t="shared" si="180"/>
        <v>FathersDay</v>
      </c>
      <c r="K1504" s="16" t="str">
        <f t="shared" si="177"/>
        <v>0-3</v>
      </c>
      <c r="L1504" s="14" t="str">
        <f t="shared" si="181"/>
        <v>Romper Short | 0-3 | Salmon</v>
      </c>
      <c r="M1504" s="16" t="s">
        <v>3610</v>
      </c>
    </row>
    <row r="1505" spans="1:13" ht="25" customHeight="1" x14ac:dyDescent="0.45">
      <c r="A1505" s="45">
        <v>46178</v>
      </c>
      <c r="B1505" s="43" t="s">
        <v>1606</v>
      </c>
      <c r="C1505" s="44" t="s">
        <v>1676</v>
      </c>
      <c r="D1505" s="53" t="str">
        <f t="shared" si="179"/>
        <v xml:space="preserve">Sage Green </v>
      </c>
      <c r="E1505" s="44" t="s">
        <v>1663</v>
      </c>
      <c r="F1505" s="44" t="s">
        <v>7</v>
      </c>
      <c r="G1505" s="4" t="str">
        <f t="shared" si="183"/>
        <v>Romper Short</v>
      </c>
      <c r="H1505" s="38">
        <f t="shared" si="182"/>
        <v>6</v>
      </c>
      <c r="I1505" s="54">
        <f t="shared" si="178"/>
        <v>23</v>
      </c>
      <c r="J1505" s="14" t="str">
        <f t="shared" si="180"/>
        <v>FathersDay</v>
      </c>
      <c r="K1505" s="16" t="str">
        <f t="shared" si="177"/>
        <v>3-6</v>
      </c>
      <c r="L1505" s="14" t="str">
        <f t="shared" si="181"/>
        <v>Romper Short | 3-6 | Sage Green</v>
      </c>
      <c r="M1505" s="16" t="s">
        <v>3611</v>
      </c>
    </row>
    <row r="1506" spans="1:13" ht="25" customHeight="1" x14ac:dyDescent="0.45">
      <c r="A1506" s="45">
        <v>46178</v>
      </c>
      <c r="B1506" s="43" t="s">
        <v>1607</v>
      </c>
      <c r="C1506" s="44" t="s">
        <v>1675</v>
      </c>
      <c r="D1506" s="53" t="str">
        <f t="shared" si="179"/>
        <v xml:space="preserve"> Sage Green </v>
      </c>
      <c r="E1506" s="44" t="s">
        <v>1663</v>
      </c>
      <c r="F1506" s="44" t="s">
        <v>7</v>
      </c>
      <c r="G1506" s="4" t="str">
        <f t="shared" si="183"/>
        <v>Romper Short</v>
      </c>
      <c r="H1506" s="38">
        <f t="shared" si="182"/>
        <v>6</v>
      </c>
      <c r="I1506" s="54">
        <f t="shared" si="178"/>
        <v>23</v>
      </c>
      <c r="J1506" s="14" t="str">
        <f t="shared" si="180"/>
        <v>FathersDay</v>
      </c>
      <c r="K1506" s="16" t="str">
        <f t="shared" si="177"/>
        <v>3-6</v>
      </c>
      <c r="L1506" s="14" t="str">
        <f t="shared" si="181"/>
        <v>Romper Short | 3-6 | Sage Green</v>
      </c>
      <c r="M1506" s="16" t="s">
        <v>3611</v>
      </c>
    </row>
    <row r="1507" spans="1:13" ht="25" customHeight="1" x14ac:dyDescent="0.45">
      <c r="A1507" s="45">
        <v>46178</v>
      </c>
      <c r="B1507" s="43" t="s">
        <v>1608</v>
      </c>
      <c r="C1507" s="44" t="s">
        <v>1674</v>
      </c>
      <c r="D1507" s="53" t="str">
        <f t="shared" si="179"/>
        <v xml:space="preserve">Mauve Taupe </v>
      </c>
      <c r="E1507" s="44" t="s">
        <v>1663</v>
      </c>
      <c r="F1507" s="44" t="s">
        <v>13</v>
      </c>
      <c r="G1507" s="4" t="str">
        <f t="shared" si="183"/>
        <v>Romper Short</v>
      </c>
      <c r="H1507" s="38">
        <f t="shared" si="182"/>
        <v>6</v>
      </c>
      <c r="I1507" s="54">
        <f t="shared" si="178"/>
        <v>23</v>
      </c>
      <c r="J1507" s="14" t="str">
        <f t="shared" si="180"/>
        <v>FathersDay</v>
      </c>
      <c r="K1507" s="16" t="str">
        <f t="shared" si="177"/>
        <v>3-6</v>
      </c>
      <c r="L1507" s="14" t="str">
        <f t="shared" si="181"/>
        <v>Romper Short | 3-6 | Mauve Taupe</v>
      </c>
      <c r="M1507" s="16" t="s">
        <v>3610</v>
      </c>
    </row>
    <row r="1508" spans="1:13" ht="25" customHeight="1" x14ac:dyDescent="0.45">
      <c r="A1508" s="45">
        <v>46178</v>
      </c>
      <c r="B1508" s="43" t="s">
        <v>1609</v>
      </c>
      <c r="C1508" s="44" t="s">
        <v>9</v>
      </c>
      <c r="D1508" s="53" t="str">
        <f t="shared" si="179"/>
        <v>Cream</v>
      </c>
      <c r="E1508" s="44" t="s">
        <v>1667</v>
      </c>
      <c r="F1508" s="44" t="s">
        <v>19</v>
      </c>
      <c r="G1508" s="4" t="str">
        <f t="shared" si="183"/>
        <v>Romper Longer</v>
      </c>
      <c r="H1508" s="38">
        <f t="shared" si="182"/>
        <v>6</v>
      </c>
      <c r="I1508" s="54">
        <f t="shared" si="178"/>
        <v>23</v>
      </c>
      <c r="J1508" s="14" t="str">
        <f t="shared" si="180"/>
        <v>FathersDay</v>
      </c>
      <c r="K1508" s="16" t="str">
        <f t="shared" si="177"/>
        <v>0-3</v>
      </c>
      <c r="L1508" s="14" t="str">
        <f t="shared" si="181"/>
        <v>Romper Longer | 0-3 | Cream</v>
      </c>
      <c r="M1508" s="16" t="s">
        <v>3609</v>
      </c>
    </row>
    <row r="1509" spans="1:13" ht="25" customHeight="1" x14ac:dyDescent="0.45">
      <c r="A1509" s="45">
        <v>46178</v>
      </c>
      <c r="B1509" s="43" t="s">
        <v>1610</v>
      </c>
      <c r="C1509" s="44" t="s">
        <v>76</v>
      </c>
      <c r="D1509" s="53" t="str">
        <f t="shared" si="179"/>
        <v>Caldet Blue</v>
      </c>
      <c r="E1509" s="44" t="s">
        <v>1664</v>
      </c>
      <c r="F1509" s="44" t="s">
        <v>7</v>
      </c>
      <c r="G1509" s="4" t="str">
        <f t="shared" si="183"/>
        <v>Romper Short</v>
      </c>
      <c r="H1509" s="38">
        <f t="shared" si="182"/>
        <v>6</v>
      </c>
      <c r="I1509" s="54">
        <f t="shared" si="178"/>
        <v>23</v>
      </c>
      <c r="J1509" s="14" t="str">
        <f t="shared" si="180"/>
        <v>FathersDay</v>
      </c>
      <c r="K1509" s="16" t="str">
        <f t="shared" si="177"/>
        <v>12-18</v>
      </c>
      <c r="L1509" s="14" t="str">
        <f t="shared" si="181"/>
        <v>Romper Short | 12-18 | Caldet Blue</v>
      </c>
      <c r="M1509" s="16" t="s">
        <v>3610</v>
      </c>
    </row>
    <row r="1510" spans="1:13" ht="25" customHeight="1" x14ac:dyDescent="0.45">
      <c r="A1510" s="45">
        <v>46179</v>
      </c>
      <c r="B1510" s="43" t="s">
        <v>1611</v>
      </c>
      <c r="C1510" s="44" t="s">
        <v>1449</v>
      </c>
      <c r="D1510" s="53" t="str">
        <f t="shared" si="179"/>
        <v xml:space="preserve"> Cream</v>
      </c>
      <c r="E1510" s="44" t="s">
        <v>1660</v>
      </c>
      <c r="F1510" s="44" t="s">
        <v>7</v>
      </c>
      <c r="G1510" s="4" t="str">
        <f t="shared" si="183"/>
        <v>Romper Longer</v>
      </c>
      <c r="H1510" s="38">
        <f t="shared" si="182"/>
        <v>6</v>
      </c>
      <c r="I1510" s="54">
        <f t="shared" si="178"/>
        <v>23</v>
      </c>
      <c r="J1510" s="14" t="str">
        <f t="shared" si="180"/>
        <v>FathersDay</v>
      </c>
      <c r="K1510" s="16" t="str">
        <f t="shared" si="177"/>
        <v>3-6</v>
      </c>
      <c r="L1510" s="14" t="str">
        <f t="shared" si="181"/>
        <v>Romper Longer | 3-6 | Cream</v>
      </c>
      <c r="M1510" s="16" t="s">
        <v>3609</v>
      </c>
    </row>
    <row r="1511" spans="1:13" ht="25" customHeight="1" x14ac:dyDescent="0.45">
      <c r="A1511" s="45">
        <v>46179</v>
      </c>
      <c r="B1511" s="43" t="s">
        <v>1611</v>
      </c>
      <c r="C1511" s="44" t="s">
        <v>1449</v>
      </c>
      <c r="D1511" s="53" t="str">
        <f t="shared" si="179"/>
        <v xml:space="preserve"> Cream</v>
      </c>
      <c r="E1511" s="44" t="s">
        <v>1660</v>
      </c>
      <c r="F1511" s="44" t="s">
        <v>7</v>
      </c>
      <c r="G1511" s="4" t="str">
        <f t="shared" si="183"/>
        <v>Romper Longer</v>
      </c>
      <c r="H1511" s="38">
        <f t="shared" si="182"/>
        <v>6</v>
      </c>
      <c r="I1511" s="54">
        <f t="shared" si="178"/>
        <v>23</v>
      </c>
      <c r="J1511" s="14" t="str">
        <f t="shared" si="180"/>
        <v>FathersDay</v>
      </c>
      <c r="K1511" s="16" t="str">
        <f t="shared" ref="K1511:K1574" si="184">TRIM(LEFT(E1511,FIND("(",E1511&amp;"(")-7))</f>
        <v>3-6</v>
      </c>
      <c r="L1511" s="14" t="str">
        <f t="shared" si="181"/>
        <v>Romper Longer | 3-6 | Cream</v>
      </c>
      <c r="M1511" s="16" t="s">
        <v>3609</v>
      </c>
    </row>
    <row r="1512" spans="1:13" ht="25" customHeight="1" x14ac:dyDescent="0.45">
      <c r="A1512" s="45">
        <v>46179</v>
      </c>
      <c r="B1512" s="43" t="s">
        <v>1611</v>
      </c>
      <c r="C1512" s="44" t="s">
        <v>1449</v>
      </c>
      <c r="D1512" s="53" t="str">
        <f t="shared" si="179"/>
        <v xml:space="preserve"> Cream</v>
      </c>
      <c r="E1512" s="44" t="s">
        <v>1663</v>
      </c>
      <c r="F1512" s="44" t="s">
        <v>7</v>
      </c>
      <c r="G1512" s="4" t="str">
        <f t="shared" si="183"/>
        <v>Romper Short</v>
      </c>
      <c r="H1512" s="38">
        <f t="shared" si="182"/>
        <v>6</v>
      </c>
      <c r="I1512" s="54">
        <f t="shared" si="178"/>
        <v>23</v>
      </c>
      <c r="J1512" s="14" t="str">
        <f t="shared" si="180"/>
        <v>FathersDay</v>
      </c>
      <c r="K1512" s="16" t="str">
        <f t="shared" si="184"/>
        <v>3-6</v>
      </c>
      <c r="L1512" s="14" t="str">
        <f t="shared" si="181"/>
        <v>Romper Short | 3-6 | Cream</v>
      </c>
      <c r="M1512" s="16" t="s">
        <v>3609</v>
      </c>
    </row>
    <row r="1513" spans="1:13" ht="25" customHeight="1" x14ac:dyDescent="0.45">
      <c r="A1513" s="45">
        <v>46179</v>
      </c>
      <c r="B1513" s="43" t="s">
        <v>1611</v>
      </c>
      <c r="C1513" s="44" t="s">
        <v>1455</v>
      </c>
      <c r="D1513" s="53" t="str">
        <f t="shared" si="179"/>
        <v xml:space="preserve"> White</v>
      </c>
      <c r="E1513" s="44" t="s">
        <v>1660</v>
      </c>
      <c r="F1513" s="44" t="s">
        <v>7</v>
      </c>
      <c r="G1513" s="4" t="str">
        <f t="shared" si="183"/>
        <v>Romper Longer</v>
      </c>
      <c r="H1513" s="38">
        <f t="shared" si="182"/>
        <v>6</v>
      </c>
      <c r="I1513" s="54">
        <f t="shared" si="178"/>
        <v>23</v>
      </c>
      <c r="J1513" s="14" t="str">
        <f t="shared" si="180"/>
        <v>FathersDay</v>
      </c>
      <c r="K1513" s="16" t="str">
        <f t="shared" si="184"/>
        <v>3-6</v>
      </c>
      <c r="L1513" s="14" t="str">
        <f t="shared" si="181"/>
        <v>Romper Longer | 3-6 | White</v>
      </c>
      <c r="M1513" s="16" t="s">
        <v>3610</v>
      </c>
    </row>
    <row r="1514" spans="1:13" ht="25" customHeight="1" x14ac:dyDescent="0.45">
      <c r="A1514" s="45">
        <v>46179</v>
      </c>
      <c r="B1514" s="46" t="s">
        <v>1612</v>
      </c>
      <c r="C1514" s="44" t="s">
        <v>9</v>
      </c>
      <c r="D1514" s="53" t="str">
        <f t="shared" si="179"/>
        <v>Cream</v>
      </c>
      <c r="E1514" s="44" t="s">
        <v>1661</v>
      </c>
      <c r="F1514" s="44" t="s">
        <v>15</v>
      </c>
      <c r="G1514" s="4" t="str">
        <f t="shared" si="183"/>
        <v>Romper Short</v>
      </c>
      <c r="H1514" s="38">
        <f t="shared" si="182"/>
        <v>6</v>
      </c>
      <c r="I1514" s="54">
        <f t="shared" si="178"/>
        <v>23</v>
      </c>
      <c r="J1514" s="14" t="str">
        <f t="shared" si="180"/>
        <v>FathersDay</v>
      </c>
      <c r="K1514" s="16" t="str">
        <f t="shared" si="184"/>
        <v>0-3</v>
      </c>
      <c r="L1514" s="14" t="str">
        <f t="shared" si="181"/>
        <v>Romper Short | 0-3 | Cream</v>
      </c>
      <c r="M1514" s="16" t="s">
        <v>3609</v>
      </c>
    </row>
    <row r="1515" spans="1:13" ht="25" customHeight="1" x14ac:dyDescent="0.45">
      <c r="A1515" s="45">
        <v>46180</v>
      </c>
      <c r="B1515" s="43" t="s">
        <v>1613</v>
      </c>
      <c r="C1515" s="44" t="s">
        <v>1455</v>
      </c>
      <c r="D1515" s="53" t="str">
        <f t="shared" si="179"/>
        <v xml:space="preserve"> White</v>
      </c>
      <c r="E1515" s="44" t="s">
        <v>1667</v>
      </c>
      <c r="F1515" s="44" t="s">
        <v>7</v>
      </c>
      <c r="G1515" s="4" t="str">
        <f t="shared" si="183"/>
        <v>Romper Longer</v>
      </c>
      <c r="H1515" s="38">
        <f t="shared" si="182"/>
        <v>6</v>
      </c>
      <c r="I1515" s="54">
        <f t="shared" si="178"/>
        <v>24</v>
      </c>
      <c r="J1515" s="14" t="str">
        <f t="shared" si="180"/>
        <v>FathersDay</v>
      </c>
      <c r="K1515" s="16" t="str">
        <f t="shared" si="184"/>
        <v>0-3</v>
      </c>
      <c r="L1515" s="14" t="str">
        <f t="shared" si="181"/>
        <v>Romper Longer | 0-3 | White</v>
      </c>
      <c r="M1515" s="16" t="s">
        <v>3610</v>
      </c>
    </row>
    <row r="1516" spans="1:13" ht="25" customHeight="1" x14ac:dyDescent="0.45">
      <c r="A1516" s="45">
        <v>46180</v>
      </c>
      <c r="B1516" s="43" t="s">
        <v>1614</v>
      </c>
      <c r="C1516" s="44" t="s">
        <v>126</v>
      </c>
      <c r="D1516" s="53" t="str">
        <f t="shared" si="179"/>
        <v xml:space="preserve"> Sage Green</v>
      </c>
      <c r="E1516" s="44" t="s">
        <v>1660</v>
      </c>
      <c r="F1516" s="44" t="s">
        <v>13</v>
      </c>
      <c r="G1516" s="4" t="str">
        <f t="shared" si="183"/>
        <v>Romper Longer</v>
      </c>
      <c r="H1516" s="38">
        <f t="shared" si="182"/>
        <v>6</v>
      </c>
      <c r="I1516" s="54">
        <f t="shared" si="178"/>
        <v>24</v>
      </c>
      <c r="J1516" s="14" t="str">
        <f t="shared" si="180"/>
        <v>FathersDay</v>
      </c>
      <c r="K1516" s="16" t="str">
        <f t="shared" si="184"/>
        <v>3-6</v>
      </c>
      <c r="L1516" s="14" t="str">
        <f t="shared" si="181"/>
        <v>Romper Longer | 3-6 | Sage Green</v>
      </c>
      <c r="M1516" s="16" t="s">
        <v>3611</v>
      </c>
    </row>
    <row r="1517" spans="1:13" ht="25" customHeight="1" x14ac:dyDescent="0.45">
      <c r="A1517" s="45">
        <v>46180</v>
      </c>
      <c r="B1517" s="43" t="s">
        <v>1615</v>
      </c>
      <c r="C1517" s="44" t="s">
        <v>79</v>
      </c>
      <c r="D1517" s="53" t="str">
        <f t="shared" si="179"/>
        <v>White</v>
      </c>
      <c r="E1517" s="44" t="s">
        <v>1660</v>
      </c>
      <c r="F1517" s="44" t="s">
        <v>7</v>
      </c>
      <c r="G1517" s="4" t="str">
        <f t="shared" si="183"/>
        <v>Romper Longer</v>
      </c>
      <c r="H1517" s="38">
        <f t="shared" si="182"/>
        <v>6</v>
      </c>
      <c r="I1517" s="54">
        <f t="shared" si="178"/>
        <v>24</v>
      </c>
      <c r="J1517" s="14" t="str">
        <f t="shared" si="180"/>
        <v>FathersDay</v>
      </c>
      <c r="K1517" s="16" t="str">
        <f t="shared" si="184"/>
        <v>3-6</v>
      </c>
      <c r="L1517" s="14" t="str">
        <f t="shared" si="181"/>
        <v>Romper Longer | 3-6 | White</v>
      </c>
      <c r="M1517" s="16" t="s">
        <v>3610</v>
      </c>
    </row>
    <row r="1518" spans="1:13" ht="25" customHeight="1" x14ac:dyDescent="0.45">
      <c r="A1518" s="45">
        <v>46180</v>
      </c>
      <c r="B1518" s="43" t="s">
        <v>1616</v>
      </c>
      <c r="C1518" s="44" t="s">
        <v>1449</v>
      </c>
      <c r="D1518" s="53" t="str">
        <f t="shared" si="179"/>
        <v xml:space="preserve"> Cream</v>
      </c>
      <c r="E1518" s="44" t="s">
        <v>1663</v>
      </c>
      <c r="F1518" s="44" t="s">
        <v>7</v>
      </c>
      <c r="G1518" s="4" t="str">
        <f t="shared" si="183"/>
        <v>Romper Short</v>
      </c>
      <c r="H1518" s="38">
        <f t="shared" si="182"/>
        <v>6</v>
      </c>
      <c r="I1518" s="54">
        <f t="shared" si="178"/>
        <v>24</v>
      </c>
      <c r="J1518" s="14" t="str">
        <f t="shared" si="180"/>
        <v>FathersDay</v>
      </c>
      <c r="K1518" s="16" t="str">
        <f t="shared" si="184"/>
        <v>3-6</v>
      </c>
      <c r="L1518" s="14" t="str">
        <f t="shared" si="181"/>
        <v>Romper Short | 3-6 | Cream</v>
      </c>
      <c r="M1518" s="16" t="s">
        <v>3609</v>
      </c>
    </row>
    <row r="1519" spans="1:13" ht="25" customHeight="1" x14ac:dyDescent="0.45">
      <c r="A1519" s="45">
        <v>46180</v>
      </c>
      <c r="B1519" s="43" t="s">
        <v>1617</v>
      </c>
      <c r="C1519" s="44" t="s">
        <v>9</v>
      </c>
      <c r="D1519" s="53" t="str">
        <f t="shared" si="179"/>
        <v>Cream</v>
      </c>
      <c r="E1519" s="44" t="s">
        <v>1666</v>
      </c>
      <c r="F1519" s="44" t="s">
        <v>7</v>
      </c>
      <c r="G1519" s="4" t="str">
        <f t="shared" si="183"/>
        <v>Romper Longer</v>
      </c>
      <c r="H1519" s="38">
        <f t="shared" si="182"/>
        <v>6</v>
      </c>
      <c r="I1519" s="54">
        <f t="shared" ref="I1519:I1582" si="185">WEEKNUM(A1519)</f>
        <v>24</v>
      </c>
      <c r="J1519" s="14" t="str">
        <f t="shared" si="180"/>
        <v>FathersDay</v>
      </c>
      <c r="K1519" s="16" t="str">
        <f t="shared" si="184"/>
        <v>6-12</v>
      </c>
      <c r="L1519" s="14" t="str">
        <f t="shared" si="181"/>
        <v>Romper Longer | 6-12 | Cream</v>
      </c>
      <c r="M1519" s="16" t="s">
        <v>3611</v>
      </c>
    </row>
    <row r="1520" spans="1:13" ht="25" customHeight="1" x14ac:dyDescent="0.45">
      <c r="A1520" s="45">
        <v>46180</v>
      </c>
      <c r="B1520" s="46" t="s">
        <v>1618</v>
      </c>
      <c r="C1520" s="44" t="s">
        <v>182</v>
      </c>
      <c r="D1520" s="53" t="str">
        <f t="shared" si="179"/>
        <v xml:space="preserve"> Forest Green</v>
      </c>
      <c r="E1520" s="44" t="s">
        <v>1663</v>
      </c>
      <c r="F1520" s="44" t="s">
        <v>16</v>
      </c>
      <c r="G1520" s="4" t="str">
        <f t="shared" si="183"/>
        <v>Romper Short</v>
      </c>
      <c r="H1520" s="38">
        <f t="shared" si="182"/>
        <v>6</v>
      </c>
      <c r="I1520" s="54">
        <f t="shared" si="185"/>
        <v>24</v>
      </c>
      <c r="J1520" s="14" t="str">
        <f t="shared" si="180"/>
        <v>FathersDay</v>
      </c>
      <c r="K1520" s="16" t="str">
        <f t="shared" si="184"/>
        <v>3-6</v>
      </c>
      <c r="L1520" s="14" t="str">
        <f t="shared" si="181"/>
        <v>Romper Short | 3-6 | Forest Green</v>
      </c>
      <c r="M1520" s="16" t="s">
        <v>3610</v>
      </c>
    </row>
    <row r="1521" spans="1:13" ht="25" customHeight="1" x14ac:dyDescent="0.45">
      <c r="A1521" s="45">
        <v>46181</v>
      </c>
      <c r="B1521" s="43" t="s">
        <v>1619</v>
      </c>
      <c r="C1521" s="44" t="s">
        <v>148</v>
      </c>
      <c r="D1521" s="53" t="str">
        <f t="shared" si="179"/>
        <v xml:space="preserve"> Caldet Blue</v>
      </c>
      <c r="E1521" s="44" t="s">
        <v>1666</v>
      </c>
      <c r="F1521" s="44" t="s">
        <v>13</v>
      </c>
      <c r="G1521" s="4" t="str">
        <f t="shared" si="183"/>
        <v>Romper Longer</v>
      </c>
      <c r="H1521" s="38">
        <f t="shared" si="182"/>
        <v>6</v>
      </c>
      <c r="I1521" s="54">
        <f t="shared" si="185"/>
        <v>24</v>
      </c>
      <c r="J1521" s="14" t="str">
        <f t="shared" si="180"/>
        <v>FathersDay</v>
      </c>
      <c r="K1521" s="16" t="str">
        <f t="shared" si="184"/>
        <v>6-12</v>
      </c>
      <c r="L1521" s="14" t="str">
        <f t="shared" si="181"/>
        <v>Romper Longer | 6-12 | Caldet Blue</v>
      </c>
      <c r="M1521" s="16" t="s">
        <v>3610</v>
      </c>
    </row>
    <row r="1522" spans="1:13" ht="25" customHeight="1" x14ac:dyDescent="0.45">
      <c r="A1522" s="45">
        <v>46181</v>
      </c>
      <c r="B1522" s="43" t="s">
        <v>1620</v>
      </c>
      <c r="C1522" s="44" t="s">
        <v>1449</v>
      </c>
      <c r="D1522" s="53" t="str">
        <f t="shared" si="179"/>
        <v xml:space="preserve"> Cream</v>
      </c>
      <c r="E1522" s="44" t="s">
        <v>1666</v>
      </c>
      <c r="F1522" s="44" t="s">
        <v>7</v>
      </c>
      <c r="G1522" s="4" t="str">
        <f t="shared" si="183"/>
        <v>Romper Longer</v>
      </c>
      <c r="H1522" s="38">
        <f t="shared" si="182"/>
        <v>6</v>
      </c>
      <c r="I1522" s="54">
        <f t="shared" si="185"/>
        <v>24</v>
      </c>
      <c r="J1522" s="14" t="str">
        <f t="shared" si="180"/>
        <v>FathersDay</v>
      </c>
      <c r="K1522" s="16" t="str">
        <f t="shared" si="184"/>
        <v>6-12</v>
      </c>
      <c r="L1522" s="14" t="str">
        <f t="shared" si="181"/>
        <v>Romper Longer | 6-12 | Cream</v>
      </c>
      <c r="M1522" s="16" t="s">
        <v>3611</v>
      </c>
    </row>
    <row r="1523" spans="1:13" ht="25" customHeight="1" x14ac:dyDescent="0.45">
      <c r="A1523" s="45">
        <v>46182</v>
      </c>
      <c r="B1523" s="43" t="s">
        <v>1621</v>
      </c>
      <c r="C1523" s="44" t="s">
        <v>1449</v>
      </c>
      <c r="D1523" s="53" t="str">
        <f t="shared" si="179"/>
        <v xml:space="preserve"> Cream</v>
      </c>
      <c r="E1523" s="44" t="s">
        <v>1666</v>
      </c>
      <c r="F1523" s="44" t="s">
        <v>7</v>
      </c>
      <c r="G1523" s="4" t="str">
        <f t="shared" si="183"/>
        <v>Romper Longer</v>
      </c>
      <c r="H1523" s="38">
        <f t="shared" si="182"/>
        <v>6</v>
      </c>
      <c r="I1523" s="54">
        <f t="shared" si="185"/>
        <v>24</v>
      </c>
      <c r="J1523" s="14" t="str">
        <f t="shared" si="180"/>
        <v>FathersDay</v>
      </c>
      <c r="K1523" s="16" t="str">
        <f t="shared" si="184"/>
        <v>6-12</v>
      </c>
      <c r="L1523" s="14" t="str">
        <f t="shared" si="181"/>
        <v>Romper Longer | 6-12 | Cream</v>
      </c>
      <c r="M1523" s="16" t="s">
        <v>3611</v>
      </c>
    </row>
    <row r="1524" spans="1:13" ht="25" customHeight="1" x14ac:dyDescent="0.45">
      <c r="A1524" s="45">
        <v>46182</v>
      </c>
      <c r="B1524" s="43" t="s">
        <v>1622</v>
      </c>
      <c r="C1524" s="44" t="s">
        <v>9</v>
      </c>
      <c r="D1524" s="53" t="str">
        <f t="shared" si="179"/>
        <v>Cream</v>
      </c>
      <c r="E1524" s="44" t="s">
        <v>1663</v>
      </c>
      <c r="F1524" s="44" t="s">
        <v>7</v>
      </c>
      <c r="G1524" s="4" t="str">
        <f t="shared" si="183"/>
        <v>Romper Short</v>
      </c>
      <c r="H1524" s="38">
        <f t="shared" si="182"/>
        <v>6</v>
      </c>
      <c r="I1524" s="54">
        <f t="shared" si="185"/>
        <v>24</v>
      </c>
      <c r="J1524" s="14" t="str">
        <f t="shared" si="180"/>
        <v>FathersDay</v>
      </c>
      <c r="K1524" s="16" t="str">
        <f t="shared" si="184"/>
        <v>3-6</v>
      </c>
      <c r="L1524" s="14" t="str">
        <f t="shared" si="181"/>
        <v>Romper Short | 3-6 | Cream</v>
      </c>
      <c r="M1524" s="16" t="s">
        <v>3609</v>
      </c>
    </row>
    <row r="1525" spans="1:13" ht="25" customHeight="1" x14ac:dyDescent="0.45">
      <c r="A1525" s="45">
        <v>46182</v>
      </c>
      <c r="B1525" s="43" t="s">
        <v>1623</v>
      </c>
      <c r="C1525" s="44" t="s">
        <v>440</v>
      </c>
      <c r="D1525" s="53" t="str">
        <f t="shared" si="179"/>
        <v xml:space="preserve"> Watermelon</v>
      </c>
      <c r="E1525" s="44" t="s">
        <v>1663</v>
      </c>
      <c r="F1525" s="44" t="s">
        <v>7</v>
      </c>
      <c r="G1525" s="4" t="str">
        <f t="shared" si="183"/>
        <v>Romper Short</v>
      </c>
      <c r="H1525" s="38">
        <f t="shared" si="182"/>
        <v>6</v>
      </c>
      <c r="I1525" s="54">
        <f t="shared" si="185"/>
        <v>24</v>
      </c>
      <c r="J1525" s="14" t="str">
        <f t="shared" si="180"/>
        <v>FathersDay</v>
      </c>
      <c r="K1525" s="16" t="str">
        <f t="shared" si="184"/>
        <v>3-6</v>
      </c>
      <c r="L1525" s="14" t="str">
        <f t="shared" si="181"/>
        <v>Romper Short | 3-6 | Watermelon</v>
      </c>
      <c r="M1525" s="16" t="s">
        <v>3610</v>
      </c>
    </row>
    <row r="1526" spans="1:13" ht="25" customHeight="1" x14ac:dyDescent="0.45">
      <c r="A1526" s="45">
        <v>46182</v>
      </c>
      <c r="B1526" s="43" t="s">
        <v>1624</v>
      </c>
      <c r="C1526" s="44" t="s">
        <v>1455</v>
      </c>
      <c r="D1526" s="53" t="str">
        <f t="shared" si="179"/>
        <v xml:space="preserve"> White</v>
      </c>
      <c r="E1526" s="44" t="s">
        <v>1662</v>
      </c>
      <c r="F1526" s="44" t="s">
        <v>7</v>
      </c>
      <c r="G1526" s="4" t="str">
        <f t="shared" si="183"/>
        <v>Romper Short</v>
      </c>
      <c r="H1526" s="38">
        <f t="shared" si="182"/>
        <v>6</v>
      </c>
      <c r="I1526" s="54">
        <f t="shared" si="185"/>
        <v>24</v>
      </c>
      <c r="J1526" s="14" t="str">
        <f t="shared" si="180"/>
        <v>FathersDay</v>
      </c>
      <c r="K1526" s="16" t="str">
        <f t="shared" si="184"/>
        <v>6-12</v>
      </c>
      <c r="L1526" s="14" t="str">
        <f t="shared" si="181"/>
        <v>Romper Short | 6-12 | White</v>
      </c>
      <c r="M1526" s="16" t="s">
        <v>3610</v>
      </c>
    </row>
    <row r="1527" spans="1:13" ht="25" customHeight="1" x14ac:dyDescent="0.45">
      <c r="A1527" s="45">
        <v>46182</v>
      </c>
      <c r="B1527" s="43" t="s">
        <v>1625</v>
      </c>
      <c r="C1527" s="44" t="s">
        <v>9</v>
      </c>
      <c r="D1527" s="53" t="str">
        <f t="shared" si="179"/>
        <v>Cream</v>
      </c>
      <c r="E1527" s="44" t="s">
        <v>1663</v>
      </c>
      <c r="F1527" s="44" t="s">
        <v>7</v>
      </c>
      <c r="G1527" s="4" t="str">
        <f t="shared" si="183"/>
        <v>Romper Short</v>
      </c>
      <c r="H1527" s="38">
        <f t="shared" si="182"/>
        <v>6</v>
      </c>
      <c r="I1527" s="54">
        <f t="shared" si="185"/>
        <v>24</v>
      </c>
      <c r="J1527" s="14" t="str">
        <f t="shared" si="180"/>
        <v>FathersDay</v>
      </c>
      <c r="K1527" s="16" t="str">
        <f t="shared" si="184"/>
        <v>3-6</v>
      </c>
      <c r="L1527" s="14" t="str">
        <f t="shared" si="181"/>
        <v>Romper Short | 3-6 | Cream</v>
      </c>
      <c r="M1527" s="16" t="s">
        <v>3609</v>
      </c>
    </row>
    <row r="1528" spans="1:13" ht="25" customHeight="1" x14ac:dyDescent="0.45">
      <c r="A1528" s="45">
        <v>46182</v>
      </c>
      <c r="B1528" s="43" t="s">
        <v>1626</v>
      </c>
      <c r="C1528" s="44" t="s">
        <v>1449</v>
      </c>
      <c r="D1528" s="53" t="str">
        <f t="shared" si="179"/>
        <v xml:space="preserve"> Cream</v>
      </c>
      <c r="E1528" s="44" t="s">
        <v>1662</v>
      </c>
      <c r="F1528" s="44" t="s">
        <v>7</v>
      </c>
      <c r="G1528" s="4" t="str">
        <f t="shared" si="183"/>
        <v>Romper Short</v>
      </c>
      <c r="H1528" s="38">
        <f t="shared" si="182"/>
        <v>6</v>
      </c>
      <c r="I1528" s="54">
        <f t="shared" si="185"/>
        <v>24</v>
      </c>
      <c r="J1528" s="14" t="str">
        <f t="shared" si="180"/>
        <v>FathersDay</v>
      </c>
      <c r="K1528" s="16" t="str">
        <f t="shared" si="184"/>
        <v>6-12</v>
      </c>
      <c r="L1528" s="14" t="str">
        <f t="shared" si="181"/>
        <v>Romper Short | 6-12 | Cream</v>
      </c>
      <c r="M1528" s="16" t="s">
        <v>3611</v>
      </c>
    </row>
    <row r="1529" spans="1:13" ht="25" customHeight="1" x14ac:dyDescent="0.45">
      <c r="A1529" s="45">
        <v>46183</v>
      </c>
      <c r="B1529" s="43" t="s">
        <v>1627</v>
      </c>
      <c r="C1529" s="44" t="s">
        <v>9</v>
      </c>
      <c r="D1529" s="53" t="str">
        <f t="shared" si="179"/>
        <v>Cream</v>
      </c>
      <c r="E1529" s="44" t="s">
        <v>1667</v>
      </c>
      <c r="F1529" s="44" t="s">
        <v>7</v>
      </c>
      <c r="G1529" s="4" t="str">
        <f t="shared" si="183"/>
        <v>Romper Longer</v>
      </c>
      <c r="H1529" s="38">
        <f t="shared" si="182"/>
        <v>6</v>
      </c>
      <c r="I1529" s="54">
        <f t="shared" si="185"/>
        <v>24</v>
      </c>
      <c r="J1529" s="14" t="str">
        <f t="shared" si="180"/>
        <v>FathersDay</v>
      </c>
      <c r="K1529" s="16" t="str">
        <f t="shared" si="184"/>
        <v>0-3</v>
      </c>
      <c r="L1529" s="14" t="str">
        <f t="shared" si="181"/>
        <v>Romper Longer | 0-3 | Cream</v>
      </c>
      <c r="M1529" s="16" t="s">
        <v>3609</v>
      </c>
    </row>
    <row r="1530" spans="1:13" ht="25" customHeight="1" x14ac:dyDescent="0.45">
      <c r="A1530" s="45">
        <v>46183</v>
      </c>
      <c r="B1530" s="43" t="s">
        <v>1628</v>
      </c>
      <c r="C1530" s="44" t="s">
        <v>148</v>
      </c>
      <c r="D1530" s="53" t="str">
        <f t="shared" ref="D1530:D1593" si="186">PROPER(C1530)</f>
        <v xml:space="preserve"> Caldet Blue</v>
      </c>
      <c r="E1530" s="44" t="s">
        <v>1663</v>
      </c>
      <c r="F1530" s="44" t="s">
        <v>15</v>
      </c>
      <c r="G1530" s="4" t="str">
        <f t="shared" si="183"/>
        <v>Romper Short</v>
      </c>
      <c r="H1530" s="38">
        <f t="shared" si="182"/>
        <v>6</v>
      </c>
      <c r="I1530" s="54">
        <f t="shared" si="185"/>
        <v>24</v>
      </c>
      <c r="J1530" s="14" t="str">
        <f t="shared" si="180"/>
        <v>FathersDay</v>
      </c>
      <c r="K1530" s="16" t="str">
        <f t="shared" si="184"/>
        <v>3-6</v>
      </c>
      <c r="L1530" s="14" t="str">
        <f t="shared" si="181"/>
        <v>Romper Short | 3-6 | Caldet Blue</v>
      </c>
      <c r="M1530" s="16" t="s">
        <v>3610</v>
      </c>
    </row>
    <row r="1531" spans="1:13" ht="25" customHeight="1" x14ac:dyDescent="0.45">
      <c r="A1531" s="45">
        <v>46183</v>
      </c>
      <c r="B1531" s="43" t="s">
        <v>1629</v>
      </c>
      <c r="C1531" s="44" t="s">
        <v>1670</v>
      </c>
      <c r="D1531" s="53" t="str">
        <f t="shared" si="186"/>
        <v xml:space="preserve">  White</v>
      </c>
      <c r="E1531" s="44" t="s">
        <v>1667</v>
      </c>
      <c r="F1531" s="44" t="s">
        <v>15</v>
      </c>
      <c r="G1531" s="4" t="str">
        <f t="shared" si="183"/>
        <v>Romper Longer</v>
      </c>
      <c r="H1531" s="38">
        <f t="shared" si="182"/>
        <v>6</v>
      </c>
      <c r="I1531" s="54">
        <f t="shared" si="185"/>
        <v>24</v>
      </c>
      <c r="J1531" s="14" t="str">
        <f t="shared" si="180"/>
        <v>FathersDay</v>
      </c>
      <c r="K1531" s="16" t="str">
        <f t="shared" si="184"/>
        <v>0-3</v>
      </c>
      <c r="L1531" s="14" t="str">
        <f t="shared" si="181"/>
        <v>Romper Longer | 0-3 | White</v>
      </c>
      <c r="M1531" s="16" t="s">
        <v>3610</v>
      </c>
    </row>
    <row r="1532" spans="1:13" ht="25" customHeight="1" x14ac:dyDescent="0.45">
      <c r="A1532" s="45">
        <v>46183</v>
      </c>
      <c r="B1532" s="46" t="s">
        <v>1630</v>
      </c>
      <c r="C1532" s="44" t="s">
        <v>71</v>
      </c>
      <c r="D1532" s="53" t="str">
        <f t="shared" si="186"/>
        <v>Coffee</v>
      </c>
      <c r="E1532" s="44" t="s">
        <v>1663</v>
      </c>
      <c r="F1532" s="44" t="s">
        <v>18</v>
      </c>
      <c r="G1532" s="4" t="str">
        <f t="shared" si="183"/>
        <v>Romper Short</v>
      </c>
      <c r="H1532" s="38">
        <f t="shared" si="182"/>
        <v>6</v>
      </c>
      <c r="I1532" s="54">
        <f t="shared" si="185"/>
        <v>24</v>
      </c>
      <c r="J1532" s="14" t="str">
        <f t="shared" si="180"/>
        <v>FathersDay</v>
      </c>
      <c r="K1532" s="16" t="str">
        <f t="shared" si="184"/>
        <v>3-6</v>
      </c>
      <c r="L1532" s="14" t="str">
        <f t="shared" si="181"/>
        <v>Romper Short | 3-6 | Coffee</v>
      </c>
      <c r="M1532" s="16" t="s">
        <v>3610</v>
      </c>
    </row>
    <row r="1533" spans="1:13" ht="25" customHeight="1" x14ac:dyDescent="0.45">
      <c r="A1533" s="45">
        <v>46183</v>
      </c>
      <c r="B1533" s="46" t="s">
        <v>1631</v>
      </c>
      <c r="C1533" s="44" t="s">
        <v>1673</v>
      </c>
      <c r="D1533" s="53" t="str">
        <f t="shared" si="186"/>
        <v xml:space="preserve">  Caldet Blue</v>
      </c>
      <c r="E1533" s="44" t="s">
        <v>1663</v>
      </c>
      <c r="F1533" s="44"/>
      <c r="G1533" s="4" t="str">
        <f t="shared" si="183"/>
        <v>Romper Short</v>
      </c>
      <c r="H1533" s="38">
        <f t="shared" si="182"/>
        <v>6</v>
      </c>
      <c r="I1533" s="54">
        <f t="shared" si="185"/>
        <v>24</v>
      </c>
      <c r="J1533" s="14" t="str">
        <f t="shared" si="180"/>
        <v>FathersDay</v>
      </c>
      <c r="K1533" s="16" t="str">
        <f t="shared" si="184"/>
        <v>3-6</v>
      </c>
      <c r="L1533" s="14" t="str">
        <f t="shared" si="181"/>
        <v>Romper Short | 3-6 | Caldet Blue</v>
      </c>
      <c r="M1533" s="16" t="s">
        <v>3610</v>
      </c>
    </row>
    <row r="1534" spans="1:13" ht="25" customHeight="1" x14ac:dyDescent="0.45">
      <c r="A1534" s="45">
        <v>46183</v>
      </c>
      <c r="B1534" s="43" t="s">
        <v>1632</v>
      </c>
      <c r="C1534" s="44" t="s">
        <v>1449</v>
      </c>
      <c r="D1534" s="53" t="str">
        <f t="shared" si="186"/>
        <v xml:space="preserve"> Cream</v>
      </c>
      <c r="E1534" s="44" t="s">
        <v>1663</v>
      </c>
      <c r="F1534" s="44" t="s">
        <v>7</v>
      </c>
      <c r="G1534" s="4" t="str">
        <f t="shared" si="183"/>
        <v>Romper Short</v>
      </c>
      <c r="H1534" s="38">
        <f t="shared" si="182"/>
        <v>6</v>
      </c>
      <c r="I1534" s="54">
        <f t="shared" si="185"/>
        <v>24</v>
      </c>
      <c r="J1534" s="14" t="str">
        <f t="shared" si="180"/>
        <v>FathersDay</v>
      </c>
      <c r="K1534" s="16" t="str">
        <f t="shared" si="184"/>
        <v>3-6</v>
      </c>
      <c r="L1534" s="14" t="str">
        <f t="shared" si="181"/>
        <v>Romper Short | 3-6 | Cream</v>
      </c>
      <c r="M1534" s="16" t="s">
        <v>3609</v>
      </c>
    </row>
    <row r="1535" spans="1:13" ht="25" customHeight="1" x14ac:dyDescent="0.45">
      <c r="A1535" s="45">
        <v>46183</v>
      </c>
      <c r="B1535" s="43" t="s">
        <v>1633</v>
      </c>
      <c r="C1535" s="44" t="s">
        <v>110</v>
      </c>
      <c r="D1535" s="53" t="str">
        <f t="shared" si="186"/>
        <v>Sage Green</v>
      </c>
      <c r="E1535" s="44" t="s">
        <v>1664</v>
      </c>
      <c r="F1535" s="44" t="s">
        <v>7</v>
      </c>
      <c r="G1535" s="4" t="str">
        <f t="shared" si="183"/>
        <v>Romper Short</v>
      </c>
      <c r="H1535" s="38">
        <f t="shared" si="182"/>
        <v>6</v>
      </c>
      <c r="I1535" s="54">
        <f t="shared" si="185"/>
        <v>24</v>
      </c>
      <c r="J1535" s="14" t="str">
        <f t="shared" si="180"/>
        <v>FathersDay</v>
      </c>
      <c r="K1535" s="16" t="str">
        <f t="shared" si="184"/>
        <v>12-18</v>
      </c>
      <c r="L1535" s="14" t="str">
        <f t="shared" si="181"/>
        <v>Romper Short | 12-18 | Sage Green</v>
      </c>
      <c r="M1535" s="16" t="s">
        <v>3610</v>
      </c>
    </row>
    <row r="1536" spans="1:13" ht="25" customHeight="1" x14ac:dyDescent="0.45">
      <c r="A1536" s="45">
        <v>46183</v>
      </c>
      <c r="B1536" s="43" t="s">
        <v>1634</v>
      </c>
      <c r="C1536" s="44" t="s">
        <v>126</v>
      </c>
      <c r="D1536" s="53" t="str">
        <f t="shared" si="186"/>
        <v xml:space="preserve"> Sage Green</v>
      </c>
      <c r="E1536" s="44" t="s">
        <v>1663</v>
      </c>
      <c r="F1536" s="44"/>
      <c r="G1536" s="4" t="str">
        <f t="shared" si="183"/>
        <v>Romper Short</v>
      </c>
      <c r="H1536" s="38">
        <f t="shared" si="182"/>
        <v>6</v>
      </c>
      <c r="I1536" s="54">
        <f t="shared" si="185"/>
        <v>24</v>
      </c>
      <c r="J1536" s="14" t="str">
        <f t="shared" si="180"/>
        <v>FathersDay</v>
      </c>
      <c r="K1536" s="16" t="str">
        <f t="shared" si="184"/>
        <v>3-6</v>
      </c>
      <c r="L1536" s="14" t="str">
        <f t="shared" si="181"/>
        <v>Romper Short | 3-6 | Sage Green</v>
      </c>
      <c r="M1536" s="16" t="s">
        <v>3611</v>
      </c>
    </row>
    <row r="1537" spans="1:13" ht="25" customHeight="1" x14ac:dyDescent="0.45">
      <c r="A1537" s="45">
        <v>46184</v>
      </c>
      <c r="B1537" s="43" t="s">
        <v>1635</v>
      </c>
      <c r="C1537" s="44" t="s">
        <v>1669</v>
      </c>
      <c r="D1537" s="53" t="str">
        <f t="shared" si="186"/>
        <v xml:space="preserve">  Cream</v>
      </c>
      <c r="E1537" s="44" t="s">
        <v>1663</v>
      </c>
      <c r="F1537" s="44" t="s">
        <v>7</v>
      </c>
      <c r="G1537" s="4" t="str">
        <f t="shared" si="183"/>
        <v>Romper Short</v>
      </c>
      <c r="H1537" s="38">
        <f t="shared" si="182"/>
        <v>6</v>
      </c>
      <c r="I1537" s="54">
        <f t="shared" si="185"/>
        <v>24</v>
      </c>
      <c r="J1537" s="14" t="str">
        <f t="shared" si="180"/>
        <v>FathersDay</v>
      </c>
      <c r="K1537" s="16" t="str">
        <f t="shared" si="184"/>
        <v>3-6</v>
      </c>
      <c r="L1537" s="14" t="str">
        <f t="shared" si="181"/>
        <v>Romper Short | 3-6 | Cream</v>
      </c>
      <c r="M1537" s="16" t="s">
        <v>3609</v>
      </c>
    </row>
    <row r="1538" spans="1:13" ht="25" customHeight="1" x14ac:dyDescent="0.45">
      <c r="A1538" s="45">
        <v>46184</v>
      </c>
      <c r="B1538" s="43" t="s">
        <v>1636</v>
      </c>
      <c r="C1538" s="44" t="s">
        <v>9</v>
      </c>
      <c r="D1538" s="53" t="str">
        <f t="shared" si="186"/>
        <v>Cream</v>
      </c>
      <c r="E1538" s="44" t="s">
        <v>1661</v>
      </c>
      <c r="F1538" s="44" t="s">
        <v>7</v>
      </c>
      <c r="G1538" s="4" t="str">
        <f t="shared" si="183"/>
        <v>Romper Short</v>
      </c>
      <c r="H1538" s="38">
        <f t="shared" si="182"/>
        <v>6</v>
      </c>
      <c r="I1538" s="54">
        <f t="shared" si="185"/>
        <v>24</v>
      </c>
      <c r="J1538" s="14" t="str">
        <f t="shared" si="180"/>
        <v>FathersDay</v>
      </c>
      <c r="K1538" s="16" t="str">
        <f t="shared" si="184"/>
        <v>0-3</v>
      </c>
      <c r="L1538" s="14" t="str">
        <f t="shared" si="181"/>
        <v>Romper Short | 0-3 | Cream</v>
      </c>
      <c r="M1538" s="16" t="s">
        <v>3609</v>
      </c>
    </row>
    <row r="1539" spans="1:13" ht="25" customHeight="1" x14ac:dyDescent="0.45">
      <c r="A1539" s="45">
        <v>46184</v>
      </c>
      <c r="B1539" s="43" t="s">
        <v>1637</v>
      </c>
      <c r="C1539" s="44" t="s">
        <v>1455</v>
      </c>
      <c r="D1539" s="53" t="str">
        <f t="shared" si="186"/>
        <v xml:space="preserve"> White</v>
      </c>
      <c r="E1539" s="44" t="s">
        <v>1667</v>
      </c>
      <c r="F1539" s="44" t="s">
        <v>7</v>
      </c>
      <c r="G1539" s="4" t="str">
        <f t="shared" si="183"/>
        <v>Romper Longer</v>
      </c>
      <c r="H1539" s="38">
        <f t="shared" si="182"/>
        <v>6</v>
      </c>
      <c r="I1539" s="54">
        <f t="shared" si="185"/>
        <v>24</v>
      </c>
      <c r="J1539" s="14" t="str">
        <f t="shared" ref="J1539:J1603" si="187">IF(H1539=1,"NewYear",
IF(H1539=2,"Valentine",
IF(OR(H1539=3,H1539=4),"Easter",
IF(H1539=5,"MothersDay",
IF(H1539=6,"FathersDay",
IF(OR(H1539=7,H1539=8),"Summer",
IF(H1539=10,"Halloween",
IF(OR(H1539=11,H1539=12),"Christmas","Normal"))))))))</f>
        <v>FathersDay</v>
      </c>
      <c r="K1539" s="16" t="str">
        <f t="shared" si="184"/>
        <v>0-3</v>
      </c>
      <c r="L1539" s="14" t="str">
        <f t="shared" ref="L1539:L1602" si="188">TRIM(G1539)&amp;" | "&amp;TRIM(K1539)&amp;" | "&amp;PROPER(TRIM(D1539))</f>
        <v>Romper Longer | 0-3 | White</v>
      </c>
      <c r="M1539" s="16" t="s">
        <v>3610</v>
      </c>
    </row>
    <row r="1540" spans="1:13" ht="25" customHeight="1" x14ac:dyDescent="0.45">
      <c r="A1540" s="45">
        <v>46184</v>
      </c>
      <c r="B1540" s="43" t="s">
        <v>1638</v>
      </c>
      <c r="C1540" s="44" t="s">
        <v>462</v>
      </c>
      <c r="D1540" s="53" t="str">
        <f t="shared" si="186"/>
        <v xml:space="preserve"> Dusty Pink</v>
      </c>
      <c r="E1540" s="44" t="s">
        <v>1666</v>
      </c>
      <c r="F1540" s="44" t="s">
        <v>7</v>
      </c>
      <c r="G1540" s="4" t="str">
        <f t="shared" si="183"/>
        <v>Romper Longer</v>
      </c>
      <c r="H1540" s="38">
        <f t="shared" ref="H1540:H1603" si="189">MONTH(A1540)</f>
        <v>6</v>
      </c>
      <c r="I1540" s="54">
        <f t="shared" si="185"/>
        <v>24</v>
      </c>
      <c r="J1540" s="14" t="str">
        <f t="shared" si="187"/>
        <v>FathersDay</v>
      </c>
      <c r="K1540" s="16" t="str">
        <f t="shared" si="184"/>
        <v>6-12</v>
      </c>
      <c r="L1540" s="14" t="str">
        <f t="shared" si="188"/>
        <v>Romper Longer | 6-12 | Dusty Pink</v>
      </c>
      <c r="M1540" s="16" t="s">
        <v>3610</v>
      </c>
    </row>
    <row r="1541" spans="1:13" ht="25" customHeight="1" x14ac:dyDescent="0.45">
      <c r="A1541" s="45">
        <v>46184</v>
      </c>
      <c r="B1541" s="43" t="s">
        <v>1639</v>
      </c>
      <c r="C1541" s="44" t="s">
        <v>1449</v>
      </c>
      <c r="D1541" s="53" t="str">
        <f t="shared" si="186"/>
        <v xml:space="preserve"> Cream</v>
      </c>
      <c r="E1541" s="44" t="s">
        <v>1660</v>
      </c>
      <c r="F1541" s="44" t="s">
        <v>7</v>
      </c>
      <c r="G1541" s="4" t="str">
        <f t="shared" si="183"/>
        <v>Romper Longer</v>
      </c>
      <c r="H1541" s="38">
        <f t="shared" si="189"/>
        <v>6</v>
      </c>
      <c r="I1541" s="54">
        <f t="shared" si="185"/>
        <v>24</v>
      </c>
      <c r="J1541" s="14" t="str">
        <f t="shared" si="187"/>
        <v>FathersDay</v>
      </c>
      <c r="K1541" s="16" t="str">
        <f t="shared" si="184"/>
        <v>3-6</v>
      </c>
      <c r="L1541" s="14" t="str">
        <f t="shared" si="188"/>
        <v>Romper Longer | 3-6 | Cream</v>
      </c>
      <c r="M1541" s="16" t="s">
        <v>3609</v>
      </c>
    </row>
    <row r="1542" spans="1:13" ht="25" customHeight="1" x14ac:dyDescent="0.45">
      <c r="A1542" s="45">
        <v>46185</v>
      </c>
      <c r="B1542" s="43" t="s">
        <v>1640</v>
      </c>
      <c r="C1542" s="44" t="s">
        <v>1449</v>
      </c>
      <c r="D1542" s="53" t="str">
        <f t="shared" si="186"/>
        <v xml:space="preserve"> Cream</v>
      </c>
      <c r="E1542" s="44" t="s">
        <v>1665</v>
      </c>
      <c r="F1542" s="44" t="s">
        <v>7</v>
      </c>
      <c r="G1542" s="4" t="str">
        <f t="shared" si="183"/>
        <v>Romper Short</v>
      </c>
      <c r="H1542" s="38">
        <f t="shared" si="189"/>
        <v>6</v>
      </c>
      <c r="I1542" s="54">
        <f t="shared" si="185"/>
        <v>24</v>
      </c>
      <c r="J1542" s="14" t="str">
        <f t="shared" si="187"/>
        <v>FathersDay</v>
      </c>
      <c r="K1542" s="16" t="str">
        <f t="shared" si="184"/>
        <v>18-24</v>
      </c>
      <c r="L1542" s="14" t="str">
        <f t="shared" si="188"/>
        <v>Romper Short | 18-24 | Cream</v>
      </c>
      <c r="M1542" s="16" t="s">
        <v>3610</v>
      </c>
    </row>
    <row r="1543" spans="1:13" ht="25" customHeight="1" x14ac:dyDescent="0.45">
      <c r="A1543" s="45">
        <v>46185</v>
      </c>
      <c r="B1543" s="43" t="s">
        <v>1641</v>
      </c>
      <c r="C1543" s="44" t="s">
        <v>9</v>
      </c>
      <c r="D1543" s="53" t="str">
        <f t="shared" si="186"/>
        <v>Cream</v>
      </c>
      <c r="E1543" s="44" t="s">
        <v>1662</v>
      </c>
      <c r="F1543" s="44" t="s">
        <v>7</v>
      </c>
      <c r="G1543" s="4" t="str">
        <f t="shared" si="183"/>
        <v>Romper Short</v>
      </c>
      <c r="H1543" s="38">
        <f t="shared" si="189"/>
        <v>6</v>
      </c>
      <c r="I1543" s="54">
        <f t="shared" si="185"/>
        <v>24</v>
      </c>
      <c r="J1543" s="14" t="str">
        <f t="shared" si="187"/>
        <v>FathersDay</v>
      </c>
      <c r="K1543" s="16" t="str">
        <f t="shared" si="184"/>
        <v>6-12</v>
      </c>
      <c r="L1543" s="14" t="str">
        <f t="shared" si="188"/>
        <v>Romper Short | 6-12 | Cream</v>
      </c>
      <c r="M1543" s="16" t="s">
        <v>3611</v>
      </c>
    </row>
    <row r="1544" spans="1:13" ht="25" customHeight="1" x14ac:dyDescent="0.45">
      <c r="A1544" s="45">
        <v>46185</v>
      </c>
      <c r="B1544" s="43" t="s">
        <v>1642</v>
      </c>
      <c r="C1544" s="44" t="s">
        <v>1672</v>
      </c>
      <c r="D1544" s="53" t="str">
        <f t="shared" si="186"/>
        <v xml:space="preserve"> Coffee</v>
      </c>
      <c r="E1544" s="44" t="s">
        <v>1662</v>
      </c>
      <c r="F1544" s="44" t="s">
        <v>7</v>
      </c>
      <c r="G1544" s="4" t="str">
        <f t="shared" si="183"/>
        <v>Romper Short</v>
      </c>
      <c r="H1544" s="38">
        <f t="shared" si="189"/>
        <v>6</v>
      </c>
      <c r="I1544" s="54">
        <f t="shared" si="185"/>
        <v>24</v>
      </c>
      <c r="J1544" s="14" t="str">
        <f t="shared" si="187"/>
        <v>FathersDay</v>
      </c>
      <c r="K1544" s="16" t="str">
        <f t="shared" si="184"/>
        <v>6-12</v>
      </c>
      <c r="L1544" s="14" t="str">
        <f t="shared" si="188"/>
        <v>Romper Short | 6-12 | Coffee</v>
      </c>
      <c r="M1544" s="16" t="s">
        <v>3610</v>
      </c>
    </row>
    <row r="1545" spans="1:13" ht="25" customHeight="1" x14ac:dyDescent="0.45">
      <c r="A1545" s="45">
        <v>46184</v>
      </c>
      <c r="B1545" s="43" t="s">
        <v>1643</v>
      </c>
      <c r="C1545" s="44" t="s">
        <v>110</v>
      </c>
      <c r="D1545" s="53" t="str">
        <f t="shared" si="186"/>
        <v>Sage Green</v>
      </c>
      <c r="E1545" s="44" t="s">
        <v>1662</v>
      </c>
      <c r="F1545" s="44" t="s">
        <v>7</v>
      </c>
      <c r="G1545" s="4" t="str">
        <f t="shared" si="183"/>
        <v>Romper Short</v>
      </c>
      <c r="H1545" s="38">
        <f t="shared" si="189"/>
        <v>6</v>
      </c>
      <c r="I1545" s="54">
        <f t="shared" si="185"/>
        <v>24</v>
      </c>
      <c r="J1545" s="14" t="str">
        <f t="shared" si="187"/>
        <v>FathersDay</v>
      </c>
      <c r="K1545" s="16" t="str">
        <f t="shared" si="184"/>
        <v>6-12</v>
      </c>
      <c r="L1545" s="14" t="str">
        <f t="shared" si="188"/>
        <v>Romper Short | 6-12 | Sage Green</v>
      </c>
      <c r="M1545" s="16" t="s">
        <v>3610</v>
      </c>
    </row>
    <row r="1546" spans="1:13" ht="25" customHeight="1" x14ac:dyDescent="0.45">
      <c r="A1546" s="45">
        <v>46184</v>
      </c>
      <c r="B1546" s="43" t="s">
        <v>1644</v>
      </c>
      <c r="C1546" s="44" t="s">
        <v>110</v>
      </c>
      <c r="D1546" s="53" t="str">
        <f t="shared" si="186"/>
        <v>Sage Green</v>
      </c>
      <c r="E1546" s="44" t="s">
        <v>1664</v>
      </c>
      <c r="F1546" s="44" t="s">
        <v>37</v>
      </c>
      <c r="G1546" s="4" t="str">
        <f t="shared" si="183"/>
        <v>Romper Short</v>
      </c>
      <c r="H1546" s="38">
        <f t="shared" si="189"/>
        <v>6</v>
      </c>
      <c r="I1546" s="54">
        <f t="shared" si="185"/>
        <v>24</v>
      </c>
      <c r="J1546" s="14" t="str">
        <f t="shared" si="187"/>
        <v>FathersDay</v>
      </c>
      <c r="K1546" s="16" t="str">
        <f t="shared" si="184"/>
        <v>12-18</v>
      </c>
      <c r="L1546" s="14" t="str">
        <f t="shared" si="188"/>
        <v>Romper Short | 12-18 | Sage Green</v>
      </c>
      <c r="M1546" s="16" t="s">
        <v>3610</v>
      </c>
    </row>
    <row r="1547" spans="1:13" ht="25" customHeight="1" x14ac:dyDescent="0.45">
      <c r="A1547" s="45">
        <v>46185</v>
      </c>
      <c r="B1547" s="43" t="s">
        <v>1645</v>
      </c>
      <c r="C1547" s="44" t="s">
        <v>224</v>
      </c>
      <c r="D1547" s="53" t="str">
        <f t="shared" si="186"/>
        <v>Salmon</v>
      </c>
      <c r="E1547" s="44" t="s">
        <v>1660</v>
      </c>
      <c r="F1547" s="44" t="s">
        <v>7</v>
      </c>
      <c r="G1547" s="4" t="str">
        <f t="shared" si="183"/>
        <v>Romper Longer</v>
      </c>
      <c r="H1547" s="38">
        <f t="shared" si="189"/>
        <v>6</v>
      </c>
      <c r="I1547" s="54">
        <f t="shared" si="185"/>
        <v>24</v>
      </c>
      <c r="J1547" s="14" t="str">
        <f t="shared" si="187"/>
        <v>FathersDay</v>
      </c>
      <c r="K1547" s="16" t="str">
        <f t="shared" si="184"/>
        <v>3-6</v>
      </c>
      <c r="L1547" s="14" t="str">
        <f t="shared" si="188"/>
        <v>Romper Longer | 3-6 | Salmon</v>
      </c>
      <c r="M1547" s="16" t="s">
        <v>3610</v>
      </c>
    </row>
    <row r="1548" spans="1:13" ht="25" customHeight="1" x14ac:dyDescent="0.45">
      <c r="A1548" s="45">
        <v>46185</v>
      </c>
      <c r="B1548" s="43" t="s">
        <v>1646</v>
      </c>
      <c r="C1548" s="44" t="s">
        <v>1671</v>
      </c>
      <c r="D1548" s="53" t="str">
        <f t="shared" si="186"/>
        <v xml:space="preserve">  Dusty Pink</v>
      </c>
      <c r="E1548" s="44" t="s">
        <v>1660</v>
      </c>
      <c r="F1548" s="44" t="s">
        <v>7</v>
      </c>
      <c r="G1548" s="4" t="str">
        <f t="shared" si="183"/>
        <v>Romper Longer</v>
      </c>
      <c r="H1548" s="38">
        <f t="shared" si="189"/>
        <v>6</v>
      </c>
      <c r="I1548" s="54">
        <f t="shared" si="185"/>
        <v>24</v>
      </c>
      <c r="J1548" s="14" t="str">
        <f t="shared" si="187"/>
        <v>FathersDay</v>
      </c>
      <c r="K1548" s="16" t="str">
        <f t="shared" si="184"/>
        <v>3-6</v>
      </c>
      <c r="L1548" s="14" t="str">
        <f t="shared" si="188"/>
        <v>Romper Longer | 3-6 | Dusty Pink</v>
      </c>
      <c r="M1548" s="16" t="s">
        <v>3610</v>
      </c>
    </row>
    <row r="1549" spans="1:13" ht="25" customHeight="1" x14ac:dyDescent="0.45">
      <c r="A1549" s="45">
        <v>46185</v>
      </c>
      <c r="B1549" s="43" t="s">
        <v>1647</v>
      </c>
      <c r="C1549" s="44" t="s">
        <v>1670</v>
      </c>
      <c r="D1549" s="53" t="str">
        <f t="shared" si="186"/>
        <v xml:space="preserve">  White</v>
      </c>
      <c r="E1549" s="44" t="s">
        <v>1661</v>
      </c>
      <c r="F1549" s="44" t="s">
        <v>7</v>
      </c>
      <c r="G1549" s="4" t="str">
        <f t="shared" si="183"/>
        <v>Romper Short</v>
      </c>
      <c r="H1549" s="38">
        <f t="shared" si="189"/>
        <v>6</v>
      </c>
      <c r="I1549" s="54">
        <f t="shared" si="185"/>
        <v>24</v>
      </c>
      <c r="J1549" s="14" t="str">
        <f t="shared" si="187"/>
        <v>FathersDay</v>
      </c>
      <c r="K1549" s="16" t="str">
        <f t="shared" si="184"/>
        <v>0-3</v>
      </c>
      <c r="L1549" s="14" t="str">
        <f t="shared" si="188"/>
        <v>Romper Short | 0-3 | White</v>
      </c>
      <c r="M1549" s="16" t="s">
        <v>3610</v>
      </c>
    </row>
    <row r="1550" spans="1:13" ht="25" customHeight="1" x14ac:dyDescent="0.45">
      <c r="A1550" s="45">
        <v>46185</v>
      </c>
      <c r="B1550" s="43" t="s">
        <v>1647</v>
      </c>
      <c r="C1550" s="44" t="s">
        <v>76</v>
      </c>
      <c r="D1550" s="53" t="str">
        <f t="shared" si="186"/>
        <v>Caldet Blue</v>
      </c>
      <c r="E1550" s="44" t="s">
        <v>1660</v>
      </c>
      <c r="F1550" s="44" t="s">
        <v>7</v>
      </c>
      <c r="G1550" s="4" t="str">
        <f t="shared" si="183"/>
        <v>Romper Longer</v>
      </c>
      <c r="H1550" s="38">
        <f t="shared" si="189"/>
        <v>6</v>
      </c>
      <c r="I1550" s="54">
        <f t="shared" si="185"/>
        <v>24</v>
      </c>
      <c r="J1550" s="14" t="str">
        <f t="shared" si="187"/>
        <v>FathersDay</v>
      </c>
      <c r="K1550" s="16" t="str">
        <f t="shared" si="184"/>
        <v>3-6</v>
      </c>
      <c r="L1550" s="14" t="str">
        <f t="shared" si="188"/>
        <v>Romper Longer | 3-6 | Caldet Blue</v>
      </c>
      <c r="M1550" s="16" t="s">
        <v>3610</v>
      </c>
    </row>
    <row r="1551" spans="1:13" ht="25" customHeight="1" x14ac:dyDescent="0.45">
      <c r="A1551" s="45">
        <v>46186</v>
      </c>
      <c r="B1551" s="46" t="s">
        <v>1648</v>
      </c>
      <c r="C1551" s="44" t="s">
        <v>1670</v>
      </c>
      <c r="D1551" s="53" t="str">
        <f t="shared" si="186"/>
        <v xml:space="preserve">  White</v>
      </c>
      <c r="E1551" s="44" t="s">
        <v>1667</v>
      </c>
      <c r="F1551" s="44" t="s">
        <v>18</v>
      </c>
      <c r="G1551" s="4" t="str">
        <f t="shared" si="183"/>
        <v>Romper Longer</v>
      </c>
      <c r="H1551" s="38">
        <f t="shared" si="189"/>
        <v>6</v>
      </c>
      <c r="I1551" s="54">
        <f t="shared" si="185"/>
        <v>24</v>
      </c>
      <c r="J1551" s="14" t="str">
        <f t="shared" si="187"/>
        <v>FathersDay</v>
      </c>
      <c r="K1551" s="16" t="str">
        <f t="shared" si="184"/>
        <v>0-3</v>
      </c>
      <c r="L1551" s="14" t="str">
        <f t="shared" si="188"/>
        <v>Romper Longer | 0-3 | White</v>
      </c>
      <c r="M1551" s="16" t="s">
        <v>3610</v>
      </c>
    </row>
    <row r="1552" spans="1:13" ht="25" customHeight="1" x14ac:dyDescent="0.45">
      <c r="A1552" s="45">
        <v>46186</v>
      </c>
      <c r="B1552" s="46" t="s">
        <v>1649</v>
      </c>
      <c r="C1552" s="44" t="s">
        <v>1449</v>
      </c>
      <c r="D1552" s="53" t="str">
        <f t="shared" si="186"/>
        <v xml:space="preserve"> Cream</v>
      </c>
      <c r="E1552" s="44" t="s">
        <v>1665</v>
      </c>
      <c r="F1552" s="44" t="s">
        <v>15</v>
      </c>
      <c r="G1552" s="4" t="str">
        <f t="shared" ref="G1552:G1615" si="190">IF(ISNUMBER(SEARCH("LONG",E1552)),"Romper Longer",IF(ISNUMBER(SEARCH("SHORT",E1552)),"Romper Short","Bodysuit"))</f>
        <v>Romper Short</v>
      </c>
      <c r="H1552" s="38">
        <f t="shared" si="189"/>
        <v>6</v>
      </c>
      <c r="I1552" s="54">
        <f t="shared" si="185"/>
        <v>24</v>
      </c>
      <c r="J1552" s="14" t="str">
        <f t="shared" si="187"/>
        <v>FathersDay</v>
      </c>
      <c r="K1552" s="16" t="str">
        <f t="shared" si="184"/>
        <v>18-24</v>
      </c>
      <c r="L1552" s="14" t="str">
        <f t="shared" si="188"/>
        <v>Romper Short | 18-24 | Cream</v>
      </c>
      <c r="M1552" s="16" t="s">
        <v>3610</v>
      </c>
    </row>
    <row r="1553" spans="1:13" ht="25" customHeight="1" x14ac:dyDescent="0.45">
      <c r="A1553" s="45">
        <v>46186</v>
      </c>
      <c r="B1553" s="46" t="s">
        <v>1650</v>
      </c>
      <c r="C1553" s="47" t="s">
        <v>76</v>
      </c>
      <c r="D1553" s="53" t="str">
        <f t="shared" si="186"/>
        <v>Caldet Blue</v>
      </c>
      <c r="E1553" s="44" t="s">
        <v>1665</v>
      </c>
      <c r="F1553" s="44" t="s">
        <v>7</v>
      </c>
      <c r="G1553" s="4" t="str">
        <f t="shared" si="190"/>
        <v>Romper Short</v>
      </c>
      <c r="H1553" s="38">
        <f t="shared" si="189"/>
        <v>6</v>
      </c>
      <c r="I1553" s="54">
        <f t="shared" si="185"/>
        <v>24</v>
      </c>
      <c r="J1553" s="14" t="str">
        <f t="shared" si="187"/>
        <v>FathersDay</v>
      </c>
      <c r="K1553" s="16" t="str">
        <f t="shared" si="184"/>
        <v>18-24</v>
      </c>
      <c r="L1553" s="14" t="str">
        <f t="shared" si="188"/>
        <v>Romper Short | 18-24 | Caldet Blue</v>
      </c>
      <c r="M1553" s="16" t="s">
        <v>3610</v>
      </c>
    </row>
    <row r="1554" spans="1:13" ht="25" customHeight="1" x14ac:dyDescent="0.45">
      <c r="A1554" s="45">
        <v>46186</v>
      </c>
      <c r="B1554" s="46" t="s">
        <v>1651</v>
      </c>
      <c r="C1554" s="44" t="s">
        <v>126</v>
      </c>
      <c r="D1554" s="53" t="str">
        <f t="shared" si="186"/>
        <v xml:space="preserve"> Sage Green</v>
      </c>
      <c r="E1554" s="44" t="s">
        <v>1666</v>
      </c>
      <c r="F1554" s="44" t="s">
        <v>19</v>
      </c>
      <c r="G1554" s="4" t="str">
        <f t="shared" si="190"/>
        <v>Romper Longer</v>
      </c>
      <c r="H1554" s="38">
        <f t="shared" si="189"/>
        <v>6</v>
      </c>
      <c r="I1554" s="54">
        <f t="shared" si="185"/>
        <v>24</v>
      </c>
      <c r="J1554" s="14" t="str">
        <f t="shared" si="187"/>
        <v>FathersDay</v>
      </c>
      <c r="K1554" s="16" t="str">
        <f t="shared" si="184"/>
        <v>6-12</v>
      </c>
      <c r="L1554" s="14" t="str">
        <f t="shared" si="188"/>
        <v>Romper Longer | 6-12 | Sage Green</v>
      </c>
      <c r="M1554" s="16" t="s">
        <v>3610</v>
      </c>
    </row>
    <row r="1555" spans="1:13" ht="25" customHeight="1" x14ac:dyDescent="0.45">
      <c r="A1555" s="45">
        <v>46187</v>
      </c>
      <c r="B1555" s="46" t="s">
        <v>1652</v>
      </c>
      <c r="C1555" s="44" t="s">
        <v>1455</v>
      </c>
      <c r="D1555" s="53" t="str">
        <f t="shared" si="186"/>
        <v xml:space="preserve"> White</v>
      </c>
      <c r="E1555" s="44" t="s">
        <v>1660</v>
      </c>
      <c r="F1555" s="44" t="s">
        <v>7</v>
      </c>
      <c r="G1555" s="4" t="str">
        <f t="shared" si="190"/>
        <v>Romper Longer</v>
      </c>
      <c r="H1555" s="38">
        <f t="shared" si="189"/>
        <v>6</v>
      </c>
      <c r="I1555" s="54">
        <f t="shared" si="185"/>
        <v>25</v>
      </c>
      <c r="J1555" s="14" t="str">
        <f t="shared" si="187"/>
        <v>FathersDay</v>
      </c>
      <c r="K1555" s="16" t="str">
        <f t="shared" si="184"/>
        <v>3-6</v>
      </c>
      <c r="L1555" s="14" t="str">
        <f t="shared" si="188"/>
        <v>Romper Longer | 3-6 | White</v>
      </c>
      <c r="M1555" s="16" t="s">
        <v>3610</v>
      </c>
    </row>
    <row r="1556" spans="1:13" ht="25" customHeight="1" x14ac:dyDescent="0.45">
      <c r="A1556" s="45">
        <v>46188</v>
      </c>
      <c r="B1556" s="46" t="s">
        <v>1653</v>
      </c>
      <c r="C1556" s="44" t="s">
        <v>81</v>
      </c>
      <c r="D1556" s="53" t="str">
        <f t="shared" si="186"/>
        <v>Dusty Pink</v>
      </c>
      <c r="E1556" s="44" t="s">
        <v>1667</v>
      </c>
      <c r="F1556" s="44" t="s">
        <v>7</v>
      </c>
      <c r="G1556" s="4" t="str">
        <f t="shared" si="190"/>
        <v>Romper Longer</v>
      </c>
      <c r="H1556" s="38">
        <f t="shared" si="189"/>
        <v>6</v>
      </c>
      <c r="I1556" s="54">
        <f t="shared" si="185"/>
        <v>25</v>
      </c>
      <c r="J1556" s="14" t="str">
        <f t="shared" si="187"/>
        <v>FathersDay</v>
      </c>
      <c r="K1556" s="16" t="str">
        <f t="shared" si="184"/>
        <v>0-3</v>
      </c>
      <c r="L1556" s="14" t="str">
        <f t="shared" si="188"/>
        <v>Romper Longer | 0-3 | Dusty Pink</v>
      </c>
      <c r="M1556" s="16" t="s">
        <v>3610</v>
      </c>
    </row>
    <row r="1557" spans="1:13" ht="25" customHeight="1" x14ac:dyDescent="0.45">
      <c r="A1557" s="45">
        <v>46188</v>
      </c>
      <c r="B1557" s="43" t="s">
        <v>1654</v>
      </c>
      <c r="C1557" s="44" t="s">
        <v>1455</v>
      </c>
      <c r="D1557" s="53" t="str">
        <f t="shared" si="186"/>
        <v xml:space="preserve"> White</v>
      </c>
      <c r="E1557" s="44" t="s">
        <v>1667</v>
      </c>
      <c r="F1557" s="44" t="s">
        <v>7</v>
      </c>
      <c r="G1557" s="4" t="str">
        <f t="shared" si="190"/>
        <v>Romper Longer</v>
      </c>
      <c r="H1557" s="38">
        <f t="shared" si="189"/>
        <v>6</v>
      </c>
      <c r="I1557" s="54">
        <f t="shared" si="185"/>
        <v>25</v>
      </c>
      <c r="J1557" s="14" t="str">
        <f t="shared" si="187"/>
        <v>FathersDay</v>
      </c>
      <c r="K1557" s="16" t="str">
        <f t="shared" si="184"/>
        <v>0-3</v>
      </c>
      <c r="L1557" s="14" t="str">
        <f t="shared" si="188"/>
        <v>Romper Longer | 0-3 | White</v>
      </c>
      <c r="M1557" s="16" t="s">
        <v>3610</v>
      </c>
    </row>
    <row r="1558" spans="1:13" ht="25" customHeight="1" x14ac:dyDescent="0.45">
      <c r="A1558" s="45">
        <v>46188</v>
      </c>
      <c r="B1558" s="46" t="s">
        <v>1655</v>
      </c>
      <c r="C1558" s="44" t="s">
        <v>9</v>
      </c>
      <c r="D1558" s="53" t="str">
        <f t="shared" si="186"/>
        <v>Cream</v>
      </c>
      <c r="E1558" s="44" t="s">
        <v>1664</v>
      </c>
      <c r="F1558" s="44" t="s">
        <v>7</v>
      </c>
      <c r="G1558" s="4" t="str">
        <f t="shared" si="190"/>
        <v>Romper Short</v>
      </c>
      <c r="H1558" s="38">
        <f t="shared" si="189"/>
        <v>6</v>
      </c>
      <c r="I1558" s="54">
        <f t="shared" si="185"/>
        <v>25</v>
      </c>
      <c r="J1558" s="14" t="str">
        <f t="shared" si="187"/>
        <v>FathersDay</v>
      </c>
      <c r="K1558" s="16" t="str">
        <f t="shared" si="184"/>
        <v>12-18</v>
      </c>
      <c r="L1558" s="14" t="str">
        <f t="shared" si="188"/>
        <v>Romper Short | 12-18 | Cream</v>
      </c>
      <c r="M1558" s="16" t="s">
        <v>3610</v>
      </c>
    </row>
    <row r="1559" spans="1:13" ht="25" customHeight="1" x14ac:dyDescent="0.45">
      <c r="A1559" s="45">
        <v>46188</v>
      </c>
      <c r="B1559" s="46" t="s">
        <v>1656</v>
      </c>
      <c r="C1559" s="44" t="s">
        <v>9</v>
      </c>
      <c r="D1559" s="53" t="str">
        <f t="shared" si="186"/>
        <v>Cream</v>
      </c>
      <c r="E1559" s="44" t="s">
        <v>1663</v>
      </c>
      <c r="F1559" s="44" t="s">
        <v>7</v>
      </c>
      <c r="G1559" s="4" t="str">
        <f t="shared" si="190"/>
        <v>Romper Short</v>
      </c>
      <c r="H1559" s="38">
        <f t="shared" si="189"/>
        <v>6</v>
      </c>
      <c r="I1559" s="54">
        <f t="shared" si="185"/>
        <v>25</v>
      </c>
      <c r="J1559" s="14" t="str">
        <f t="shared" si="187"/>
        <v>FathersDay</v>
      </c>
      <c r="K1559" s="16" t="str">
        <f t="shared" si="184"/>
        <v>3-6</v>
      </c>
      <c r="L1559" s="14" t="str">
        <f t="shared" si="188"/>
        <v>Romper Short | 3-6 | Cream</v>
      </c>
      <c r="M1559" s="16" t="s">
        <v>3609</v>
      </c>
    </row>
    <row r="1560" spans="1:13" ht="25" customHeight="1" x14ac:dyDescent="0.45">
      <c r="A1560" s="45">
        <v>46188</v>
      </c>
      <c r="B1560" s="43" t="s">
        <v>1657</v>
      </c>
      <c r="C1560" s="44" t="s">
        <v>76</v>
      </c>
      <c r="D1560" s="53" t="str">
        <f t="shared" si="186"/>
        <v>Caldet Blue</v>
      </c>
      <c r="E1560" s="44" t="s">
        <v>1664</v>
      </c>
      <c r="F1560" s="44" t="s">
        <v>7</v>
      </c>
      <c r="G1560" s="4" t="str">
        <f t="shared" si="190"/>
        <v>Romper Short</v>
      </c>
      <c r="H1560" s="38">
        <f t="shared" si="189"/>
        <v>6</v>
      </c>
      <c r="I1560" s="54">
        <f t="shared" si="185"/>
        <v>25</v>
      </c>
      <c r="J1560" s="14" t="str">
        <f t="shared" si="187"/>
        <v>FathersDay</v>
      </c>
      <c r="K1560" s="16" t="str">
        <f t="shared" si="184"/>
        <v>12-18</v>
      </c>
      <c r="L1560" s="14" t="str">
        <f t="shared" si="188"/>
        <v>Romper Short | 12-18 | Caldet Blue</v>
      </c>
      <c r="M1560" s="16" t="s">
        <v>3610</v>
      </c>
    </row>
    <row r="1561" spans="1:13" ht="25" customHeight="1" x14ac:dyDescent="0.45">
      <c r="A1561" s="45">
        <v>46189</v>
      </c>
      <c r="B1561" s="43" t="s">
        <v>1658</v>
      </c>
      <c r="C1561" s="47" t="s">
        <v>1669</v>
      </c>
      <c r="D1561" s="53" t="str">
        <f t="shared" si="186"/>
        <v xml:space="preserve">  Cream</v>
      </c>
      <c r="E1561" s="44" t="s">
        <v>1663</v>
      </c>
      <c r="F1561" s="44" t="s">
        <v>7</v>
      </c>
      <c r="G1561" s="4" t="str">
        <f t="shared" si="190"/>
        <v>Romper Short</v>
      </c>
      <c r="H1561" s="38">
        <f t="shared" si="189"/>
        <v>6</v>
      </c>
      <c r="I1561" s="54">
        <f t="shared" si="185"/>
        <v>25</v>
      </c>
      <c r="J1561" s="14" t="str">
        <f t="shared" si="187"/>
        <v>FathersDay</v>
      </c>
      <c r="K1561" s="16" t="str">
        <f t="shared" si="184"/>
        <v>3-6</v>
      </c>
      <c r="L1561" s="14" t="str">
        <f t="shared" si="188"/>
        <v>Romper Short | 3-6 | Cream</v>
      </c>
      <c r="M1561" s="16" t="s">
        <v>3609</v>
      </c>
    </row>
    <row r="1562" spans="1:13" ht="25" customHeight="1" x14ac:dyDescent="0.45">
      <c r="A1562" s="45">
        <v>46189</v>
      </c>
      <c r="B1562" s="46" t="s">
        <v>1659</v>
      </c>
      <c r="C1562" s="47" t="s">
        <v>126</v>
      </c>
      <c r="D1562" s="53" t="str">
        <f t="shared" si="186"/>
        <v xml:space="preserve"> Sage Green</v>
      </c>
      <c r="E1562" s="44" t="s">
        <v>1666</v>
      </c>
      <c r="F1562" s="44" t="s">
        <v>7</v>
      </c>
      <c r="G1562" s="4" t="str">
        <f t="shared" si="190"/>
        <v>Romper Longer</v>
      </c>
      <c r="H1562" s="38">
        <f t="shared" si="189"/>
        <v>6</v>
      </c>
      <c r="I1562" s="54">
        <f t="shared" si="185"/>
        <v>25</v>
      </c>
      <c r="J1562" s="14" t="str">
        <f t="shared" si="187"/>
        <v>FathersDay</v>
      </c>
      <c r="K1562" s="16" t="str">
        <f t="shared" si="184"/>
        <v>6-12</v>
      </c>
      <c r="L1562" s="14" t="str">
        <f t="shared" si="188"/>
        <v>Romper Longer | 6-12 | Sage Green</v>
      </c>
      <c r="M1562" s="16" t="s">
        <v>3610</v>
      </c>
    </row>
    <row r="1563" spans="1:13" ht="25" customHeight="1" x14ac:dyDescent="0.45">
      <c r="A1563" s="39">
        <v>46088</v>
      </c>
      <c r="B1563" s="19" t="s">
        <v>1684</v>
      </c>
      <c r="C1563" s="5" t="s">
        <v>1677</v>
      </c>
      <c r="D1563" s="53" t="str">
        <f t="shared" si="186"/>
        <v xml:space="preserve">Salmon </v>
      </c>
      <c r="E1563" s="5" t="s">
        <v>1667</v>
      </c>
      <c r="F1563" s="5" t="s">
        <v>7</v>
      </c>
      <c r="G1563" s="4" t="str">
        <f t="shared" si="190"/>
        <v>Romper Longer</v>
      </c>
      <c r="H1563" s="38">
        <f t="shared" si="189"/>
        <v>3</v>
      </c>
      <c r="I1563" s="54">
        <f t="shared" si="185"/>
        <v>10</v>
      </c>
      <c r="J1563" s="14" t="str">
        <f t="shared" si="187"/>
        <v>Easter</v>
      </c>
      <c r="K1563" s="16" t="str">
        <f t="shared" si="184"/>
        <v>0-3</v>
      </c>
      <c r="L1563" s="14" t="str">
        <f t="shared" si="188"/>
        <v>Romper Longer | 0-3 | Salmon</v>
      </c>
      <c r="M1563" s="16" t="s">
        <v>3610</v>
      </c>
    </row>
    <row r="1564" spans="1:13" ht="25" customHeight="1" x14ac:dyDescent="0.45">
      <c r="A1564" s="39">
        <v>46090</v>
      </c>
      <c r="B1564" s="19" t="s">
        <v>1685</v>
      </c>
      <c r="C1564" s="5" t="s">
        <v>224</v>
      </c>
      <c r="D1564" s="53" t="str">
        <f t="shared" si="186"/>
        <v>Salmon</v>
      </c>
      <c r="E1564" s="5" t="s">
        <v>1662</v>
      </c>
      <c r="F1564" s="5" t="s">
        <v>7</v>
      </c>
      <c r="G1564" s="4" t="str">
        <f t="shared" si="190"/>
        <v>Romper Short</v>
      </c>
      <c r="H1564" s="38">
        <f t="shared" si="189"/>
        <v>3</v>
      </c>
      <c r="I1564" s="54">
        <f t="shared" si="185"/>
        <v>11</v>
      </c>
      <c r="J1564" s="14" t="str">
        <f t="shared" si="187"/>
        <v>Easter</v>
      </c>
      <c r="K1564" s="16" t="str">
        <f t="shared" si="184"/>
        <v>6-12</v>
      </c>
      <c r="L1564" s="14" t="str">
        <f t="shared" si="188"/>
        <v>Romper Short | 6-12 | Salmon</v>
      </c>
      <c r="M1564" s="16" t="s">
        <v>3610</v>
      </c>
    </row>
    <row r="1565" spans="1:13" ht="25" customHeight="1" x14ac:dyDescent="0.45">
      <c r="A1565" s="39">
        <v>46091</v>
      </c>
      <c r="B1565" s="19" t="s">
        <v>1686</v>
      </c>
      <c r="C1565" s="5" t="s">
        <v>81</v>
      </c>
      <c r="D1565" s="53" t="str">
        <f t="shared" si="186"/>
        <v>Dusty Pink</v>
      </c>
      <c r="E1565" s="5" t="s">
        <v>1667</v>
      </c>
      <c r="F1565" s="5" t="s">
        <v>7</v>
      </c>
      <c r="G1565" s="4" t="str">
        <f t="shared" si="190"/>
        <v>Romper Longer</v>
      </c>
      <c r="H1565" s="38">
        <f t="shared" si="189"/>
        <v>3</v>
      </c>
      <c r="I1565" s="54">
        <f t="shared" si="185"/>
        <v>11</v>
      </c>
      <c r="J1565" s="14" t="str">
        <f t="shared" si="187"/>
        <v>Easter</v>
      </c>
      <c r="K1565" s="16" t="str">
        <f t="shared" si="184"/>
        <v>0-3</v>
      </c>
      <c r="L1565" s="14" t="str">
        <f t="shared" si="188"/>
        <v>Romper Longer | 0-3 | Dusty Pink</v>
      </c>
      <c r="M1565" s="16" t="s">
        <v>3610</v>
      </c>
    </row>
    <row r="1566" spans="1:13" ht="25" customHeight="1" x14ac:dyDescent="0.45">
      <c r="A1566" s="39">
        <v>46091</v>
      </c>
      <c r="B1566" s="19" t="s">
        <v>1687</v>
      </c>
      <c r="C1566" s="5" t="s">
        <v>9</v>
      </c>
      <c r="D1566" s="53" t="str">
        <f t="shared" si="186"/>
        <v>Cream</v>
      </c>
      <c r="E1566" s="5" t="s">
        <v>1660</v>
      </c>
      <c r="F1566" s="5" t="s">
        <v>7</v>
      </c>
      <c r="G1566" s="4" t="str">
        <f t="shared" si="190"/>
        <v>Romper Longer</v>
      </c>
      <c r="H1566" s="38">
        <f t="shared" si="189"/>
        <v>3</v>
      </c>
      <c r="I1566" s="54">
        <f t="shared" si="185"/>
        <v>11</v>
      </c>
      <c r="J1566" s="14" t="str">
        <f t="shared" si="187"/>
        <v>Easter</v>
      </c>
      <c r="K1566" s="16" t="str">
        <f t="shared" si="184"/>
        <v>3-6</v>
      </c>
      <c r="L1566" s="14" t="str">
        <f t="shared" si="188"/>
        <v>Romper Longer | 3-6 | Cream</v>
      </c>
      <c r="M1566" s="16" t="s">
        <v>3609</v>
      </c>
    </row>
    <row r="1567" spans="1:13" ht="25" customHeight="1" x14ac:dyDescent="0.45">
      <c r="A1567" s="39">
        <v>46106</v>
      </c>
      <c r="B1567" s="19" t="s">
        <v>1688</v>
      </c>
      <c r="C1567" s="5" t="s">
        <v>1719</v>
      </c>
      <c r="D1567" s="53" t="str">
        <f t="shared" si="186"/>
        <v xml:space="preserve"> Salmon</v>
      </c>
      <c r="E1567" s="5" t="s">
        <v>1663</v>
      </c>
      <c r="F1567" s="5" t="s">
        <v>11</v>
      </c>
      <c r="G1567" s="4" t="str">
        <f t="shared" si="190"/>
        <v>Romper Short</v>
      </c>
      <c r="H1567" s="38">
        <f t="shared" si="189"/>
        <v>3</v>
      </c>
      <c r="I1567" s="54">
        <f t="shared" si="185"/>
        <v>13</v>
      </c>
      <c r="J1567" s="14" t="str">
        <f t="shared" si="187"/>
        <v>Easter</v>
      </c>
      <c r="K1567" s="16" t="str">
        <f t="shared" si="184"/>
        <v>3-6</v>
      </c>
      <c r="L1567" s="14" t="str">
        <f t="shared" si="188"/>
        <v>Romper Short | 3-6 | Salmon</v>
      </c>
      <c r="M1567" s="16" t="s">
        <v>3610</v>
      </c>
    </row>
    <row r="1568" spans="1:13" ht="25" customHeight="1" x14ac:dyDescent="0.45">
      <c r="A1568" s="39">
        <v>46106</v>
      </c>
      <c r="B1568" s="19" t="s">
        <v>1689</v>
      </c>
      <c r="C1568" s="5" t="s">
        <v>1455</v>
      </c>
      <c r="D1568" s="53" t="str">
        <f t="shared" si="186"/>
        <v xml:space="preserve"> White</v>
      </c>
      <c r="E1568" s="5" t="s">
        <v>1661</v>
      </c>
      <c r="F1568" s="5" t="s">
        <v>7</v>
      </c>
      <c r="G1568" s="4" t="str">
        <f t="shared" si="190"/>
        <v>Romper Short</v>
      </c>
      <c r="H1568" s="38">
        <f t="shared" si="189"/>
        <v>3</v>
      </c>
      <c r="I1568" s="54">
        <f t="shared" si="185"/>
        <v>13</v>
      </c>
      <c r="J1568" s="14" t="str">
        <f t="shared" si="187"/>
        <v>Easter</v>
      </c>
      <c r="K1568" s="16" t="str">
        <f t="shared" si="184"/>
        <v>0-3</v>
      </c>
      <c r="L1568" s="14" t="str">
        <f t="shared" si="188"/>
        <v>Romper Short | 0-3 | White</v>
      </c>
      <c r="M1568" s="16" t="s">
        <v>3610</v>
      </c>
    </row>
    <row r="1569" spans="1:13" ht="25" customHeight="1" x14ac:dyDescent="0.45">
      <c r="A1569" s="39">
        <v>46118</v>
      </c>
      <c r="B1569" s="19" t="s">
        <v>1690</v>
      </c>
      <c r="C1569" s="5" t="s">
        <v>9</v>
      </c>
      <c r="D1569" s="53" t="str">
        <f t="shared" si="186"/>
        <v>Cream</v>
      </c>
      <c r="E1569" s="5" t="s">
        <v>1663</v>
      </c>
      <c r="F1569" s="5" t="s">
        <v>7</v>
      </c>
      <c r="G1569" s="4" t="str">
        <f t="shared" si="190"/>
        <v>Romper Short</v>
      </c>
      <c r="H1569" s="38">
        <f t="shared" si="189"/>
        <v>4</v>
      </c>
      <c r="I1569" s="54">
        <f t="shared" si="185"/>
        <v>15</v>
      </c>
      <c r="J1569" s="14" t="str">
        <f t="shared" si="187"/>
        <v>Easter</v>
      </c>
      <c r="K1569" s="16" t="str">
        <f t="shared" si="184"/>
        <v>3-6</v>
      </c>
      <c r="L1569" s="14" t="str">
        <f t="shared" si="188"/>
        <v>Romper Short | 3-6 | Cream</v>
      </c>
      <c r="M1569" s="16" t="s">
        <v>3609</v>
      </c>
    </row>
    <row r="1570" spans="1:13" ht="25" customHeight="1" x14ac:dyDescent="0.45">
      <c r="A1570" s="39">
        <v>46120</v>
      </c>
      <c r="B1570" s="41" t="s">
        <v>1691</v>
      </c>
      <c r="C1570" s="5" t="s">
        <v>126</v>
      </c>
      <c r="D1570" s="53" t="str">
        <f t="shared" si="186"/>
        <v xml:space="preserve"> Sage Green</v>
      </c>
      <c r="E1570" s="5" t="s">
        <v>1662</v>
      </c>
      <c r="F1570" s="5" t="s">
        <v>7</v>
      </c>
      <c r="G1570" s="4" t="str">
        <f t="shared" si="190"/>
        <v>Romper Short</v>
      </c>
      <c r="H1570" s="38">
        <f t="shared" si="189"/>
        <v>4</v>
      </c>
      <c r="I1570" s="54">
        <f t="shared" si="185"/>
        <v>15</v>
      </c>
      <c r="J1570" s="14" t="str">
        <f t="shared" si="187"/>
        <v>Easter</v>
      </c>
      <c r="K1570" s="16" t="str">
        <f t="shared" si="184"/>
        <v>6-12</v>
      </c>
      <c r="L1570" s="14" t="str">
        <f t="shared" si="188"/>
        <v>Romper Short | 6-12 | Sage Green</v>
      </c>
      <c r="M1570" s="16" t="s">
        <v>3610</v>
      </c>
    </row>
    <row r="1571" spans="1:13" ht="25" customHeight="1" x14ac:dyDescent="0.45">
      <c r="A1571" s="39">
        <v>46120</v>
      </c>
      <c r="B1571" s="19" t="s">
        <v>1692</v>
      </c>
      <c r="C1571" s="5" t="s">
        <v>9</v>
      </c>
      <c r="D1571" s="53" t="str">
        <f t="shared" si="186"/>
        <v>Cream</v>
      </c>
      <c r="E1571" s="5" t="s">
        <v>1666</v>
      </c>
      <c r="F1571" s="5" t="s">
        <v>7</v>
      </c>
      <c r="G1571" s="4" t="str">
        <f t="shared" si="190"/>
        <v>Romper Longer</v>
      </c>
      <c r="H1571" s="38">
        <f t="shared" si="189"/>
        <v>4</v>
      </c>
      <c r="I1571" s="54">
        <f t="shared" si="185"/>
        <v>15</v>
      </c>
      <c r="J1571" s="14" t="str">
        <f t="shared" si="187"/>
        <v>Easter</v>
      </c>
      <c r="K1571" s="16" t="str">
        <f t="shared" si="184"/>
        <v>6-12</v>
      </c>
      <c r="L1571" s="14" t="str">
        <f t="shared" si="188"/>
        <v>Romper Longer | 6-12 | Cream</v>
      </c>
      <c r="M1571" s="16" t="s">
        <v>3611</v>
      </c>
    </row>
    <row r="1572" spans="1:13" ht="25" customHeight="1" x14ac:dyDescent="0.45">
      <c r="A1572" s="39">
        <v>46125</v>
      </c>
      <c r="B1572" s="19" t="s">
        <v>1693</v>
      </c>
      <c r="C1572" s="5" t="s">
        <v>81</v>
      </c>
      <c r="D1572" s="53" t="str">
        <f t="shared" si="186"/>
        <v>Dusty Pink</v>
      </c>
      <c r="E1572" s="5" t="s">
        <v>1663</v>
      </c>
      <c r="F1572" s="5" t="s">
        <v>7</v>
      </c>
      <c r="G1572" s="4" t="str">
        <f t="shared" si="190"/>
        <v>Romper Short</v>
      </c>
      <c r="H1572" s="38">
        <f t="shared" si="189"/>
        <v>4</v>
      </c>
      <c r="I1572" s="54">
        <f t="shared" si="185"/>
        <v>16</v>
      </c>
      <c r="J1572" s="14" t="str">
        <f t="shared" si="187"/>
        <v>Easter</v>
      </c>
      <c r="K1572" s="16" t="str">
        <f t="shared" si="184"/>
        <v>3-6</v>
      </c>
      <c r="L1572" s="14" t="str">
        <f t="shared" si="188"/>
        <v>Romper Short | 3-6 | Dusty Pink</v>
      </c>
      <c r="M1572" s="16" t="s">
        <v>3610</v>
      </c>
    </row>
    <row r="1573" spans="1:13" ht="25" customHeight="1" x14ac:dyDescent="0.45">
      <c r="A1573" s="39">
        <v>46125</v>
      </c>
      <c r="B1573" s="19" t="s">
        <v>1694</v>
      </c>
      <c r="C1573" s="5" t="s">
        <v>9</v>
      </c>
      <c r="D1573" s="53" t="str">
        <f t="shared" si="186"/>
        <v>Cream</v>
      </c>
      <c r="E1573" s="5" t="s">
        <v>1667</v>
      </c>
      <c r="F1573" s="5" t="s">
        <v>18</v>
      </c>
      <c r="G1573" s="4" t="str">
        <f t="shared" si="190"/>
        <v>Romper Longer</v>
      </c>
      <c r="H1573" s="38">
        <f t="shared" si="189"/>
        <v>4</v>
      </c>
      <c r="I1573" s="54">
        <f t="shared" si="185"/>
        <v>16</v>
      </c>
      <c r="J1573" s="14" t="str">
        <f t="shared" si="187"/>
        <v>Easter</v>
      </c>
      <c r="K1573" s="16" t="str">
        <f t="shared" si="184"/>
        <v>0-3</v>
      </c>
      <c r="L1573" s="14" t="str">
        <f t="shared" si="188"/>
        <v>Romper Longer | 0-3 | Cream</v>
      </c>
      <c r="M1573" s="16" t="s">
        <v>3609</v>
      </c>
    </row>
    <row r="1574" spans="1:13" ht="25" customHeight="1" x14ac:dyDescent="0.45">
      <c r="A1574" s="39">
        <v>46127</v>
      </c>
      <c r="B1574" s="19" t="s">
        <v>1695</v>
      </c>
      <c r="C1574" s="5" t="s">
        <v>76</v>
      </c>
      <c r="D1574" s="53" t="str">
        <f t="shared" si="186"/>
        <v>Caldet Blue</v>
      </c>
      <c r="E1574" s="5" t="s">
        <v>1664</v>
      </c>
      <c r="F1574" s="5" t="s">
        <v>7</v>
      </c>
      <c r="G1574" s="4" t="str">
        <f t="shared" si="190"/>
        <v>Romper Short</v>
      </c>
      <c r="H1574" s="38">
        <f t="shared" si="189"/>
        <v>4</v>
      </c>
      <c r="I1574" s="54">
        <f t="shared" si="185"/>
        <v>16</v>
      </c>
      <c r="J1574" s="14" t="str">
        <f t="shared" si="187"/>
        <v>Easter</v>
      </c>
      <c r="K1574" s="16" t="str">
        <f t="shared" si="184"/>
        <v>12-18</v>
      </c>
      <c r="L1574" s="14" t="str">
        <f t="shared" si="188"/>
        <v>Romper Short | 12-18 | Caldet Blue</v>
      </c>
      <c r="M1574" s="16" t="s">
        <v>3610</v>
      </c>
    </row>
    <row r="1575" spans="1:13" ht="25" customHeight="1" x14ac:dyDescent="0.45">
      <c r="A1575" s="39">
        <v>46134</v>
      </c>
      <c r="B1575" s="19" t="s">
        <v>1696</v>
      </c>
      <c r="C1575" s="5" t="s">
        <v>85</v>
      </c>
      <c r="D1575" s="53" t="str">
        <f t="shared" si="186"/>
        <v>Forest Green</v>
      </c>
      <c r="E1575" s="5" t="s">
        <v>1667</v>
      </c>
      <c r="F1575" s="5" t="s">
        <v>957</v>
      </c>
      <c r="G1575" s="4" t="str">
        <f t="shared" si="190"/>
        <v>Romper Longer</v>
      </c>
      <c r="H1575" s="38">
        <f t="shared" si="189"/>
        <v>4</v>
      </c>
      <c r="I1575" s="54">
        <f t="shared" si="185"/>
        <v>17</v>
      </c>
      <c r="J1575" s="14" t="str">
        <f t="shared" si="187"/>
        <v>Easter</v>
      </c>
      <c r="K1575" s="16" t="str">
        <f t="shared" ref="K1575:K1638" si="191">TRIM(LEFT(E1575,FIND("(",E1575&amp;"(")-7))</f>
        <v>0-3</v>
      </c>
      <c r="L1575" s="14" t="str">
        <f t="shared" si="188"/>
        <v>Romper Longer | 0-3 | Forest Green</v>
      </c>
      <c r="M1575" s="16" t="s">
        <v>3610</v>
      </c>
    </row>
    <row r="1576" spans="1:13" ht="25" customHeight="1" x14ac:dyDescent="0.45">
      <c r="A1576" s="39">
        <v>46135</v>
      </c>
      <c r="B1576" s="19" t="s">
        <v>1697</v>
      </c>
      <c r="C1576" s="5" t="s">
        <v>9</v>
      </c>
      <c r="D1576" s="53" t="str">
        <f t="shared" si="186"/>
        <v>Cream</v>
      </c>
      <c r="E1576" s="5" t="s">
        <v>1662</v>
      </c>
      <c r="F1576" s="5" t="s">
        <v>7</v>
      </c>
      <c r="G1576" s="4" t="str">
        <f t="shared" si="190"/>
        <v>Romper Short</v>
      </c>
      <c r="H1576" s="38">
        <f t="shared" si="189"/>
        <v>4</v>
      </c>
      <c r="I1576" s="54">
        <f t="shared" si="185"/>
        <v>17</v>
      </c>
      <c r="J1576" s="14" t="str">
        <f t="shared" si="187"/>
        <v>Easter</v>
      </c>
      <c r="K1576" s="16" t="str">
        <f t="shared" si="191"/>
        <v>6-12</v>
      </c>
      <c r="L1576" s="14" t="str">
        <f t="shared" si="188"/>
        <v>Romper Short | 6-12 | Cream</v>
      </c>
      <c r="M1576" s="16" t="s">
        <v>3611</v>
      </c>
    </row>
    <row r="1577" spans="1:13" ht="25" customHeight="1" x14ac:dyDescent="0.45">
      <c r="A1577" s="39">
        <v>46145</v>
      </c>
      <c r="B1577" s="19" t="s">
        <v>1698</v>
      </c>
      <c r="C1577" s="5" t="s">
        <v>79</v>
      </c>
      <c r="D1577" s="53" t="str">
        <f t="shared" si="186"/>
        <v>White</v>
      </c>
      <c r="E1577" s="5" t="s">
        <v>1664</v>
      </c>
      <c r="F1577" s="5" t="s">
        <v>7</v>
      </c>
      <c r="G1577" s="4" t="str">
        <f t="shared" si="190"/>
        <v>Romper Short</v>
      </c>
      <c r="H1577" s="38">
        <f t="shared" si="189"/>
        <v>5</v>
      </c>
      <c r="I1577" s="54">
        <f t="shared" si="185"/>
        <v>19</v>
      </c>
      <c r="J1577" s="14" t="str">
        <f t="shared" si="187"/>
        <v>MothersDay</v>
      </c>
      <c r="K1577" s="16" t="str">
        <f t="shared" si="191"/>
        <v>12-18</v>
      </c>
      <c r="L1577" s="14" t="str">
        <f t="shared" si="188"/>
        <v>Romper Short | 12-18 | White</v>
      </c>
      <c r="M1577" s="16" t="s">
        <v>3610</v>
      </c>
    </row>
    <row r="1578" spans="1:13" ht="25" customHeight="1" x14ac:dyDescent="0.45">
      <c r="A1578" s="39">
        <v>46147</v>
      </c>
      <c r="B1578" s="19" t="s">
        <v>1699</v>
      </c>
      <c r="C1578" s="5" t="s">
        <v>71</v>
      </c>
      <c r="D1578" s="53" t="str">
        <f t="shared" si="186"/>
        <v>Coffee</v>
      </c>
      <c r="E1578" s="5" t="s">
        <v>1663</v>
      </c>
      <c r="F1578" s="5" t="s">
        <v>7</v>
      </c>
      <c r="G1578" s="4" t="str">
        <f t="shared" si="190"/>
        <v>Romper Short</v>
      </c>
      <c r="H1578" s="38">
        <f t="shared" si="189"/>
        <v>5</v>
      </c>
      <c r="I1578" s="54">
        <f t="shared" si="185"/>
        <v>19</v>
      </c>
      <c r="J1578" s="14" t="str">
        <f t="shared" si="187"/>
        <v>MothersDay</v>
      </c>
      <c r="K1578" s="16" t="str">
        <f t="shared" si="191"/>
        <v>3-6</v>
      </c>
      <c r="L1578" s="14" t="str">
        <f t="shared" si="188"/>
        <v>Romper Short | 3-6 | Coffee</v>
      </c>
      <c r="M1578" s="16" t="s">
        <v>3610</v>
      </c>
    </row>
    <row r="1579" spans="1:13" ht="25" customHeight="1" x14ac:dyDescent="0.45">
      <c r="A1579" s="39">
        <v>46154</v>
      </c>
      <c r="B1579" s="19" t="s">
        <v>1700</v>
      </c>
      <c r="C1579" s="5" t="s">
        <v>76</v>
      </c>
      <c r="D1579" s="53" t="str">
        <f t="shared" si="186"/>
        <v>Caldet Blue</v>
      </c>
      <c r="E1579" s="5" t="s">
        <v>1661</v>
      </c>
      <c r="F1579" s="5" t="s">
        <v>281</v>
      </c>
      <c r="G1579" s="4" t="str">
        <f t="shared" si="190"/>
        <v>Romper Short</v>
      </c>
      <c r="H1579" s="38">
        <f t="shared" si="189"/>
        <v>5</v>
      </c>
      <c r="I1579" s="54">
        <f t="shared" si="185"/>
        <v>20</v>
      </c>
      <c r="J1579" s="14" t="str">
        <f t="shared" si="187"/>
        <v>MothersDay</v>
      </c>
      <c r="K1579" s="16" t="str">
        <f t="shared" si="191"/>
        <v>0-3</v>
      </c>
      <c r="L1579" s="14" t="str">
        <f t="shared" si="188"/>
        <v>Romper Short | 0-3 | Caldet Blue</v>
      </c>
      <c r="M1579" s="16" t="s">
        <v>3610</v>
      </c>
    </row>
    <row r="1580" spans="1:13" ht="25" customHeight="1" x14ac:dyDescent="0.45">
      <c r="A1580" s="39">
        <v>46156</v>
      </c>
      <c r="B1580" s="19" t="s">
        <v>1701</v>
      </c>
      <c r="C1580" s="5" t="s">
        <v>110</v>
      </c>
      <c r="D1580" s="53" t="str">
        <f t="shared" si="186"/>
        <v>Sage Green</v>
      </c>
      <c r="E1580" s="5" t="s">
        <v>1662</v>
      </c>
      <c r="F1580" s="5" t="s">
        <v>7</v>
      </c>
      <c r="G1580" s="4" t="str">
        <f t="shared" si="190"/>
        <v>Romper Short</v>
      </c>
      <c r="H1580" s="38">
        <f t="shared" si="189"/>
        <v>5</v>
      </c>
      <c r="I1580" s="54">
        <f t="shared" si="185"/>
        <v>20</v>
      </c>
      <c r="J1580" s="14" t="str">
        <f t="shared" si="187"/>
        <v>MothersDay</v>
      </c>
      <c r="K1580" s="16" t="str">
        <f t="shared" si="191"/>
        <v>6-12</v>
      </c>
      <c r="L1580" s="14" t="str">
        <f t="shared" si="188"/>
        <v>Romper Short | 6-12 | Sage Green</v>
      </c>
      <c r="M1580" s="16" t="s">
        <v>3610</v>
      </c>
    </row>
    <row r="1581" spans="1:13" ht="25" customHeight="1" x14ac:dyDescent="0.45">
      <c r="A1581" s="39">
        <v>46156</v>
      </c>
      <c r="B1581" s="19" t="s">
        <v>1702</v>
      </c>
      <c r="C1581" s="5" t="s">
        <v>9</v>
      </c>
      <c r="D1581" s="53" t="str">
        <f t="shared" si="186"/>
        <v>Cream</v>
      </c>
      <c r="E1581" s="5" t="s">
        <v>1663</v>
      </c>
      <c r="F1581" s="5" t="s">
        <v>7</v>
      </c>
      <c r="G1581" s="4" t="str">
        <f t="shared" si="190"/>
        <v>Romper Short</v>
      </c>
      <c r="H1581" s="38">
        <f t="shared" si="189"/>
        <v>5</v>
      </c>
      <c r="I1581" s="54">
        <f t="shared" si="185"/>
        <v>20</v>
      </c>
      <c r="J1581" s="14" t="str">
        <f t="shared" si="187"/>
        <v>MothersDay</v>
      </c>
      <c r="K1581" s="16" t="str">
        <f t="shared" si="191"/>
        <v>3-6</v>
      </c>
      <c r="L1581" s="14" t="str">
        <f t="shared" si="188"/>
        <v>Romper Short | 3-6 | Cream</v>
      </c>
      <c r="M1581" s="16" t="s">
        <v>3609</v>
      </c>
    </row>
    <row r="1582" spans="1:13" ht="25" customHeight="1" x14ac:dyDescent="0.45">
      <c r="A1582" s="39">
        <v>46157</v>
      </c>
      <c r="B1582" s="19" t="s">
        <v>1703</v>
      </c>
      <c r="C1582" s="5" t="s">
        <v>79</v>
      </c>
      <c r="D1582" s="53" t="str">
        <f t="shared" si="186"/>
        <v>White</v>
      </c>
      <c r="E1582" s="5" t="s">
        <v>1661</v>
      </c>
      <c r="F1582" s="5" t="s">
        <v>13</v>
      </c>
      <c r="G1582" s="4" t="str">
        <f t="shared" si="190"/>
        <v>Romper Short</v>
      </c>
      <c r="H1582" s="38">
        <f t="shared" si="189"/>
        <v>5</v>
      </c>
      <c r="I1582" s="54">
        <f t="shared" si="185"/>
        <v>20</v>
      </c>
      <c r="J1582" s="14" t="str">
        <f t="shared" si="187"/>
        <v>MothersDay</v>
      </c>
      <c r="K1582" s="16" t="str">
        <f t="shared" si="191"/>
        <v>0-3</v>
      </c>
      <c r="L1582" s="14" t="str">
        <f t="shared" si="188"/>
        <v>Romper Short | 0-3 | White</v>
      </c>
      <c r="M1582" s="16" t="s">
        <v>3610</v>
      </c>
    </row>
    <row r="1583" spans="1:13" ht="25" customHeight="1" x14ac:dyDescent="0.45">
      <c r="A1583" s="39">
        <v>46160</v>
      </c>
      <c r="B1583" s="19" t="s">
        <v>1704</v>
      </c>
      <c r="C1583" s="5" t="s">
        <v>9</v>
      </c>
      <c r="D1583" s="53" t="str">
        <f t="shared" si="186"/>
        <v>Cream</v>
      </c>
      <c r="E1583" s="5" t="s">
        <v>1663</v>
      </c>
      <c r="F1583" s="5" t="s">
        <v>7</v>
      </c>
      <c r="G1583" s="4" t="str">
        <f t="shared" si="190"/>
        <v>Romper Short</v>
      </c>
      <c r="H1583" s="38">
        <f t="shared" si="189"/>
        <v>5</v>
      </c>
      <c r="I1583" s="54">
        <f t="shared" ref="I1583:I1646" si="192">WEEKNUM(A1583)</f>
        <v>21</v>
      </c>
      <c r="J1583" s="14" t="str">
        <f t="shared" si="187"/>
        <v>MothersDay</v>
      </c>
      <c r="K1583" s="16" t="str">
        <f t="shared" si="191"/>
        <v>3-6</v>
      </c>
      <c r="L1583" s="14" t="str">
        <f t="shared" si="188"/>
        <v>Romper Short | 3-6 | Cream</v>
      </c>
      <c r="M1583" s="16" t="s">
        <v>3609</v>
      </c>
    </row>
    <row r="1584" spans="1:13" ht="25" customHeight="1" x14ac:dyDescent="0.45">
      <c r="A1584" s="39">
        <v>46163</v>
      </c>
      <c r="B1584" s="19" t="s">
        <v>1705</v>
      </c>
      <c r="C1584" s="5" t="s">
        <v>224</v>
      </c>
      <c r="D1584" s="53" t="str">
        <f t="shared" si="186"/>
        <v>Salmon</v>
      </c>
      <c r="E1584" s="5" t="s">
        <v>1667</v>
      </c>
      <c r="F1584" s="5" t="s">
        <v>7</v>
      </c>
      <c r="G1584" s="4" t="str">
        <f t="shared" si="190"/>
        <v>Romper Longer</v>
      </c>
      <c r="H1584" s="38">
        <f t="shared" si="189"/>
        <v>5</v>
      </c>
      <c r="I1584" s="54">
        <f t="shared" si="192"/>
        <v>21</v>
      </c>
      <c r="J1584" s="14" t="str">
        <f t="shared" si="187"/>
        <v>MothersDay</v>
      </c>
      <c r="K1584" s="16" t="str">
        <f t="shared" si="191"/>
        <v>0-3</v>
      </c>
      <c r="L1584" s="14" t="str">
        <f t="shared" si="188"/>
        <v>Romper Longer | 0-3 | Salmon</v>
      </c>
      <c r="M1584" s="16" t="s">
        <v>3610</v>
      </c>
    </row>
    <row r="1585" spans="1:13" ht="25" customHeight="1" x14ac:dyDescent="0.45">
      <c r="A1585" s="39">
        <v>46167</v>
      </c>
      <c r="B1585" s="19" t="s">
        <v>1706</v>
      </c>
      <c r="C1585" s="5" t="s">
        <v>110</v>
      </c>
      <c r="D1585" s="53" t="str">
        <f t="shared" si="186"/>
        <v>Sage Green</v>
      </c>
      <c r="E1585" s="5" t="s">
        <v>1663</v>
      </c>
      <c r="F1585" s="5" t="s">
        <v>7</v>
      </c>
      <c r="G1585" s="4" t="str">
        <f t="shared" si="190"/>
        <v>Romper Short</v>
      </c>
      <c r="H1585" s="38">
        <f t="shared" si="189"/>
        <v>5</v>
      </c>
      <c r="I1585" s="54">
        <f t="shared" si="192"/>
        <v>22</v>
      </c>
      <c r="J1585" s="14" t="str">
        <f t="shared" si="187"/>
        <v>MothersDay</v>
      </c>
      <c r="K1585" s="16" t="str">
        <f t="shared" si="191"/>
        <v>3-6</v>
      </c>
      <c r="L1585" s="14" t="str">
        <f t="shared" si="188"/>
        <v>Romper Short | 3-6 | Sage Green</v>
      </c>
      <c r="M1585" s="16" t="s">
        <v>3611</v>
      </c>
    </row>
    <row r="1586" spans="1:13" ht="25" customHeight="1" x14ac:dyDescent="0.45">
      <c r="A1586" s="39">
        <v>46168</v>
      </c>
      <c r="B1586" s="19" t="s">
        <v>1707</v>
      </c>
      <c r="C1586" s="5" t="s">
        <v>81</v>
      </c>
      <c r="D1586" s="53" t="str">
        <f t="shared" si="186"/>
        <v>Dusty Pink</v>
      </c>
      <c r="E1586" s="5" t="s">
        <v>1663</v>
      </c>
      <c r="F1586" s="5" t="s">
        <v>18</v>
      </c>
      <c r="G1586" s="4" t="str">
        <f t="shared" si="190"/>
        <v>Romper Short</v>
      </c>
      <c r="H1586" s="38">
        <f t="shared" si="189"/>
        <v>5</v>
      </c>
      <c r="I1586" s="54">
        <f t="shared" si="192"/>
        <v>22</v>
      </c>
      <c r="J1586" s="14" t="str">
        <f t="shared" si="187"/>
        <v>MothersDay</v>
      </c>
      <c r="K1586" s="16" t="str">
        <f t="shared" si="191"/>
        <v>3-6</v>
      </c>
      <c r="L1586" s="14" t="str">
        <f t="shared" si="188"/>
        <v>Romper Short | 3-6 | Dusty Pink</v>
      </c>
      <c r="M1586" s="16" t="s">
        <v>3610</v>
      </c>
    </row>
    <row r="1587" spans="1:13" ht="25" customHeight="1" x14ac:dyDescent="0.45">
      <c r="A1587" s="39">
        <v>46172</v>
      </c>
      <c r="B1587" s="19" t="s">
        <v>1708</v>
      </c>
      <c r="C1587" s="5" t="s">
        <v>224</v>
      </c>
      <c r="D1587" s="53" t="str">
        <f t="shared" si="186"/>
        <v>Salmon</v>
      </c>
      <c r="E1587" s="5" t="s">
        <v>1663</v>
      </c>
      <c r="F1587" s="5" t="s">
        <v>13</v>
      </c>
      <c r="G1587" s="4" t="str">
        <f t="shared" si="190"/>
        <v>Romper Short</v>
      </c>
      <c r="H1587" s="38">
        <f t="shared" si="189"/>
        <v>5</v>
      </c>
      <c r="I1587" s="54">
        <f t="shared" si="192"/>
        <v>22</v>
      </c>
      <c r="J1587" s="14" t="str">
        <f t="shared" si="187"/>
        <v>MothersDay</v>
      </c>
      <c r="K1587" s="16" t="str">
        <f t="shared" si="191"/>
        <v>3-6</v>
      </c>
      <c r="L1587" s="14" t="str">
        <f t="shared" si="188"/>
        <v>Romper Short | 3-6 | Salmon</v>
      </c>
      <c r="M1587" s="16" t="s">
        <v>3610</v>
      </c>
    </row>
    <row r="1588" spans="1:13" ht="25" customHeight="1" x14ac:dyDescent="0.45">
      <c r="A1588" s="39">
        <v>46172</v>
      </c>
      <c r="B1588" s="19" t="s">
        <v>1709</v>
      </c>
      <c r="C1588" s="5" t="s">
        <v>74</v>
      </c>
      <c r="D1588" s="53" t="str">
        <f t="shared" si="186"/>
        <v>Watermelon</v>
      </c>
      <c r="E1588" s="5" t="s">
        <v>1668</v>
      </c>
      <c r="F1588" s="5" t="s">
        <v>7</v>
      </c>
      <c r="G1588" s="4" t="str">
        <f t="shared" si="190"/>
        <v>Romper Longer</v>
      </c>
      <c r="H1588" s="38">
        <f t="shared" si="189"/>
        <v>5</v>
      </c>
      <c r="I1588" s="54">
        <f t="shared" si="192"/>
        <v>22</v>
      </c>
      <c r="J1588" s="14" t="str">
        <f t="shared" si="187"/>
        <v>MothersDay</v>
      </c>
      <c r="K1588" s="16" t="str">
        <f t="shared" si="191"/>
        <v>12-18</v>
      </c>
      <c r="L1588" s="14" t="str">
        <f t="shared" si="188"/>
        <v>Romper Longer | 12-18 | Watermelon</v>
      </c>
      <c r="M1588" s="16" t="s">
        <v>3610</v>
      </c>
    </row>
    <row r="1589" spans="1:13" ht="25" customHeight="1" x14ac:dyDescent="0.45">
      <c r="A1589" s="39">
        <v>46174</v>
      </c>
      <c r="B1589" s="19" t="s">
        <v>1710</v>
      </c>
      <c r="C1589" s="5" t="s">
        <v>1679</v>
      </c>
      <c r="D1589" s="53" t="str">
        <f t="shared" si="186"/>
        <v xml:space="preserve">Coffee </v>
      </c>
      <c r="E1589" s="5" t="s">
        <v>1660</v>
      </c>
      <c r="F1589" s="5" t="s">
        <v>7</v>
      </c>
      <c r="G1589" s="4" t="str">
        <f t="shared" si="190"/>
        <v>Romper Longer</v>
      </c>
      <c r="H1589" s="38">
        <f t="shared" si="189"/>
        <v>6</v>
      </c>
      <c r="I1589" s="54">
        <f t="shared" si="192"/>
        <v>23</v>
      </c>
      <c r="J1589" s="14" t="str">
        <f t="shared" si="187"/>
        <v>FathersDay</v>
      </c>
      <c r="K1589" s="16" t="str">
        <f t="shared" si="191"/>
        <v>3-6</v>
      </c>
      <c r="L1589" s="14" t="str">
        <f t="shared" si="188"/>
        <v>Romper Longer | 3-6 | Coffee</v>
      </c>
      <c r="M1589" s="16" t="s">
        <v>3610</v>
      </c>
    </row>
    <row r="1590" spans="1:13" ht="25" customHeight="1" x14ac:dyDescent="0.45">
      <c r="A1590" s="39">
        <v>46177</v>
      </c>
      <c r="B1590" s="19" t="s">
        <v>1711</v>
      </c>
      <c r="C1590" s="5" t="s">
        <v>81</v>
      </c>
      <c r="D1590" s="53" t="str">
        <f t="shared" si="186"/>
        <v>Dusty Pink</v>
      </c>
      <c r="E1590" s="5" t="s">
        <v>1664</v>
      </c>
      <c r="F1590" s="5" t="s">
        <v>7</v>
      </c>
      <c r="G1590" s="4" t="str">
        <f t="shared" si="190"/>
        <v>Romper Short</v>
      </c>
      <c r="H1590" s="38">
        <f t="shared" si="189"/>
        <v>6</v>
      </c>
      <c r="I1590" s="54">
        <f t="shared" si="192"/>
        <v>23</v>
      </c>
      <c r="J1590" s="14" t="str">
        <f t="shared" si="187"/>
        <v>FathersDay</v>
      </c>
      <c r="K1590" s="16" t="str">
        <f t="shared" si="191"/>
        <v>12-18</v>
      </c>
      <c r="L1590" s="14" t="str">
        <f t="shared" si="188"/>
        <v>Romper Short | 12-18 | Dusty Pink</v>
      </c>
      <c r="M1590" s="16" t="s">
        <v>3610</v>
      </c>
    </row>
    <row r="1591" spans="1:13" ht="25" customHeight="1" x14ac:dyDescent="0.45">
      <c r="A1591" s="39">
        <v>46177</v>
      </c>
      <c r="B1591" s="19" t="s">
        <v>1712</v>
      </c>
      <c r="C1591" s="5" t="s">
        <v>9</v>
      </c>
      <c r="D1591" s="53" t="str">
        <f t="shared" si="186"/>
        <v>Cream</v>
      </c>
      <c r="E1591" s="5" t="s">
        <v>1667</v>
      </c>
      <c r="F1591" s="5" t="s">
        <v>7</v>
      </c>
      <c r="G1591" s="4" t="str">
        <f t="shared" si="190"/>
        <v>Romper Longer</v>
      </c>
      <c r="H1591" s="38">
        <f t="shared" si="189"/>
        <v>6</v>
      </c>
      <c r="I1591" s="54">
        <f t="shared" si="192"/>
        <v>23</v>
      </c>
      <c r="J1591" s="14" t="str">
        <f t="shared" si="187"/>
        <v>FathersDay</v>
      </c>
      <c r="K1591" s="16" t="str">
        <f t="shared" si="191"/>
        <v>0-3</v>
      </c>
      <c r="L1591" s="14" t="str">
        <f t="shared" si="188"/>
        <v>Romper Longer | 0-3 | Cream</v>
      </c>
      <c r="M1591" s="16" t="s">
        <v>3609</v>
      </c>
    </row>
    <row r="1592" spans="1:13" ht="25" customHeight="1" x14ac:dyDescent="0.45">
      <c r="A1592" s="39">
        <v>46177</v>
      </c>
      <c r="B1592" s="19" t="s">
        <v>1713</v>
      </c>
      <c r="C1592" s="5" t="s">
        <v>9</v>
      </c>
      <c r="D1592" s="53" t="str">
        <f t="shared" si="186"/>
        <v>Cream</v>
      </c>
      <c r="E1592" s="5" t="s">
        <v>1661</v>
      </c>
      <c r="F1592" s="5" t="s">
        <v>13</v>
      </c>
      <c r="G1592" s="4" t="str">
        <f t="shared" si="190"/>
        <v>Romper Short</v>
      </c>
      <c r="H1592" s="38">
        <f t="shared" si="189"/>
        <v>6</v>
      </c>
      <c r="I1592" s="54">
        <f t="shared" si="192"/>
        <v>23</v>
      </c>
      <c r="J1592" s="14" t="str">
        <f t="shared" si="187"/>
        <v>FathersDay</v>
      </c>
      <c r="K1592" s="16" t="str">
        <f t="shared" si="191"/>
        <v>0-3</v>
      </c>
      <c r="L1592" s="14" t="str">
        <f t="shared" si="188"/>
        <v>Romper Short | 0-3 | Cream</v>
      </c>
      <c r="M1592" s="16" t="s">
        <v>3609</v>
      </c>
    </row>
    <row r="1593" spans="1:13" ht="25" customHeight="1" x14ac:dyDescent="0.45">
      <c r="A1593" s="39">
        <v>46177</v>
      </c>
      <c r="B1593" s="19" t="s">
        <v>1714</v>
      </c>
      <c r="C1593" s="5" t="s">
        <v>9</v>
      </c>
      <c r="D1593" s="53" t="str">
        <f t="shared" si="186"/>
        <v>Cream</v>
      </c>
      <c r="E1593" s="5" t="s">
        <v>1663</v>
      </c>
      <c r="F1593" s="5" t="s">
        <v>7</v>
      </c>
      <c r="G1593" s="4" t="str">
        <f t="shared" si="190"/>
        <v>Romper Short</v>
      </c>
      <c r="H1593" s="38">
        <f t="shared" si="189"/>
        <v>6</v>
      </c>
      <c r="I1593" s="54">
        <f t="shared" si="192"/>
        <v>23</v>
      </c>
      <c r="J1593" s="14" t="str">
        <f t="shared" si="187"/>
        <v>FathersDay</v>
      </c>
      <c r="K1593" s="16" t="str">
        <f t="shared" si="191"/>
        <v>3-6</v>
      </c>
      <c r="L1593" s="14" t="str">
        <f t="shared" si="188"/>
        <v>Romper Short | 3-6 | Cream</v>
      </c>
      <c r="M1593" s="16" t="s">
        <v>3609</v>
      </c>
    </row>
    <row r="1594" spans="1:13" ht="25" customHeight="1" x14ac:dyDescent="0.45">
      <c r="A1594" s="39">
        <v>46184</v>
      </c>
      <c r="B1594" s="19" t="s">
        <v>1715</v>
      </c>
      <c r="C1594" s="5" t="s">
        <v>1449</v>
      </c>
      <c r="D1594" s="53" t="str">
        <f t="shared" ref="D1594:D1657" si="193">PROPER(C1594)</f>
        <v xml:space="preserve"> Cream</v>
      </c>
      <c r="E1594" s="5" t="s">
        <v>1660</v>
      </c>
      <c r="F1594" s="5" t="s">
        <v>40</v>
      </c>
      <c r="G1594" s="4" t="str">
        <f t="shared" si="190"/>
        <v>Romper Longer</v>
      </c>
      <c r="H1594" s="38">
        <f t="shared" si="189"/>
        <v>6</v>
      </c>
      <c r="I1594" s="54">
        <f t="shared" si="192"/>
        <v>24</v>
      </c>
      <c r="J1594" s="14" t="str">
        <f t="shared" si="187"/>
        <v>FathersDay</v>
      </c>
      <c r="K1594" s="16" t="str">
        <f t="shared" si="191"/>
        <v>3-6</v>
      </c>
      <c r="L1594" s="14" t="str">
        <f t="shared" si="188"/>
        <v>Romper Longer | 3-6 | Cream</v>
      </c>
      <c r="M1594" s="16" t="s">
        <v>3609</v>
      </c>
    </row>
    <row r="1595" spans="1:13" ht="25" customHeight="1" x14ac:dyDescent="0.45">
      <c r="A1595" s="39">
        <v>45823</v>
      </c>
      <c r="B1595" s="19" t="s">
        <v>1716</v>
      </c>
      <c r="C1595" s="5" t="s">
        <v>9</v>
      </c>
      <c r="D1595" s="53" t="str">
        <f t="shared" si="193"/>
        <v>Cream</v>
      </c>
      <c r="E1595" s="5" t="s">
        <v>1662</v>
      </c>
      <c r="F1595" s="5" t="s">
        <v>7</v>
      </c>
      <c r="G1595" s="4" t="str">
        <f t="shared" si="190"/>
        <v>Romper Short</v>
      </c>
      <c r="H1595" s="38">
        <f t="shared" si="189"/>
        <v>6</v>
      </c>
      <c r="I1595" s="54">
        <f t="shared" si="192"/>
        <v>25</v>
      </c>
      <c r="J1595" s="14" t="str">
        <f t="shared" si="187"/>
        <v>FathersDay</v>
      </c>
      <c r="K1595" s="16" t="str">
        <f t="shared" si="191"/>
        <v>6-12</v>
      </c>
      <c r="L1595" s="14" t="str">
        <f t="shared" si="188"/>
        <v>Romper Short | 6-12 | Cream</v>
      </c>
      <c r="M1595" s="16" t="s">
        <v>3611</v>
      </c>
    </row>
    <row r="1596" spans="1:13" ht="25" customHeight="1" x14ac:dyDescent="0.45">
      <c r="A1596" s="39">
        <v>45823</v>
      </c>
      <c r="B1596" s="19" t="s">
        <v>1717</v>
      </c>
      <c r="C1596" s="5" t="s">
        <v>81</v>
      </c>
      <c r="D1596" s="53" t="str">
        <f t="shared" si="193"/>
        <v>Dusty Pink</v>
      </c>
      <c r="E1596" s="5" t="s">
        <v>1664</v>
      </c>
      <c r="F1596" s="5" t="s">
        <v>7</v>
      </c>
      <c r="G1596" s="4" t="str">
        <f t="shared" si="190"/>
        <v>Romper Short</v>
      </c>
      <c r="H1596" s="38">
        <f t="shared" si="189"/>
        <v>6</v>
      </c>
      <c r="I1596" s="54">
        <f t="shared" si="192"/>
        <v>25</v>
      </c>
      <c r="J1596" s="14" t="str">
        <f t="shared" si="187"/>
        <v>FathersDay</v>
      </c>
      <c r="K1596" s="16" t="str">
        <f t="shared" si="191"/>
        <v>12-18</v>
      </c>
      <c r="L1596" s="14" t="str">
        <f t="shared" si="188"/>
        <v>Romper Short | 12-18 | Dusty Pink</v>
      </c>
      <c r="M1596" s="16" t="s">
        <v>3610</v>
      </c>
    </row>
    <row r="1597" spans="1:13" ht="25" customHeight="1" x14ac:dyDescent="0.45">
      <c r="A1597" s="39">
        <v>45823</v>
      </c>
      <c r="B1597" s="19" t="s">
        <v>1718</v>
      </c>
      <c r="C1597" s="5" t="s">
        <v>81</v>
      </c>
      <c r="D1597" s="53" t="str">
        <f t="shared" si="193"/>
        <v>Dusty Pink</v>
      </c>
      <c r="E1597" s="5" t="s">
        <v>1666</v>
      </c>
      <c r="F1597" s="5" t="s">
        <v>7</v>
      </c>
      <c r="G1597" s="4" t="str">
        <f t="shared" si="190"/>
        <v>Romper Longer</v>
      </c>
      <c r="H1597" s="38">
        <f t="shared" si="189"/>
        <v>6</v>
      </c>
      <c r="I1597" s="54">
        <f t="shared" si="192"/>
        <v>25</v>
      </c>
      <c r="J1597" s="14" t="str">
        <f t="shared" si="187"/>
        <v>FathersDay</v>
      </c>
      <c r="K1597" s="16" t="str">
        <f t="shared" si="191"/>
        <v>6-12</v>
      </c>
      <c r="L1597" s="14" t="str">
        <f t="shared" si="188"/>
        <v>Romper Longer | 6-12 | Dusty Pink</v>
      </c>
      <c r="M1597" s="16" t="s">
        <v>3610</v>
      </c>
    </row>
    <row r="1598" spans="1:13" ht="25" customHeight="1" x14ac:dyDescent="0.45">
      <c r="A1598" s="39">
        <v>46056</v>
      </c>
      <c r="B1598" s="19" t="s">
        <v>1720</v>
      </c>
      <c r="C1598" s="5" t="s">
        <v>1721</v>
      </c>
      <c r="D1598" s="53" t="str">
        <f t="shared" si="193"/>
        <v>Light Blue</v>
      </c>
      <c r="E1598" s="5" t="s">
        <v>6</v>
      </c>
      <c r="F1598" s="5" t="s">
        <v>11</v>
      </c>
      <c r="G1598" s="4" t="str">
        <f t="shared" si="190"/>
        <v>Bodysuit</v>
      </c>
      <c r="H1598" s="38">
        <f t="shared" si="189"/>
        <v>2</v>
      </c>
      <c r="I1598" s="54">
        <f t="shared" si="192"/>
        <v>6</v>
      </c>
      <c r="J1598" s="14" t="str">
        <f t="shared" si="187"/>
        <v>Valentine</v>
      </c>
      <c r="K1598" s="16" t="str">
        <f t="shared" si="191"/>
        <v>3-6</v>
      </c>
      <c r="L1598" s="14" t="str">
        <f t="shared" si="188"/>
        <v>Bodysuit | 3-6 | Light Blue</v>
      </c>
      <c r="M1598" s="16" t="s">
        <v>3610</v>
      </c>
    </row>
    <row r="1599" spans="1:13" ht="25" customHeight="1" x14ac:dyDescent="0.45">
      <c r="A1599" s="39">
        <v>46056</v>
      </c>
      <c r="B1599" s="19" t="s">
        <v>1722</v>
      </c>
      <c r="C1599" s="5" t="s">
        <v>1723</v>
      </c>
      <c r="D1599" s="53" t="str">
        <f t="shared" si="193"/>
        <v>Light Pink</v>
      </c>
      <c r="E1599" s="5" t="s">
        <v>10</v>
      </c>
      <c r="F1599" s="5" t="s">
        <v>892</v>
      </c>
      <c r="G1599" s="4" t="str">
        <f t="shared" si="190"/>
        <v>Bodysuit</v>
      </c>
      <c r="H1599" s="38">
        <f t="shared" si="189"/>
        <v>2</v>
      </c>
      <c r="I1599" s="54">
        <f t="shared" si="192"/>
        <v>6</v>
      </c>
      <c r="J1599" s="14" t="str">
        <f t="shared" si="187"/>
        <v>Valentine</v>
      </c>
      <c r="K1599" s="16" t="str">
        <f t="shared" si="191"/>
        <v>0-3</v>
      </c>
      <c r="L1599" s="14" t="str">
        <f t="shared" si="188"/>
        <v>Bodysuit | 0-3 | Light Pink</v>
      </c>
      <c r="M1599" s="16" t="s">
        <v>3610</v>
      </c>
    </row>
    <row r="1600" spans="1:13" ht="25" customHeight="1" x14ac:dyDescent="0.45">
      <c r="A1600" s="39">
        <v>46057</v>
      </c>
      <c r="B1600" s="19" t="s">
        <v>1724</v>
      </c>
      <c r="C1600" s="5" t="s">
        <v>1723</v>
      </c>
      <c r="D1600" s="53" t="str">
        <f t="shared" si="193"/>
        <v>Light Pink</v>
      </c>
      <c r="E1600" s="5" t="s">
        <v>10</v>
      </c>
      <c r="F1600" s="5" t="s">
        <v>892</v>
      </c>
      <c r="G1600" s="4" t="str">
        <f t="shared" si="190"/>
        <v>Bodysuit</v>
      </c>
      <c r="H1600" s="38">
        <f t="shared" si="189"/>
        <v>2</v>
      </c>
      <c r="I1600" s="54">
        <f t="shared" si="192"/>
        <v>6</v>
      </c>
      <c r="J1600" s="14" t="str">
        <f t="shared" si="187"/>
        <v>Valentine</v>
      </c>
      <c r="K1600" s="16" t="str">
        <f t="shared" si="191"/>
        <v>0-3</v>
      </c>
      <c r="L1600" s="14" t="str">
        <f t="shared" si="188"/>
        <v>Bodysuit | 0-3 | Light Pink</v>
      </c>
      <c r="M1600" s="16" t="s">
        <v>3610</v>
      </c>
    </row>
    <row r="1601" spans="1:13" ht="25" customHeight="1" x14ac:dyDescent="0.45">
      <c r="A1601" s="39">
        <v>46056</v>
      </c>
      <c r="B1601" s="19" t="s">
        <v>1725</v>
      </c>
      <c r="C1601" s="5" t="s">
        <v>1721</v>
      </c>
      <c r="D1601" s="53" t="str">
        <f t="shared" si="193"/>
        <v>Light Blue</v>
      </c>
      <c r="E1601" s="5" t="s">
        <v>6</v>
      </c>
      <c r="F1601" s="5" t="s">
        <v>18</v>
      </c>
      <c r="G1601" s="4" t="str">
        <f t="shared" si="190"/>
        <v>Bodysuit</v>
      </c>
      <c r="H1601" s="38">
        <f t="shared" si="189"/>
        <v>2</v>
      </c>
      <c r="I1601" s="54">
        <f t="shared" si="192"/>
        <v>6</v>
      </c>
      <c r="J1601" s="14" t="str">
        <f t="shared" si="187"/>
        <v>Valentine</v>
      </c>
      <c r="K1601" s="16" t="str">
        <f t="shared" si="191"/>
        <v>3-6</v>
      </c>
      <c r="L1601" s="14" t="str">
        <f t="shared" si="188"/>
        <v>Bodysuit | 3-6 | Light Blue</v>
      </c>
      <c r="M1601" s="16" t="s">
        <v>3610</v>
      </c>
    </row>
    <row r="1602" spans="1:13" ht="25" customHeight="1" x14ac:dyDescent="0.45">
      <c r="A1602" s="39">
        <v>46057</v>
      </c>
      <c r="B1602" s="19" t="s">
        <v>1726</v>
      </c>
      <c r="C1602" s="5" t="s">
        <v>9</v>
      </c>
      <c r="D1602" s="53" t="str">
        <f t="shared" si="193"/>
        <v>Cream</v>
      </c>
      <c r="E1602" s="5" t="s">
        <v>10</v>
      </c>
      <c r="F1602" s="5" t="s">
        <v>7</v>
      </c>
      <c r="G1602" s="4" t="str">
        <f t="shared" si="190"/>
        <v>Bodysuit</v>
      </c>
      <c r="H1602" s="38">
        <f t="shared" si="189"/>
        <v>2</v>
      </c>
      <c r="I1602" s="54">
        <f t="shared" si="192"/>
        <v>6</v>
      </c>
      <c r="J1602" s="14" t="str">
        <f t="shared" si="187"/>
        <v>Valentine</v>
      </c>
      <c r="K1602" s="16" t="str">
        <f t="shared" si="191"/>
        <v>0-3</v>
      </c>
      <c r="L1602" s="14" t="str">
        <f t="shared" si="188"/>
        <v>Bodysuit | 0-3 | Cream</v>
      </c>
      <c r="M1602" s="16" t="s">
        <v>3610</v>
      </c>
    </row>
    <row r="1603" spans="1:13" ht="25" customHeight="1" x14ac:dyDescent="0.45">
      <c r="A1603" s="39">
        <v>46057</v>
      </c>
      <c r="B1603" s="19" t="s">
        <v>1727</v>
      </c>
      <c r="C1603" s="5" t="s">
        <v>1721</v>
      </c>
      <c r="D1603" s="53" t="str">
        <f t="shared" si="193"/>
        <v>Light Blue</v>
      </c>
      <c r="E1603" s="5" t="s">
        <v>10</v>
      </c>
      <c r="F1603" s="5" t="s">
        <v>7</v>
      </c>
      <c r="G1603" s="4" t="str">
        <f t="shared" si="190"/>
        <v>Bodysuit</v>
      </c>
      <c r="H1603" s="38">
        <f t="shared" si="189"/>
        <v>2</v>
      </c>
      <c r="I1603" s="54">
        <f t="shared" si="192"/>
        <v>6</v>
      </c>
      <c r="J1603" s="14" t="str">
        <f t="shared" si="187"/>
        <v>Valentine</v>
      </c>
      <c r="K1603" s="16" t="str">
        <f t="shared" si="191"/>
        <v>0-3</v>
      </c>
      <c r="L1603" s="14" t="str">
        <f t="shared" ref="L1603:L1666" si="194">TRIM(G1603)&amp;" | "&amp;TRIM(K1603)&amp;" | "&amp;PROPER(TRIM(D1603))</f>
        <v>Bodysuit | 0-3 | Light Blue</v>
      </c>
      <c r="M1603" s="16" t="s">
        <v>3610</v>
      </c>
    </row>
    <row r="1604" spans="1:13" ht="25" customHeight="1" x14ac:dyDescent="0.45">
      <c r="A1604" s="39">
        <v>46057</v>
      </c>
      <c r="B1604" s="19" t="s">
        <v>1728</v>
      </c>
      <c r="C1604" s="5" t="s">
        <v>1723</v>
      </c>
      <c r="D1604" s="53" t="str">
        <f t="shared" si="193"/>
        <v>Light Pink</v>
      </c>
      <c r="E1604" s="5" t="s">
        <v>6</v>
      </c>
      <c r="F1604" s="5" t="s">
        <v>7</v>
      </c>
      <c r="G1604" s="4" t="str">
        <f t="shared" si="190"/>
        <v>Bodysuit</v>
      </c>
      <c r="H1604" s="38">
        <f t="shared" ref="H1604:H1667" si="195">MONTH(A1604)</f>
        <v>2</v>
      </c>
      <c r="I1604" s="54">
        <f t="shared" si="192"/>
        <v>6</v>
      </c>
      <c r="J1604" s="14" t="str">
        <f t="shared" ref="J1604:J1667" si="196">IF(H1604=1,"NewYear",
IF(H1604=2,"Valentine",
IF(OR(H1604=3,H1604=4),"Easter",
IF(H1604=5,"MothersDay",
IF(H1604=6,"FathersDay",
IF(OR(H1604=7,H1604=8),"Summer",
IF(H1604=10,"Halloween",
IF(OR(H1604=11,H1604=12),"Christmas","Normal"))))))))</f>
        <v>Valentine</v>
      </c>
      <c r="K1604" s="16" t="str">
        <f t="shared" si="191"/>
        <v>3-6</v>
      </c>
      <c r="L1604" s="14" t="str">
        <f t="shared" si="194"/>
        <v>Bodysuit | 3-6 | Light Pink</v>
      </c>
      <c r="M1604" s="16" t="s">
        <v>3610</v>
      </c>
    </row>
    <row r="1605" spans="1:13" ht="25" customHeight="1" x14ac:dyDescent="0.45">
      <c r="A1605" s="39">
        <v>46059</v>
      </c>
      <c r="B1605" s="19" t="s">
        <v>1729</v>
      </c>
      <c r="C1605" s="5" t="s">
        <v>1721</v>
      </c>
      <c r="D1605" s="53" t="str">
        <f t="shared" si="193"/>
        <v>Light Blue</v>
      </c>
      <c r="E1605" s="5" t="s">
        <v>6</v>
      </c>
      <c r="F1605" s="5" t="s">
        <v>15</v>
      </c>
      <c r="G1605" s="4" t="str">
        <f t="shared" si="190"/>
        <v>Bodysuit</v>
      </c>
      <c r="H1605" s="38">
        <f t="shared" si="195"/>
        <v>2</v>
      </c>
      <c r="I1605" s="54">
        <f t="shared" si="192"/>
        <v>6</v>
      </c>
      <c r="J1605" s="14" t="str">
        <f t="shared" si="196"/>
        <v>Valentine</v>
      </c>
      <c r="K1605" s="16" t="str">
        <f t="shared" si="191"/>
        <v>3-6</v>
      </c>
      <c r="L1605" s="14" t="str">
        <f t="shared" si="194"/>
        <v>Bodysuit | 3-6 | Light Blue</v>
      </c>
      <c r="M1605" s="16" t="s">
        <v>3610</v>
      </c>
    </row>
    <row r="1606" spans="1:13" ht="25" customHeight="1" x14ac:dyDescent="0.45">
      <c r="A1606" s="39">
        <v>46060</v>
      </c>
      <c r="B1606" s="19" t="s">
        <v>1730</v>
      </c>
      <c r="C1606" s="5" t="s">
        <v>9</v>
      </c>
      <c r="D1606" s="53" t="str">
        <f t="shared" si="193"/>
        <v>Cream</v>
      </c>
      <c r="E1606" s="5" t="s">
        <v>6</v>
      </c>
      <c r="F1606" s="5" t="s">
        <v>15</v>
      </c>
      <c r="G1606" s="4" t="str">
        <f t="shared" si="190"/>
        <v>Bodysuit</v>
      </c>
      <c r="H1606" s="38">
        <f t="shared" si="195"/>
        <v>2</v>
      </c>
      <c r="I1606" s="54">
        <f t="shared" si="192"/>
        <v>6</v>
      </c>
      <c r="J1606" s="14" t="str">
        <f t="shared" si="196"/>
        <v>Valentine</v>
      </c>
      <c r="K1606" s="16" t="str">
        <f t="shared" si="191"/>
        <v>3-6</v>
      </c>
      <c r="L1606" s="14" t="str">
        <f t="shared" si="194"/>
        <v>Bodysuit | 3-6 | Cream</v>
      </c>
      <c r="M1606" s="16" t="s">
        <v>3611</v>
      </c>
    </row>
    <row r="1607" spans="1:13" ht="25" customHeight="1" x14ac:dyDescent="0.45">
      <c r="A1607" s="39">
        <v>46061</v>
      </c>
      <c r="B1607" s="19" t="s">
        <v>1731</v>
      </c>
      <c r="C1607" s="5" t="s">
        <v>9</v>
      </c>
      <c r="D1607" s="53" t="str">
        <f t="shared" si="193"/>
        <v>Cream</v>
      </c>
      <c r="E1607" s="5" t="s">
        <v>6</v>
      </c>
      <c r="F1607" s="5" t="s">
        <v>15</v>
      </c>
      <c r="G1607" s="4" t="str">
        <f t="shared" si="190"/>
        <v>Bodysuit</v>
      </c>
      <c r="H1607" s="38">
        <f t="shared" si="195"/>
        <v>2</v>
      </c>
      <c r="I1607" s="54">
        <f t="shared" si="192"/>
        <v>7</v>
      </c>
      <c r="J1607" s="14" t="str">
        <f t="shared" si="196"/>
        <v>Valentine</v>
      </c>
      <c r="K1607" s="16" t="str">
        <f t="shared" si="191"/>
        <v>3-6</v>
      </c>
      <c r="L1607" s="14" t="str">
        <f t="shared" si="194"/>
        <v>Bodysuit | 3-6 | Cream</v>
      </c>
      <c r="M1607" s="16" t="s">
        <v>3611</v>
      </c>
    </row>
    <row r="1608" spans="1:13" ht="25" customHeight="1" x14ac:dyDescent="0.45">
      <c r="A1608" s="39">
        <v>46059</v>
      </c>
      <c r="B1608" s="19" t="s">
        <v>1732</v>
      </c>
      <c r="C1608" s="5" t="s">
        <v>9</v>
      </c>
      <c r="D1608" s="53" t="str">
        <f t="shared" si="193"/>
        <v>Cream</v>
      </c>
      <c r="E1608" s="5" t="s">
        <v>6</v>
      </c>
      <c r="F1608" s="5" t="s">
        <v>7</v>
      </c>
      <c r="G1608" s="4" t="str">
        <f t="shared" si="190"/>
        <v>Bodysuit</v>
      </c>
      <c r="H1608" s="38">
        <f t="shared" si="195"/>
        <v>2</v>
      </c>
      <c r="I1608" s="54">
        <f t="shared" si="192"/>
        <v>6</v>
      </c>
      <c r="J1608" s="14" t="str">
        <f t="shared" si="196"/>
        <v>Valentine</v>
      </c>
      <c r="K1608" s="16" t="str">
        <f t="shared" si="191"/>
        <v>3-6</v>
      </c>
      <c r="L1608" s="14" t="str">
        <f t="shared" si="194"/>
        <v>Bodysuit | 3-6 | Cream</v>
      </c>
      <c r="M1608" s="16" t="s">
        <v>3611</v>
      </c>
    </row>
    <row r="1609" spans="1:13" ht="25" customHeight="1" x14ac:dyDescent="0.45">
      <c r="A1609" s="39">
        <v>46059</v>
      </c>
      <c r="B1609" s="19" t="s">
        <v>1733</v>
      </c>
      <c r="C1609" s="5" t="s">
        <v>1721</v>
      </c>
      <c r="D1609" s="53" t="str">
        <f t="shared" si="193"/>
        <v>Light Blue</v>
      </c>
      <c r="E1609" s="5" t="s">
        <v>6</v>
      </c>
      <c r="F1609" s="5" t="s">
        <v>142</v>
      </c>
      <c r="G1609" s="4" t="str">
        <f t="shared" si="190"/>
        <v>Bodysuit</v>
      </c>
      <c r="H1609" s="38">
        <f t="shared" si="195"/>
        <v>2</v>
      </c>
      <c r="I1609" s="54">
        <f t="shared" si="192"/>
        <v>6</v>
      </c>
      <c r="J1609" s="14" t="str">
        <f t="shared" si="196"/>
        <v>Valentine</v>
      </c>
      <c r="K1609" s="16" t="str">
        <f t="shared" si="191"/>
        <v>3-6</v>
      </c>
      <c r="L1609" s="14" t="str">
        <f t="shared" si="194"/>
        <v>Bodysuit | 3-6 | Light Blue</v>
      </c>
      <c r="M1609" s="16" t="s">
        <v>3610</v>
      </c>
    </row>
    <row r="1610" spans="1:13" ht="25" customHeight="1" x14ac:dyDescent="0.45">
      <c r="A1610" s="39">
        <v>46059</v>
      </c>
      <c r="B1610" s="19" t="s">
        <v>1734</v>
      </c>
      <c r="C1610" s="5" t="s">
        <v>1721</v>
      </c>
      <c r="D1610" s="53" t="str">
        <f t="shared" si="193"/>
        <v>Light Blue</v>
      </c>
      <c r="E1610" s="5" t="s">
        <v>6</v>
      </c>
      <c r="F1610" s="5" t="s">
        <v>16</v>
      </c>
      <c r="G1610" s="4" t="str">
        <f t="shared" si="190"/>
        <v>Bodysuit</v>
      </c>
      <c r="H1610" s="38">
        <f t="shared" si="195"/>
        <v>2</v>
      </c>
      <c r="I1610" s="54">
        <f t="shared" si="192"/>
        <v>6</v>
      </c>
      <c r="J1610" s="14" t="str">
        <f t="shared" si="196"/>
        <v>Valentine</v>
      </c>
      <c r="K1610" s="16" t="str">
        <f t="shared" si="191"/>
        <v>3-6</v>
      </c>
      <c r="L1610" s="14" t="str">
        <f t="shared" si="194"/>
        <v>Bodysuit | 3-6 | Light Blue</v>
      </c>
      <c r="M1610" s="16" t="s">
        <v>3610</v>
      </c>
    </row>
    <row r="1611" spans="1:13" ht="25" customHeight="1" x14ac:dyDescent="0.45">
      <c r="A1611" s="39">
        <v>46065</v>
      </c>
      <c r="B1611" s="19" t="s">
        <v>1735</v>
      </c>
      <c r="C1611" s="5" t="s">
        <v>1736</v>
      </c>
      <c r="D1611" s="53" t="str">
        <f t="shared" si="193"/>
        <v xml:space="preserve"> Light Pink </v>
      </c>
      <c r="E1611" s="5" t="s">
        <v>6</v>
      </c>
      <c r="F1611" s="5" t="s">
        <v>7</v>
      </c>
      <c r="G1611" s="4" t="str">
        <f t="shared" si="190"/>
        <v>Bodysuit</v>
      </c>
      <c r="H1611" s="38">
        <f t="shared" si="195"/>
        <v>2</v>
      </c>
      <c r="I1611" s="54">
        <f t="shared" si="192"/>
        <v>7</v>
      </c>
      <c r="J1611" s="14" t="str">
        <f t="shared" si="196"/>
        <v>Valentine</v>
      </c>
      <c r="K1611" s="16" t="str">
        <f t="shared" si="191"/>
        <v>3-6</v>
      </c>
      <c r="L1611" s="14" t="str">
        <f t="shared" si="194"/>
        <v>Bodysuit | 3-6 | Light Pink</v>
      </c>
      <c r="M1611" s="16" t="s">
        <v>3610</v>
      </c>
    </row>
    <row r="1612" spans="1:13" ht="25" customHeight="1" x14ac:dyDescent="0.45">
      <c r="A1612" s="39">
        <v>46069</v>
      </c>
      <c r="B1612" s="19" t="s">
        <v>1737</v>
      </c>
      <c r="C1612" s="5" t="s">
        <v>1721</v>
      </c>
      <c r="D1612" s="53" t="str">
        <f t="shared" si="193"/>
        <v>Light Blue</v>
      </c>
      <c r="E1612" s="5" t="s">
        <v>10</v>
      </c>
      <c r="F1612" s="5" t="s">
        <v>7</v>
      </c>
      <c r="G1612" s="4" t="str">
        <f t="shared" si="190"/>
        <v>Bodysuit</v>
      </c>
      <c r="H1612" s="38">
        <f t="shared" si="195"/>
        <v>2</v>
      </c>
      <c r="I1612" s="54">
        <f t="shared" si="192"/>
        <v>8</v>
      </c>
      <c r="J1612" s="14" t="str">
        <f t="shared" si="196"/>
        <v>Valentine</v>
      </c>
      <c r="K1612" s="16" t="str">
        <f t="shared" si="191"/>
        <v>0-3</v>
      </c>
      <c r="L1612" s="14" t="str">
        <f t="shared" si="194"/>
        <v>Bodysuit | 0-3 | Light Blue</v>
      </c>
      <c r="M1612" s="16" t="s">
        <v>3610</v>
      </c>
    </row>
    <row r="1613" spans="1:13" ht="25" customHeight="1" x14ac:dyDescent="0.45">
      <c r="A1613" s="39">
        <v>46069</v>
      </c>
      <c r="B1613" s="19" t="s">
        <v>1738</v>
      </c>
      <c r="C1613" s="5" t="s">
        <v>1721</v>
      </c>
      <c r="D1613" s="53" t="str">
        <f t="shared" si="193"/>
        <v>Light Blue</v>
      </c>
      <c r="E1613" s="5" t="s">
        <v>10</v>
      </c>
      <c r="F1613" s="5" t="s">
        <v>69</v>
      </c>
      <c r="G1613" s="4" t="str">
        <f t="shared" si="190"/>
        <v>Bodysuit</v>
      </c>
      <c r="H1613" s="38">
        <f t="shared" si="195"/>
        <v>2</v>
      </c>
      <c r="I1613" s="54">
        <f t="shared" si="192"/>
        <v>8</v>
      </c>
      <c r="J1613" s="14" t="str">
        <f t="shared" si="196"/>
        <v>Valentine</v>
      </c>
      <c r="K1613" s="16" t="str">
        <f t="shared" si="191"/>
        <v>0-3</v>
      </c>
      <c r="L1613" s="14" t="str">
        <f t="shared" si="194"/>
        <v>Bodysuit | 0-3 | Light Blue</v>
      </c>
      <c r="M1613" s="16" t="s">
        <v>3610</v>
      </c>
    </row>
    <row r="1614" spans="1:13" ht="25" customHeight="1" x14ac:dyDescent="0.45">
      <c r="A1614" s="39">
        <v>46073</v>
      </c>
      <c r="B1614" s="19" t="s">
        <v>1739</v>
      </c>
      <c r="C1614" s="5" t="s">
        <v>1740</v>
      </c>
      <c r="D1614" s="53" t="str">
        <f t="shared" si="193"/>
        <v xml:space="preserve"> Light Blue </v>
      </c>
      <c r="E1614" s="5" t="s">
        <v>6</v>
      </c>
      <c r="F1614" s="5" t="s">
        <v>7</v>
      </c>
      <c r="G1614" s="4" t="str">
        <f t="shared" si="190"/>
        <v>Bodysuit</v>
      </c>
      <c r="H1614" s="38">
        <f t="shared" si="195"/>
        <v>2</v>
      </c>
      <c r="I1614" s="54">
        <f t="shared" si="192"/>
        <v>8</v>
      </c>
      <c r="J1614" s="14" t="str">
        <f t="shared" si="196"/>
        <v>Valentine</v>
      </c>
      <c r="K1614" s="16" t="str">
        <f t="shared" si="191"/>
        <v>3-6</v>
      </c>
      <c r="L1614" s="14" t="str">
        <f t="shared" si="194"/>
        <v>Bodysuit | 3-6 | Light Blue</v>
      </c>
      <c r="M1614" s="16" t="s">
        <v>3610</v>
      </c>
    </row>
    <row r="1615" spans="1:13" ht="25" customHeight="1" x14ac:dyDescent="0.45">
      <c r="A1615" s="39">
        <v>46078</v>
      </c>
      <c r="B1615" s="19" t="s">
        <v>1741</v>
      </c>
      <c r="C1615" s="5" t="s">
        <v>1723</v>
      </c>
      <c r="D1615" s="53" t="str">
        <f t="shared" si="193"/>
        <v>Light Pink</v>
      </c>
      <c r="E1615" s="5" t="s">
        <v>10</v>
      </c>
      <c r="F1615" s="5" t="s">
        <v>18</v>
      </c>
      <c r="G1615" s="4" t="str">
        <f t="shared" si="190"/>
        <v>Bodysuit</v>
      </c>
      <c r="H1615" s="38">
        <f t="shared" si="195"/>
        <v>2</v>
      </c>
      <c r="I1615" s="54">
        <f t="shared" si="192"/>
        <v>9</v>
      </c>
      <c r="J1615" s="14" t="str">
        <f t="shared" si="196"/>
        <v>Valentine</v>
      </c>
      <c r="K1615" s="16" t="str">
        <f t="shared" si="191"/>
        <v>0-3</v>
      </c>
      <c r="L1615" s="14" t="str">
        <f t="shared" si="194"/>
        <v>Bodysuit | 0-3 | Light Pink</v>
      </c>
      <c r="M1615" s="16" t="s">
        <v>3610</v>
      </c>
    </row>
    <row r="1616" spans="1:13" ht="25" customHeight="1" x14ac:dyDescent="0.45">
      <c r="A1616" s="39">
        <v>46078</v>
      </c>
      <c r="B1616" s="19" t="s">
        <v>1742</v>
      </c>
      <c r="C1616" s="5" t="s">
        <v>1723</v>
      </c>
      <c r="D1616" s="53" t="str">
        <f t="shared" si="193"/>
        <v>Light Pink</v>
      </c>
      <c r="E1616" s="5" t="s">
        <v>10</v>
      </c>
      <c r="F1616" s="5" t="s">
        <v>1743</v>
      </c>
      <c r="G1616" s="4" t="str">
        <f t="shared" ref="G1616:G1679" si="197">IF(ISNUMBER(SEARCH("LONG",E1616)),"Romper Longer",IF(ISNUMBER(SEARCH("SHORT",E1616)),"Romper Short","Bodysuit"))</f>
        <v>Bodysuit</v>
      </c>
      <c r="H1616" s="38">
        <f t="shared" si="195"/>
        <v>2</v>
      </c>
      <c r="I1616" s="54">
        <f t="shared" si="192"/>
        <v>9</v>
      </c>
      <c r="J1616" s="14" t="str">
        <f t="shared" si="196"/>
        <v>Valentine</v>
      </c>
      <c r="K1616" s="16" t="str">
        <f t="shared" si="191"/>
        <v>0-3</v>
      </c>
      <c r="L1616" s="14" t="str">
        <f t="shared" si="194"/>
        <v>Bodysuit | 0-3 | Light Pink</v>
      </c>
      <c r="M1616" s="16" t="s">
        <v>3610</v>
      </c>
    </row>
    <row r="1617" spans="1:13" ht="25" customHeight="1" x14ac:dyDescent="0.45">
      <c r="A1617" s="39">
        <v>46079</v>
      </c>
      <c r="B1617" s="19" t="s">
        <v>1744</v>
      </c>
      <c r="C1617" s="5" t="s">
        <v>1723</v>
      </c>
      <c r="D1617" s="53" t="str">
        <f t="shared" si="193"/>
        <v>Light Pink</v>
      </c>
      <c r="E1617" s="5" t="s">
        <v>10</v>
      </c>
      <c r="F1617" s="5" t="s">
        <v>7</v>
      </c>
      <c r="G1617" s="4" t="str">
        <f t="shared" si="197"/>
        <v>Bodysuit</v>
      </c>
      <c r="H1617" s="38">
        <f t="shared" si="195"/>
        <v>2</v>
      </c>
      <c r="I1617" s="54">
        <f t="shared" si="192"/>
        <v>9</v>
      </c>
      <c r="J1617" s="14" t="str">
        <f t="shared" si="196"/>
        <v>Valentine</v>
      </c>
      <c r="K1617" s="16" t="str">
        <f t="shared" si="191"/>
        <v>0-3</v>
      </c>
      <c r="L1617" s="14" t="str">
        <f t="shared" si="194"/>
        <v>Bodysuit | 0-3 | Light Pink</v>
      </c>
      <c r="M1617" s="16" t="s">
        <v>3610</v>
      </c>
    </row>
    <row r="1618" spans="1:13" ht="25" customHeight="1" x14ac:dyDescent="0.45">
      <c r="A1618" s="39">
        <v>46083</v>
      </c>
      <c r="B1618" s="19" t="s">
        <v>1745</v>
      </c>
      <c r="C1618" s="5" t="s">
        <v>1723</v>
      </c>
      <c r="D1618" s="53" t="str">
        <f t="shared" si="193"/>
        <v>Light Pink</v>
      </c>
      <c r="E1618" s="5" t="s">
        <v>10</v>
      </c>
      <c r="F1618" s="5" t="s">
        <v>7</v>
      </c>
      <c r="G1618" s="4" t="str">
        <f t="shared" si="197"/>
        <v>Bodysuit</v>
      </c>
      <c r="H1618" s="38">
        <f t="shared" si="195"/>
        <v>3</v>
      </c>
      <c r="I1618" s="54">
        <f t="shared" si="192"/>
        <v>10</v>
      </c>
      <c r="J1618" s="14" t="str">
        <f t="shared" si="196"/>
        <v>Easter</v>
      </c>
      <c r="K1618" s="16" t="str">
        <f t="shared" si="191"/>
        <v>0-3</v>
      </c>
      <c r="L1618" s="14" t="str">
        <f t="shared" si="194"/>
        <v>Bodysuit | 0-3 | Light Pink</v>
      </c>
      <c r="M1618" s="16" t="s">
        <v>3610</v>
      </c>
    </row>
    <row r="1619" spans="1:13" ht="25" customHeight="1" x14ac:dyDescent="0.45">
      <c r="A1619" s="39">
        <v>46083</v>
      </c>
      <c r="B1619" s="19" t="s">
        <v>1746</v>
      </c>
      <c r="C1619" s="5" t="s">
        <v>1740</v>
      </c>
      <c r="D1619" s="53" t="str">
        <f t="shared" si="193"/>
        <v xml:space="preserve"> Light Blue </v>
      </c>
      <c r="E1619" s="5" t="s">
        <v>6</v>
      </c>
      <c r="F1619" s="5" t="s">
        <v>7</v>
      </c>
      <c r="G1619" s="4" t="str">
        <f t="shared" si="197"/>
        <v>Bodysuit</v>
      </c>
      <c r="H1619" s="38">
        <f t="shared" si="195"/>
        <v>3</v>
      </c>
      <c r="I1619" s="54">
        <f t="shared" si="192"/>
        <v>10</v>
      </c>
      <c r="J1619" s="14" t="str">
        <f t="shared" si="196"/>
        <v>Easter</v>
      </c>
      <c r="K1619" s="16" t="str">
        <f t="shared" si="191"/>
        <v>3-6</v>
      </c>
      <c r="L1619" s="14" t="str">
        <f t="shared" si="194"/>
        <v>Bodysuit | 3-6 | Light Blue</v>
      </c>
      <c r="M1619" s="16" t="s">
        <v>3610</v>
      </c>
    </row>
    <row r="1620" spans="1:13" ht="25" customHeight="1" x14ac:dyDescent="0.45">
      <c r="A1620" s="39">
        <v>46083</v>
      </c>
      <c r="B1620" s="19" t="s">
        <v>1747</v>
      </c>
      <c r="C1620" s="5" t="s">
        <v>1748</v>
      </c>
      <c r="D1620" s="53" t="str">
        <f t="shared" si="193"/>
        <v xml:space="preserve"> Light Blue</v>
      </c>
      <c r="E1620" s="5" t="s">
        <v>6</v>
      </c>
      <c r="F1620" s="5" t="s">
        <v>18</v>
      </c>
      <c r="G1620" s="4" t="str">
        <f t="shared" si="197"/>
        <v>Bodysuit</v>
      </c>
      <c r="H1620" s="38">
        <f t="shared" si="195"/>
        <v>3</v>
      </c>
      <c r="I1620" s="54">
        <f t="shared" si="192"/>
        <v>10</v>
      </c>
      <c r="J1620" s="14" t="str">
        <f t="shared" si="196"/>
        <v>Easter</v>
      </c>
      <c r="K1620" s="16" t="str">
        <f t="shared" si="191"/>
        <v>3-6</v>
      </c>
      <c r="L1620" s="14" t="str">
        <f t="shared" si="194"/>
        <v>Bodysuit | 3-6 | Light Blue</v>
      </c>
      <c r="M1620" s="16" t="s">
        <v>3610</v>
      </c>
    </row>
    <row r="1621" spans="1:13" ht="25" customHeight="1" x14ac:dyDescent="0.45">
      <c r="A1621" s="39">
        <v>46086</v>
      </c>
      <c r="B1621" s="19" t="s">
        <v>1749</v>
      </c>
      <c r="C1621" s="5" t="s">
        <v>9</v>
      </c>
      <c r="D1621" s="53" t="str">
        <f t="shared" si="193"/>
        <v>Cream</v>
      </c>
      <c r="E1621" s="5" t="s">
        <v>6</v>
      </c>
      <c r="F1621" s="5" t="s">
        <v>7</v>
      </c>
      <c r="G1621" s="4" t="str">
        <f t="shared" si="197"/>
        <v>Bodysuit</v>
      </c>
      <c r="H1621" s="38">
        <f t="shared" si="195"/>
        <v>3</v>
      </c>
      <c r="I1621" s="54">
        <f t="shared" si="192"/>
        <v>10</v>
      </c>
      <c r="J1621" s="14" t="str">
        <f t="shared" si="196"/>
        <v>Easter</v>
      </c>
      <c r="K1621" s="16" t="str">
        <f t="shared" si="191"/>
        <v>3-6</v>
      </c>
      <c r="L1621" s="14" t="str">
        <f t="shared" si="194"/>
        <v>Bodysuit | 3-6 | Cream</v>
      </c>
      <c r="M1621" s="16" t="s">
        <v>3611</v>
      </c>
    </row>
    <row r="1622" spans="1:13" ht="25" customHeight="1" x14ac:dyDescent="0.45">
      <c r="A1622" s="39">
        <v>46086</v>
      </c>
      <c r="B1622" s="19" t="s">
        <v>1750</v>
      </c>
      <c r="C1622" s="5" t="s">
        <v>1723</v>
      </c>
      <c r="D1622" s="53" t="str">
        <f t="shared" si="193"/>
        <v>Light Pink</v>
      </c>
      <c r="E1622" s="5" t="s">
        <v>6</v>
      </c>
      <c r="F1622" s="5" t="s">
        <v>13</v>
      </c>
      <c r="G1622" s="4" t="str">
        <f t="shared" si="197"/>
        <v>Bodysuit</v>
      </c>
      <c r="H1622" s="38">
        <f t="shared" si="195"/>
        <v>3</v>
      </c>
      <c r="I1622" s="54">
        <f t="shared" si="192"/>
        <v>10</v>
      </c>
      <c r="J1622" s="14" t="str">
        <f t="shared" si="196"/>
        <v>Easter</v>
      </c>
      <c r="K1622" s="16" t="str">
        <f t="shared" si="191"/>
        <v>3-6</v>
      </c>
      <c r="L1622" s="14" t="str">
        <f t="shared" si="194"/>
        <v>Bodysuit | 3-6 | Light Pink</v>
      </c>
      <c r="M1622" s="16" t="s">
        <v>3610</v>
      </c>
    </row>
    <row r="1623" spans="1:13" ht="25" customHeight="1" x14ac:dyDescent="0.45">
      <c r="A1623" s="39">
        <v>46086</v>
      </c>
      <c r="B1623" s="19" t="s">
        <v>1751</v>
      </c>
      <c r="C1623" s="5" t="s">
        <v>1748</v>
      </c>
      <c r="D1623" s="53" t="str">
        <f t="shared" si="193"/>
        <v xml:space="preserve"> Light Blue</v>
      </c>
      <c r="E1623" s="5" t="s">
        <v>10</v>
      </c>
      <c r="F1623" s="5" t="s">
        <v>7</v>
      </c>
      <c r="G1623" s="4" t="str">
        <f t="shared" si="197"/>
        <v>Bodysuit</v>
      </c>
      <c r="H1623" s="38">
        <f t="shared" si="195"/>
        <v>3</v>
      </c>
      <c r="I1623" s="54">
        <f t="shared" si="192"/>
        <v>10</v>
      </c>
      <c r="J1623" s="14" t="str">
        <f t="shared" si="196"/>
        <v>Easter</v>
      </c>
      <c r="K1623" s="16" t="str">
        <f t="shared" si="191"/>
        <v>0-3</v>
      </c>
      <c r="L1623" s="14" t="str">
        <f t="shared" si="194"/>
        <v>Bodysuit | 0-3 | Light Blue</v>
      </c>
      <c r="M1623" s="16" t="s">
        <v>3610</v>
      </c>
    </row>
    <row r="1624" spans="1:13" ht="25" customHeight="1" x14ac:dyDescent="0.45">
      <c r="A1624" s="39">
        <v>46086</v>
      </c>
      <c r="B1624" s="19" t="s">
        <v>1752</v>
      </c>
      <c r="C1624" s="5" t="s">
        <v>1723</v>
      </c>
      <c r="D1624" s="53" t="str">
        <f t="shared" si="193"/>
        <v>Light Pink</v>
      </c>
      <c r="E1624" s="5" t="s">
        <v>10</v>
      </c>
      <c r="F1624" s="5" t="s">
        <v>7</v>
      </c>
      <c r="G1624" s="4" t="str">
        <f t="shared" si="197"/>
        <v>Bodysuit</v>
      </c>
      <c r="H1624" s="38">
        <f t="shared" si="195"/>
        <v>3</v>
      </c>
      <c r="I1624" s="54">
        <f t="shared" si="192"/>
        <v>10</v>
      </c>
      <c r="J1624" s="14" t="str">
        <f t="shared" si="196"/>
        <v>Easter</v>
      </c>
      <c r="K1624" s="16" t="str">
        <f t="shared" si="191"/>
        <v>0-3</v>
      </c>
      <c r="L1624" s="14" t="str">
        <f t="shared" si="194"/>
        <v>Bodysuit | 0-3 | Light Pink</v>
      </c>
      <c r="M1624" s="16" t="s">
        <v>3610</v>
      </c>
    </row>
    <row r="1625" spans="1:13" ht="25" customHeight="1" x14ac:dyDescent="0.45">
      <c r="A1625" s="39">
        <v>46091</v>
      </c>
      <c r="B1625" s="19" t="s">
        <v>1753</v>
      </c>
      <c r="C1625" s="5" t="s">
        <v>1748</v>
      </c>
      <c r="D1625" s="53" t="str">
        <f t="shared" si="193"/>
        <v xml:space="preserve"> Light Blue</v>
      </c>
      <c r="E1625" s="5" t="s">
        <v>10</v>
      </c>
      <c r="F1625" s="5" t="s">
        <v>7</v>
      </c>
      <c r="G1625" s="4" t="str">
        <f t="shared" si="197"/>
        <v>Bodysuit</v>
      </c>
      <c r="H1625" s="38">
        <f t="shared" si="195"/>
        <v>3</v>
      </c>
      <c r="I1625" s="54">
        <f t="shared" si="192"/>
        <v>11</v>
      </c>
      <c r="J1625" s="14" t="str">
        <f t="shared" si="196"/>
        <v>Easter</v>
      </c>
      <c r="K1625" s="16" t="str">
        <f t="shared" si="191"/>
        <v>0-3</v>
      </c>
      <c r="L1625" s="14" t="str">
        <f t="shared" si="194"/>
        <v>Bodysuit | 0-3 | Light Blue</v>
      </c>
      <c r="M1625" s="16" t="s">
        <v>3610</v>
      </c>
    </row>
    <row r="1626" spans="1:13" ht="25" customHeight="1" x14ac:dyDescent="0.45">
      <c r="A1626" s="39">
        <v>46091</v>
      </c>
      <c r="B1626" s="19" t="s">
        <v>1754</v>
      </c>
      <c r="C1626" s="5" t="s">
        <v>1723</v>
      </c>
      <c r="D1626" s="53" t="str">
        <f t="shared" si="193"/>
        <v>Light Pink</v>
      </c>
      <c r="E1626" s="5" t="s">
        <v>6</v>
      </c>
      <c r="F1626" s="5" t="s">
        <v>13</v>
      </c>
      <c r="G1626" s="4" t="str">
        <f t="shared" si="197"/>
        <v>Bodysuit</v>
      </c>
      <c r="H1626" s="38">
        <f t="shared" si="195"/>
        <v>3</v>
      </c>
      <c r="I1626" s="54">
        <f t="shared" si="192"/>
        <v>11</v>
      </c>
      <c r="J1626" s="14" t="str">
        <f t="shared" si="196"/>
        <v>Easter</v>
      </c>
      <c r="K1626" s="16" t="str">
        <f t="shared" si="191"/>
        <v>3-6</v>
      </c>
      <c r="L1626" s="14" t="str">
        <f t="shared" si="194"/>
        <v>Bodysuit | 3-6 | Light Pink</v>
      </c>
      <c r="M1626" s="16" t="s">
        <v>3610</v>
      </c>
    </row>
    <row r="1627" spans="1:13" ht="25" customHeight="1" x14ac:dyDescent="0.45">
      <c r="A1627" s="39">
        <v>46093</v>
      </c>
      <c r="B1627" s="19" t="s">
        <v>1755</v>
      </c>
      <c r="C1627" s="5" t="s">
        <v>9</v>
      </c>
      <c r="D1627" s="53" t="str">
        <f t="shared" si="193"/>
        <v>Cream</v>
      </c>
      <c r="E1627" s="5" t="s">
        <v>6</v>
      </c>
      <c r="F1627" s="5" t="s">
        <v>7</v>
      </c>
      <c r="G1627" s="4" t="str">
        <f t="shared" si="197"/>
        <v>Bodysuit</v>
      </c>
      <c r="H1627" s="38">
        <f t="shared" si="195"/>
        <v>3</v>
      </c>
      <c r="I1627" s="54">
        <f t="shared" si="192"/>
        <v>11</v>
      </c>
      <c r="J1627" s="14" t="str">
        <f t="shared" si="196"/>
        <v>Easter</v>
      </c>
      <c r="K1627" s="16" t="str">
        <f t="shared" si="191"/>
        <v>3-6</v>
      </c>
      <c r="L1627" s="14" t="str">
        <f t="shared" si="194"/>
        <v>Bodysuit | 3-6 | Cream</v>
      </c>
      <c r="M1627" s="16" t="s">
        <v>3611</v>
      </c>
    </row>
    <row r="1628" spans="1:13" ht="25" customHeight="1" x14ac:dyDescent="0.45">
      <c r="A1628" s="39">
        <v>46094</v>
      </c>
      <c r="B1628" s="19" t="s">
        <v>1756</v>
      </c>
      <c r="C1628" s="5" t="s">
        <v>1748</v>
      </c>
      <c r="D1628" s="53" t="str">
        <f t="shared" si="193"/>
        <v xml:space="preserve"> Light Blue</v>
      </c>
      <c r="E1628" s="5" t="s">
        <v>6</v>
      </c>
      <c r="F1628" s="5" t="s">
        <v>7</v>
      </c>
      <c r="G1628" s="4" t="str">
        <f t="shared" si="197"/>
        <v>Bodysuit</v>
      </c>
      <c r="H1628" s="38">
        <f t="shared" si="195"/>
        <v>3</v>
      </c>
      <c r="I1628" s="54">
        <f t="shared" si="192"/>
        <v>11</v>
      </c>
      <c r="J1628" s="14" t="str">
        <f t="shared" si="196"/>
        <v>Easter</v>
      </c>
      <c r="K1628" s="16" t="str">
        <f t="shared" si="191"/>
        <v>3-6</v>
      </c>
      <c r="L1628" s="14" t="str">
        <f t="shared" si="194"/>
        <v>Bodysuit | 3-6 | Light Blue</v>
      </c>
      <c r="M1628" s="16" t="s">
        <v>3610</v>
      </c>
    </row>
    <row r="1629" spans="1:13" ht="25" customHeight="1" x14ac:dyDescent="0.45">
      <c r="A1629" s="39">
        <v>46097</v>
      </c>
      <c r="B1629" s="19" t="s">
        <v>1757</v>
      </c>
      <c r="C1629" s="5" t="s">
        <v>1449</v>
      </c>
      <c r="D1629" s="53" t="str">
        <f t="shared" si="193"/>
        <v xml:space="preserve"> Cream</v>
      </c>
      <c r="E1629" s="5" t="s">
        <v>10</v>
      </c>
      <c r="F1629" s="5" t="s">
        <v>13</v>
      </c>
      <c r="G1629" s="4" t="str">
        <f t="shared" si="197"/>
        <v>Bodysuit</v>
      </c>
      <c r="H1629" s="38">
        <f t="shared" si="195"/>
        <v>3</v>
      </c>
      <c r="I1629" s="54">
        <f t="shared" si="192"/>
        <v>12</v>
      </c>
      <c r="J1629" s="14" t="str">
        <f t="shared" si="196"/>
        <v>Easter</v>
      </c>
      <c r="K1629" s="16" t="str">
        <f t="shared" si="191"/>
        <v>0-3</v>
      </c>
      <c r="L1629" s="14" t="str">
        <f t="shared" si="194"/>
        <v>Bodysuit | 0-3 | Cream</v>
      </c>
      <c r="M1629" s="16" t="s">
        <v>3610</v>
      </c>
    </row>
    <row r="1630" spans="1:13" ht="25" customHeight="1" x14ac:dyDescent="0.45">
      <c r="A1630" s="39">
        <v>46098</v>
      </c>
      <c r="B1630" s="19" t="s">
        <v>1758</v>
      </c>
      <c r="C1630" s="5" t="s">
        <v>1449</v>
      </c>
      <c r="D1630" s="53" t="str">
        <f t="shared" si="193"/>
        <v xml:space="preserve"> Cream</v>
      </c>
      <c r="E1630" s="5" t="s">
        <v>6</v>
      </c>
      <c r="F1630" s="5" t="s">
        <v>13</v>
      </c>
      <c r="G1630" s="4" t="str">
        <f t="shared" si="197"/>
        <v>Bodysuit</v>
      </c>
      <c r="H1630" s="38">
        <f t="shared" si="195"/>
        <v>3</v>
      </c>
      <c r="I1630" s="54">
        <f t="shared" si="192"/>
        <v>12</v>
      </c>
      <c r="J1630" s="14" t="str">
        <f t="shared" si="196"/>
        <v>Easter</v>
      </c>
      <c r="K1630" s="16" t="str">
        <f t="shared" si="191"/>
        <v>3-6</v>
      </c>
      <c r="L1630" s="14" t="str">
        <f t="shared" si="194"/>
        <v>Bodysuit | 3-6 | Cream</v>
      </c>
      <c r="M1630" s="16" t="s">
        <v>3611</v>
      </c>
    </row>
    <row r="1631" spans="1:13" ht="25" customHeight="1" x14ac:dyDescent="0.45">
      <c r="A1631" s="39">
        <v>46098</v>
      </c>
      <c r="B1631" s="19" t="s">
        <v>1759</v>
      </c>
      <c r="C1631" s="5" t="s">
        <v>1449</v>
      </c>
      <c r="D1631" s="53" t="str">
        <f t="shared" si="193"/>
        <v xml:space="preserve"> Cream</v>
      </c>
      <c r="E1631" s="5" t="s">
        <v>6</v>
      </c>
      <c r="F1631" s="5" t="s">
        <v>19</v>
      </c>
      <c r="G1631" s="4" t="str">
        <f t="shared" si="197"/>
        <v>Bodysuit</v>
      </c>
      <c r="H1631" s="38">
        <f t="shared" si="195"/>
        <v>3</v>
      </c>
      <c r="I1631" s="54">
        <f t="shared" si="192"/>
        <v>12</v>
      </c>
      <c r="J1631" s="14" t="str">
        <f t="shared" si="196"/>
        <v>Easter</v>
      </c>
      <c r="K1631" s="16" t="str">
        <f t="shared" si="191"/>
        <v>3-6</v>
      </c>
      <c r="L1631" s="14" t="str">
        <f t="shared" si="194"/>
        <v>Bodysuit | 3-6 | Cream</v>
      </c>
      <c r="M1631" s="16" t="s">
        <v>3611</v>
      </c>
    </row>
    <row r="1632" spans="1:13" ht="25" customHeight="1" x14ac:dyDescent="0.45">
      <c r="A1632" s="39">
        <v>46099</v>
      </c>
      <c r="B1632" s="19" t="s">
        <v>1760</v>
      </c>
      <c r="C1632" s="5" t="s">
        <v>1721</v>
      </c>
      <c r="D1632" s="53" t="str">
        <f t="shared" si="193"/>
        <v>Light Blue</v>
      </c>
      <c r="E1632" s="5" t="s">
        <v>6</v>
      </c>
      <c r="F1632" s="5" t="s">
        <v>7</v>
      </c>
      <c r="G1632" s="4" t="str">
        <f t="shared" si="197"/>
        <v>Bodysuit</v>
      </c>
      <c r="H1632" s="38">
        <f t="shared" si="195"/>
        <v>3</v>
      </c>
      <c r="I1632" s="54">
        <f t="shared" si="192"/>
        <v>12</v>
      </c>
      <c r="J1632" s="14" t="str">
        <f t="shared" si="196"/>
        <v>Easter</v>
      </c>
      <c r="K1632" s="16" t="str">
        <f t="shared" si="191"/>
        <v>3-6</v>
      </c>
      <c r="L1632" s="14" t="str">
        <f t="shared" si="194"/>
        <v>Bodysuit | 3-6 | Light Blue</v>
      </c>
      <c r="M1632" s="16" t="s">
        <v>3610</v>
      </c>
    </row>
    <row r="1633" spans="1:13" ht="25" customHeight="1" x14ac:dyDescent="0.45">
      <c r="A1633" s="39">
        <v>46099</v>
      </c>
      <c r="B1633" s="19" t="s">
        <v>1761</v>
      </c>
      <c r="C1633" s="5" t="s">
        <v>9</v>
      </c>
      <c r="D1633" s="53" t="str">
        <f t="shared" si="193"/>
        <v>Cream</v>
      </c>
      <c r="E1633" s="5" t="s">
        <v>6</v>
      </c>
      <c r="F1633" s="5" t="s">
        <v>7</v>
      </c>
      <c r="G1633" s="4" t="str">
        <f t="shared" si="197"/>
        <v>Bodysuit</v>
      </c>
      <c r="H1633" s="38">
        <f t="shared" si="195"/>
        <v>3</v>
      </c>
      <c r="I1633" s="54">
        <f t="shared" si="192"/>
        <v>12</v>
      </c>
      <c r="J1633" s="14" t="str">
        <f t="shared" si="196"/>
        <v>Easter</v>
      </c>
      <c r="K1633" s="16" t="str">
        <f t="shared" si="191"/>
        <v>3-6</v>
      </c>
      <c r="L1633" s="14" t="str">
        <f t="shared" si="194"/>
        <v>Bodysuit | 3-6 | Cream</v>
      </c>
      <c r="M1633" s="16" t="s">
        <v>3611</v>
      </c>
    </row>
    <row r="1634" spans="1:13" ht="25" customHeight="1" x14ac:dyDescent="0.45">
      <c r="A1634" s="39">
        <v>46099</v>
      </c>
      <c r="B1634" s="19" t="s">
        <v>1762</v>
      </c>
      <c r="C1634" s="5" t="s">
        <v>9</v>
      </c>
      <c r="D1634" s="53" t="str">
        <f t="shared" si="193"/>
        <v>Cream</v>
      </c>
      <c r="E1634" s="5" t="s">
        <v>6</v>
      </c>
      <c r="F1634" s="5" t="s">
        <v>7</v>
      </c>
      <c r="G1634" s="4" t="str">
        <f t="shared" si="197"/>
        <v>Bodysuit</v>
      </c>
      <c r="H1634" s="38">
        <f t="shared" si="195"/>
        <v>3</v>
      </c>
      <c r="I1634" s="54">
        <f t="shared" si="192"/>
        <v>12</v>
      </c>
      <c r="J1634" s="14" t="str">
        <f t="shared" si="196"/>
        <v>Easter</v>
      </c>
      <c r="K1634" s="16" t="str">
        <f t="shared" si="191"/>
        <v>3-6</v>
      </c>
      <c r="L1634" s="14" t="str">
        <f t="shared" si="194"/>
        <v>Bodysuit | 3-6 | Cream</v>
      </c>
      <c r="M1634" s="16" t="s">
        <v>3611</v>
      </c>
    </row>
    <row r="1635" spans="1:13" ht="25" customHeight="1" x14ac:dyDescent="0.45">
      <c r="A1635" s="39">
        <v>46100</v>
      </c>
      <c r="B1635" s="19" t="s">
        <v>1763</v>
      </c>
      <c r="C1635" s="5" t="s">
        <v>9</v>
      </c>
      <c r="D1635" s="53" t="str">
        <f t="shared" si="193"/>
        <v>Cream</v>
      </c>
      <c r="E1635" s="5" t="s">
        <v>6</v>
      </c>
      <c r="F1635" s="5" t="s">
        <v>7</v>
      </c>
      <c r="G1635" s="4" t="str">
        <f t="shared" si="197"/>
        <v>Bodysuit</v>
      </c>
      <c r="H1635" s="38">
        <f t="shared" si="195"/>
        <v>3</v>
      </c>
      <c r="I1635" s="54">
        <f t="shared" si="192"/>
        <v>12</v>
      </c>
      <c r="J1635" s="14" t="str">
        <f t="shared" si="196"/>
        <v>Easter</v>
      </c>
      <c r="K1635" s="16" t="str">
        <f t="shared" si="191"/>
        <v>3-6</v>
      </c>
      <c r="L1635" s="14" t="str">
        <f t="shared" si="194"/>
        <v>Bodysuit | 3-6 | Cream</v>
      </c>
      <c r="M1635" s="16" t="s">
        <v>3611</v>
      </c>
    </row>
    <row r="1636" spans="1:13" ht="25" customHeight="1" x14ac:dyDescent="0.45">
      <c r="A1636" s="39">
        <v>46101</v>
      </c>
      <c r="B1636" s="19" t="s">
        <v>1764</v>
      </c>
      <c r="C1636" s="5" t="s">
        <v>1721</v>
      </c>
      <c r="D1636" s="53" t="str">
        <f t="shared" si="193"/>
        <v>Light Blue</v>
      </c>
      <c r="E1636" s="5" t="s">
        <v>6</v>
      </c>
      <c r="F1636" s="5" t="s">
        <v>7</v>
      </c>
      <c r="G1636" s="4" t="str">
        <f t="shared" si="197"/>
        <v>Bodysuit</v>
      </c>
      <c r="H1636" s="38">
        <f t="shared" si="195"/>
        <v>3</v>
      </c>
      <c r="I1636" s="54">
        <f t="shared" si="192"/>
        <v>12</v>
      </c>
      <c r="J1636" s="14" t="str">
        <f t="shared" si="196"/>
        <v>Easter</v>
      </c>
      <c r="K1636" s="16" t="str">
        <f t="shared" si="191"/>
        <v>3-6</v>
      </c>
      <c r="L1636" s="14" t="str">
        <f t="shared" si="194"/>
        <v>Bodysuit | 3-6 | Light Blue</v>
      </c>
      <c r="M1636" s="16" t="s">
        <v>3610</v>
      </c>
    </row>
    <row r="1637" spans="1:13" ht="25" customHeight="1" x14ac:dyDescent="0.45">
      <c r="A1637" s="39">
        <v>46105</v>
      </c>
      <c r="B1637" s="19" t="s">
        <v>1765</v>
      </c>
      <c r="C1637" s="5" t="s">
        <v>9</v>
      </c>
      <c r="D1637" s="53" t="str">
        <f t="shared" si="193"/>
        <v>Cream</v>
      </c>
      <c r="E1637" s="5" t="s">
        <v>10</v>
      </c>
      <c r="F1637" s="5" t="s">
        <v>7</v>
      </c>
      <c r="G1637" s="4" t="str">
        <f t="shared" si="197"/>
        <v>Bodysuit</v>
      </c>
      <c r="H1637" s="38">
        <f t="shared" si="195"/>
        <v>3</v>
      </c>
      <c r="I1637" s="54">
        <f t="shared" si="192"/>
        <v>13</v>
      </c>
      <c r="J1637" s="14" t="str">
        <f t="shared" si="196"/>
        <v>Easter</v>
      </c>
      <c r="K1637" s="16" t="str">
        <f t="shared" si="191"/>
        <v>0-3</v>
      </c>
      <c r="L1637" s="14" t="str">
        <f t="shared" si="194"/>
        <v>Bodysuit | 0-3 | Cream</v>
      </c>
      <c r="M1637" s="16" t="s">
        <v>3610</v>
      </c>
    </row>
    <row r="1638" spans="1:13" ht="25" customHeight="1" x14ac:dyDescent="0.45">
      <c r="A1638" s="39">
        <v>46107</v>
      </c>
      <c r="B1638" s="19" t="s">
        <v>1766</v>
      </c>
      <c r="C1638" s="5" t="s">
        <v>9</v>
      </c>
      <c r="D1638" s="53" t="str">
        <f t="shared" si="193"/>
        <v>Cream</v>
      </c>
      <c r="E1638" s="5" t="s">
        <v>6</v>
      </c>
      <c r="F1638" s="5" t="s">
        <v>7</v>
      </c>
      <c r="G1638" s="4" t="str">
        <f t="shared" si="197"/>
        <v>Bodysuit</v>
      </c>
      <c r="H1638" s="38">
        <f t="shared" si="195"/>
        <v>3</v>
      </c>
      <c r="I1638" s="54">
        <f t="shared" si="192"/>
        <v>13</v>
      </c>
      <c r="J1638" s="14" t="str">
        <f t="shared" si="196"/>
        <v>Easter</v>
      </c>
      <c r="K1638" s="16" t="str">
        <f t="shared" si="191"/>
        <v>3-6</v>
      </c>
      <c r="L1638" s="14" t="str">
        <f t="shared" si="194"/>
        <v>Bodysuit | 3-6 | Cream</v>
      </c>
      <c r="M1638" s="16" t="s">
        <v>3611</v>
      </c>
    </row>
    <row r="1639" spans="1:13" ht="25" customHeight="1" x14ac:dyDescent="0.45">
      <c r="A1639" s="39">
        <v>46107</v>
      </c>
      <c r="B1639" s="19" t="s">
        <v>1767</v>
      </c>
      <c r="C1639" s="5" t="s">
        <v>1721</v>
      </c>
      <c r="D1639" s="53" t="str">
        <f t="shared" si="193"/>
        <v>Light Blue</v>
      </c>
      <c r="E1639" s="5" t="s">
        <v>10</v>
      </c>
      <c r="F1639" s="5" t="s">
        <v>18</v>
      </c>
      <c r="G1639" s="4" t="str">
        <f t="shared" si="197"/>
        <v>Bodysuit</v>
      </c>
      <c r="H1639" s="38">
        <f t="shared" si="195"/>
        <v>3</v>
      </c>
      <c r="I1639" s="54">
        <f t="shared" si="192"/>
        <v>13</v>
      </c>
      <c r="J1639" s="14" t="str">
        <f t="shared" si="196"/>
        <v>Easter</v>
      </c>
      <c r="K1639" s="16" t="str">
        <f t="shared" ref="K1639:K1696" si="198">TRIM(LEFT(E1639,FIND("(",E1639&amp;"(")-7))</f>
        <v>0-3</v>
      </c>
      <c r="L1639" s="14" t="str">
        <f t="shared" si="194"/>
        <v>Bodysuit | 0-3 | Light Blue</v>
      </c>
      <c r="M1639" s="16" t="s">
        <v>3610</v>
      </c>
    </row>
    <row r="1640" spans="1:13" ht="25" customHeight="1" x14ac:dyDescent="0.45">
      <c r="A1640" s="39">
        <v>46109</v>
      </c>
      <c r="B1640" s="19" t="s">
        <v>1768</v>
      </c>
      <c r="C1640" s="5" t="s">
        <v>1721</v>
      </c>
      <c r="D1640" s="53" t="str">
        <f t="shared" si="193"/>
        <v>Light Blue</v>
      </c>
      <c r="E1640" s="5" t="s">
        <v>10</v>
      </c>
      <c r="F1640" s="5" t="s">
        <v>7</v>
      </c>
      <c r="G1640" s="4" t="str">
        <f t="shared" si="197"/>
        <v>Bodysuit</v>
      </c>
      <c r="H1640" s="38">
        <f t="shared" si="195"/>
        <v>3</v>
      </c>
      <c r="I1640" s="54">
        <f t="shared" si="192"/>
        <v>13</v>
      </c>
      <c r="J1640" s="14" t="str">
        <f t="shared" si="196"/>
        <v>Easter</v>
      </c>
      <c r="K1640" s="16" t="str">
        <f t="shared" si="198"/>
        <v>0-3</v>
      </c>
      <c r="L1640" s="14" t="str">
        <f t="shared" si="194"/>
        <v>Bodysuit | 0-3 | Light Blue</v>
      </c>
      <c r="M1640" s="16" t="s">
        <v>3610</v>
      </c>
    </row>
    <row r="1641" spans="1:13" ht="25" customHeight="1" x14ac:dyDescent="0.45">
      <c r="A1641" s="39">
        <v>46109</v>
      </c>
      <c r="B1641" s="19" t="s">
        <v>1769</v>
      </c>
      <c r="C1641" s="5" t="s">
        <v>1721</v>
      </c>
      <c r="D1641" s="53" t="str">
        <f t="shared" si="193"/>
        <v>Light Blue</v>
      </c>
      <c r="E1641" s="5" t="s">
        <v>6</v>
      </c>
      <c r="F1641" s="5" t="s">
        <v>69</v>
      </c>
      <c r="G1641" s="4" t="str">
        <f t="shared" si="197"/>
        <v>Bodysuit</v>
      </c>
      <c r="H1641" s="38">
        <f t="shared" si="195"/>
        <v>3</v>
      </c>
      <c r="I1641" s="54">
        <f t="shared" si="192"/>
        <v>13</v>
      </c>
      <c r="J1641" s="14" t="str">
        <f t="shared" si="196"/>
        <v>Easter</v>
      </c>
      <c r="K1641" s="16" t="str">
        <f t="shared" si="198"/>
        <v>3-6</v>
      </c>
      <c r="L1641" s="14" t="str">
        <f t="shared" si="194"/>
        <v>Bodysuit | 3-6 | Light Blue</v>
      </c>
      <c r="M1641" s="16" t="s">
        <v>3610</v>
      </c>
    </row>
    <row r="1642" spans="1:13" ht="25" customHeight="1" x14ac:dyDescent="0.45">
      <c r="A1642" s="39">
        <v>46111</v>
      </c>
      <c r="B1642" s="19" t="s">
        <v>1770</v>
      </c>
      <c r="C1642" s="5" t="s">
        <v>1723</v>
      </c>
      <c r="D1642" s="53" t="str">
        <f t="shared" si="193"/>
        <v>Light Pink</v>
      </c>
      <c r="E1642" s="5" t="s">
        <v>6</v>
      </c>
      <c r="F1642" s="5" t="s">
        <v>19</v>
      </c>
      <c r="G1642" s="4" t="str">
        <f t="shared" si="197"/>
        <v>Bodysuit</v>
      </c>
      <c r="H1642" s="38">
        <f t="shared" si="195"/>
        <v>3</v>
      </c>
      <c r="I1642" s="54">
        <f t="shared" si="192"/>
        <v>14</v>
      </c>
      <c r="J1642" s="14" t="str">
        <f t="shared" si="196"/>
        <v>Easter</v>
      </c>
      <c r="K1642" s="16" t="str">
        <f t="shared" si="198"/>
        <v>3-6</v>
      </c>
      <c r="L1642" s="14" t="str">
        <f t="shared" si="194"/>
        <v>Bodysuit | 3-6 | Light Pink</v>
      </c>
      <c r="M1642" s="16" t="s">
        <v>3610</v>
      </c>
    </row>
    <row r="1643" spans="1:13" ht="25" customHeight="1" x14ac:dyDescent="0.45">
      <c r="A1643" s="39">
        <v>46112</v>
      </c>
      <c r="B1643" s="19" t="s">
        <v>1771</v>
      </c>
      <c r="C1643" s="5" t="s">
        <v>1721</v>
      </c>
      <c r="D1643" s="53" t="str">
        <f t="shared" si="193"/>
        <v>Light Blue</v>
      </c>
      <c r="E1643" s="5" t="s">
        <v>6</v>
      </c>
      <c r="F1643" s="5" t="s">
        <v>19</v>
      </c>
      <c r="G1643" s="4" t="str">
        <f t="shared" si="197"/>
        <v>Bodysuit</v>
      </c>
      <c r="H1643" s="38">
        <f t="shared" si="195"/>
        <v>3</v>
      </c>
      <c r="I1643" s="54">
        <f t="shared" si="192"/>
        <v>14</v>
      </c>
      <c r="J1643" s="14" t="str">
        <f t="shared" si="196"/>
        <v>Easter</v>
      </c>
      <c r="K1643" s="16" t="str">
        <f t="shared" si="198"/>
        <v>3-6</v>
      </c>
      <c r="L1643" s="14" t="str">
        <f t="shared" si="194"/>
        <v>Bodysuit | 3-6 | Light Blue</v>
      </c>
      <c r="M1643" s="16" t="s">
        <v>3610</v>
      </c>
    </row>
    <row r="1644" spans="1:13" ht="25" customHeight="1" x14ac:dyDescent="0.45">
      <c r="A1644" s="39">
        <v>46112</v>
      </c>
      <c r="B1644" s="19" t="s">
        <v>1772</v>
      </c>
      <c r="C1644" s="5" t="s">
        <v>1721</v>
      </c>
      <c r="D1644" s="53" t="str">
        <f t="shared" si="193"/>
        <v>Light Blue</v>
      </c>
      <c r="E1644" s="5" t="s">
        <v>6</v>
      </c>
      <c r="F1644" s="5" t="s">
        <v>7</v>
      </c>
      <c r="G1644" s="4" t="str">
        <f t="shared" si="197"/>
        <v>Bodysuit</v>
      </c>
      <c r="H1644" s="38">
        <f t="shared" si="195"/>
        <v>3</v>
      </c>
      <c r="I1644" s="54">
        <f t="shared" si="192"/>
        <v>14</v>
      </c>
      <c r="J1644" s="14" t="str">
        <f t="shared" si="196"/>
        <v>Easter</v>
      </c>
      <c r="K1644" s="16" t="str">
        <f t="shared" si="198"/>
        <v>3-6</v>
      </c>
      <c r="L1644" s="14" t="str">
        <f t="shared" si="194"/>
        <v>Bodysuit | 3-6 | Light Blue</v>
      </c>
      <c r="M1644" s="16" t="s">
        <v>3610</v>
      </c>
    </row>
    <row r="1645" spans="1:13" ht="25" customHeight="1" x14ac:dyDescent="0.45">
      <c r="A1645" s="39">
        <v>46112</v>
      </c>
      <c r="B1645" s="19" t="s">
        <v>1772</v>
      </c>
      <c r="C1645" s="5" t="s">
        <v>9</v>
      </c>
      <c r="D1645" s="53" t="str">
        <f t="shared" si="193"/>
        <v>Cream</v>
      </c>
      <c r="E1645" s="5" t="s">
        <v>6</v>
      </c>
      <c r="F1645" s="5" t="s">
        <v>7</v>
      </c>
      <c r="G1645" s="4" t="str">
        <f t="shared" si="197"/>
        <v>Bodysuit</v>
      </c>
      <c r="H1645" s="38">
        <f t="shared" si="195"/>
        <v>3</v>
      </c>
      <c r="I1645" s="54">
        <f t="shared" si="192"/>
        <v>14</v>
      </c>
      <c r="J1645" s="14" t="str">
        <f t="shared" si="196"/>
        <v>Easter</v>
      </c>
      <c r="K1645" s="16" t="str">
        <f t="shared" si="198"/>
        <v>3-6</v>
      </c>
      <c r="L1645" s="14" t="str">
        <f t="shared" si="194"/>
        <v>Bodysuit | 3-6 | Cream</v>
      </c>
      <c r="M1645" s="16" t="s">
        <v>3611</v>
      </c>
    </row>
    <row r="1646" spans="1:13" ht="25" customHeight="1" x14ac:dyDescent="0.45">
      <c r="A1646" s="39">
        <v>46112</v>
      </c>
      <c r="B1646" s="19" t="s">
        <v>1773</v>
      </c>
      <c r="C1646" s="5" t="s">
        <v>9</v>
      </c>
      <c r="D1646" s="53" t="str">
        <f t="shared" si="193"/>
        <v>Cream</v>
      </c>
      <c r="E1646" s="5" t="s">
        <v>10</v>
      </c>
      <c r="F1646" s="5" t="s">
        <v>1774</v>
      </c>
      <c r="G1646" s="4" t="str">
        <f t="shared" si="197"/>
        <v>Bodysuit</v>
      </c>
      <c r="H1646" s="38">
        <f t="shared" si="195"/>
        <v>3</v>
      </c>
      <c r="I1646" s="54">
        <f t="shared" si="192"/>
        <v>14</v>
      </c>
      <c r="J1646" s="14" t="str">
        <f t="shared" si="196"/>
        <v>Easter</v>
      </c>
      <c r="K1646" s="16" t="str">
        <f t="shared" si="198"/>
        <v>0-3</v>
      </c>
      <c r="L1646" s="14" t="str">
        <f t="shared" si="194"/>
        <v>Bodysuit | 0-3 | Cream</v>
      </c>
      <c r="M1646" s="16" t="s">
        <v>3610</v>
      </c>
    </row>
    <row r="1647" spans="1:13" ht="25" customHeight="1" x14ac:dyDescent="0.45">
      <c r="A1647" s="39">
        <v>46115</v>
      </c>
      <c r="B1647" s="19" t="s">
        <v>1775</v>
      </c>
      <c r="C1647" s="5" t="s">
        <v>9</v>
      </c>
      <c r="D1647" s="53" t="str">
        <f t="shared" si="193"/>
        <v>Cream</v>
      </c>
      <c r="E1647" s="5" t="s">
        <v>10</v>
      </c>
      <c r="F1647" s="5" t="s">
        <v>7</v>
      </c>
      <c r="G1647" s="4" t="str">
        <f t="shared" si="197"/>
        <v>Bodysuit</v>
      </c>
      <c r="H1647" s="38">
        <f t="shared" si="195"/>
        <v>4</v>
      </c>
      <c r="I1647" s="54">
        <f t="shared" ref="I1647:I1710" si="199">WEEKNUM(A1647)</f>
        <v>14</v>
      </c>
      <c r="J1647" s="14" t="str">
        <f t="shared" si="196"/>
        <v>Easter</v>
      </c>
      <c r="K1647" s="16" t="str">
        <f t="shared" si="198"/>
        <v>0-3</v>
      </c>
      <c r="L1647" s="14" t="str">
        <f t="shared" si="194"/>
        <v>Bodysuit | 0-3 | Cream</v>
      </c>
      <c r="M1647" s="16" t="s">
        <v>3610</v>
      </c>
    </row>
    <row r="1648" spans="1:13" ht="25" customHeight="1" x14ac:dyDescent="0.45">
      <c r="A1648" s="39">
        <v>46115</v>
      </c>
      <c r="B1648" s="19" t="s">
        <v>1776</v>
      </c>
      <c r="C1648" s="5" t="s">
        <v>9</v>
      </c>
      <c r="D1648" s="53" t="str">
        <f t="shared" si="193"/>
        <v>Cream</v>
      </c>
      <c r="E1648" s="5" t="s">
        <v>10</v>
      </c>
      <c r="F1648" s="5" t="s">
        <v>13</v>
      </c>
      <c r="G1648" s="4" t="str">
        <f t="shared" si="197"/>
        <v>Bodysuit</v>
      </c>
      <c r="H1648" s="38">
        <f t="shared" si="195"/>
        <v>4</v>
      </c>
      <c r="I1648" s="54">
        <f t="shared" si="199"/>
        <v>14</v>
      </c>
      <c r="J1648" s="14" t="str">
        <f t="shared" si="196"/>
        <v>Easter</v>
      </c>
      <c r="K1648" s="16" t="str">
        <f t="shared" si="198"/>
        <v>0-3</v>
      </c>
      <c r="L1648" s="14" t="str">
        <f t="shared" si="194"/>
        <v>Bodysuit | 0-3 | Cream</v>
      </c>
      <c r="M1648" s="16" t="s">
        <v>3610</v>
      </c>
    </row>
    <row r="1649" spans="1:13" ht="25" customHeight="1" x14ac:dyDescent="0.45">
      <c r="A1649" s="39">
        <v>46116</v>
      </c>
      <c r="B1649" s="19" t="s">
        <v>1777</v>
      </c>
      <c r="C1649" s="5" t="s">
        <v>1723</v>
      </c>
      <c r="D1649" s="53" t="str">
        <f t="shared" si="193"/>
        <v>Light Pink</v>
      </c>
      <c r="E1649" s="5" t="s">
        <v>6</v>
      </c>
      <c r="F1649" s="5" t="s">
        <v>19</v>
      </c>
      <c r="G1649" s="4" t="str">
        <f t="shared" si="197"/>
        <v>Bodysuit</v>
      </c>
      <c r="H1649" s="38">
        <f t="shared" si="195"/>
        <v>4</v>
      </c>
      <c r="I1649" s="54">
        <f t="shared" si="199"/>
        <v>14</v>
      </c>
      <c r="J1649" s="14" t="str">
        <f t="shared" si="196"/>
        <v>Easter</v>
      </c>
      <c r="K1649" s="16" t="str">
        <f t="shared" si="198"/>
        <v>3-6</v>
      </c>
      <c r="L1649" s="14" t="str">
        <f t="shared" si="194"/>
        <v>Bodysuit | 3-6 | Light Pink</v>
      </c>
      <c r="M1649" s="16" t="s">
        <v>3610</v>
      </c>
    </row>
    <row r="1650" spans="1:13" ht="25" customHeight="1" x14ac:dyDescent="0.45">
      <c r="A1650" s="39">
        <v>46118</v>
      </c>
      <c r="B1650" s="23" t="s">
        <v>1778</v>
      </c>
      <c r="C1650" s="5" t="s">
        <v>9</v>
      </c>
      <c r="D1650" s="53" t="str">
        <f t="shared" si="193"/>
        <v>Cream</v>
      </c>
      <c r="E1650" s="5" t="s">
        <v>10</v>
      </c>
      <c r="F1650" s="5" t="s">
        <v>7</v>
      </c>
      <c r="G1650" s="4" t="str">
        <f t="shared" si="197"/>
        <v>Bodysuit</v>
      </c>
      <c r="H1650" s="38">
        <f t="shared" si="195"/>
        <v>4</v>
      </c>
      <c r="I1650" s="54">
        <f t="shared" si="199"/>
        <v>15</v>
      </c>
      <c r="J1650" s="14" t="str">
        <f t="shared" si="196"/>
        <v>Easter</v>
      </c>
      <c r="K1650" s="16" t="str">
        <f t="shared" si="198"/>
        <v>0-3</v>
      </c>
      <c r="L1650" s="14" t="str">
        <f t="shared" si="194"/>
        <v>Bodysuit | 0-3 | Cream</v>
      </c>
      <c r="M1650" s="16" t="s">
        <v>3610</v>
      </c>
    </row>
    <row r="1651" spans="1:13" ht="25" customHeight="1" x14ac:dyDescent="0.45">
      <c r="A1651" s="39">
        <v>46120</v>
      </c>
      <c r="B1651" s="19" t="s">
        <v>1779</v>
      </c>
      <c r="C1651" s="5" t="s">
        <v>9</v>
      </c>
      <c r="D1651" s="53" t="str">
        <f t="shared" si="193"/>
        <v>Cream</v>
      </c>
      <c r="E1651" s="5" t="s">
        <v>10</v>
      </c>
      <c r="F1651" s="5" t="s">
        <v>19</v>
      </c>
      <c r="G1651" s="4" t="str">
        <f t="shared" si="197"/>
        <v>Bodysuit</v>
      </c>
      <c r="H1651" s="38">
        <f t="shared" si="195"/>
        <v>4</v>
      </c>
      <c r="I1651" s="54">
        <f t="shared" si="199"/>
        <v>15</v>
      </c>
      <c r="J1651" s="14" t="str">
        <f t="shared" si="196"/>
        <v>Easter</v>
      </c>
      <c r="K1651" s="16" t="str">
        <f t="shared" si="198"/>
        <v>0-3</v>
      </c>
      <c r="L1651" s="14" t="str">
        <f t="shared" si="194"/>
        <v>Bodysuit | 0-3 | Cream</v>
      </c>
      <c r="M1651" s="16" t="s">
        <v>3610</v>
      </c>
    </row>
    <row r="1652" spans="1:13" ht="25" customHeight="1" x14ac:dyDescent="0.45">
      <c r="A1652" s="39">
        <v>46121</v>
      </c>
      <c r="B1652" s="19" t="s">
        <v>1780</v>
      </c>
      <c r="C1652" s="5" t="s">
        <v>1721</v>
      </c>
      <c r="D1652" s="53" t="str">
        <f t="shared" si="193"/>
        <v>Light Blue</v>
      </c>
      <c r="E1652" s="5" t="s">
        <v>6</v>
      </c>
      <c r="F1652" s="5" t="s">
        <v>7</v>
      </c>
      <c r="G1652" s="4" t="str">
        <f t="shared" si="197"/>
        <v>Bodysuit</v>
      </c>
      <c r="H1652" s="38">
        <f t="shared" si="195"/>
        <v>4</v>
      </c>
      <c r="I1652" s="54">
        <f t="shared" si="199"/>
        <v>15</v>
      </c>
      <c r="J1652" s="14" t="str">
        <f t="shared" si="196"/>
        <v>Easter</v>
      </c>
      <c r="K1652" s="16" t="str">
        <f t="shared" si="198"/>
        <v>3-6</v>
      </c>
      <c r="L1652" s="14" t="str">
        <f t="shared" si="194"/>
        <v>Bodysuit | 3-6 | Light Blue</v>
      </c>
      <c r="M1652" s="16" t="s">
        <v>3610</v>
      </c>
    </row>
    <row r="1653" spans="1:13" ht="25" customHeight="1" x14ac:dyDescent="0.45">
      <c r="A1653" s="39">
        <v>46122</v>
      </c>
      <c r="B1653" s="19" t="s">
        <v>1781</v>
      </c>
      <c r="C1653" s="5" t="s">
        <v>1723</v>
      </c>
      <c r="D1653" s="53" t="str">
        <f t="shared" si="193"/>
        <v>Light Pink</v>
      </c>
      <c r="E1653" s="5" t="s">
        <v>6</v>
      </c>
      <c r="F1653" s="5" t="s">
        <v>7</v>
      </c>
      <c r="G1653" s="4" t="str">
        <f t="shared" si="197"/>
        <v>Bodysuit</v>
      </c>
      <c r="H1653" s="38">
        <f t="shared" si="195"/>
        <v>4</v>
      </c>
      <c r="I1653" s="54">
        <f t="shared" si="199"/>
        <v>15</v>
      </c>
      <c r="J1653" s="14" t="str">
        <f t="shared" si="196"/>
        <v>Easter</v>
      </c>
      <c r="K1653" s="16" t="str">
        <f t="shared" si="198"/>
        <v>3-6</v>
      </c>
      <c r="L1653" s="14" t="str">
        <f t="shared" si="194"/>
        <v>Bodysuit | 3-6 | Light Pink</v>
      </c>
      <c r="M1653" s="16" t="s">
        <v>3610</v>
      </c>
    </row>
    <row r="1654" spans="1:13" ht="25" customHeight="1" x14ac:dyDescent="0.45">
      <c r="A1654" s="39">
        <v>46122</v>
      </c>
      <c r="B1654" s="19" t="s">
        <v>1782</v>
      </c>
      <c r="C1654" s="5" t="s">
        <v>9</v>
      </c>
      <c r="D1654" s="53" t="str">
        <f t="shared" si="193"/>
        <v>Cream</v>
      </c>
      <c r="E1654" s="5" t="s">
        <v>6</v>
      </c>
      <c r="F1654" s="5" t="s">
        <v>7</v>
      </c>
      <c r="G1654" s="4" t="str">
        <f t="shared" si="197"/>
        <v>Bodysuit</v>
      </c>
      <c r="H1654" s="38">
        <f t="shared" si="195"/>
        <v>4</v>
      </c>
      <c r="I1654" s="54">
        <f t="shared" si="199"/>
        <v>15</v>
      </c>
      <c r="J1654" s="14" t="str">
        <f t="shared" si="196"/>
        <v>Easter</v>
      </c>
      <c r="K1654" s="16" t="str">
        <f t="shared" si="198"/>
        <v>3-6</v>
      </c>
      <c r="L1654" s="14" t="str">
        <f t="shared" si="194"/>
        <v>Bodysuit | 3-6 | Cream</v>
      </c>
      <c r="M1654" s="16" t="s">
        <v>3611</v>
      </c>
    </row>
    <row r="1655" spans="1:13" ht="25" customHeight="1" x14ac:dyDescent="0.45">
      <c r="A1655" s="39">
        <v>46122</v>
      </c>
      <c r="B1655" s="19" t="s">
        <v>1783</v>
      </c>
      <c r="C1655" s="5" t="s">
        <v>1723</v>
      </c>
      <c r="D1655" s="53" t="str">
        <f t="shared" si="193"/>
        <v>Light Pink</v>
      </c>
      <c r="E1655" s="5" t="s">
        <v>6</v>
      </c>
      <c r="F1655" s="5" t="s">
        <v>1774</v>
      </c>
      <c r="G1655" s="4" t="str">
        <f t="shared" si="197"/>
        <v>Bodysuit</v>
      </c>
      <c r="H1655" s="38">
        <f t="shared" si="195"/>
        <v>4</v>
      </c>
      <c r="I1655" s="54">
        <f t="shared" si="199"/>
        <v>15</v>
      </c>
      <c r="J1655" s="14" t="str">
        <f t="shared" si="196"/>
        <v>Easter</v>
      </c>
      <c r="K1655" s="16" t="str">
        <f t="shared" si="198"/>
        <v>3-6</v>
      </c>
      <c r="L1655" s="14" t="str">
        <f t="shared" si="194"/>
        <v>Bodysuit | 3-6 | Light Pink</v>
      </c>
      <c r="M1655" s="16" t="s">
        <v>3610</v>
      </c>
    </row>
    <row r="1656" spans="1:13" ht="25" customHeight="1" x14ac:dyDescent="0.45">
      <c r="A1656" s="39">
        <v>46122</v>
      </c>
      <c r="B1656" s="19" t="s">
        <v>1784</v>
      </c>
      <c r="C1656" s="5" t="s">
        <v>1721</v>
      </c>
      <c r="D1656" s="53" t="str">
        <f t="shared" si="193"/>
        <v>Light Blue</v>
      </c>
      <c r="E1656" s="5" t="s">
        <v>10</v>
      </c>
      <c r="F1656" s="5" t="s">
        <v>7</v>
      </c>
      <c r="G1656" s="4" t="str">
        <f t="shared" si="197"/>
        <v>Bodysuit</v>
      </c>
      <c r="H1656" s="38">
        <f t="shared" si="195"/>
        <v>4</v>
      </c>
      <c r="I1656" s="54">
        <f t="shared" si="199"/>
        <v>15</v>
      </c>
      <c r="J1656" s="14" t="str">
        <f t="shared" si="196"/>
        <v>Easter</v>
      </c>
      <c r="K1656" s="16" t="str">
        <f t="shared" si="198"/>
        <v>0-3</v>
      </c>
      <c r="L1656" s="14" t="str">
        <f t="shared" si="194"/>
        <v>Bodysuit | 0-3 | Light Blue</v>
      </c>
      <c r="M1656" s="16" t="s">
        <v>3610</v>
      </c>
    </row>
    <row r="1657" spans="1:13" ht="25" customHeight="1" x14ac:dyDescent="0.45">
      <c r="A1657" s="39">
        <v>46125</v>
      </c>
      <c r="B1657" s="19" t="s">
        <v>1785</v>
      </c>
      <c r="C1657" s="5" t="s">
        <v>9</v>
      </c>
      <c r="D1657" s="53" t="str">
        <f t="shared" si="193"/>
        <v>Cream</v>
      </c>
      <c r="E1657" s="5" t="s">
        <v>6</v>
      </c>
      <c r="F1657" s="5" t="s">
        <v>19</v>
      </c>
      <c r="G1657" s="4" t="str">
        <f t="shared" si="197"/>
        <v>Bodysuit</v>
      </c>
      <c r="H1657" s="38">
        <f t="shared" si="195"/>
        <v>4</v>
      </c>
      <c r="I1657" s="54">
        <f t="shared" si="199"/>
        <v>16</v>
      </c>
      <c r="J1657" s="14" t="str">
        <f t="shared" si="196"/>
        <v>Easter</v>
      </c>
      <c r="K1657" s="16" t="str">
        <f t="shared" si="198"/>
        <v>3-6</v>
      </c>
      <c r="L1657" s="14" t="str">
        <f t="shared" si="194"/>
        <v>Bodysuit | 3-6 | Cream</v>
      </c>
      <c r="M1657" s="16" t="s">
        <v>3611</v>
      </c>
    </row>
    <row r="1658" spans="1:13" ht="25" customHeight="1" x14ac:dyDescent="0.45">
      <c r="A1658" s="39">
        <v>46125</v>
      </c>
      <c r="B1658" s="19" t="s">
        <v>1786</v>
      </c>
      <c r="C1658" s="5" t="s">
        <v>1721</v>
      </c>
      <c r="D1658" s="53" t="str">
        <f t="shared" ref="D1658:D1721" si="200">PROPER(C1658)</f>
        <v>Light Blue</v>
      </c>
      <c r="E1658" s="5" t="s">
        <v>6</v>
      </c>
      <c r="F1658" s="5" t="s">
        <v>7</v>
      </c>
      <c r="G1658" s="4" t="str">
        <f t="shared" si="197"/>
        <v>Bodysuit</v>
      </c>
      <c r="H1658" s="38">
        <f t="shared" si="195"/>
        <v>4</v>
      </c>
      <c r="I1658" s="54">
        <f t="shared" si="199"/>
        <v>16</v>
      </c>
      <c r="J1658" s="14" t="str">
        <f t="shared" si="196"/>
        <v>Easter</v>
      </c>
      <c r="K1658" s="16" t="str">
        <f t="shared" si="198"/>
        <v>3-6</v>
      </c>
      <c r="L1658" s="14" t="str">
        <f t="shared" si="194"/>
        <v>Bodysuit | 3-6 | Light Blue</v>
      </c>
      <c r="M1658" s="16" t="s">
        <v>3610</v>
      </c>
    </row>
    <row r="1659" spans="1:13" ht="25" customHeight="1" x14ac:dyDescent="0.45">
      <c r="A1659" s="39">
        <v>46125</v>
      </c>
      <c r="B1659" s="19" t="s">
        <v>1787</v>
      </c>
      <c r="C1659" s="5" t="s">
        <v>9</v>
      </c>
      <c r="D1659" s="53" t="str">
        <f t="shared" si="200"/>
        <v>Cream</v>
      </c>
      <c r="E1659" s="5" t="s">
        <v>6</v>
      </c>
      <c r="F1659" s="5" t="s">
        <v>19</v>
      </c>
      <c r="G1659" s="4" t="str">
        <f t="shared" si="197"/>
        <v>Bodysuit</v>
      </c>
      <c r="H1659" s="38">
        <f t="shared" si="195"/>
        <v>4</v>
      </c>
      <c r="I1659" s="54">
        <f t="shared" si="199"/>
        <v>16</v>
      </c>
      <c r="J1659" s="14" t="str">
        <f t="shared" si="196"/>
        <v>Easter</v>
      </c>
      <c r="K1659" s="16" t="str">
        <f t="shared" si="198"/>
        <v>3-6</v>
      </c>
      <c r="L1659" s="14" t="str">
        <f t="shared" si="194"/>
        <v>Bodysuit | 3-6 | Cream</v>
      </c>
      <c r="M1659" s="16" t="s">
        <v>3611</v>
      </c>
    </row>
    <row r="1660" spans="1:13" ht="25" customHeight="1" x14ac:dyDescent="0.45">
      <c r="A1660" s="39">
        <v>46125</v>
      </c>
      <c r="B1660" s="19" t="s">
        <v>1788</v>
      </c>
      <c r="C1660" s="5" t="s">
        <v>1721</v>
      </c>
      <c r="D1660" s="53" t="str">
        <f t="shared" si="200"/>
        <v>Light Blue</v>
      </c>
      <c r="E1660" s="5" t="s">
        <v>10</v>
      </c>
      <c r="F1660" s="5" t="s">
        <v>13</v>
      </c>
      <c r="G1660" s="4" t="str">
        <f t="shared" si="197"/>
        <v>Bodysuit</v>
      </c>
      <c r="H1660" s="38">
        <f t="shared" si="195"/>
        <v>4</v>
      </c>
      <c r="I1660" s="54">
        <f t="shared" si="199"/>
        <v>16</v>
      </c>
      <c r="J1660" s="14" t="str">
        <f t="shared" si="196"/>
        <v>Easter</v>
      </c>
      <c r="K1660" s="16" t="str">
        <f t="shared" si="198"/>
        <v>0-3</v>
      </c>
      <c r="L1660" s="14" t="str">
        <f t="shared" si="194"/>
        <v>Bodysuit | 0-3 | Light Blue</v>
      </c>
      <c r="M1660" s="16" t="s">
        <v>3610</v>
      </c>
    </row>
    <row r="1661" spans="1:13" ht="25" customHeight="1" x14ac:dyDescent="0.45">
      <c r="A1661" s="39">
        <v>46126</v>
      </c>
      <c r="B1661" s="19" t="s">
        <v>1789</v>
      </c>
      <c r="C1661" s="5" t="s">
        <v>1329</v>
      </c>
      <c r="D1661" s="53" t="str">
        <f t="shared" si="200"/>
        <v xml:space="preserve">Cream </v>
      </c>
      <c r="E1661" s="5" t="s">
        <v>6</v>
      </c>
      <c r="F1661" s="5" t="s">
        <v>7</v>
      </c>
      <c r="G1661" s="4" t="str">
        <f t="shared" si="197"/>
        <v>Bodysuit</v>
      </c>
      <c r="H1661" s="38">
        <f t="shared" si="195"/>
        <v>4</v>
      </c>
      <c r="I1661" s="54">
        <f t="shared" si="199"/>
        <v>16</v>
      </c>
      <c r="J1661" s="14" t="str">
        <f t="shared" si="196"/>
        <v>Easter</v>
      </c>
      <c r="K1661" s="16" t="str">
        <f t="shared" si="198"/>
        <v>3-6</v>
      </c>
      <c r="L1661" s="14" t="str">
        <f t="shared" si="194"/>
        <v>Bodysuit | 3-6 | Cream</v>
      </c>
      <c r="M1661" s="16" t="s">
        <v>3611</v>
      </c>
    </row>
    <row r="1662" spans="1:13" ht="25" customHeight="1" x14ac:dyDescent="0.45">
      <c r="A1662" s="39">
        <v>46130</v>
      </c>
      <c r="B1662" s="19" t="s">
        <v>1759</v>
      </c>
      <c r="C1662" s="5" t="s">
        <v>9</v>
      </c>
      <c r="D1662" s="53" t="str">
        <f t="shared" si="200"/>
        <v>Cream</v>
      </c>
      <c r="E1662" s="5" t="s">
        <v>6</v>
      </c>
      <c r="F1662" s="5" t="s">
        <v>19</v>
      </c>
      <c r="G1662" s="4" t="str">
        <f t="shared" si="197"/>
        <v>Bodysuit</v>
      </c>
      <c r="H1662" s="38">
        <f t="shared" si="195"/>
        <v>4</v>
      </c>
      <c r="I1662" s="54">
        <f t="shared" si="199"/>
        <v>16</v>
      </c>
      <c r="J1662" s="14" t="str">
        <f t="shared" si="196"/>
        <v>Easter</v>
      </c>
      <c r="K1662" s="16" t="str">
        <f t="shared" si="198"/>
        <v>3-6</v>
      </c>
      <c r="L1662" s="14" t="str">
        <f t="shared" si="194"/>
        <v>Bodysuit | 3-6 | Cream</v>
      </c>
      <c r="M1662" s="16" t="s">
        <v>3611</v>
      </c>
    </row>
    <row r="1663" spans="1:13" ht="25" customHeight="1" x14ac:dyDescent="0.45">
      <c r="A1663" s="39">
        <v>46132</v>
      </c>
      <c r="B1663" s="19" t="s">
        <v>1790</v>
      </c>
      <c r="C1663" s="5" t="s">
        <v>1329</v>
      </c>
      <c r="D1663" s="53" t="str">
        <f t="shared" si="200"/>
        <v xml:space="preserve">Cream </v>
      </c>
      <c r="E1663" s="5" t="s">
        <v>10</v>
      </c>
      <c r="F1663" s="5" t="s">
        <v>7</v>
      </c>
      <c r="G1663" s="4" t="str">
        <f t="shared" si="197"/>
        <v>Bodysuit</v>
      </c>
      <c r="H1663" s="38">
        <f t="shared" si="195"/>
        <v>4</v>
      </c>
      <c r="I1663" s="54">
        <f t="shared" si="199"/>
        <v>17</v>
      </c>
      <c r="J1663" s="14" t="str">
        <f t="shared" si="196"/>
        <v>Easter</v>
      </c>
      <c r="K1663" s="16" t="str">
        <f t="shared" si="198"/>
        <v>0-3</v>
      </c>
      <c r="L1663" s="14" t="str">
        <f t="shared" si="194"/>
        <v>Bodysuit | 0-3 | Cream</v>
      </c>
      <c r="M1663" s="16" t="s">
        <v>3610</v>
      </c>
    </row>
    <row r="1664" spans="1:13" ht="25" customHeight="1" x14ac:dyDescent="0.45">
      <c r="A1664" s="39">
        <v>46134</v>
      </c>
      <c r="B1664" s="19" t="s">
        <v>1791</v>
      </c>
      <c r="C1664" s="5" t="s">
        <v>1721</v>
      </c>
      <c r="D1664" s="53" t="str">
        <f t="shared" si="200"/>
        <v>Light Blue</v>
      </c>
      <c r="E1664" s="5" t="s">
        <v>10</v>
      </c>
      <c r="F1664" s="5" t="s">
        <v>7</v>
      </c>
      <c r="G1664" s="4" t="str">
        <f t="shared" si="197"/>
        <v>Bodysuit</v>
      </c>
      <c r="H1664" s="38">
        <f t="shared" si="195"/>
        <v>4</v>
      </c>
      <c r="I1664" s="54">
        <f t="shared" si="199"/>
        <v>17</v>
      </c>
      <c r="J1664" s="14" t="str">
        <f t="shared" si="196"/>
        <v>Easter</v>
      </c>
      <c r="K1664" s="16" t="str">
        <f t="shared" si="198"/>
        <v>0-3</v>
      </c>
      <c r="L1664" s="14" t="str">
        <f t="shared" si="194"/>
        <v>Bodysuit | 0-3 | Light Blue</v>
      </c>
      <c r="M1664" s="16" t="s">
        <v>3610</v>
      </c>
    </row>
    <row r="1665" spans="1:13" ht="25" customHeight="1" x14ac:dyDescent="0.45">
      <c r="A1665" s="39">
        <v>46134</v>
      </c>
      <c r="B1665" s="19" t="s">
        <v>1792</v>
      </c>
      <c r="C1665" s="5" t="s">
        <v>1723</v>
      </c>
      <c r="D1665" s="53" t="str">
        <f t="shared" si="200"/>
        <v>Light Pink</v>
      </c>
      <c r="E1665" s="5" t="s">
        <v>6</v>
      </c>
      <c r="F1665" s="5" t="s">
        <v>7</v>
      </c>
      <c r="G1665" s="4" t="str">
        <f t="shared" si="197"/>
        <v>Bodysuit</v>
      </c>
      <c r="H1665" s="38">
        <f t="shared" si="195"/>
        <v>4</v>
      </c>
      <c r="I1665" s="54">
        <f t="shared" si="199"/>
        <v>17</v>
      </c>
      <c r="J1665" s="14" t="str">
        <f t="shared" si="196"/>
        <v>Easter</v>
      </c>
      <c r="K1665" s="16" t="str">
        <f t="shared" si="198"/>
        <v>3-6</v>
      </c>
      <c r="L1665" s="14" t="str">
        <f t="shared" si="194"/>
        <v>Bodysuit | 3-6 | Light Pink</v>
      </c>
      <c r="M1665" s="16" t="s">
        <v>3610</v>
      </c>
    </row>
    <row r="1666" spans="1:13" ht="25" customHeight="1" x14ac:dyDescent="0.45">
      <c r="A1666" s="39">
        <v>46135</v>
      </c>
      <c r="B1666" s="19" t="s">
        <v>1793</v>
      </c>
      <c r="C1666" s="5" t="s">
        <v>1794</v>
      </c>
      <c r="D1666" s="53" t="str">
        <f t="shared" si="200"/>
        <v xml:space="preserve">Light Blue </v>
      </c>
      <c r="E1666" s="5" t="s">
        <v>10</v>
      </c>
      <c r="F1666" s="5" t="s">
        <v>19</v>
      </c>
      <c r="G1666" s="4" t="str">
        <f t="shared" si="197"/>
        <v>Bodysuit</v>
      </c>
      <c r="H1666" s="38">
        <f t="shared" si="195"/>
        <v>4</v>
      </c>
      <c r="I1666" s="54">
        <f t="shared" si="199"/>
        <v>17</v>
      </c>
      <c r="J1666" s="14" t="str">
        <f t="shared" si="196"/>
        <v>Easter</v>
      </c>
      <c r="K1666" s="16" t="str">
        <f t="shared" si="198"/>
        <v>0-3</v>
      </c>
      <c r="L1666" s="14" t="str">
        <f t="shared" si="194"/>
        <v>Bodysuit | 0-3 | Light Blue</v>
      </c>
      <c r="M1666" s="16" t="s">
        <v>3610</v>
      </c>
    </row>
    <row r="1667" spans="1:13" ht="25" customHeight="1" x14ac:dyDescent="0.45">
      <c r="A1667" s="39">
        <v>46139</v>
      </c>
      <c r="B1667" s="19" t="s">
        <v>1795</v>
      </c>
      <c r="C1667" s="5" t="s">
        <v>1794</v>
      </c>
      <c r="D1667" s="53" t="str">
        <f t="shared" si="200"/>
        <v xml:space="preserve">Light Blue </v>
      </c>
      <c r="E1667" s="5" t="s">
        <v>6</v>
      </c>
      <c r="F1667" s="5" t="s">
        <v>7</v>
      </c>
      <c r="G1667" s="4" t="str">
        <f t="shared" si="197"/>
        <v>Bodysuit</v>
      </c>
      <c r="H1667" s="38">
        <f t="shared" si="195"/>
        <v>4</v>
      </c>
      <c r="I1667" s="54">
        <f t="shared" si="199"/>
        <v>18</v>
      </c>
      <c r="J1667" s="14" t="str">
        <f t="shared" si="196"/>
        <v>Easter</v>
      </c>
      <c r="K1667" s="16" t="str">
        <f t="shared" si="198"/>
        <v>3-6</v>
      </c>
      <c r="L1667" s="14" t="str">
        <f t="shared" ref="L1667:L1730" si="201">TRIM(G1667)&amp;" | "&amp;TRIM(K1667)&amp;" | "&amp;PROPER(TRIM(D1667))</f>
        <v>Bodysuit | 3-6 | Light Blue</v>
      </c>
      <c r="M1667" s="16" t="s">
        <v>3610</v>
      </c>
    </row>
    <row r="1668" spans="1:13" ht="25" customHeight="1" x14ac:dyDescent="0.45">
      <c r="A1668" s="39">
        <v>46139</v>
      </c>
      <c r="B1668" s="19" t="s">
        <v>1796</v>
      </c>
      <c r="C1668" s="5" t="s">
        <v>1721</v>
      </c>
      <c r="D1668" s="53" t="str">
        <f t="shared" si="200"/>
        <v>Light Blue</v>
      </c>
      <c r="E1668" s="5" t="s">
        <v>10</v>
      </c>
      <c r="F1668" s="5" t="s">
        <v>7</v>
      </c>
      <c r="G1668" s="4" t="str">
        <f t="shared" si="197"/>
        <v>Bodysuit</v>
      </c>
      <c r="H1668" s="38">
        <f t="shared" ref="H1668:H1720" si="202">MONTH(A1668)</f>
        <v>4</v>
      </c>
      <c r="I1668" s="54">
        <f t="shared" si="199"/>
        <v>18</v>
      </c>
      <c r="J1668" s="14" t="str">
        <f t="shared" ref="J1668:J1720" si="203">IF(H1668=1,"NewYear",
IF(H1668=2,"Valentine",
IF(OR(H1668=3,H1668=4),"Easter",
IF(H1668=5,"MothersDay",
IF(H1668=6,"FathersDay",
IF(OR(H1668=7,H1668=8),"Summer",
IF(H1668=10,"Halloween",
IF(OR(H1668=11,H1668=12),"Christmas","Normal"))))))))</f>
        <v>Easter</v>
      </c>
      <c r="K1668" s="16" t="str">
        <f t="shared" si="198"/>
        <v>0-3</v>
      </c>
      <c r="L1668" s="14" t="str">
        <f t="shared" si="201"/>
        <v>Bodysuit | 0-3 | Light Blue</v>
      </c>
      <c r="M1668" s="16" t="s">
        <v>3610</v>
      </c>
    </row>
    <row r="1669" spans="1:13" ht="25" customHeight="1" x14ac:dyDescent="0.45">
      <c r="A1669" s="39">
        <v>46144</v>
      </c>
      <c r="B1669" s="19" t="s">
        <v>1797</v>
      </c>
      <c r="C1669" s="5" t="s">
        <v>1721</v>
      </c>
      <c r="D1669" s="53" t="str">
        <f t="shared" si="200"/>
        <v>Light Blue</v>
      </c>
      <c r="E1669" s="5" t="s">
        <v>10</v>
      </c>
      <c r="F1669" s="5" t="s">
        <v>7</v>
      </c>
      <c r="G1669" s="4" t="str">
        <f t="shared" si="197"/>
        <v>Bodysuit</v>
      </c>
      <c r="H1669" s="38">
        <f t="shared" si="202"/>
        <v>5</v>
      </c>
      <c r="I1669" s="54">
        <f t="shared" si="199"/>
        <v>18</v>
      </c>
      <c r="J1669" s="14" t="str">
        <f t="shared" si="203"/>
        <v>MothersDay</v>
      </c>
      <c r="K1669" s="16" t="str">
        <f t="shared" si="198"/>
        <v>0-3</v>
      </c>
      <c r="L1669" s="14" t="str">
        <f t="shared" si="201"/>
        <v>Bodysuit | 0-3 | Light Blue</v>
      </c>
      <c r="M1669" s="16" t="s">
        <v>3610</v>
      </c>
    </row>
    <row r="1670" spans="1:13" ht="25" customHeight="1" x14ac:dyDescent="0.45">
      <c r="A1670" s="39">
        <v>46144</v>
      </c>
      <c r="B1670" s="19" t="s">
        <v>1798</v>
      </c>
      <c r="C1670" s="5" t="s">
        <v>1329</v>
      </c>
      <c r="D1670" s="53" t="str">
        <f t="shared" si="200"/>
        <v xml:space="preserve">Cream </v>
      </c>
      <c r="E1670" s="5" t="s">
        <v>10</v>
      </c>
      <c r="F1670" s="5" t="s">
        <v>7</v>
      </c>
      <c r="G1670" s="4" t="str">
        <f t="shared" si="197"/>
        <v>Bodysuit</v>
      </c>
      <c r="H1670" s="38">
        <f t="shared" si="202"/>
        <v>5</v>
      </c>
      <c r="I1670" s="54">
        <f t="shared" si="199"/>
        <v>18</v>
      </c>
      <c r="J1670" s="14" t="str">
        <f t="shared" si="203"/>
        <v>MothersDay</v>
      </c>
      <c r="K1670" s="16" t="str">
        <f t="shared" si="198"/>
        <v>0-3</v>
      </c>
      <c r="L1670" s="14" t="str">
        <f t="shared" si="201"/>
        <v>Bodysuit | 0-3 | Cream</v>
      </c>
      <c r="M1670" s="16" t="s">
        <v>3610</v>
      </c>
    </row>
    <row r="1671" spans="1:13" ht="25" customHeight="1" x14ac:dyDescent="0.45">
      <c r="A1671" s="39">
        <v>46146</v>
      </c>
      <c r="B1671" s="19" t="s">
        <v>1799</v>
      </c>
      <c r="C1671" s="5" t="s">
        <v>1723</v>
      </c>
      <c r="D1671" s="53" t="str">
        <f t="shared" si="200"/>
        <v>Light Pink</v>
      </c>
      <c r="E1671" s="5" t="s">
        <v>6</v>
      </c>
      <c r="F1671" s="5" t="s">
        <v>800</v>
      </c>
      <c r="G1671" s="4" t="str">
        <f t="shared" si="197"/>
        <v>Bodysuit</v>
      </c>
      <c r="H1671" s="38">
        <f t="shared" si="202"/>
        <v>5</v>
      </c>
      <c r="I1671" s="54">
        <f t="shared" si="199"/>
        <v>19</v>
      </c>
      <c r="J1671" s="14" t="str">
        <f t="shared" si="203"/>
        <v>MothersDay</v>
      </c>
      <c r="K1671" s="16" t="str">
        <f t="shared" si="198"/>
        <v>3-6</v>
      </c>
      <c r="L1671" s="14" t="str">
        <f t="shared" si="201"/>
        <v>Bodysuit | 3-6 | Light Pink</v>
      </c>
      <c r="M1671" s="16" t="s">
        <v>3610</v>
      </c>
    </row>
    <row r="1672" spans="1:13" ht="25" customHeight="1" x14ac:dyDescent="0.45">
      <c r="A1672" s="39">
        <v>46148</v>
      </c>
      <c r="B1672" s="19" t="s">
        <v>1800</v>
      </c>
      <c r="C1672" s="5" t="s">
        <v>1801</v>
      </c>
      <c r="D1672" s="53" t="str">
        <f t="shared" si="200"/>
        <v xml:space="preserve">Light Pink </v>
      </c>
      <c r="E1672" s="5" t="s">
        <v>6</v>
      </c>
      <c r="F1672" s="5" t="s">
        <v>7</v>
      </c>
      <c r="G1672" s="4" t="str">
        <f t="shared" si="197"/>
        <v>Bodysuit</v>
      </c>
      <c r="H1672" s="38">
        <f t="shared" si="202"/>
        <v>5</v>
      </c>
      <c r="I1672" s="54">
        <f t="shared" si="199"/>
        <v>19</v>
      </c>
      <c r="J1672" s="14" t="str">
        <f t="shared" si="203"/>
        <v>MothersDay</v>
      </c>
      <c r="K1672" s="16" t="str">
        <f t="shared" si="198"/>
        <v>3-6</v>
      </c>
      <c r="L1672" s="14" t="str">
        <f t="shared" si="201"/>
        <v>Bodysuit | 3-6 | Light Pink</v>
      </c>
      <c r="M1672" s="16" t="s">
        <v>3610</v>
      </c>
    </row>
    <row r="1673" spans="1:13" ht="25" customHeight="1" x14ac:dyDescent="0.45">
      <c r="A1673" s="39">
        <v>46148</v>
      </c>
      <c r="B1673" s="19" t="s">
        <v>1802</v>
      </c>
      <c r="C1673" s="5" t="s">
        <v>1721</v>
      </c>
      <c r="D1673" s="53" t="str">
        <f t="shared" si="200"/>
        <v>Light Blue</v>
      </c>
      <c r="E1673" s="5" t="s">
        <v>6</v>
      </c>
      <c r="F1673" s="5" t="s">
        <v>7</v>
      </c>
      <c r="G1673" s="4" t="str">
        <f t="shared" si="197"/>
        <v>Bodysuit</v>
      </c>
      <c r="H1673" s="38">
        <f t="shared" si="202"/>
        <v>5</v>
      </c>
      <c r="I1673" s="54">
        <f t="shared" si="199"/>
        <v>19</v>
      </c>
      <c r="J1673" s="14" t="str">
        <f t="shared" si="203"/>
        <v>MothersDay</v>
      </c>
      <c r="K1673" s="16" t="str">
        <f t="shared" si="198"/>
        <v>3-6</v>
      </c>
      <c r="L1673" s="14" t="str">
        <f t="shared" si="201"/>
        <v>Bodysuit | 3-6 | Light Blue</v>
      </c>
      <c r="M1673" s="16" t="s">
        <v>3610</v>
      </c>
    </row>
    <row r="1674" spans="1:13" ht="25" customHeight="1" x14ac:dyDescent="0.45">
      <c r="A1674" s="39">
        <v>46149</v>
      </c>
      <c r="B1674" s="19" t="s">
        <v>1803</v>
      </c>
      <c r="C1674" s="5" t="s">
        <v>1801</v>
      </c>
      <c r="D1674" s="53" t="str">
        <f t="shared" si="200"/>
        <v xml:space="preserve">Light Pink </v>
      </c>
      <c r="E1674" s="5" t="s">
        <v>6</v>
      </c>
      <c r="F1674" s="5" t="s">
        <v>19</v>
      </c>
      <c r="G1674" s="4" t="str">
        <f t="shared" si="197"/>
        <v>Bodysuit</v>
      </c>
      <c r="H1674" s="38">
        <f t="shared" si="202"/>
        <v>5</v>
      </c>
      <c r="I1674" s="54">
        <f t="shared" si="199"/>
        <v>19</v>
      </c>
      <c r="J1674" s="14" t="str">
        <f t="shared" si="203"/>
        <v>MothersDay</v>
      </c>
      <c r="K1674" s="16" t="str">
        <f t="shared" si="198"/>
        <v>3-6</v>
      </c>
      <c r="L1674" s="14" t="str">
        <f t="shared" si="201"/>
        <v>Bodysuit | 3-6 | Light Pink</v>
      </c>
      <c r="M1674" s="16" t="s">
        <v>3610</v>
      </c>
    </row>
    <row r="1675" spans="1:13" ht="25" customHeight="1" x14ac:dyDescent="0.45">
      <c r="A1675" s="39">
        <v>46150</v>
      </c>
      <c r="B1675" s="19" t="s">
        <v>1804</v>
      </c>
      <c r="C1675" s="5" t="s">
        <v>1723</v>
      </c>
      <c r="D1675" s="53" t="str">
        <f t="shared" si="200"/>
        <v>Light Pink</v>
      </c>
      <c r="E1675" s="5" t="s">
        <v>6</v>
      </c>
      <c r="F1675" s="5" t="s">
        <v>1805</v>
      </c>
      <c r="G1675" s="4" t="str">
        <f t="shared" si="197"/>
        <v>Bodysuit</v>
      </c>
      <c r="H1675" s="38">
        <f t="shared" si="202"/>
        <v>5</v>
      </c>
      <c r="I1675" s="54">
        <f t="shared" si="199"/>
        <v>19</v>
      </c>
      <c r="J1675" s="14" t="str">
        <f t="shared" si="203"/>
        <v>MothersDay</v>
      </c>
      <c r="K1675" s="16" t="str">
        <f t="shared" si="198"/>
        <v>3-6</v>
      </c>
      <c r="L1675" s="14" t="str">
        <f t="shared" si="201"/>
        <v>Bodysuit | 3-6 | Light Pink</v>
      </c>
      <c r="M1675" s="16" t="s">
        <v>3610</v>
      </c>
    </row>
    <row r="1676" spans="1:13" ht="25" customHeight="1" x14ac:dyDescent="0.45">
      <c r="A1676" s="39">
        <v>46154</v>
      </c>
      <c r="B1676" s="19" t="s">
        <v>1806</v>
      </c>
      <c r="C1676" s="5" t="s">
        <v>1794</v>
      </c>
      <c r="D1676" s="53" t="str">
        <f t="shared" si="200"/>
        <v xml:space="preserve">Light Blue </v>
      </c>
      <c r="E1676" s="5" t="s">
        <v>10</v>
      </c>
      <c r="F1676" s="5" t="s">
        <v>7</v>
      </c>
      <c r="G1676" s="4" t="str">
        <f t="shared" si="197"/>
        <v>Bodysuit</v>
      </c>
      <c r="H1676" s="38">
        <f t="shared" si="202"/>
        <v>5</v>
      </c>
      <c r="I1676" s="54">
        <f t="shared" si="199"/>
        <v>20</v>
      </c>
      <c r="J1676" s="14" t="str">
        <f t="shared" si="203"/>
        <v>MothersDay</v>
      </c>
      <c r="K1676" s="16" t="str">
        <f t="shared" si="198"/>
        <v>0-3</v>
      </c>
      <c r="L1676" s="14" t="str">
        <f t="shared" si="201"/>
        <v>Bodysuit | 0-3 | Light Blue</v>
      </c>
      <c r="M1676" s="16" t="s">
        <v>3610</v>
      </c>
    </row>
    <row r="1677" spans="1:13" ht="25" customHeight="1" x14ac:dyDescent="0.45">
      <c r="A1677" s="39">
        <v>46157</v>
      </c>
      <c r="B1677" s="19" t="s">
        <v>1807</v>
      </c>
      <c r="C1677" s="5" t="s">
        <v>1329</v>
      </c>
      <c r="D1677" s="53" t="str">
        <f t="shared" si="200"/>
        <v xml:space="preserve">Cream </v>
      </c>
      <c r="E1677" s="5" t="s">
        <v>10</v>
      </c>
      <c r="F1677" s="5" t="s">
        <v>13</v>
      </c>
      <c r="G1677" s="4" t="str">
        <f t="shared" si="197"/>
        <v>Bodysuit</v>
      </c>
      <c r="H1677" s="38">
        <f t="shared" si="202"/>
        <v>5</v>
      </c>
      <c r="I1677" s="54">
        <f t="shared" si="199"/>
        <v>20</v>
      </c>
      <c r="J1677" s="14" t="str">
        <f t="shared" si="203"/>
        <v>MothersDay</v>
      </c>
      <c r="K1677" s="16" t="str">
        <f t="shared" si="198"/>
        <v>0-3</v>
      </c>
      <c r="L1677" s="14" t="str">
        <f t="shared" si="201"/>
        <v>Bodysuit | 0-3 | Cream</v>
      </c>
      <c r="M1677" s="16" t="s">
        <v>3610</v>
      </c>
    </row>
    <row r="1678" spans="1:13" ht="25" customHeight="1" x14ac:dyDescent="0.45">
      <c r="A1678" s="39">
        <v>46157</v>
      </c>
      <c r="B1678" s="19" t="s">
        <v>1808</v>
      </c>
      <c r="C1678" s="5" t="s">
        <v>1801</v>
      </c>
      <c r="D1678" s="53" t="str">
        <f t="shared" si="200"/>
        <v xml:space="preserve">Light Pink </v>
      </c>
      <c r="E1678" s="5" t="s">
        <v>6</v>
      </c>
      <c r="F1678" s="5" t="s">
        <v>7</v>
      </c>
      <c r="G1678" s="4" t="str">
        <f t="shared" si="197"/>
        <v>Bodysuit</v>
      </c>
      <c r="H1678" s="38">
        <f t="shared" si="202"/>
        <v>5</v>
      </c>
      <c r="I1678" s="54">
        <f t="shared" si="199"/>
        <v>20</v>
      </c>
      <c r="J1678" s="14" t="str">
        <f t="shared" si="203"/>
        <v>MothersDay</v>
      </c>
      <c r="K1678" s="16" t="str">
        <f t="shared" si="198"/>
        <v>3-6</v>
      </c>
      <c r="L1678" s="14" t="str">
        <f t="shared" si="201"/>
        <v>Bodysuit | 3-6 | Light Pink</v>
      </c>
      <c r="M1678" s="16" t="s">
        <v>3610</v>
      </c>
    </row>
    <row r="1679" spans="1:13" ht="25" customHeight="1" x14ac:dyDescent="0.45">
      <c r="A1679" s="39">
        <v>46160</v>
      </c>
      <c r="B1679" s="19" t="s">
        <v>1809</v>
      </c>
      <c r="C1679" s="5" t="s">
        <v>1801</v>
      </c>
      <c r="D1679" s="53" t="str">
        <f t="shared" si="200"/>
        <v xml:space="preserve">Light Pink </v>
      </c>
      <c r="E1679" s="5" t="s">
        <v>6</v>
      </c>
      <c r="F1679" s="5" t="s">
        <v>7</v>
      </c>
      <c r="G1679" s="4" t="str">
        <f t="shared" si="197"/>
        <v>Bodysuit</v>
      </c>
      <c r="H1679" s="38">
        <f t="shared" si="202"/>
        <v>5</v>
      </c>
      <c r="I1679" s="54">
        <f t="shared" si="199"/>
        <v>21</v>
      </c>
      <c r="J1679" s="14" t="str">
        <f t="shared" si="203"/>
        <v>MothersDay</v>
      </c>
      <c r="K1679" s="16" t="str">
        <f t="shared" si="198"/>
        <v>3-6</v>
      </c>
      <c r="L1679" s="14" t="str">
        <f t="shared" si="201"/>
        <v>Bodysuit | 3-6 | Light Pink</v>
      </c>
      <c r="M1679" s="16" t="s">
        <v>3610</v>
      </c>
    </row>
    <row r="1680" spans="1:13" ht="25" customHeight="1" x14ac:dyDescent="0.45">
      <c r="A1680" s="39">
        <v>46160</v>
      </c>
      <c r="B1680" s="19" t="s">
        <v>1810</v>
      </c>
      <c r="C1680" s="5" t="s">
        <v>1794</v>
      </c>
      <c r="D1680" s="53" t="str">
        <f t="shared" si="200"/>
        <v xml:space="preserve">Light Blue </v>
      </c>
      <c r="E1680" s="5" t="s">
        <v>10</v>
      </c>
      <c r="F1680" s="5" t="s">
        <v>18</v>
      </c>
      <c r="G1680" s="4" t="str">
        <f t="shared" ref="G1680:G1743" si="204">IF(ISNUMBER(SEARCH("LONG",E1680)),"Romper Longer",IF(ISNUMBER(SEARCH("SHORT",E1680)),"Romper Short","Bodysuit"))</f>
        <v>Bodysuit</v>
      </c>
      <c r="H1680" s="38">
        <f t="shared" si="202"/>
        <v>5</v>
      </c>
      <c r="I1680" s="54">
        <f t="shared" si="199"/>
        <v>21</v>
      </c>
      <c r="J1680" s="14" t="str">
        <f t="shared" si="203"/>
        <v>MothersDay</v>
      </c>
      <c r="K1680" s="16" t="str">
        <f t="shared" si="198"/>
        <v>0-3</v>
      </c>
      <c r="L1680" s="14" t="str">
        <f t="shared" si="201"/>
        <v>Bodysuit | 0-3 | Light Blue</v>
      </c>
      <c r="M1680" s="16" t="s">
        <v>3610</v>
      </c>
    </row>
    <row r="1681" spans="1:13" ht="25" customHeight="1" x14ac:dyDescent="0.45">
      <c r="A1681" s="39">
        <v>46160</v>
      </c>
      <c r="B1681" s="19" t="s">
        <v>1811</v>
      </c>
      <c r="C1681" s="5" t="s">
        <v>1329</v>
      </c>
      <c r="D1681" s="53" t="str">
        <f t="shared" si="200"/>
        <v xml:space="preserve">Cream </v>
      </c>
      <c r="E1681" s="5" t="s">
        <v>10</v>
      </c>
      <c r="F1681" s="5" t="s">
        <v>37</v>
      </c>
      <c r="G1681" s="4" t="str">
        <f t="shared" si="204"/>
        <v>Bodysuit</v>
      </c>
      <c r="H1681" s="38">
        <f t="shared" si="202"/>
        <v>5</v>
      </c>
      <c r="I1681" s="54">
        <f t="shared" si="199"/>
        <v>21</v>
      </c>
      <c r="J1681" s="14" t="str">
        <f t="shared" si="203"/>
        <v>MothersDay</v>
      </c>
      <c r="K1681" s="16" t="str">
        <f t="shared" si="198"/>
        <v>0-3</v>
      </c>
      <c r="L1681" s="14" t="str">
        <f t="shared" si="201"/>
        <v>Bodysuit | 0-3 | Cream</v>
      </c>
      <c r="M1681" s="16" t="s">
        <v>3610</v>
      </c>
    </row>
    <row r="1682" spans="1:13" ht="25" customHeight="1" x14ac:dyDescent="0.45">
      <c r="A1682" s="39">
        <v>46163</v>
      </c>
      <c r="B1682" s="19" t="s">
        <v>1807</v>
      </c>
      <c r="C1682" s="5" t="s">
        <v>1723</v>
      </c>
      <c r="D1682" s="53" t="str">
        <f t="shared" si="200"/>
        <v>Light Pink</v>
      </c>
      <c r="E1682" s="5" t="s">
        <v>6</v>
      </c>
      <c r="F1682" s="5" t="s">
        <v>7</v>
      </c>
      <c r="G1682" s="4" t="str">
        <f t="shared" si="204"/>
        <v>Bodysuit</v>
      </c>
      <c r="H1682" s="38">
        <f t="shared" si="202"/>
        <v>5</v>
      </c>
      <c r="I1682" s="54">
        <f t="shared" si="199"/>
        <v>21</v>
      </c>
      <c r="J1682" s="14" t="str">
        <f t="shared" si="203"/>
        <v>MothersDay</v>
      </c>
      <c r="K1682" s="16" t="str">
        <f t="shared" si="198"/>
        <v>3-6</v>
      </c>
      <c r="L1682" s="14" t="str">
        <f t="shared" si="201"/>
        <v>Bodysuit | 3-6 | Light Pink</v>
      </c>
      <c r="M1682" s="16" t="s">
        <v>3610</v>
      </c>
    </row>
    <row r="1683" spans="1:13" ht="25" customHeight="1" x14ac:dyDescent="0.45">
      <c r="A1683" s="39">
        <v>46163</v>
      </c>
      <c r="B1683" s="19" t="s">
        <v>1812</v>
      </c>
      <c r="C1683" s="5" t="s">
        <v>1721</v>
      </c>
      <c r="D1683" s="53" t="str">
        <f t="shared" si="200"/>
        <v>Light Blue</v>
      </c>
      <c r="E1683" s="5" t="s">
        <v>10</v>
      </c>
      <c r="F1683" s="5" t="s">
        <v>7</v>
      </c>
      <c r="G1683" s="4" t="str">
        <f t="shared" si="204"/>
        <v>Bodysuit</v>
      </c>
      <c r="H1683" s="38">
        <f t="shared" si="202"/>
        <v>5</v>
      </c>
      <c r="I1683" s="54">
        <f t="shared" si="199"/>
        <v>21</v>
      </c>
      <c r="J1683" s="14" t="str">
        <f t="shared" si="203"/>
        <v>MothersDay</v>
      </c>
      <c r="K1683" s="16" t="str">
        <f t="shared" si="198"/>
        <v>0-3</v>
      </c>
      <c r="L1683" s="14" t="str">
        <f t="shared" si="201"/>
        <v>Bodysuit | 0-3 | Light Blue</v>
      </c>
      <c r="M1683" s="16" t="s">
        <v>3610</v>
      </c>
    </row>
    <row r="1684" spans="1:13" ht="25" customHeight="1" x14ac:dyDescent="0.45">
      <c r="A1684" s="39">
        <v>46163</v>
      </c>
      <c r="B1684" s="19" t="s">
        <v>1813</v>
      </c>
      <c r="C1684" s="5" t="s">
        <v>1801</v>
      </c>
      <c r="D1684" s="53" t="str">
        <f t="shared" si="200"/>
        <v xml:space="preserve">Light Pink </v>
      </c>
      <c r="E1684" s="5" t="s">
        <v>10</v>
      </c>
      <c r="F1684" s="5" t="s">
        <v>7</v>
      </c>
      <c r="G1684" s="4" t="str">
        <f t="shared" si="204"/>
        <v>Bodysuit</v>
      </c>
      <c r="H1684" s="38">
        <f t="shared" si="202"/>
        <v>5</v>
      </c>
      <c r="I1684" s="54">
        <f t="shared" si="199"/>
        <v>21</v>
      </c>
      <c r="J1684" s="14" t="str">
        <f t="shared" si="203"/>
        <v>MothersDay</v>
      </c>
      <c r="K1684" s="16" t="str">
        <f t="shared" si="198"/>
        <v>0-3</v>
      </c>
      <c r="L1684" s="14" t="str">
        <f t="shared" si="201"/>
        <v>Bodysuit | 0-3 | Light Pink</v>
      </c>
      <c r="M1684" s="16" t="s">
        <v>3610</v>
      </c>
    </row>
    <row r="1685" spans="1:13" ht="25" customHeight="1" x14ac:dyDescent="0.45">
      <c r="A1685" s="39">
        <v>46167</v>
      </c>
      <c r="B1685" s="19" t="s">
        <v>1814</v>
      </c>
      <c r="C1685" s="5" t="s">
        <v>1801</v>
      </c>
      <c r="D1685" s="53" t="str">
        <f t="shared" si="200"/>
        <v xml:space="preserve">Light Pink </v>
      </c>
      <c r="E1685" s="5" t="s">
        <v>10</v>
      </c>
      <c r="F1685" s="5" t="s">
        <v>7</v>
      </c>
      <c r="G1685" s="4" t="str">
        <f t="shared" si="204"/>
        <v>Bodysuit</v>
      </c>
      <c r="H1685" s="38">
        <f t="shared" si="202"/>
        <v>5</v>
      </c>
      <c r="I1685" s="54">
        <f t="shared" si="199"/>
        <v>22</v>
      </c>
      <c r="J1685" s="14" t="str">
        <f t="shared" si="203"/>
        <v>MothersDay</v>
      </c>
      <c r="K1685" s="16" t="str">
        <f t="shared" si="198"/>
        <v>0-3</v>
      </c>
      <c r="L1685" s="14" t="str">
        <f t="shared" si="201"/>
        <v>Bodysuit | 0-3 | Light Pink</v>
      </c>
      <c r="M1685" s="16" t="s">
        <v>3610</v>
      </c>
    </row>
    <row r="1686" spans="1:13" ht="25" customHeight="1" x14ac:dyDescent="0.45">
      <c r="A1686" s="39">
        <v>46167</v>
      </c>
      <c r="B1686" s="19" t="s">
        <v>1815</v>
      </c>
      <c r="C1686" s="5" t="s">
        <v>9</v>
      </c>
      <c r="D1686" s="53" t="str">
        <f t="shared" si="200"/>
        <v>Cream</v>
      </c>
      <c r="E1686" s="5" t="s">
        <v>10</v>
      </c>
      <c r="F1686" s="5" t="s">
        <v>40</v>
      </c>
      <c r="G1686" s="4" t="str">
        <f t="shared" si="204"/>
        <v>Bodysuit</v>
      </c>
      <c r="H1686" s="38">
        <f t="shared" si="202"/>
        <v>5</v>
      </c>
      <c r="I1686" s="54">
        <f t="shared" si="199"/>
        <v>22</v>
      </c>
      <c r="J1686" s="14" t="str">
        <f t="shared" si="203"/>
        <v>MothersDay</v>
      </c>
      <c r="K1686" s="16" t="str">
        <f t="shared" si="198"/>
        <v>0-3</v>
      </c>
      <c r="L1686" s="14" t="str">
        <f t="shared" si="201"/>
        <v>Bodysuit | 0-3 | Cream</v>
      </c>
      <c r="M1686" s="16" t="s">
        <v>3610</v>
      </c>
    </row>
    <row r="1687" spans="1:13" ht="25" customHeight="1" x14ac:dyDescent="0.45">
      <c r="A1687" s="39">
        <v>46168</v>
      </c>
      <c r="B1687" s="19" t="s">
        <v>1816</v>
      </c>
      <c r="C1687" s="5" t="s">
        <v>1794</v>
      </c>
      <c r="D1687" s="53" t="str">
        <f t="shared" si="200"/>
        <v xml:space="preserve">Light Blue </v>
      </c>
      <c r="E1687" s="5" t="s">
        <v>6</v>
      </c>
      <c r="F1687" s="5" t="s">
        <v>7</v>
      </c>
      <c r="G1687" s="4" t="str">
        <f t="shared" si="204"/>
        <v>Bodysuit</v>
      </c>
      <c r="H1687" s="38">
        <f t="shared" si="202"/>
        <v>5</v>
      </c>
      <c r="I1687" s="54">
        <f t="shared" si="199"/>
        <v>22</v>
      </c>
      <c r="J1687" s="14" t="str">
        <f t="shared" si="203"/>
        <v>MothersDay</v>
      </c>
      <c r="K1687" s="16" t="str">
        <f t="shared" si="198"/>
        <v>3-6</v>
      </c>
      <c r="L1687" s="14" t="str">
        <f t="shared" si="201"/>
        <v>Bodysuit | 3-6 | Light Blue</v>
      </c>
      <c r="M1687" s="16" t="s">
        <v>3610</v>
      </c>
    </row>
    <row r="1688" spans="1:13" ht="25" customHeight="1" x14ac:dyDescent="0.45">
      <c r="A1688" s="39">
        <v>46168</v>
      </c>
      <c r="B1688" s="19" t="s">
        <v>1817</v>
      </c>
      <c r="C1688" s="5" t="s">
        <v>1329</v>
      </c>
      <c r="D1688" s="53" t="str">
        <f t="shared" si="200"/>
        <v xml:space="preserve">Cream </v>
      </c>
      <c r="E1688" s="5" t="s">
        <v>6</v>
      </c>
      <c r="F1688" s="5" t="s">
        <v>15</v>
      </c>
      <c r="G1688" s="4" t="str">
        <f t="shared" si="204"/>
        <v>Bodysuit</v>
      </c>
      <c r="H1688" s="38">
        <f t="shared" si="202"/>
        <v>5</v>
      </c>
      <c r="I1688" s="54">
        <f t="shared" si="199"/>
        <v>22</v>
      </c>
      <c r="J1688" s="14" t="str">
        <f t="shared" si="203"/>
        <v>MothersDay</v>
      </c>
      <c r="K1688" s="16" t="str">
        <f t="shared" si="198"/>
        <v>3-6</v>
      </c>
      <c r="L1688" s="14" t="str">
        <f t="shared" si="201"/>
        <v>Bodysuit | 3-6 | Cream</v>
      </c>
      <c r="M1688" s="16" t="s">
        <v>3611</v>
      </c>
    </row>
    <row r="1689" spans="1:13" ht="25" customHeight="1" x14ac:dyDescent="0.45">
      <c r="A1689" s="39">
        <v>46169</v>
      </c>
      <c r="B1689" s="19" t="s">
        <v>1818</v>
      </c>
      <c r="C1689" s="5" t="s">
        <v>1721</v>
      </c>
      <c r="D1689" s="53" t="str">
        <f t="shared" si="200"/>
        <v>Light Blue</v>
      </c>
      <c r="E1689" s="5" t="s">
        <v>10</v>
      </c>
      <c r="F1689" s="5" t="s">
        <v>7</v>
      </c>
      <c r="G1689" s="4" t="str">
        <f t="shared" si="204"/>
        <v>Bodysuit</v>
      </c>
      <c r="H1689" s="38">
        <f t="shared" si="202"/>
        <v>5</v>
      </c>
      <c r="I1689" s="54">
        <f t="shared" si="199"/>
        <v>22</v>
      </c>
      <c r="J1689" s="14" t="str">
        <f t="shared" si="203"/>
        <v>MothersDay</v>
      </c>
      <c r="K1689" s="16" t="str">
        <f t="shared" si="198"/>
        <v>0-3</v>
      </c>
      <c r="L1689" s="14" t="str">
        <f t="shared" si="201"/>
        <v>Bodysuit | 0-3 | Light Blue</v>
      </c>
      <c r="M1689" s="16" t="s">
        <v>3610</v>
      </c>
    </row>
    <row r="1690" spans="1:13" ht="25" customHeight="1" x14ac:dyDescent="0.45">
      <c r="A1690" s="39">
        <v>46175</v>
      </c>
      <c r="B1690" s="19" t="s">
        <v>1819</v>
      </c>
      <c r="C1690" s="5" t="s">
        <v>1721</v>
      </c>
      <c r="D1690" s="53" t="str">
        <f t="shared" si="200"/>
        <v>Light Blue</v>
      </c>
      <c r="E1690" s="5" t="s">
        <v>10</v>
      </c>
      <c r="F1690" s="5" t="s">
        <v>13</v>
      </c>
      <c r="G1690" s="4" t="str">
        <f t="shared" si="204"/>
        <v>Bodysuit</v>
      </c>
      <c r="H1690" s="38">
        <f t="shared" si="202"/>
        <v>6</v>
      </c>
      <c r="I1690" s="54">
        <f t="shared" si="199"/>
        <v>23</v>
      </c>
      <c r="J1690" s="14" t="str">
        <f t="shared" si="203"/>
        <v>FathersDay</v>
      </c>
      <c r="K1690" s="16" t="str">
        <f t="shared" si="198"/>
        <v>0-3</v>
      </c>
      <c r="L1690" s="14" t="str">
        <f t="shared" si="201"/>
        <v>Bodysuit | 0-3 | Light Blue</v>
      </c>
      <c r="M1690" s="16" t="s">
        <v>3610</v>
      </c>
    </row>
    <row r="1691" spans="1:13" ht="25" customHeight="1" x14ac:dyDescent="0.45">
      <c r="A1691" s="39">
        <v>46175</v>
      </c>
      <c r="B1691" s="19" t="s">
        <v>1820</v>
      </c>
      <c r="C1691" s="5" t="s">
        <v>1721</v>
      </c>
      <c r="D1691" s="53" t="str">
        <f t="shared" si="200"/>
        <v>Light Blue</v>
      </c>
      <c r="E1691" s="5" t="s">
        <v>6</v>
      </c>
      <c r="F1691" s="5" t="s">
        <v>7</v>
      </c>
      <c r="G1691" s="4" t="str">
        <f t="shared" si="204"/>
        <v>Bodysuit</v>
      </c>
      <c r="H1691" s="38">
        <f t="shared" si="202"/>
        <v>6</v>
      </c>
      <c r="I1691" s="54">
        <f t="shared" si="199"/>
        <v>23</v>
      </c>
      <c r="J1691" s="14" t="str">
        <f t="shared" si="203"/>
        <v>FathersDay</v>
      </c>
      <c r="K1691" s="16" t="str">
        <f t="shared" si="198"/>
        <v>3-6</v>
      </c>
      <c r="L1691" s="14" t="str">
        <f t="shared" si="201"/>
        <v>Bodysuit | 3-6 | Light Blue</v>
      </c>
      <c r="M1691" s="16" t="s">
        <v>3610</v>
      </c>
    </row>
    <row r="1692" spans="1:13" ht="25" customHeight="1" x14ac:dyDescent="0.45">
      <c r="A1692" s="39">
        <v>46176</v>
      </c>
      <c r="B1692" s="19" t="s">
        <v>1821</v>
      </c>
      <c r="C1692" s="5" t="s">
        <v>1801</v>
      </c>
      <c r="D1692" s="53" t="str">
        <f t="shared" si="200"/>
        <v xml:space="preserve">Light Pink </v>
      </c>
      <c r="E1692" s="5" t="s">
        <v>6</v>
      </c>
      <c r="F1692" s="5" t="s">
        <v>7</v>
      </c>
      <c r="G1692" s="4" t="str">
        <f t="shared" si="204"/>
        <v>Bodysuit</v>
      </c>
      <c r="H1692" s="38">
        <f t="shared" si="202"/>
        <v>6</v>
      </c>
      <c r="I1692" s="54">
        <f t="shared" si="199"/>
        <v>23</v>
      </c>
      <c r="J1692" s="14" t="str">
        <f t="shared" si="203"/>
        <v>FathersDay</v>
      </c>
      <c r="K1692" s="16" t="str">
        <f t="shared" si="198"/>
        <v>3-6</v>
      </c>
      <c r="L1692" s="14" t="str">
        <f t="shared" si="201"/>
        <v>Bodysuit | 3-6 | Light Pink</v>
      </c>
      <c r="M1692" s="16" t="s">
        <v>3610</v>
      </c>
    </row>
    <row r="1693" spans="1:13" ht="25" customHeight="1" x14ac:dyDescent="0.45">
      <c r="A1693" s="39">
        <v>46177</v>
      </c>
      <c r="B1693" s="19" t="s">
        <v>1822</v>
      </c>
      <c r="C1693" s="5" t="s">
        <v>1458</v>
      </c>
      <c r="D1693" s="53" t="str">
        <f t="shared" si="200"/>
        <v xml:space="preserve">Cream  </v>
      </c>
      <c r="E1693" s="5" t="s">
        <v>10</v>
      </c>
      <c r="F1693" s="5" t="s">
        <v>7</v>
      </c>
      <c r="G1693" s="4" t="str">
        <f t="shared" si="204"/>
        <v>Bodysuit</v>
      </c>
      <c r="H1693" s="38">
        <f t="shared" si="202"/>
        <v>6</v>
      </c>
      <c r="I1693" s="54">
        <f t="shared" si="199"/>
        <v>23</v>
      </c>
      <c r="J1693" s="14" t="str">
        <f t="shared" si="203"/>
        <v>FathersDay</v>
      </c>
      <c r="K1693" s="16" t="str">
        <f t="shared" si="198"/>
        <v>0-3</v>
      </c>
      <c r="L1693" s="14" t="str">
        <f t="shared" si="201"/>
        <v>Bodysuit | 0-3 | Cream</v>
      </c>
      <c r="M1693" s="16" t="s">
        <v>3610</v>
      </c>
    </row>
    <row r="1694" spans="1:13" ht="25" customHeight="1" x14ac:dyDescent="0.45">
      <c r="A1694" s="39">
        <v>46178</v>
      </c>
      <c r="B1694" s="19" t="s">
        <v>1823</v>
      </c>
      <c r="C1694" s="5" t="s">
        <v>9</v>
      </c>
      <c r="D1694" s="53" t="str">
        <f t="shared" si="200"/>
        <v>Cream</v>
      </c>
      <c r="E1694" s="5" t="s">
        <v>10</v>
      </c>
      <c r="F1694" s="5" t="s">
        <v>7</v>
      </c>
      <c r="G1694" s="4" t="str">
        <f t="shared" si="204"/>
        <v>Bodysuit</v>
      </c>
      <c r="H1694" s="38">
        <f t="shared" si="202"/>
        <v>6</v>
      </c>
      <c r="I1694" s="54">
        <f t="shared" si="199"/>
        <v>23</v>
      </c>
      <c r="J1694" s="14" t="str">
        <f t="shared" si="203"/>
        <v>FathersDay</v>
      </c>
      <c r="K1694" s="16" t="str">
        <f t="shared" si="198"/>
        <v>0-3</v>
      </c>
      <c r="L1694" s="14" t="str">
        <f t="shared" si="201"/>
        <v>Bodysuit | 0-3 | Cream</v>
      </c>
      <c r="M1694" s="16" t="s">
        <v>3610</v>
      </c>
    </row>
    <row r="1695" spans="1:13" ht="25" customHeight="1" x14ac:dyDescent="0.45">
      <c r="A1695" s="39">
        <v>46185</v>
      </c>
      <c r="B1695" s="19" t="s">
        <v>1824</v>
      </c>
      <c r="C1695" s="5" t="s">
        <v>1721</v>
      </c>
      <c r="D1695" s="53" t="str">
        <f t="shared" si="200"/>
        <v>Light Blue</v>
      </c>
      <c r="E1695" s="5" t="s">
        <v>10</v>
      </c>
      <c r="F1695" s="5" t="s">
        <v>7</v>
      </c>
      <c r="G1695" s="4" t="str">
        <f t="shared" si="204"/>
        <v>Bodysuit</v>
      </c>
      <c r="H1695" s="38">
        <f t="shared" si="202"/>
        <v>6</v>
      </c>
      <c r="I1695" s="54">
        <f t="shared" si="199"/>
        <v>24</v>
      </c>
      <c r="J1695" s="14" t="str">
        <f t="shared" si="203"/>
        <v>FathersDay</v>
      </c>
      <c r="K1695" s="16" t="str">
        <f t="shared" si="198"/>
        <v>0-3</v>
      </c>
      <c r="L1695" s="14" t="str">
        <f t="shared" si="201"/>
        <v>Bodysuit | 0-3 | Light Blue</v>
      </c>
      <c r="M1695" s="16" t="s">
        <v>3610</v>
      </c>
    </row>
    <row r="1696" spans="1:13" ht="25" customHeight="1" x14ac:dyDescent="0.45">
      <c r="A1696" s="8">
        <v>46185</v>
      </c>
      <c r="B1696" s="19" t="s">
        <v>1825</v>
      </c>
      <c r="C1696" s="5" t="s">
        <v>1723</v>
      </c>
      <c r="D1696" s="53" t="str">
        <f t="shared" si="200"/>
        <v>Light Pink</v>
      </c>
      <c r="E1696" s="5" t="s">
        <v>6</v>
      </c>
      <c r="F1696" s="5" t="s">
        <v>40</v>
      </c>
      <c r="G1696" s="4" t="str">
        <f t="shared" si="204"/>
        <v>Bodysuit</v>
      </c>
      <c r="H1696" s="38">
        <f t="shared" si="202"/>
        <v>6</v>
      </c>
      <c r="I1696" s="54">
        <f t="shared" si="199"/>
        <v>24</v>
      </c>
      <c r="J1696" s="14" t="str">
        <f t="shared" si="203"/>
        <v>FathersDay</v>
      </c>
      <c r="K1696" s="16" t="str">
        <f t="shared" si="198"/>
        <v>3-6</v>
      </c>
      <c r="L1696" s="14" t="str">
        <f t="shared" si="201"/>
        <v>Bodysuit | 3-6 | Light Pink</v>
      </c>
      <c r="M1696" s="16" t="s">
        <v>3610</v>
      </c>
    </row>
    <row r="1697" spans="1:13" ht="25" customHeight="1" x14ac:dyDescent="0.45">
      <c r="A1697" s="48">
        <v>45901</v>
      </c>
      <c r="B1697" s="49" t="s">
        <v>1826</v>
      </c>
      <c r="C1697" s="5" t="s">
        <v>9</v>
      </c>
      <c r="D1697" s="53" t="str">
        <f t="shared" si="200"/>
        <v>Cream</v>
      </c>
      <c r="E1697" s="50" t="s">
        <v>1420</v>
      </c>
      <c r="F1697" s="50" t="s">
        <v>7</v>
      </c>
      <c r="G1697" s="4" t="str">
        <f t="shared" si="204"/>
        <v>Romper Short</v>
      </c>
      <c r="H1697" s="38">
        <f t="shared" si="202"/>
        <v>9</v>
      </c>
      <c r="I1697" s="54">
        <f t="shared" si="199"/>
        <v>36</v>
      </c>
      <c r="J1697" s="14" t="str">
        <f t="shared" si="203"/>
        <v>Normal</v>
      </c>
      <c r="K1697" s="16" t="str">
        <f t="shared" ref="K1697:K1720" si="205">TRIM(LEFT(E1697,FIND("(",E1697&amp;"(")-3))</f>
        <v>6-12</v>
      </c>
      <c r="L1697" s="14" t="str">
        <f t="shared" si="201"/>
        <v>Romper Short | 6-12 | Cream</v>
      </c>
      <c r="M1697" s="16" t="s">
        <v>3611</v>
      </c>
    </row>
    <row r="1698" spans="1:13" ht="25" customHeight="1" x14ac:dyDescent="0.45">
      <c r="A1698" s="48">
        <v>45902</v>
      </c>
      <c r="B1698" s="51" t="s">
        <v>1827</v>
      </c>
      <c r="C1698" s="5" t="s">
        <v>9</v>
      </c>
      <c r="D1698" s="53" t="str">
        <f t="shared" si="200"/>
        <v>Cream</v>
      </c>
      <c r="E1698" s="52" t="s">
        <v>1420</v>
      </c>
      <c r="F1698" s="50" t="s">
        <v>7</v>
      </c>
      <c r="G1698" s="4" t="str">
        <f t="shared" si="204"/>
        <v>Romper Short</v>
      </c>
      <c r="H1698" s="38">
        <f t="shared" si="202"/>
        <v>9</v>
      </c>
      <c r="I1698" s="54">
        <f t="shared" si="199"/>
        <v>36</v>
      </c>
      <c r="J1698" s="14" t="str">
        <f t="shared" si="203"/>
        <v>Normal</v>
      </c>
      <c r="K1698" s="16" t="str">
        <f t="shared" si="205"/>
        <v>6-12</v>
      </c>
      <c r="L1698" s="14" t="str">
        <f t="shared" si="201"/>
        <v>Romper Short | 6-12 | Cream</v>
      </c>
      <c r="M1698" s="16" t="s">
        <v>3611</v>
      </c>
    </row>
    <row r="1699" spans="1:13" ht="25" customHeight="1" x14ac:dyDescent="0.45">
      <c r="A1699" s="48">
        <v>45903</v>
      </c>
      <c r="B1699" s="49" t="s">
        <v>1826</v>
      </c>
      <c r="C1699" s="5" t="s">
        <v>9</v>
      </c>
      <c r="D1699" s="53" t="str">
        <f t="shared" si="200"/>
        <v>Cream</v>
      </c>
      <c r="E1699" s="50" t="s">
        <v>1828</v>
      </c>
      <c r="F1699" s="50" t="s">
        <v>7</v>
      </c>
      <c r="G1699" s="4" t="str">
        <f t="shared" si="204"/>
        <v>Romper Longer</v>
      </c>
      <c r="H1699" s="38">
        <f t="shared" si="202"/>
        <v>9</v>
      </c>
      <c r="I1699" s="54">
        <f t="shared" si="199"/>
        <v>36</v>
      </c>
      <c r="J1699" s="14" t="str">
        <f t="shared" si="203"/>
        <v>Normal</v>
      </c>
      <c r="K1699" s="16" t="str">
        <f t="shared" si="205"/>
        <v>3-6</v>
      </c>
      <c r="L1699" s="14" t="str">
        <f t="shared" si="201"/>
        <v>Romper Longer | 3-6 | Cream</v>
      </c>
      <c r="M1699" s="16" t="s">
        <v>3609</v>
      </c>
    </row>
    <row r="1700" spans="1:13" ht="25" customHeight="1" x14ac:dyDescent="0.45">
      <c r="A1700" s="48">
        <v>45904</v>
      </c>
      <c r="B1700" s="51" t="s">
        <v>1829</v>
      </c>
      <c r="C1700" s="5" t="s">
        <v>74</v>
      </c>
      <c r="D1700" s="53" t="str">
        <f t="shared" si="200"/>
        <v>Watermelon</v>
      </c>
      <c r="E1700" s="52" t="s">
        <v>1828</v>
      </c>
      <c r="F1700" s="50" t="s">
        <v>7</v>
      </c>
      <c r="G1700" s="4" t="str">
        <f t="shared" si="204"/>
        <v>Romper Longer</v>
      </c>
      <c r="H1700" s="38">
        <f t="shared" si="202"/>
        <v>9</v>
      </c>
      <c r="I1700" s="54">
        <f t="shared" si="199"/>
        <v>36</v>
      </c>
      <c r="J1700" s="14" t="str">
        <f t="shared" si="203"/>
        <v>Normal</v>
      </c>
      <c r="K1700" s="16" t="str">
        <f t="shared" si="205"/>
        <v>3-6</v>
      </c>
      <c r="L1700" s="14" t="str">
        <f t="shared" si="201"/>
        <v>Romper Longer | 3-6 | Watermelon</v>
      </c>
      <c r="M1700" s="16" t="s">
        <v>3610</v>
      </c>
    </row>
    <row r="1701" spans="1:13" ht="25" customHeight="1" x14ac:dyDescent="0.45">
      <c r="A1701" s="48">
        <v>45905</v>
      </c>
      <c r="B1701" s="49" t="s">
        <v>1830</v>
      </c>
      <c r="C1701" s="5" t="s">
        <v>110</v>
      </c>
      <c r="D1701" s="53" t="str">
        <f t="shared" si="200"/>
        <v>Sage Green</v>
      </c>
      <c r="E1701" s="50" t="s">
        <v>1831</v>
      </c>
      <c r="F1701" s="50" t="s">
        <v>7</v>
      </c>
      <c r="G1701" s="4" t="str">
        <f t="shared" si="204"/>
        <v>Romper Longer</v>
      </c>
      <c r="H1701" s="38">
        <f t="shared" si="202"/>
        <v>9</v>
      </c>
      <c r="I1701" s="54">
        <f t="shared" si="199"/>
        <v>36</v>
      </c>
      <c r="J1701" s="14" t="str">
        <f t="shared" si="203"/>
        <v>Normal</v>
      </c>
      <c r="K1701" s="16" t="str">
        <f t="shared" si="205"/>
        <v>0-3</v>
      </c>
      <c r="L1701" s="14" t="str">
        <f t="shared" si="201"/>
        <v>Romper Longer | 0-3 | Sage Green</v>
      </c>
      <c r="M1701" s="16" t="s">
        <v>3611</v>
      </c>
    </row>
    <row r="1702" spans="1:13" ht="25" customHeight="1" x14ac:dyDescent="0.45">
      <c r="A1702" s="48">
        <v>45906</v>
      </c>
      <c r="B1702" s="51" t="s">
        <v>1832</v>
      </c>
      <c r="C1702" s="5" t="s">
        <v>81</v>
      </c>
      <c r="D1702" s="53" t="str">
        <f t="shared" si="200"/>
        <v>Dusty Pink</v>
      </c>
      <c r="E1702" s="50" t="s">
        <v>1831</v>
      </c>
      <c r="F1702" s="50" t="s">
        <v>7</v>
      </c>
      <c r="G1702" s="4" t="str">
        <f t="shared" si="204"/>
        <v>Romper Longer</v>
      </c>
      <c r="H1702" s="38">
        <f t="shared" si="202"/>
        <v>9</v>
      </c>
      <c r="I1702" s="54">
        <f t="shared" si="199"/>
        <v>36</v>
      </c>
      <c r="J1702" s="14" t="str">
        <f t="shared" si="203"/>
        <v>Normal</v>
      </c>
      <c r="K1702" s="16" t="str">
        <f t="shared" si="205"/>
        <v>0-3</v>
      </c>
      <c r="L1702" s="14" t="str">
        <f t="shared" si="201"/>
        <v>Romper Longer | 0-3 | Dusty Pink</v>
      </c>
      <c r="M1702" s="16" t="s">
        <v>3610</v>
      </c>
    </row>
    <row r="1703" spans="1:13" ht="25" customHeight="1" x14ac:dyDescent="0.45">
      <c r="A1703" s="48">
        <v>45907</v>
      </c>
      <c r="B1703" s="49" t="s">
        <v>1833</v>
      </c>
      <c r="C1703" s="5" t="s">
        <v>85</v>
      </c>
      <c r="D1703" s="53" t="str">
        <f t="shared" si="200"/>
        <v>Forest Green</v>
      </c>
      <c r="E1703" s="50" t="s">
        <v>1834</v>
      </c>
      <c r="F1703" s="50" t="s">
        <v>7</v>
      </c>
      <c r="G1703" s="4" t="str">
        <f t="shared" si="204"/>
        <v>Romper Short</v>
      </c>
      <c r="H1703" s="38">
        <f t="shared" si="202"/>
        <v>9</v>
      </c>
      <c r="I1703" s="54">
        <f t="shared" si="199"/>
        <v>37</v>
      </c>
      <c r="J1703" s="14" t="str">
        <f t="shared" si="203"/>
        <v>Normal</v>
      </c>
      <c r="K1703" s="16" t="str">
        <f t="shared" si="205"/>
        <v>0-3</v>
      </c>
      <c r="L1703" s="14" t="str">
        <f t="shared" si="201"/>
        <v>Romper Short | 0-3 | Forest Green</v>
      </c>
      <c r="M1703" s="16" t="s">
        <v>3610</v>
      </c>
    </row>
    <row r="1704" spans="1:13" ht="25" customHeight="1" x14ac:dyDescent="0.45">
      <c r="A1704" s="48">
        <v>45908</v>
      </c>
      <c r="B1704" s="51" t="s">
        <v>1835</v>
      </c>
      <c r="C1704" s="5" t="s">
        <v>9</v>
      </c>
      <c r="D1704" s="53" t="str">
        <f t="shared" si="200"/>
        <v>Cream</v>
      </c>
      <c r="E1704" s="52" t="s">
        <v>1831</v>
      </c>
      <c r="F1704" s="50" t="s">
        <v>7</v>
      </c>
      <c r="G1704" s="4" t="str">
        <f t="shared" si="204"/>
        <v>Romper Longer</v>
      </c>
      <c r="H1704" s="38">
        <f t="shared" si="202"/>
        <v>9</v>
      </c>
      <c r="I1704" s="54">
        <f t="shared" si="199"/>
        <v>37</v>
      </c>
      <c r="J1704" s="14" t="str">
        <f t="shared" si="203"/>
        <v>Normal</v>
      </c>
      <c r="K1704" s="16" t="str">
        <f t="shared" si="205"/>
        <v>0-3</v>
      </c>
      <c r="L1704" s="14" t="str">
        <f t="shared" si="201"/>
        <v>Romper Longer | 0-3 | Cream</v>
      </c>
      <c r="M1704" s="16" t="s">
        <v>3609</v>
      </c>
    </row>
    <row r="1705" spans="1:13" ht="25" customHeight="1" x14ac:dyDescent="0.45">
      <c r="A1705" s="48">
        <v>45909</v>
      </c>
      <c r="B1705" s="49" t="s">
        <v>1836</v>
      </c>
      <c r="C1705" s="5" t="s">
        <v>178</v>
      </c>
      <c r="D1705" s="53" t="str">
        <f t="shared" si="200"/>
        <v>Mauve Taupe</v>
      </c>
      <c r="E1705" s="50" t="s">
        <v>1831</v>
      </c>
      <c r="F1705" s="50" t="s">
        <v>7</v>
      </c>
      <c r="G1705" s="4" t="str">
        <f t="shared" si="204"/>
        <v>Romper Longer</v>
      </c>
      <c r="H1705" s="38">
        <f t="shared" si="202"/>
        <v>9</v>
      </c>
      <c r="I1705" s="54">
        <f t="shared" si="199"/>
        <v>37</v>
      </c>
      <c r="J1705" s="14" t="str">
        <f t="shared" si="203"/>
        <v>Normal</v>
      </c>
      <c r="K1705" s="16" t="str">
        <f t="shared" si="205"/>
        <v>0-3</v>
      </c>
      <c r="L1705" s="14" t="str">
        <f t="shared" si="201"/>
        <v>Romper Longer | 0-3 | Mauve Taupe</v>
      </c>
      <c r="M1705" s="16" t="s">
        <v>3610</v>
      </c>
    </row>
    <row r="1706" spans="1:13" ht="25" customHeight="1" x14ac:dyDescent="0.45">
      <c r="A1706" s="48">
        <v>45910</v>
      </c>
      <c r="B1706" s="51" t="s">
        <v>1837</v>
      </c>
      <c r="C1706" s="5" t="s">
        <v>9</v>
      </c>
      <c r="D1706" s="53" t="str">
        <f t="shared" si="200"/>
        <v>Cream</v>
      </c>
      <c r="E1706" s="52" t="s">
        <v>1838</v>
      </c>
      <c r="F1706" s="50" t="s">
        <v>7</v>
      </c>
      <c r="G1706" s="4" t="str">
        <f t="shared" si="204"/>
        <v>Romper Short</v>
      </c>
      <c r="H1706" s="38">
        <f t="shared" si="202"/>
        <v>9</v>
      </c>
      <c r="I1706" s="54">
        <f t="shared" si="199"/>
        <v>37</v>
      </c>
      <c r="J1706" s="14" t="str">
        <f t="shared" si="203"/>
        <v>Normal</v>
      </c>
      <c r="K1706" s="16" t="str">
        <f t="shared" si="205"/>
        <v>12-18</v>
      </c>
      <c r="L1706" s="14" t="str">
        <f t="shared" si="201"/>
        <v>Romper Short | 12-18 | Cream</v>
      </c>
      <c r="M1706" s="16" t="s">
        <v>3610</v>
      </c>
    </row>
    <row r="1707" spans="1:13" ht="25" customHeight="1" x14ac:dyDescent="0.45">
      <c r="A1707" s="48">
        <v>45911</v>
      </c>
      <c r="B1707" s="49" t="s">
        <v>1839</v>
      </c>
      <c r="C1707" s="5" t="s">
        <v>110</v>
      </c>
      <c r="D1707" s="53" t="str">
        <f t="shared" si="200"/>
        <v>Sage Green</v>
      </c>
      <c r="E1707" s="50" t="s">
        <v>1834</v>
      </c>
      <c r="F1707" s="50" t="s">
        <v>7</v>
      </c>
      <c r="G1707" s="4" t="str">
        <f t="shared" si="204"/>
        <v>Romper Short</v>
      </c>
      <c r="H1707" s="38">
        <f t="shared" si="202"/>
        <v>9</v>
      </c>
      <c r="I1707" s="54">
        <f t="shared" si="199"/>
        <v>37</v>
      </c>
      <c r="J1707" s="14" t="str">
        <f t="shared" si="203"/>
        <v>Normal</v>
      </c>
      <c r="K1707" s="16" t="str">
        <f t="shared" si="205"/>
        <v>0-3</v>
      </c>
      <c r="L1707" s="14" t="str">
        <f t="shared" si="201"/>
        <v>Romper Short | 0-3 | Sage Green</v>
      </c>
      <c r="M1707" s="16" t="s">
        <v>3610</v>
      </c>
    </row>
    <row r="1708" spans="1:13" ht="25" customHeight="1" x14ac:dyDescent="0.45">
      <c r="A1708" s="48">
        <v>45912</v>
      </c>
      <c r="B1708" s="51" t="s">
        <v>1840</v>
      </c>
      <c r="C1708" s="5" t="s">
        <v>85</v>
      </c>
      <c r="D1708" s="53" t="str">
        <f t="shared" si="200"/>
        <v>Forest Green</v>
      </c>
      <c r="E1708" s="52" t="s">
        <v>1841</v>
      </c>
      <c r="F1708" s="50" t="s">
        <v>7</v>
      </c>
      <c r="G1708" s="4" t="str">
        <f t="shared" si="204"/>
        <v>Romper Longer</v>
      </c>
      <c r="H1708" s="38">
        <f t="shared" si="202"/>
        <v>9</v>
      </c>
      <c r="I1708" s="54">
        <f t="shared" si="199"/>
        <v>37</v>
      </c>
      <c r="J1708" s="14" t="str">
        <f t="shared" si="203"/>
        <v>Normal</v>
      </c>
      <c r="K1708" s="16" t="str">
        <f t="shared" si="205"/>
        <v>6-12</v>
      </c>
      <c r="L1708" s="14" t="str">
        <f t="shared" si="201"/>
        <v>Romper Longer | 6-12 | Forest Green</v>
      </c>
      <c r="M1708" s="16" t="s">
        <v>3610</v>
      </c>
    </row>
    <row r="1709" spans="1:13" ht="25" customHeight="1" x14ac:dyDescent="0.45">
      <c r="A1709" s="48">
        <v>45913</v>
      </c>
      <c r="B1709" s="49" t="s">
        <v>1842</v>
      </c>
      <c r="C1709" s="5" t="s">
        <v>9</v>
      </c>
      <c r="D1709" s="53" t="str">
        <f t="shared" si="200"/>
        <v>Cream</v>
      </c>
      <c r="E1709" s="50" t="s">
        <v>1828</v>
      </c>
      <c r="F1709" s="50" t="s">
        <v>7</v>
      </c>
      <c r="G1709" s="4" t="str">
        <f t="shared" si="204"/>
        <v>Romper Longer</v>
      </c>
      <c r="H1709" s="38">
        <f t="shared" si="202"/>
        <v>9</v>
      </c>
      <c r="I1709" s="54">
        <f t="shared" si="199"/>
        <v>37</v>
      </c>
      <c r="J1709" s="14" t="str">
        <f t="shared" si="203"/>
        <v>Normal</v>
      </c>
      <c r="K1709" s="16" t="str">
        <f t="shared" si="205"/>
        <v>3-6</v>
      </c>
      <c r="L1709" s="14" t="str">
        <f t="shared" si="201"/>
        <v>Romper Longer | 3-6 | Cream</v>
      </c>
      <c r="M1709" s="16" t="s">
        <v>3609</v>
      </c>
    </row>
    <row r="1710" spans="1:13" ht="25" customHeight="1" x14ac:dyDescent="0.45">
      <c r="A1710" s="48">
        <v>45914</v>
      </c>
      <c r="B1710" s="51" t="s">
        <v>1843</v>
      </c>
      <c r="C1710" s="5" t="s">
        <v>9</v>
      </c>
      <c r="D1710" s="53" t="str">
        <f t="shared" si="200"/>
        <v>Cream</v>
      </c>
      <c r="E1710" s="50" t="s">
        <v>1828</v>
      </c>
      <c r="F1710" s="50" t="s">
        <v>7</v>
      </c>
      <c r="G1710" s="4" t="str">
        <f t="shared" si="204"/>
        <v>Romper Longer</v>
      </c>
      <c r="H1710" s="38">
        <f t="shared" si="202"/>
        <v>9</v>
      </c>
      <c r="I1710" s="54">
        <f t="shared" si="199"/>
        <v>38</v>
      </c>
      <c r="J1710" s="14" t="str">
        <f t="shared" si="203"/>
        <v>Normal</v>
      </c>
      <c r="K1710" s="16" t="str">
        <f t="shared" si="205"/>
        <v>3-6</v>
      </c>
      <c r="L1710" s="14" t="str">
        <f t="shared" si="201"/>
        <v>Romper Longer | 3-6 | Cream</v>
      </c>
      <c r="M1710" s="16" t="s">
        <v>3609</v>
      </c>
    </row>
    <row r="1711" spans="1:13" ht="25" customHeight="1" x14ac:dyDescent="0.45">
      <c r="A1711" s="48">
        <v>45915</v>
      </c>
      <c r="B1711" s="49" t="s">
        <v>1844</v>
      </c>
      <c r="C1711" s="5" t="s">
        <v>74</v>
      </c>
      <c r="D1711" s="53" t="str">
        <f t="shared" si="200"/>
        <v>Watermelon</v>
      </c>
      <c r="E1711" s="50" t="s">
        <v>1841</v>
      </c>
      <c r="F1711" s="50" t="s">
        <v>7</v>
      </c>
      <c r="G1711" s="4" t="str">
        <f t="shared" si="204"/>
        <v>Romper Longer</v>
      </c>
      <c r="H1711" s="38">
        <f t="shared" si="202"/>
        <v>9</v>
      </c>
      <c r="I1711" s="54">
        <f t="shared" ref="I1711:I1774" si="206">WEEKNUM(A1711)</f>
        <v>38</v>
      </c>
      <c r="J1711" s="14" t="str">
        <f t="shared" si="203"/>
        <v>Normal</v>
      </c>
      <c r="K1711" s="16" t="str">
        <f t="shared" si="205"/>
        <v>6-12</v>
      </c>
      <c r="L1711" s="14" t="str">
        <f t="shared" si="201"/>
        <v>Romper Longer | 6-12 | Watermelon</v>
      </c>
      <c r="M1711" s="16" t="s">
        <v>3610</v>
      </c>
    </row>
    <row r="1712" spans="1:13" ht="25" customHeight="1" x14ac:dyDescent="0.45">
      <c r="A1712" s="48">
        <v>45916</v>
      </c>
      <c r="B1712" s="51" t="s">
        <v>1845</v>
      </c>
      <c r="C1712" s="5" t="s">
        <v>224</v>
      </c>
      <c r="D1712" s="53" t="str">
        <f t="shared" si="200"/>
        <v>Salmon</v>
      </c>
      <c r="E1712" s="52" t="s">
        <v>1834</v>
      </c>
      <c r="F1712" s="50" t="s">
        <v>7</v>
      </c>
      <c r="G1712" s="4" t="str">
        <f t="shared" si="204"/>
        <v>Romper Short</v>
      </c>
      <c r="H1712" s="38">
        <f t="shared" si="202"/>
        <v>9</v>
      </c>
      <c r="I1712" s="54">
        <f t="shared" si="206"/>
        <v>38</v>
      </c>
      <c r="J1712" s="14" t="str">
        <f t="shared" si="203"/>
        <v>Normal</v>
      </c>
      <c r="K1712" s="16" t="str">
        <f t="shared" si="205"/>
        <v>0-3</v>
      </c>
      <c r="L1712" s="14" t="str">
        <f t="shared" si="201"/>
        <v>Romper Short | 0-3 | Salmon</v>
      </c>
      <c r="M1712" s="16" t="s">
        <v>3610</v>
      </c>
    </row>
    <row r="1713" spans="1:13" ht="25" customHeight="1" x14ac:dyDescent="0.45">
      <c r="A1713" s="48">
        <v>45917</v>
      </c>
      <c r="B1713" s="49" t="s">
        <v>1846</v>
      </c>
      <c r="C1713" s="5" t="s">
        <v>81</v>
      </c>
      <c r="D1713" s="53" t="str">
        <f t="shared" si="200"/>
        <v>Dusty Pink</v>
      </c>
      <c r="E1713" s="50" t="s">
        <v>1550</v>
      </c>
      <c r="F1713" s="50" t="s">
        <v>7</v>
      </c>
      <c r="G1713" s="4" t="str">
        <f t="shared" si="204"/>
        <v>Romper Longer</v>
      </c>
      <c r="H1713" s="38">
        <f t="shared" si="202"/>
        <v>9</v>
      </c>
      <c r="I1713" s="54">
        <f t="shared" si="206"/>
        <v>38</v>
      </c>
      <c r="J1713" s="14" t="str">
        <f t="shared" si="203"/>
        <v>Normal</v>
      </c>
      <c r="K1713" s="16" t="str">
        <f t="shared" si="205"/>
        <v>12-18</v>
      </c>
      <c r="L1713" s="14" t="str">
        <f t="shared" si="201"/>
        <v>Romper Longer | 12-18 | Dusty Pink</v>
      </c>
      <c r="M1713" s="16" t="s">
        <v>3610</v>
      </c>
    </row>
    <row r="1714" spans="1:13" ht="25" customHeight="1" x14ac:dyDescent="0.45">
      <c r="A1714" s="48">
        <v>45918</v>
      </c>
      <c r="B1714" s="51" t="s">
        <v>1847</v>
      </c>
      <c r="C1714" s="5" t="s">
        <v>9</v>
      </c>
      <c r="D1714" s="53" t="str">
        <f t="shared" si="200"/>
        <v>Cream</v>
      </c>
      <c r="E1714" s="52" t="s">
        <v>1838</v>
      </c>
      <c r="F1714" s="50" t="s">
        <v>7</v>
      </c>
      <c r="G1714" s="4" t="str">
        <f t="shared" si="204"/>
        <v>Romper Short</v>
      </c>
      <c r="H1714" s="38">
        <f t="shared" si="202"/>
        <v>9</v>
      </c>
      <c r="I1714" s="54">
        <f t="shared" si="206"/>
        <v>38</v>
      </c>
      <c r="J1714" s="14" t="str">
        <f t="shared" si="203"/>
        <v>Normal</v>
      </c>
      <c r="K1714" s="16" t="str">
        <f t="shared" si="205"/>
        <v>12-18</v>
      </c>
      <c r="L1714" s="14" t="str">
        <f t="shared" si="201"/>
        <v>Romper Short | 12-18 | Cream</v>
      </c>
      <c r="M1714" s="16" t="s">
        <v>3610</v>
      </c>
    </row>
    <row r="1715" spans="1:13" ht="25" customHeight="1" x14ac:dyDescent="0.45">
      <c r="A1715" s="48">
        <v>45919</v>
      </c>
      <c r="B1715" s="49" t="s">
        <v>1848</v>
      </c>
      <c r="C1715" s="5" t="s">
        <v>81</v>
      </c>
      <c r="D1715" s="53" t="str">
        <f t="shared" si="200"/>
        <v>Dusty Pink</v>
      </c>
      <c r="E1715" s="50" t="s">
        <v>1849</v>
      </c>
      <c r="F1715" s="50" t="s">
        <v>7</v>
      </c>
      <c r="G1715" s="4" t="str">
        <f t="shared" si="204"/>
        <v>Romper Short</v>
      </c>
      <c r="H1715" s="38">
        <f t="shared" si="202"/>
        <v>9</v>
      </c>
      <c r="I1715" s="54">
        <f t="shared" si="206"/>
        <v>38</v>
      </c>
      <c r="J1715" s="14" t="str">
        <f t="shared" si="203"/>
        <v>Normal</v>
      </c>
      <c r="K1715" s="16" t="str">
        <f t="shared" si="205"/>
        <v>3-6</v>
      </c>
      <c r="L1715" s="14" t="str">
        <f t="shared" si="201"/>
        <v>Romper Short | 3-6 | Dusty Pink</v>
      </c>
      <c r="M1715" s="16" t="s">
        <v>3610</v>
      </c>
    </row>
    <row r="1716" spans="1:13" ht="25" customHeight="1" x14ac:dyDescent="0.45">
      <c r="A1716" s="48">
        <v>45920</v>
      </c>
      <c r="B1716" s="51" t="s">
        <v>1850</v>
      </c>
      <c r="C1716" s="5" t="s">
        <v>81</v>
      </c>
      <c r="D1716" s="53" t="str">
        <f t="shared" si="200"/>
        <v>Dusty Pink</v>
      </c>
      <c r="E1716" s="50" t="s">
        <v>1849</v>
      </c>
      <c r="F1716" s="50" t="s">
        <v>7</v>
      </c>
      <c r="G1716" s="4" t="str">
        <f t="shared" si="204"/>
        <v>Romper Short</v>
      </c>
      <c r="H1716" s="38">
        <f t="shared" si="202"/>
        <v>9</v>
      </c>
      <c r="I1716" s="54">
        <f t="shared" si="206"/>
        <v>38</v>
      </c>
      <c r="J1716" s="14" t="str">
        <f t="shared" si="203"/>
        <v>Normal</v>
      </c>
      <c r="K1716" s="16" t="str">
        <f t="shared" si="205"/>
        <v>3-6</v>
      </c>
      <c r="L1716" s="14" t="str">
        <f t="shared" si="201"/>
        <v>Romper Short | 3-6 | Dusty Pink</v>
      </c>
      <c r="M1716" s="16" t="s">
        <v>3610</v>
      </c>
    </row>
    <row r="1717" spans="1:13" ht="25" customHeight="1" x14ac:dyDescent="0.45">
      <c r="A1717" s="48">
        <v>45921</v>
      </c>
      <c r="B1717" s="49" t="s">
        <v>1851</v>
      </c>
      <c r="C1717" s="5" t="s">
        <v>71</v>
      </c>
      <c r="D1717" s="53" t="str">
        <f t="shared" si="200"/>
        <v>Coffee</v>
      </c>
      <c r="E1717" s="50" t="s">
        <v>1841</v>
      </c>
      <c r="F1717" s="50" t="s">
        <v>7</v>
      </c>
      <c r="G1717" s="4" t="str">
        <f t="shared" si="204"/>
        <v>Romper Longer</v>
      </c>
      <c r="H1717" s="38">
        <f t="shared" si="202"/>
        <v>9</v>
      </c>
      <c r="I1717" s="54">
        <f t="shared" si="206"/>
        <v>39</v>
      </c>
      <c r="J1717" s="14" t="str">
        <f t="shared" si="203"/>
        <v>Normal</v>
      </c>
      <c r="K1717" s="16" t="str">
        <f t="shared" si="205"/>
        <v>6-12</v>
      </c>
      <c r="L1717" s="14" t="str">
        <f t="shared" si="201"/>
        <v>Romper Longer | 6-12 | Coffee</v>
      </c>
      <c r="M1717" s="16" t="s">
        <v>3610</v>
      </c>
    </row>
    <row r="1718" spans="1:13" ht="25" customHeight="1" x14ac:dyDescent="0.45">
      <c r="A1718" s="48">
        <v>45922</v>
      </c>
      <c r="B1718" s="51" t="s">
        <v>1852</v>
      </c>
      <c r="C1718" s="5" t="s">
        <v>9</v>
      </c>
      <c r="D1718" s="53" t="str">
        <f t="shared" si="200"/>
        <v>Cream</v>
      </c>
      <c r="E1718" s="52" t="s">
        <v>1849</v>
      </c>
      <c r="F1718" s="50" t="s">
        <v>7</v>
      </c>
      <c r="G1718" s="4" t="str">
        <f t="shared" si="204"/>
        <v>Romper Short</v>
      </c>
      <c r="H1718" s="38">
        <f t="shared" si="202"/>
        <v>9</v>
      </c>
      <c r="I1718" s="54">
        <f t="shared" si="206"/>
        <v>39</v>
      </c>
      <c r="J1718" s="14" t="str">
        <f t="shared" si="203"/>
        <v>Normal</v>
      </c>
      <c r="K1718" s="16" t="str">
        <f t="shared" si="205"/>
        <v>3-6</v>
      </c>
      <c r="L1718" s="14" t="str">
        <f t="shared" si="201"/>
        <v>Romper Short | 3-6 | Cream</v>
      </c>
      <c r="M1718" s="16" t="s">
        <v>3609</v>
      </c>
    </row>
    <row r="1719" spans="1:13" ht="25" customHeight="1" x14ac:dyDescent="0.45">
      <c r="A1719" s="48">
        <v>45923</v>
      </c>
      <c r="B1719" s="49" t="s">
        <v>1853</v>
      </c>
      <c r="C1719" s="5" t="s">
        <v>71</v>
      </c>
      <c r="D1719" s="53" t="str">
        <f t="shared" si="200"/>
        <v>Coffee</v>
      </c>
      <c r="E1719" s="50" t="s">
        <v>1828</v>
      </c>
      <c r="F1719" s="50" t="s">
        <v>7</v>
      </c>
      <c r="G1719" s="4" t="str">
        <f t="shared" si="204"/>
        <v>Romper Longer</v>
      </c>
      <c r="H1719" s="38">
        <f t="shared" si="202"/>
        <v>9</v>
      </c>
      <c r="I1719" s="54">
        <f t="shared" si="206"/>
        <v>39</v>
      </c>
      <c r="J1719" s="14" t="str">
        <f t="shared" si="203"/>
        <v>Normal</v>
      </c>
      <c r="K1719" s="16" t="str">
        <f t="shared" si="205"/>
        <v>3-6</v>
      </c>
      <c r="L1719" s="14" t="str">
        <f t="shared" si="201"/>
        <v>Romper Longer | 3-6 | Coffee</v>
      </c>
      <c r="M1719" s="16" t="s">
        <v>3610</v>
      </c>
    </row>
    <row r="1720" spans="1:13" ht="25" customHeight="1" x14ac:dyDescent="0.45">
      <c r="A1720" s="48">
        <v>45924</v>
      </c>
      <c r="B1720" s="51" t="s">
        <v>1854</v>
      </c>
      <c r="C1720" s="5" t="s">
        <v>85</v>
      </c>
      <c r="D1720" s="53" t="str">
        <f t="shared" si="200"/>
        <v>Forest Green</v>
      </c>
      <c r="E1720" s="52" t="s">
        <v>1550</v>
      </c>
      <c r="F1720" s="50" t="s">
        <v>7</v>
      </c>
      <c r="G1720" s="4" t="str">
        <f t="shared" si="204"/>
        <v>Romper Longer</v>
      </c>
      <c r="H1720" s="38">
        <f t="shared" si="202"/>
        <v>9</v>
      </c>
      <c r="I1720" s="54">
        <f t="shared" si="206"/>
        <v>39</v>
      </c>
      <c r="J1720" s="14" t="str">
        <f t="shared" si="203"/>
        <v>Normal</v>
      </c>
      <c r="K1720" s="16" t="str">
        <f t="shared" si="205"/>
        <v>12-18</v>
      </c>
      <c r="L1720" s="14" t="str">
        <f t="shared" si="201"/>
        <v>Romper Longer | 12-18 | Forest Green</v>
      </c>
      <c r="M1720" s="16" t="s">
        <v>3610</v>
      </c>
    </row>
    <row r="1721" spans="1:13" ht="25" customHeight="1" x14ac:dyDescent="0.45">
      <c r="A1721" s="48">
        <v>45925</v>
      </c>
      <c r="B1721" s="49" t="s">
        <v>1855</v>
      </c>
      <c r="C1721" s="5" t="s">
        <v>9</v>
      </c>
      <c r="D1721" s="53" t="str">
        <f t="shared" si="200"/>
        <v>Cream</v>
      </c>
      <c r="E1721" s="50" t="s">
        <v>1828</v>
      </c>
      <c r="F1721" s="50" t="s">
        <v>7</v>
      </c>
      <c r="G1721" s="4" t="str">
        <f t="shared" si="204"/>
        <v>Romper Longer</v>
      </c>
      <c r="H1721" s="38">
        <f t="shared" ref="H1721:H1784" si="207">MONTH(A1721)</f>
        <v>9</v>
      </c>
      <c r="I1721" s="54">
        <f t="shared" si="206"/>
        <v>39</v>
      </c>
      <c r="J1721" s="14" t="str">
        <f t="shared" ref="J1721:J1784" si="208">IF(H1721=1,"NewYear",
IF(H1721=2,"Valentine",
IF(OR(H1721=3,H1721=4),"Easter",
IF(H1721=5,"MothersDay",
IF(H1721=6,"FathersDay",
IF(OR(H1721=7,H1721=8),"Summer",
IF(H1721=10,"Halloween",
IF(OR(H1721=11,H1721=12),"Christmas","Normal"))))))))</f>
        <v>Normal</v>
      </c>
      <c r="K1721" s="16" t="str">
        <f t="shared" ref="K1721:K1784" si="209">TRIM(LEFT(E1721,FIND("(",E1721&amp;"(")-3))</f>
        <v>3-6</v>
      </c>
      <c r="L1721" s="14" t="str">
        <f t="shared" si="201"/>
        <v>Romper Longer | 3-6 | Cream</v>
      </c>
      <c r="M1721" s="16" t="s">
        <v>3609</v>
      </c>
    </row>
    <row r="1722" spans="1:13" ht="25" customHeight="1" x14ac:dyDescent="0.45">
      <c r="A1722" s="48">
        <v>45926</v>
      </c>
      <c r="B1722" s="51" t="s">
        <v>1856</v>
      </c>
      <c r="C1722" s="5" t="s">
        <v>79</v>
      </c>
      <c r="D1722" s="53" t="str">
        <f t="shared" ref="D1722:D1746" si="210">PROPER(C1722)</f>
        <v>White</v>
      </c>
      <c r="E1722" s="50" t="s">
        <v>1828</v>
      </c>
      <c r="F1722" s="50" t="s">
        <v>7</v>
      </c>
      <c r="G1722" s="4" t="str">
        <f t="shared" si="204"/>
        <v>Romper Longer</v>
      </c>
      <c r="H1722" s="38">
        <f t="shared" si="207"/>
        <v>9</v>
      </c>
      <c r="I1722" s="54">
        <f t="shared" si="206"/>
        <v>39</v>
      </c>
      <c r="J1722" s="14" t="str">
        <f t="shared" si="208"/>
        <v>Normal</v>
      </c>
      <c r="K1722" s="16" t="str">
        <f t="shared" si="209"/>
        <v>3-6</v>
      </c>
      <c r="L1722" s="14" t="str">
        <f t="shared" si="201"/>
        <v>Romper Longer | 3-6 | White</v>
      </c>
      <c r="M1722" s="16" t="s">
        <v>3610</v>
      </c>
    </row>
    <row r="1723" spans="1:13" ht="25" customHeight="1" x14ac:dyDescent="0.45">
      <c r="A1723" s="48">
        <v>45927</v>
      </c>
      <c r="B1723" s="49" t="s">
        <v>1857</v>
      </c>
      <c r="C1723" s="5" t="s">
        <v>9</v>
      </c>
      <c r="D1723" s="53" t="str">
        <f t="shared" si="210"/>
        <v>Cream</v>
      </c>
      <c r="E1723" s="50" t="s">
        <v>1834</v>
      </c>
      <c r="F1723" s="50" t="s">
        <v>7</v>
      </c>
      <c r="G1723" s="4" t="str">
        <f t="shared" si="204"/>
        <v>Romper Short</v>
      </c>
      <c r="H1723" s="38">
        <f t="shared" si="207"/>
        <v>9</v>
      </c>
      <c r="I1723" s="54">
        <f t="shared" si="206"/>
        <v>39</v>
      </c>
      <c r="J1723" s="14" t="str">
        <f t="shared" si="208"/>
        <v>Normal</v>
      </c>
      <c r="K1723" s="16" t="str">
        <f t="shared" si="209"/>
        <v>0-3</v>
      </c>
      <c r="L1723" s="14" t="str">
        <f t="shared" si="201"/>
        <v>Romper Short | 0-3 | Cream</v>
      </c>
      <c r="M1723" s="16" t="s">
        <v>3609</v>
      </c>
    </row>
    <row r="1724" spans="1:13" ht="25" customHeight="1" x14ac:dyDescent="0.45">
      <c r="A1724" s="48">
        <v>45928</v>
      </c>
      <c r="B1724" s="51" t="s">
        <v>1858</v>
      </c>
      <c r="C1724" s="5" t="s">
        <v>81</v>
      </c>
      <c r="D1724" s="53" t="str">
        <f t="shared" si="210"/>
        <v>Dusty Pink</v>
      </c>
      <c r="E1724" s="52" t="s">
        <v>1420</v>
      </c>
      <c r="F1724" s="50" t="s">
        <v>7</v>
      </c>
      <c r="G1724" s="4" t="str">
        <f t="shared" si="204"/>
        <v>Romper Short</v>
      </c>
      <c r="H1724" s="38">
        <f t="shared" si="207"/>
        <v>9</v>
      </c>
      <c r="I1724" s="54">
        <f t="shared" si="206"/>
        <v>40</v>
      </c>
      <c r="J1724" s="14" t="str">
        <f t="shared" si="208"/>
        <v>Normal</v>
      </c>
      <c r="K1724" s="16" t="str">
        <f t="shared" si="209"/>
        <v>6-12</v>
      </c>
      <c r="L1724" s="14" t="str">
        <f t="shared" si="201"/>
        <v>Romper Short | 6-12 | Dusty Pink</v>
      </c>
      <c r="M1724" s="16" t="s">
        <v>3610</v>
      </c>
    </row>
    <row r="1725" spans="1:13" ht="25" customHeight="1" x14ac:dyDescent="0.45">
      <c r="A1725" s="48">
        <v>45929</v>
      </c>
      <c r="B1725" s="49" t="s">
        <v>1859</v>
      </c>
      <c r="C1725" s="5" t="s">
        <v>9</v>
      </c>
      <c r="D1725" s="53" t="str">
        <f t="shared" si="210"/>
        <v>Cream</v>
      </c>
      <c r="E1725" s="52" t="s">
        <v>1828</v>
      </c>
      <c r="F1725" s="50" t="s">
        <v>7</v>
      </c>
      <c r="G1725" s="4" t="str">
        <f t="shared" si="204"/>
        <v>Romper Longer</v>
      </c>
      <c r="H1725" s="38">
        <f t="shared" si="207"/>
        <v>9</v>
      </c>
      <c r="I1725" s="54">
        <f t="shared" si="206"/>
        <v>40</v>
      </c>
      <c r="J1725" s="14" t="str">
        <f t="shared" si="208"/>
        <v>Normal</v>
      </c>
      <c r="K1725" s="16" t="str">
        <f t="shared" si="209"/>
        <v>3-6</v>
      </c>
      <c r="L1725" s="14" t="str">
        <f t="shared" si="201"/>
        <v>Romper Longer | 3-6 | Cream</v>
      </c>
      <c r="M1725" s="16" t="s">
        <v>3609</v>
      </c>
    </row>
    <row r="1726" spans="1:13" ht="25" customHeight="1" x14ac:dyDescent="0.45">
      <c r="A1726" s="18">
        <v>45778</v>
      </c>
      <c r="B1726" s="19" t="s">
        <v>1860</v>
      </c>
      <c r="C1726" s="20" t="s">
        <v>76</v>
      </c>
      <c r="D1726" s="53" t="str">
        <f t="shared" si="210"/>
        <v>Caldet Blue</v>
      </c>
      <c r="E1726" s="21" t="s">
        <v>1420</v>
      </c>
      <c r="F1726" s="20" t="s">
        <v>1861</v>
      </c>
      <c r="G1726" s="4" t="str">
        <f t="shared" si="204"/>
        <v>Romper Short</v>
      </c>
      <c r="H1726" s="38">
        <f t="shared" si="207"/>
        <v>5</v>
      </c>
      <c r="I1726" s="54">
        <f t="shared" si="206"/>
        <v>18</v>
      </c>
      <c r="J1726" s="14" t="str">
        <f t="shared" si="208"/>
        <v>MothersDay</v>
      </c>
      <c r="K1726" s="16" t="str">
        <f t="shared" si="209"/>
        <v>6-12</v>
      </c>
      <c r="L1726" s="14" t="str">
        <f t="shared" si="201"/>
        <v>Romper Short | 6-12 | Caldet Blue</v>
      </c>
      <c r="M1726" s="16" t="s">
        <v>3610</v>
      </c>
    </row>
    <row r="1727" spans="1:13" ht="25" customHeight="1" x14ac:dyDescent="0.45">
      <c r="A1727" s="18">
        <v>45779</v>
      </c>
      <c r="B1727" s="19" t="s">
        <v>1862</v>
      </c>
      <c r="C1727" s="20" t="s">
        <v>9</v>
      </c>
      <c r="D1727" s="53" t="str">
        <f t="shared" si="210"/>
        <v>Cream</v>
      </c>
      <c r="E1727" s="21" t="s">
        <v>1828</v>
      </c>
      <c r="F1727" s="22" t="s">
        <v>1861</v>
      </c>
      <c r="G1727" s="4" t="str">
        <f t="shared" si="204"/>
        <v>Romper Longer</v>
      </c>
      <c r="H1727" s="38">
        <f t="shared" si="207"/>
        <v>5</v>
      </c>
      <c r="I1727" s="54">
        <f t="shared" si="206"/>
        <v>18</v>
      </c>
      <c r="J1727" s="14" t="str">
        <f t="shared" si="208"/>
        <v>MothersDay</v>
      </c>
      <c r="K1727" s="16" t="str">
        <f t="shared" si="209"/>
        <v>3-6</v>
      </c>
      <c r="L1727" s="14" t="str">
        <f t="shared" si="201"/>
        <v>Romper Longer | 3-6 | Cream</v>
      </c>
      <c r="M1727" s="16" t="s">
        <v>3609</v>
      </c>
    </row>
    <row r="1728" spans="1:13" ht="25" customHeight="1" x14ac:dyDescent="0.45">
      <c r="A1728" s="18">
        <v>45780</v>
      </c>
      <c r="B1728" s="19" t="s">
        <v>1863</v>
      </c>
      <c r="C1728" s="20" t="s">
        <v>76</v>
      </c>
      <c r="D1728" s="53" t="str">
        <f t="shared" si="210"/>
        <v>Caldet Blue</v>
      </c>
      <c r="E1728" s="21" t="s">
        <v>1370</v>
      </c>
      <c r="F1728" s="20" t="s">
        <v>7</v>
      </c>
      <c r="G1728" s="4" t="str">
        <f t="shared" si="204"/>
        <v>Romper Short</v>
      </c>
      <c r="H1728" s="38">
        <f t="shared" si="207"/>
        <v>5</v>
      </c>
      <c r="I1728" s="54">
        <f t="shared" si="206"/>
        <v>18</v>
      </c>
      <c r="J1728" s="14" t="str">
        <f t="shared" si="208"/>
        <v>MothersDay</v>
      </c>
      <c r="K1728" s="16" t="str">
        <f t="shared" si="209"/>
        <v>18-24</v>
      </c>
      <c r="L1728" s="14" t="str">
        <f t="shared" si="201"/>
        <v>Romper Short | 18-24 | Caldet Blue</v>
      </c>
      <c r="M1728" s="16" t="s">
        <v>3610</v>
      </c>
    </row>
    <row r="1729" spans="1:13" ht="25" customHeight="1" x14ac:dyDescent="0.45">
      <c r="A1729" s="18">
        <v>45781</v>
      </c>
      <c r="B1729" s="19" t="s">
        <v>1864</v>
      </c>
      <c r="C1729" s="20" t="s">
        <v>110</v>
      </c>
      <c r="D1729" s="53" t="str">
        <f t="shared" si="210"/>
        <v>Sage Green</v>
      </c>
      <c r="E1729" s="21" t="s">
        <v>1834</v>
      </c>
      <c r="F1729" s="20" t="s">
        <v>7</v>
      </c>
      <c r="G1729" s="4" t="str">
        <f t="shared" si="204"/>
        <v>Romper Short</v>
      </c>
      <c r="H1729" s="38">
        <f t="shared" si="207"/>
        <v>5</v>
      </c>
      <c r="I1729" s="54">
        <f t="shared" si="206"/>
        <v>19</v>
      </c>
      <c r="J1729" s="14" t="str">
        <f t="shared" si="208"/>
        <v>MothersDay</v>
      </c>
      <c r="K1729" s="16" t="str">
        <f t="shared" si="209"/>
        <v>0-3</v>
      </c>
      <c r="L1729" s="14" t="str">
        <f t="shared" si="201"/>
        <v>Romper Short | 0-3 | Sage Green</v>
      </c>
      <c r="M1729" s="16" t="s">
        <v>3610</v>
      </c>
    </row>
    <row r="1730" spans="1:13" ht="25" customHeight="1" x14ac:dyDescent="0.45">
      <c r="A1730" s="18">
        <v>45782</v>
      </c>
      <c r="B1730" s="19" t="s">
        <v>1865</v>
      </c>
      <c r="C1730" s="20" t="s">
        <v>9</v>
      </c>
      <c r="D1730" s="53" t="str">
        <f t="shared" si="210"/>
        <v>Cream</v>
      </c>
      <c r="E1730" s="21" t="s">
        <v>1831</v>
      </c>
      <c r="F1730" s="20" t="s">
        <v>19</v>
      </c>
      <c r="G1730" s="4" t="str">
        <f t="shared" si="204"/>
        <v>Romper Longer</v>
      </c>
      <c r="H1730" s="38">
        <f t="shared" si="207"/>
        <v>5</v>
      </c>
      <c r="I1730" s="54">
        <f t="shared" si="206"/>
        <v>19</v>
      </c>
      <c r="J1730" s="14" t="str">
        <f t="shared" si="208"/>
        <v>MothersDay</v>
      </c>
      <c r="K1730" s="16" t="str">
        <f t="shared" si="209"/>
        <v>0-3</v>
      </c>
      <c r="L1730" s="14" t="str">
        <f t="shared" si="201"/>
        <v>Romper Longer | 0-3 | Cream</v>
      </c>
      <c r="M1730" s="16" t="s">
        <v>3609</v>
      </c>
    </row>
    <row r="1731" spans="1:13" ht="25" customHeight="1" x14ac:dyDescent="0.45">
      <c r="A1731" s="18">
        <v>45783</v>
      </c>
      <c r="B1731" s="19" t="s">
        <v>1866</v>
      </c>
      <c r="C1731" s="20" t="s">
        <v>9</v>
      </c>
      <c r="D1731" s="53" t="str">
        <f t="shared" si="210"/>
        <v>Cream</v>
      </c>
      <c r="E1731" s="21" t="s">
        <v>1834</v>
      </c>
      <c r="F1731" s="20" t="s">
        <v>13</v>
      </c>
      <c r="G1731" s="4" t="str">
        <f t="shared" si="204"/>
        <v>Romper Short</v>
      </c>
      <c r="H1731" s="38">
        <f t="shared" si="207"/>
        <v>5</v>
      </c>
      <c r="I1731" s="54">
        <f t="shared" si="206"/>
        <v>19</v>
      </c>
      <c r="J1731" s="14" t="str">
        <f t="shared" si="208"/>
        <v>MothersDay</v>
      </c>
      <c r="K1731" s="16" t="str">
        <f t="shared" si="209"/>
        <v>0-3</v>
      </c>
      <c r="L1731" s="14" t="str">
        <f t="shared" ref="L1731:L1794" si="211">TRIM(G1731)&amp;" | "&amp;TRIM(K1731)&amp;" | "&amp;PROPER(TRIM(D1731))</f>
        <v>Romper Short | 0-3 | Cream</v>
      </c>
      <c r="M1731" s="16" t="s">
        <v>3609</v>
      </c>
    </row>
    <row r="1732" spans="1:13" ht="25" customHeight="1" x14ac:dyDescent="0.45">
      <c r="A1732" s="18">
        <v>45784</v>
      </c>
      <c r="B1732" s="19" t="s">
        <v>1867</v>
      </c>
      <c r="C1732" s="20" t="s">
        <v>79</v>
      </c>
      <c r="D1732" s="53" t="str">
        <f t="shared" si="210"/>
        <v>White</v>
      </c>
      <c r="E1732" s="21" t="s">
        <v>1841</v>
      </c>
      <c r="F1732" s="20" t="s">
        <v>11</v>
      </c>
      <c r="G1732" s="4" t="str">
        <f t="shared" si="204"/>
        <v>Romper Longer</v>
      </c>
      <c r="H1732" s="38">
        <f t="shared" si="207"/>
        <v>5</v>
      </c>
      <c r="I1732" s="54">
        <f t="shared" si="206"/>
        <v>19</v>
      </c>
      <c r="J1732" s="14" t="str">
        <f t="shared" si="208"/>
        <v>MothersDay</v>
      </c>
      <c r="K1732" s="16" t="str">
        <f t="shared" si="209"/>
        <v>6-12</v>
      </c>
      <c r="L1732" s="14" t="str">
        <f t="shared" si="211"/>
        <v>Romper Longer | 6-12 | White</v>
      </c>
      <c r="M1732" s="16" t="s">
        <v>3610</v>
      </c>
    </row>
    <row r="1733" spans="1:13" ht="25" customHeight="1" x14ac:dyDescent="0.45">
      <c r="A1733" s="18">
        <v>45785</v>
      </c>
      <c r="B1733" s="19" t="s">
        <v>1868</v>
      </c>
      <c r="C1733" s="20" t="s">
        <v>79</v>
      </c>
      <c r="D1733" s="53" t="str">
        <f t="shared" si="210"/>
        <v>White</v>
      </c>
      <c r="E1733" s="21" t="s">
        <v>1828</v>
      </c>
      <c r="F1733" s="20" t="s">
        <v>846</v>
      </c>
      <c r="G1733" s="4" t="str">
        <f t="shared" si="204"/>
        <v>Romper Longer</v>
      </c>
      <c r="H1733" s="38">
        <f t="shared" si="207"/>
        <v>5</v>
      </c>
      <c r="I1733" s="54">
        <f t="shared" si="206"/>
        <v>19</v>
      </c>
      <c r="J1733" s="14" t="str">
        <f t="shared" si="208"/>
        <v>MothersDay</v>
      </c>
      <c r="K1733" s="16" t="str">
        <f t="shared" si="209"/>
        <v>3-6</v>
      </c>
      <c r="L1733" s="14" t="str">
        <f t="shared" si="211"/>
        <v>Romper Longer | 3-6 | White</v>
      </c>
      <c r="M1733" s="16" t="s">
        <v>3610</v>
      </c>
    </row>
    <row r="1734" spans="1:13" ht="25" customHeight="1" x14ac:dyDescent="0.45">
      <c r="A1734" s="18">
        <v>45786</v>
      </c>
      <c r="B1734" s="19" t="s">
        <v>1869</v>
      </c>
      <c r="C1734" s="20" t="s">
        <v>9</v>
      </c>
      <c r="D1734" s="53" t="str">
        <f t="shared" si="210"/>
        <v>Cream</v>
      </c>
      <c r="E1734" s="21" t="s">
        <v>1849</v>
      </c>
      <c r="F1734" s="20" t="s">
        <v>18</v>
      </c>
      <c r="G1734" s="4" t="str">
        <f t="shared" si="204"/>
        <v>Romper Short</v>
      </c>
      <c r="H1734" s="38">
        <f t="shared" si="207"/>
        <v>5</v>
      </c>
      <c r="I1734" s="54">
        <f t="shared" si="206"/>
        <v>19</v>
      </c>
      <c r="J1734" s="14" t="str">
        <f t="shared" si="208"/>
        <v>MothersDay</v>
      </c>
      <c r="K1734" s="16" t="str">
        <f t="shared" si="209"/>
        <v>3-6</v>
      </c>
      <c r="L1734" s="14" t="str">
        <f t="shared" si="211"/>
        <v>Romper Short | 3-6 | Cream</v>
      </c>
      <c r="M1734" s="16" t="s">
        <v>3609</v>
      </c>
    </row>
    <row r="1735" spans="1:13" ht="25" customHeight="1" x14ac:dyDescent="0.45">
      <c r="A1735" s="18">
        <v>45787</v>
      </c>
      <c r="B1735" s="19" t="s">
        <v>1870</v>
      </c>
      <c r="C1735" s="20" t="s">
        <v>9</v>
      </c>
      <c r="D1735" s="53" t="str">
        <f t="shared" si="210"/>
        <v>Cream</v>
      </c>
      <c r="E1735" s="21" t="s">
        <v>1831</v>
      </c>
      <c r="F1735" s="20" t="s">
        <v>13</v>
      </c>
      <c r="G1735" s="4" t="str">
        <f t="shared" si="204"/>
        <v>Romper Longer</v>
      </c>
      <c r="H1735" s="38">
        <f t="shared" si="207"/>
        <v>5</v>
      </c>
      <c r="I1735" s="54">
        <f t="shared" si="206"/>
        <v>19</v>
      </c>
      <c r="J1735" s="14" t="str">
        <f t="shared" si="208"/>
        <v>MothersDay</v>
      </c>
      <c r="K1735" s="16" t="str">
        <f t="shared" si="209"/>
        <v>0-3</v>
      </c>
      <c r="L1735" s="14" t="str">
        <f t="shared" si="211"/>
        <v>Romper Longer | 0-3 | Cream</v>
      </c>
      <c r="M1735" s="16" t="s">
        <v>3609</v>
      </c>
    </row>
    <row r="1736" spans="1:13" ht="25" customHeight="1" x14ac:dyDescent="0.45">
      <c r="A1736" s="18">
        <v>45788</v>
      </c>
      <c r="B1736" s="19" t="s">
        <v>1871</v>
      </c>
      <c r="C1736" s="20" t="s">
        <v>224</v>
      </c>
      <c r="D1736" s="53" t="str">
        <f t="shared" si="210"/>
        <v>Salmon</v>
      </c>
      <c r="E1736" s="21" t="s">
        <v>1831</v>
      </c>
      <c r="F1736" s="20" t="s">
        <v>7</v>
      </c>
      <c r="G1736" s="4" t="str">
        <f t="shared" si="204"/>
        <v>Romper Longer</v>
      </c>
      <c r="H1736" s="38">
        <f t="shared" si="207"/>
        <v>5</v>
      </c>
      <c r="I1736" s="54">
        <f t="shared" si="206"/>
        <v>20</v>
      </c>
      <c r="J1736" s="14" t="str">
        <f t="shared" si="208"/>
        <v>MothersDay</v>
      </c>
      <c r="K1736" s="16" t="str">
        <f t="shared" si="209"/>
        <v>0-3</v>
      </c>
      <c r="L1736" s="14" t="str">
        <f t="shared" si="211"/>
        <v>Romper Longer | 0-3 | Salmon</v>
      </c>
      <c r="M1736" s="16" t="s">
        <v>3610</v>
      </c>
    </row>
    <row r="1737" spans="1:13" ht="25" customHeight="1" x14ac:dyDescent="0.45">
      <c r="A1737" s="18">
        <v>45789</v>
      </c>
      <c r="B1737" s="19" t="s">
        <v>1872</v>
      </c>
      <c r="C1737" s="20" t="s">
        <v>9</v>
      </c>
      <c r="D1737" s="53" t="str">
        <f t="shared" si="210"/>
        <v>Cream</v>
      </c>
      <c r="E1737" s="21" t="s">
        <v>1849</v>
      </c>
      <c r="F1737" s="20" t="s">
        <v>11</v>
      </c>
      <c r="G1737" s="4" t="str">
        <f t="shared" si="204"/>
        <v>Romper Short</v>
      </c>
      <c r="H1737" s="38">
        <f t="shared" si="207"/>
        <v>5</v>
      </c>
      <c r="I1737" s="54">
        <f t="shared" si="206"/>
        <v>20</v>
      </c>
      <c r="J1737" s="14" t="str">
        <f t="shared" si="208"/>
        <v>MothersDay</v>
      </c>
      <c r="K1737" s="16" t="str">
        <f t="shared" si="209"/>
        <v>3-6</v>
      </c>
      <c r="L1737" s="14" t="str">
        <f t="shared" si="211"/>
        <v>Romper Short | 3-6 | Cream</v>
      </c>
      <c r="M1737" s="16" t="s">
        <v>3609</v>
      </c>
    </row>
    <row r="1738" spans="1:13" ht="25" customHeight="1" x14ac:dyDescent="0.45">
      <c r="A1738" s="18">
        <v>45790</v>
      </c>
      <c r="B1738" s="19" t="s">
        <v>1872</v>
      </c>
      <c r="C1738" s="20" t="s">
        <v>9</v>
      </c>
      <c r="D1738" s="53" t="str">
        <f t="shared" si="210"/>
        <v>Cream</v>
      </c>
      <c r="E1738" s="21" t="s">
        <v>1849</v>
      </c>
      <c r="F1738" s="20" t="s">
        <v>11</v>
      </c>
      <c r="G1738" s="4" t="str">
        <f t="shared" si="204"/>
        <v>Romper Short</v>
      </c>
      <c r="H1738" s="38">
        <f t="shared" si="207"/>
        <v>5</v>
      </c>
      <c r="I1738" s="54">
        <f t="shared" si="206"/>
        <v>20</v>
      </c>
      <c r="J1738" s="14" t="str">
        <f t="shared" si="208"/>
        <v>MothersDay</v>
      </c>
      <c r="K1738" s="16" t="str">
        <f t="shared" si="209"/>
        <v>3-6</v>
      </c>
      <c r="L1738" s="14" t="str">
        <f t="shared" si="211"/>
        <v>Romper Short | 3-6 | Cream</v>
      </c>
      <c r="M1738" s="16" t="s">
        <v>3609</v>
      </c>
    </row>
    <row r="1739" spans="1:13" ht="25" customHeight="1" x14ac:dyDescent="0.45">
      <c r="A1739" s="18">
        <v>45791</v>
      </c>
      <c r="B1739" s="19" t="s">
        <v>1873</v>
      </c>
      <c r="C1739" s="20" t="s">
        <v>9</v>
      </c>
      <c r="D1739" s="53" t="str">
        <f t="shared" si="210"/>
        <v>Cream</v>
      </c>
      <c r="E1739" s="21" t="s">
        <v>1841</v>
      </c>
      <c r="F1739" s="20" t="s">
        <v>7</v>
      </c>
      <c r="G1739" s="4" t="str">
        <f t="shared" si="204"/>
        <v>Romper Longer</v>
      </c>
      <c r="H1739" s="38">
        <f t="shared" si="207"/>
        <v>5</v>
      </c>
      <c r="I1739" s="54">
        <f t="shared" si="206"/>
        <v>20</v>
      </c>
      <c r="J1739" s="14" t="str">
        <f t="shared" si="208"/>
        <v>MothersDay</v>
      </c>
      <c r="K1739" s="16" t="str">
        <f t="shared" si="209"/>
        <v>6-12</v>
      </c>
      <c r="L1739" s="14" t="str">
        <f t="shared" si="211"/>
        <v>Romper Longer | 6-12 | Cream</v>
      </c>
      <c r="M1739" s="16" t="s">
        <v>3611</v>
      </c>
    </row>
    <row r="1740" spans="1:13" ht="25" customHeight="1" x14ac:dyDescent="0.45">
      <c r="A1740" s="18">
        <v>45792</v>
      </c>
      <c r="B1740" s="19" t="s">
        <v>1874</v>
      </c>
      <c r="C1740" s="20" t="s">
        <v>76</v>
      </c>
      <c r="D1740" s="53" t="str">
        <f t="shared" si="210"/>
        <v>Caldet Blue</v>
      </c>
      <c r="E1740" s="21" t="s">
        <v>1828</v>
      </c>
      <c r="F1740" s="20" t="s">
        <v>7</v>
      </c>
      <c r="G1740" s="4" t="str">
        <f t="shared" si="204"/>
        <v>Romper Longer</v>
      </c>
      <c r="H1740" s="38">
        <f t="shared" si="207"/>
        <v>5</v>
      </c>
      <c r="I1740" s="54">
        <f t="shared" si="206"/>
        <v>20</v>
      </c>
      <c r="J1740" s="14" t="str">
        <f t="shared" si="208"/>
        <v>MothersDay</v>
      </c>
      <c r="K1740" s="16" t="str">
        <f t="shared" si="209"/>
        <v>3-6</v>
      </c>
      <c r="L1740" s="14" t="str">
        <f t="shared" si="211"/>
        <v>Romper Longer | 3-6 | Caldet Blue</v>
      </c>
      <c r="M1740" s="16" t="s">
        <v>3610</v>
      </c>
    </row>
    <row r="1741" spans="1:13" ht="25" customHeight="1" x14ac:dyDescent="0.45">
      <c r="A1741" s="18">
        <v>45793</v>
      </c>
      <c r="B1741" s="19" t="s">
        <v>1875</v>
      </c>
      <c r="C1741" s="20" t="s">
        <v>9</v>
      </c>
      <c r="D1741" s="53" t="str">
        <f t="shared" si="210"/>
        <v>Cream</v>
      </c>
      <c r="E1741" s="21" t="s">
        <v>1834</v>
      </c>
      <c r="F1741" s="20" t="s">
        <v>7</v>
      </c>
      <c r="G1741" s="4" t="str">
        <f t="shared" si="204"/>
        <v>Romper Short</v>
      </c>
      <c r="H1741" s="38">
        <f t="shared" si="207"/>
        <v>5</v>
      </c>
      <c r="I1741" s="54">
        <f t="shared" si="206"/>
        <v>20</v>
      </c>
      <c r="J1741" s="14" t="str">
        <f t="shared" si="208"/>
        <v>MothersDay</v>
      </c>
      <c r="K1741" s="16" t="str">
        <f t="shared" si="209"/>
        <v>0-3</v>
      </c>
      <c r="L1741" s="14" t="str">
        <f t="shared" si="211"/>
        <v>Romper Short | 0-3 | Cream</v>
      </c>
      <c r="M1741" s="16" t="s">
        <v>3609</v>
      </c>
    </row>
    <row r="1742" spans="1:13" ht="25" customHeight="1" x14ac:dyDescent="0.45">
      <c r="A1742" s="18">
        <v>45794</v>
      </c>
      <c r="B1742" s="19" t="s">
        <v>1876</v>
      </c>
      <c r="C1742" s="20" t="s">
        <v>9</v>
      </c>
      <c r="D1742" s="53" t="str">
        <f t="shared" si="210"/>
        <v>Cream</v>
      </c>
      <c r="E1742" s="21" t="s">
        <v>1834</v>
      </c>
      <c r="F1742" s="20" t="s">
        <v>13</v>
      </c>
      <c r="G1742" s="4" t="str">
        <f t="shared" si="204"/>
        <v>Romper Short</v>
      </c>
      <c r="H1742" s="38">
        <f t="shared" si="207"/>
        <v>5</v>
      </c>
      <c r="I1742" s="54">
        <f t="shared" si="206"/>
        <v>20</v>
      </c>
      <c r="J1742" s="14" t="str">
        <f t="shared" si="208"/>
        <v>MothersDay</v>
      </c>
      <c r="K1742" s="16" t="str">
        <f t="shared" si="209"/>
        <v>0-3</v>
      </c>
      <c r="L1742" s="14" t="str">
        <f t="shared" si="211"/>
        <v>Romper Short | 0-3 | Cream</v>
      </c>
      <c r="M1742" s="16" t="s">
        <v>3609</v>
      </c>
    </row>
    <row r="1743" spans="1:13" ht="25" customHeight="1" x14ac:dyDescent="0.45">
      <c r="A1743" s="18">
        <v>45795</v>
      </c>
      <c r="B1743" s="19" t="s">
        <v>1877</v>
      </c>
      <c r="C1743" s="20" t="s">
        <v>9</v>
      </c>
      <c r="D1743" s="53" t="str">
        <f t="shared" si="210"/>
        <v>Cream</v>
      </c>
      <c r="E1743" s="21" t="s">
        <v>1831</v>
      </c>
      <c r="F1743" s="20" t="s">
        <v>7</v>
      </c>
      <c r="G1743" s="4" t="str">
        <f t="shared" si="204"/>
        <v>Romper Longer</v>
      </c>
      <c r="H1743" s="38">
        <f t="shared" si="207"/>
        <v>5</v>
      </c>
      <c r="I1743" s="54">
        <f t="shared" si="206"/>
        <v>21</v>
      </c>
      <c r="J1743" s="14" t="str">
        <f t="shared" si="208"/>
        <v>MothersDay</v>
      </c>
      <c r="K1743" s="16" t="str">
        <f t="shared" si="209"/>
        <v>0-3</v>
      </c>
      <c r="L1743" s="14" t="str">
        <f t="shared" si="211"/>
        <v>Romper Longer | 0-3 | Cream</v>
      </c>
      <c r="M1743" s="16" t="s">
        <v>3609</v>
      </c>
    </row>
    <row r="1744" spans="1:13" ht="25" customHeight="1" x14ac:dyDescent="0.45">
      <c r="A1744" s="18">
        <v>45796</v>
      </c>
      <c r="B1744" s="19" t="s">
        <v>1878</v>
      </c>
      <c r="C1744" s="20" t="s">
        <v>9</v>
      </c>
      <c r="D1744" s="53" t="str">
        <f t="shared" si="210"/>
        <v>Cream</v>
      </c>
      <c r="E1744" s="21" t="s">
        <v>1834</v>
      </c>
      <c r="F1744" s="20" t="s">
        <v>13</v>
      </c>
      <c r="G1744" s="4" t="str">
        <f t="shared" ref="G1744:G1807" si="212">IF(ISNUMBER(SEARCH("LONG",E1744)),"Romper Longer",IF(ISNUMBER(SEARCH("SHORT",E1744)),"Romper Short","Bodysuit"))</f>
        <v>Romper Short</v>
      </c>
      <c r="H1744" s="38">
        <f t="shared" si="207"/>
        <v>5</v>
      </c>
      <c r="I1744" s="54">
        <f t="shared" si="206"/>
        <v>21</v>
      </c>
      <c r="J1744" s="14" t="str">
        <f t="shared" si="208"/>
        <v>MothersDay</v>
      </c>
      <c r="K1744" s="16" t="str">
        <f t="shared" si="209"/>
        <v>0-3</v>
      </c>
      <c r="L1744" s="14" t="str">
        <f t="shared" si="211"/>
        <v>Romper Short | 0-3 | Cream</v>
      </c>
      <c r="M1744" s="16" t="s">
        <v>3609</v>
      </c>
    </row>
    <row r="1745" spans="1:13" ht="25" customHeight="1" x14ac:dyDescent="0.45">
      <c r="A1745" s="18">
        <v>45797</v>
      </c>
      <c r="B1745" s="19" t="s">
        <v>1878</v>
      </c>
      <c r="C1745" s="20" t="s">
        <v>9</v>
      </c>
      <c r="D1745" s="53" t="str">
        <f t="shared" si="210"/>
        <v>Cream</v>
      </c>
      <c r="E1745" s="21" t="s">
        <v>1834</v>
      </c>
      <c r="F1745" s="20" t="s">
        <v>13</v>
      </c>
      <c r="G1745" s="4" t="str">
        <f t="shared" si="212"/>
        <v>Romper Short</v>
      </c>
      <c r="H1745" s="38">
        <f t="shared" si="207"/>
        <v>5</v>
      </c>
      <c r="I1745" s="54">
        <f t="shared" si="206"/>
        <v>21</v>
      </c>
      <c r="J1745" s="14" t="str">
        <f t="shared" si="208"/>
        <v>MothersDay</v>
      </c>
      <c r="K1745" s="16" t="str">
        <f t="shared" si="209"/>
        <v>0-3</v>
      </c>
      <c r="L1745" s="14" t="str">
        <f t="shared" si="211"/>
        <v>Romper Short | 0-3 | Cream</v>
      </c>
      <c r="M1745" s="16" t="s">
        <v>3609</v>
      </c>
    </row>
    <row r="1746" spans="1:13" ht="25" customHeight="1" x14ac:dyDescent="0.45">
      <c r="A1746" s="18">
        <v>45798</v>
      </c>
      <c r="B1746" s="19" t="s">
        <v>1879</v>
      </c>
      <c r="C1746" s="20" t="s">
        <v>110</v>
      </c>
      <c r="D1746" s="53" t="str">
        <f t="shared" si="210"/>
        <v>Sage Green</v>
      </c>
      <c r="E1746" s="21" t="s">
        <v>1834</v>
      </c>
      <c r="F1746" s="20" t="s">
        <v>7</v>
      </c>
      <c r="G1746" s="4" t="str">
        <f t="shared" si="212"/>
        <v>Romper Short</v>
      </c>
      <c r="H1746" s="38">
        <f t="shared" si="207"/>
        <v>5</v>
      </c>
      <c r="I1746" s="54">
        <f t="shared" si="206"/>
        <v>21</v>
      </c>
      <c r="J1746" s="14" t="str">
        <f t="shared" si="208"/>
        <v>MothersDay</v>
      </c>
      <c r="K1746" s="16" t="str">
        <f t="shared" si="209"/>
        <v>0-3</v>
      </c>
      <c r="L1746" s="14" t="str">
        <f t="shared" si="211"/>
        <v>Romper Short | 0-3 | Sage Green</v>
      </c>
      <c r="M1746" s="16" t="s">
        <v>3610</v>
      </c>
    </row>
    <row r="1747" spans="1:13" ht="25" customHeight="1" x14ac:dyDescent="0.45">
      <c r="A1747" s="18">
        <v>45799</v>
      </c>
      <c r="B1747" s="19" t="s">
        <v>1880</v>
      </c>
      <c r="C1747" s="20" t="s">
        <v>79</v>
      </c>
      <c r="D1747" s="53" t="str">
        <f>PROPER(C1747)</f>
        <v>White</v>
      </c>
      <c r="E1747" s="21" t="s">
        <v>1420</v>
      </c>
      <c r="F1747" s="20" t="s">
        <v>37</v>
      </c>
      <c r="G1747" s="4" t="str">
        <f t="shared" si="212"/>
        <v>Romper Short</v>
      </c>
      <c r="H1747" s="38">
        <f t="shared" si="207"/>
        <v>5</v>
      </c>
      <c r="I1747" s="54">
        <f t="shared" si="206"/>
        <v>21</v>
      </c>
      <c r="J1747" s="14" t="str">
        <f t="shared" si="208"/>
        <v>MothersDay</v>
      </c>
      <c r="K1747" s="16" t="str">
        <f t="shared" si="209"/>
        <v>6-12</v>
      </c>
      <c r="L1747" s="14" t="str">
        <f t="shared" si="211"/>
        <v>Romper Short | 6-12 | White</v>
      </c>
      <c r="M1747" s="16" t="s">
        <v>3610</v>
      </c>
    </row>
    <row r="1748" spans="1:13" ht="25" customHeight="1" x14ac:dyDescent="0.45">
      <c r="A1748" s="18">
        <v>45800</v>
      </c>
      <c r="B1748" s="19" t="s">
        <v>1881</v>
      </c>
      <c r="C1748" s="20" t="s">
        <v>9</v>
      </c>
      <c r="D1748" s="53" t="str">
        <f t="shared" ref="D1748:D1811" si="213">PROPER(C1748)</f>
        <v>Cream</v>
      </c>
      <c r="E1748" s="21" t="s">
        <v>1550</v>
      </c>
      <c r="F1748" s="20" t="s">
        <v>7</v>
      </c>
      <c r="G1748" s="4" t="str">
        <f t="shared" si="212"/>
        <v>Romper Longer</v>
      </c>
      <c r="H1748" s="38">
        <f t="shared" si="207"/>
        <v>5</v>
      </c>
      <c r="I1748" s="54">
        <f t="shared" si="206"/>
        <v>21</v>
      </c>
      <c r="J1748" s="14" t="str">
        <f t="shared" si="208"/>
        <v>MothersDay</v>
      </c>
      <c r="K1748" s="16" t="str">
        <f t="shared" si="209"/>
        <v>12-18</v>
      </c>
      <c r="L1748" s="14" t="str">
        <f t="shared" si="211"/>
        <v>Romper Longer | 12-18 | Cream</v>
      </c>
      <c r="M1748" s="16" t="s">
        <v>3610</v>
      </c>
    </row>
    <row r="1749" spans="1:13" ht="25" customHeight="1" x14ac:dyDescent="0.45">
      <c r="A1749" s="18">
        <v>45801</v>
      </c>
      <c r="B1749" s="19" t="s">
        <v>1882</v>
      </c>
      <c r="C1749" s="21" t="s">
        <v>9</v>
      </c>
      <c r="D1749" s="53" t="str">
        <f t="shared" si="213"/>
        <v>Cream</v>
      </c>
      <c r="E1749" s="21" t="s">
        <v>1834</v>
      </c>
      <c r="F1749" s="23" t="s">
        <v>13</v>
      </c>
      <c r="G1749" s="4" t="str">
        <f t="shared" si="212"/>
        <v>Romper Short</v>
      </c>
      <c r="H1749" s="38">
        <f t="shared" si="207"/>
        <v>5</v>
      </c>
      <c r="I1749" s="54">
        <f t="shared" si="206"/>
        <v>21</v>
      </c>
      <c r="J1749" s="14" t="str">
        <f t="shared" si="208"/>
        <v>MothersDay</v>
      </c>
      <c r="K1749" s="16" t="str">
        <f t="shared" si="209"/>
        <v>0-3</v>
      </c>
      <c r="L1749" s="14" t="str">
        <f t="shared" si="211"/>
        <v>Romper Short | 0-3 | Cream</v>
      </c>
      <c r="M1749" s="16" t="s">
        <v>3609</v>
      </c>
    </row>
    <row r="1750" spans="1:13" ht="25" customHeight="1" x14ac:dyDescent="0.45">
      <c r="A1750" s="18">
        <v>45802</v>
      </c>
      <c r="B1750" s="19" t="s">
        <v>1883</v>
      </c>
      <c r="C1750" s="21" t="s">
        <v>9</v>
      </c>
      <c r="D1750" s="53" t="str">
        <f t="shared" si="213"/>
        <v>Cream</v>
      </c>
      <c r="E1750" s="21" t="s">
        <v>1828</v>
      </c>
      <c r="F1750" s="23" t="s">
        <v>11</v>
      </c>
      <c r="G1750" s="4" t="str">
        <f t="shared" si="212"/>
        <v>Romper Longer</v>
      </c>
      <c r="H1750" s="38">
        <f t="shared" si="207"/>
        <v>5</v>
      </c>
      <c r="I1750" s="54">
        <f t="shared" si="206"/>
        <v>22</v>
      </c>
      <c r="J1750" s="14" t="str">
        <f t="shared" si="208"/>
        <v>MothersDay</v>
      </c>
      <c r="K1750" s="16" t="str">
        <f t="shared" si="209"/>
        <v>3-6</v>
      </c>
      <c r="L1750" s="14" t="str">
        <f t="shared" si="211"/>
        <v>Romper Longer | 3-6 | Cream</v>
      </c>
      <c r="M1750" s="16" t="s">
        <v>3609</v>
      </c>
    </row>
    <row r="1751" spans="1:13" ht="25" customHeight="1" x14ac:dyDescent="0.45">
      <c r="A1751" s="18">
        <v>45803</v>
      </c>
      <c r="B1751" s="19" t="s">
        <v>1884</v>
      </c>
      <c r="C1751" s="21" t="s">
        <v>9</v>
      </c>
      <c r="D1751" s="53" t="str">
        <f t="shared" si="213"/>
        <v>Cream</v>
      </c>
      <c r="E1751" s="21" t="s">
        <v>1831</v>
      </c>
      <c r="F1751" s="23" t="s">
        <v>13</v>
      </c>
      <c r="G1751" s="4" t="str">
        <f t="shared" si="212"/>
        <v>Romper Longer</v>
      </c>
      <c r="H1751" s="38">
        <f t="shared" si="207"/>
        <v>5</v>
      </c>
      <c r="I1751" s="54">
        <f t="shared" si="206"/>
        <v>22</v>
      </c>
      <c r="J1751" s="14" t="str">
        <f t="shared" si="208"/>
        <v>MothersDay</v>
      </c>
      <c r="K1751" s="16" t="str">
        <f t="shared" si="209"/>
        <v>0-3</v>
      </c>
      <c r="L1751" s="14" t="str">
        <f t="shared" si="211"/>
        <v>Romper Longer | 0-3 | Cream</v>
      </c>
      <c r="M1751" s="16" t="s">
        <v>3609</v>
      </c>
    </row>
    <row r="1752" spans="1:13" ht="25" customHeight="1" x14ac:dyDescent="0.45">
      <c r="A1752" s="18">
        <v>45804</v>
      </c>
      <c r="B1752" s="19" t="s">
        <v>1885</v>
      </c>
      <c r="C1752" s="21" t="s">
        <v>81</v>
      </c>
      <c r="D1752" s="53" t="str">
        <f t="shared" si="213"/>
        <v>Dusty Pink</v>
      </c>
      <c r="E1752" s="21" t="s">
        <v>1834</v>
      </c>
      <c r="F1752" s="23" t="s">
        <v>7</v>
      </c>
      <c r="G1752" s="4" t="str">
        <f t="shared" si="212"/>
        <v>Romper Short</v>
      </c>
      <c r="H1752" s="38">
        <f t="shared" si="207"/>
        <v>5</v>
      </c>
      <c r="I1752" s="54">
        <f t="shared" si="206"/>
        <v>22</v>
      </c>
      <c r="J1752" s="14" t="str">
        <f t="shared" si="208"/>
        <v>MothersDay</v>
      </c>
      <c r="K1752" s="16" t="str">
        <f t="shared" si="209"/>
        <v>0-3</v>
      </c>
      <c r="L1752" s="14" t="str">
        <f t="shared" si="211"/>
        <v>Romper Short | 0-3 | Dusty Pink</v>
      </c>
      <c r="M1752" s="16" t="s">
        <v>3610</v>
      </c>
    </row>
    <row r="1753" spans="1:13" ht="25" customHeight="1" x14ac:dyDescent="0.45">
      <c r="A1753" s="18">
        <v>45805</v>
      </c>
      <c r="B1753" s="19" t="s">
        <v>1886</v>
      </c>
      <c r="C1753" s="21" t="s">
        <v>9</v>
      </c>
      <c r="D1753" s="53" t="str">
        <f t="shared" si="213"/>
        <v>Cream</v>
      </c>
      <c r="E1753" s="21" t="s">
        <v>1828</v>
      </c>
      <c r="F1753" s="23" t="s">
        <v>7</v>
      </c>
      <c r="G1753" s="4" t="str">
        <f t="shared" si="212"/>
        <v>Romper Longer</v>
      </c>
      <c r="H1753" s="38">
        <f t="shared" si="207"/>
        <v>5</v>
      </c>
      <c r="I1753" s="54">
        <f t="shared" si="206"/>
        <v>22</v>
      </c>
      <c r="J1753" s="14" t="str">
        <f t="shared" si="208"/>
        <v>MothersDay</v>
      </c>
      <c r="K1753" s="16" t="str">
        <f t="shared" si="209"/>
        <v>3-6</v>
      </c>
      <c r="L1753" s="14" t="str">
        <f t="shared" si="211"/>
        <v>Romper Longer | 3-6 | Cream</v>
      </c>
      <c r="M1753" s="16" t="s">
        <v>3609</v>
      </c>
    </row>
    <row r="1754" spans="1:13" ht="25" customHeight="1" x14ac:dyDescent="0.45">
      <c r="A1754" s="18">
        <v>45806</v>
      </c>
      <c r="B1754" s="19" t="s">
        <v>1887</v>
      </c>
      <c r="C1754" s="21" t="s">
        <v>9</v>
      </c>
      <c r="D1754" s="53" t="str">
        <f t="shared" si="213"/>
        <v>Cream</v>
      </c>
      <c r="E1754" s="21" t="s">
        <v>1831</v>
      </c>
      <c r="F1754" s="23" t="s">
        <v>13</v>
      </c>
      <c r="G1754" s="4" t="str">
        <f t="shared" si="212"/>
        <v>Romper Longer</v>
      </c>
      <c r="H1754" s="38">
        <f t="shared" si="207"/>
        <v>5</v>
      </c>
      <c r="I1754" s="54">
        <f t="shared" si="206"/>
        <v>22</v>
      </c>
      <c r="J1754" s="14" t="str">
        <f t="shared" si="208"/>
        <v>MothersDay</v>
      </c>
      <c r="K1754" s="16" t="str">
        <f t="shared" si="209"/>
        <v>0-3</v>
      </c>
      <c r="L1754" s="14" t="str">
        <f t="shared" si="211"/>
        <v>Romper Longer | 0-3 | Cream</v>
      </c>
      <c r="M1754" s="16" t="s">
        <v>3609</v>
      </c>
    </row>
    <row r="1755" spans="1:13" ht="25" customHeight="1" x14ac:dyDescent="0.45">
      <c r="A1755" s="18">
        <v>45807</v>
      </c>
      <c r="B1755" s="19" t="s">
        <v>1888</v>
      </c>
      <c r="C1755" s="21" t="s">
        <v>81</v>
      </c>
      <c r="D1755" s="53" t="str">
        <f t="shared" si="213"/>
        <v>Dusty Pink</v>
      </c>
      <c r="E1755" s="21" t="s">
        <v>1834</v>
      </c>
      <c r="F1755" s="23" t="s">
        <v>13</v>
      </c>
      <c r="G1755" s="4" t="str">
        <f t="shared" si="212"/>
        <v>Romper Short</v>
      </c>
      <c r="H1755" s="38">
        <f t="shared" si="207"/>
        <v>5</v>
      </c>
      <c r="I1755" s="54">
        <f t="shared" si="206"/>
        <v>22</v>
      </c>
      <c r="J1755" s="14" t="str">
        <f t="shared" si="208"/>
        <v>MothersDay</v>
      </c>
      <c r="K1755" s="16" t="str">
        <f t="shared" si="209"/>
        <v>0-3</v>
      </c>
      <c r="L1755" s="14" t="str">
        <f t="shared" si="211"/>
        <v>Romper Short | 0-3 | Dusty Pink</v>
      </c>
      <c r="M1755" s="16" t="s">
        <v>3610</v>
      </c>
    </row>
    <row r="1756" spans="1:13" ht="25" customHeight="1" x14ac:dyDescent="0.45">
      <c r="A1756" s="18">
        <v>45808</v>
      </c>
      <c r="B1756" s="19" t="s">
        <v>1889</v>
      </c>
      <c r="C1756" s="21" t="s">
        <v>9</v>
      </c>
      <c r="D1756" s="53" t="str">
        <f t="shared" si="213"/>
        <v>Cream</v>
      </c>
      <c r="E1756" s="21" t="s">
        <v>1849</v>
      </c>
      <c r="F1756" s="23" t="s">
        <v>7</v>
      </c>
      <c r="G1756" s="4" t="str">
        <f t="shared" si="212"/>
        <v>Romper Short</v>
      </c>
      <c r="H1756" s="38">
        <f t="shared" si="207"/>
        <v>5</v>
      </c>
      <c r="I1756" s="54">
        <f t="shared" si="206"/>
        <v>22</v>
      </c>
      <c r="J1756" s="14" t="str">
        <f t="shared" si="208"/>
        <v>MothersDay</v>
      </c>
      <c r="K1756" s="16" t="str">
        <f t="shared" si="209"/>
        <v>3-6</v>
      </c>
      <c r="L1756" s="14" t="str">
        <f t="shared" si="211"/>
        <v>Romper Short | 3-6 | Cream</v>
      </c>
      <c r="M1756" s="16" t="s">
        <v>3609</v>
      </c>
    </row>
    <row r="1757" spans="1:13" ht="25" customHeight="1" x14ac:dyDescent="0.45">
      <c r="A1757" s="18">
        <v>45809</v>
      </c>
      <c r="B1757" s="19" t="s">
        <v>1890</v>
      </c>
      <c r="C1757" s="21" t="s">
        <v>76</v>
      </c>
      <c r="D1757" s="53" t="str">
        <f t="shared" si="213"/>
        <v>Caldet Blue</v>
      </c>
      <c r="E1757" s="21" t="s">
        <v>1849</v>
      </c>
      <c r="F1757" s="23" t="s">
        <v>7</v>
      </c>
      <c r="G1757" s="4" t="str">
        <f t="shared" si="212"/>
        <v>Romper Short</v>
      </c>
      <c r="H1757" s="38">
        <f t="shared" si="207"/>
        <v>6</v>
      </c>
      <c r="I1757" s="54">
        <f t="shared" si="206"/>
        <v>23</v>
      </c>
      <c r="J1757" s="14" t="str">
        <f t="shared" si="208"/>
        <v>FathersDay</v>
      </c>
      <c r="K1757" s="16" t="str">
        <f t="shared" si="209"/>
        <v>3-6</v>
      </c>
      <c r="L1757" s="14" t="str">
        <f t="shared" si="211"/>
        <v>Romper Short | 3-6 | Caldet Blue</v>
      </c>
      <c r="M1757" s="16" t="s">
        <v>3610</v>
      </c>
    </row>
    <row r="1758" spans="1:13" ht="25" customHeight="1" x14ac:dyDescent="0.45">
      <c r="A1758" s="18">
        <v>45810</v>
      </c>
      <c r="B1758" s="19" t="s">
        <v>1891</v>
      </c>
      <c r="C1758" s="21" t="s">
        <v>9</v>
      </c>
      <c r="D1758" s="53" t="str">
        <f t="shared" si="213"/>
        <v>Cream</v>
      </c>
      <c r="E1758" s="21" t="s">
        <v>1834</v>
      </c>
      <c r="F1758" s="23" t="s">
        <v>11</v>
      </c>
      <c r="G1758" s="4" t="str">
        <f t="shared" si="212"/>
        <v>Romper Short</v>
      </c>
      <c r="H1758" s="38">
        <f t="shared" si="207"/>
        <v>6</v>
      </c>
      <c r="I1758" s="54">
        <f t="shared" si="206"/>
        <v>23</v>
      </c>
      <c r="J1758" s="14" t="str">
        <f t="shared" si="208"/>
        <v>FathersDay</v>
      </c>
      <c r="K1758" s="16" t="str">
        <f t="shared" si="209"/>
        <v>0-3</v>
      </c>
      <c r="L1758" s="14" t="str">
        <f t="shared" si="211"/>
        <v>Romper Short | 0-3 | Cream</v>
      </c>
      <c r="M1758" s="16" t="s">
        <v>3609</v>
      </c>
    </row>
    <row r="1759" spans="1:13" ht="25" customHeight="1" x14ac:dyDescent="0.45">
      <c r="A1759" s="18">
        <v>45811</v>
      </c>
      <c r="B1759" s="19" t="s">
        <v>1892</v>
      </c>
      <c r="C1759" s="21" t="s">
        <v>79</v>
      </c>
      <c r="D1759" s="53" t="str">
        <f t="shared" si="213"/>
        <v>White</v>
      </c>
      <c r="E1759" s="21" t="s">
        <v>1828</v>
      </c>
      <c r="F1759" s="23" t="s">
        <v>11</v>
      </c>
      <c r="G1759" s="4" t="str">
        <f t="shared" si="212"/>
        <v>Romper Longer</v>
      </c>
      <c r="H1759" s="38">
        <f t="shared" si="207"/>
        <v>6</v>
      </c>
      <c r="I1759" s="54">
        <f t="shared" si="206"/>
        <v>23</v>
      </c>
      <c r="J1759" s="14" t="str">
        <f t="shared" si="208"/>
        <v>FathersDay</v>
      </c>
      <c r="K1759" s="16" t="str">
        <f t="shared" si="209"/>
        <v>3-6</v>
      </c>
      <c r="L1759" s="14" t="str">
        <f t="shared" si="211"/>
        <v>Romper Longer | 3-6 | White</v>
      </c>
      <c r="M1759" s="16" t="s">
        <v>3610</v>
      </c>
    </row>
    <row r="1760" spans="1:13" ht="25" customHeight="1" x14ac:dyDescent="0.45">
      <c r="A1760" s="18">
        <v>45812</v>
      </c>
      <c r="B1760" s="19" t="s">
        <v>1893</v>
      </c>
      <c r="C1760" s="21" t="s">
        <v>76</v>
      </c>
      <c r="D1760" s="53" t="str">
        <f t="shared" si="213"/>
        <v>Caldet Blue</v>
      </c>
      <c r="E1760" s="21" t="s">
        <v>1831</v>
      </c>
      <c r="F1760" s="23" t="s">
        <v>7</v>
      </c>
      <c r="G1760" s="4" t="str">
        <f t="shared" si="212"/>
        <v>Romper Longer</v>
      </c>
      <c r="H1760" s="38">
        <f t="shared" si="207"/>
        <v>6</v>
      </c>
      <c r="I1760" s="54">
        <f t="shared" si="206"/>
        <v>23</v>
      </c>
      <c r="J1760" s="14" t="str">
        <f t="shared" si="208"/>
        <v>FathersDay</v>
      </c>
      <c r="K1760" s="16" t="str">
        <f t="shared" si="209"/>
        <v>0-3</v>
      </c>
      <c r="L1760" s="14" t="str">
        <f t="shared" si="211"/>
        <v>Romper Longer | 0-3 | Caldet Blue</v>
      </c>
      <c r="M1760" s="16" t="s">
        <v>3610</v>
      </c>
    </row>
    <row r="1761" spans="1:13" ht="25" customHeight="1" x14ac:dyDescent="0.45">
      <c r="A1761" s="18">
        <v>45813</v>
      </c>
      <c r="B1761" s="19" t="s">
        <v>1864</v>
      </c>
      <c r="C1761" s="21" t="s">
        <v>110</v>
      </c>
      <c r="D1761" s="53" t="str">
        <f t="shared" si="213"/>
        <v>Sage Green</v>
      </c>
      <c r="E1761" s="21" t="s">
        <v>1834</v>
      </c>
      <c r="F1761" s="23" t="s">
        <v>7</v>
      </c>
      <c r="G1761" s="4" t="str">
        <f t="shared" si="212"/>
        <v>Romper Short</v>
      </c>
      <c r="H1761" s="38">
        <f t="shared" si="207"/>
        <v>6</v>
      </c>
      <c r="I1761" s="54">
        <f t="shared" si="206"/>
        <v>23</v>
      </c>
      <c r="J1761" s="14" t="str">
        <f t="shared" si="208"/>
        <v>FathersDay</v>
      </c>
      <c r="K1761" s="16" t="str">
        <f t="shared" si="209"/>
        <v>0-3</v>
      </c>
      <c r="L1761" s="14" t="str">
        <f t="shared" si="211"/>
        <v>Romper Short | 0-3 | Sage Green</v>
      </c>
      <c r="M1761" s="16" t="s">
        <v>3610</v>
      </c>
    </row>
    <row r="1762" spans="1:13" ht="25" customHeight="1" x14ac:dyDescent="0.45">
      <c r="A1762" s="18">
        <v>45814</v>
      </c>
      <c r="B1762" s="19" t="s">
        <v>1894</v>
      </c>
      <c r="C1762" s="21" t="s">
        <v>9</v>
      </c>
      <c r="D1762" s="53" t="str">
        <f t="shared" si="213"/>
        <v>Cream</v>
      </c>
      <c r="E1762" s="21" t="s">
        <v>1831</v>
      </c>
      <c r="F1762" s="23" t="s">
        <v>37</v>
      </c>
      <c r="G1762" s="4" t="str">
        <f t="shared" si="212"/>
        <v>Romper Longer</v>
      </c>
      <c r="H1762" s="38">
        <f t="shared" si="207"/>
        <v>6</v>
      </c>
      <c r="I1762" s="54">
        <f t="shared" si="206"/>
        <v>23</v>
      </c>
      <c r="J1762" s="14" t="str">
        <f t="shared" si="208"/>
        <v>FathersDay</v>
      </c>
      <c r="K1762" s="16" t="str">
        <f t="shared" si="209"/>
        <v>0-3</v>
      </c>
      <c r="L1762" s="14" t="str">
        <f t="shared" si="211"/>
        <v>Romper Longer | 0-3 | Cream</v>
      </c>
      <c r="M1762" s="16" t="s">
        <v>3609</v>
      </c>
    </row>
    <row r="1763" spans="1:13" ht="25" customHeight="1" x14ac:dyDescent="0.45">
      <c r="A1763" s="18">
        <v>45815</v>
      </c>
      <c r="B1763" s="19" t="s">
        <v>1895</v>
      </c>
      <c r="C1763" s="21" t="s">
        <v>9</v>
      </c>
      <c r="D1763" s="53" t="str">
        <f t="shared" si="213"/>
        <v>Cream</v>
      </c>
      <c r="E1763" s="21" t="s">
        <v>1831</v>
      </c>
      <c r="F1763" s="23" t="s">
        <v>11</v>
      </c>
      <c r="G1763" s="4" t="str">
        <f t="shared" si="212"/>
        <v>Romper Longer</v>
      </c>
      <c r="H1763" s="38">
        <f t="shared" si="207"/>
        <v>6</v>
      </c>
      <c r="I1763" s="54">
        <f t="shared" si="206"/>
        <v>23</v>
      </c>
      <c r="J1763" s="14" t="str">
        <f t="shared" si="208"/>
        <v>FathersDay</v>
      </c>
      <c r="K1763" s="16" t="str">
        <f t="shared" si="209"/>
        <v>0-3</v>
      </c>
      <c r="L1763" s="14" t="str">
        <f t="shared" si="211"/>
        <v>Romper Longer | 0-3 | Cream</v>
      </c>
      <c r="M1763" s="16" t="s">
        <v>3609</v>
      </c>
    </row>
    <row r="1764" spans="1:13" ht="25" customHeight="1" x14ac:dyDescent="0.45">
      <c r="A1764" s="18">
        <v>45816</v>
      </c>
      <c r="B1764" s="19" t="s">
        <v>1896</v>
      </c>
      <c r="C1764" s="21" t="s">
        <v>110</v>
      </c>
      <c r="D1764" s="53" t="str">
        <f t="shared" si="213"/>
        <v>Sage Green</v>
      </c>
      <c r="E1764" s="21" t="s">
        <v>1828</v>
      </c>
      <c r="F1764" s="23" t="s">
        <v>19</v>
      </c>
      <c r="G1764" s="4" t="str">
        <f t="shared" si="212"/>
        <v>Romper Longer</v>
      </c>
      <c r="H1764" s="38">
        <f t="shared" si="207"/>
        <v>6</v>
      </c>
      <c r="I1764" s="54">
        <f t="shared" si="206"/>
        <v>24</v>
      </c>
      <c r="J1764" s="14" t="str">
        <f t="shared" si="208"/>
        <v>FathersDay</v>
      </c>
      <c r="K1764" s="16" t="str">
        <f t="shared" si="209"/>
        <v>3-6</v>
      </c>
      <c r="L1764" s="14" t="str">
        <f t="shared" si="211"/>
        <v>Romper Longer | 3-6 | Sage Green</v>
      </c>
      <c r="M1764" s="16" t="s">
        <v>3611</v>
      </c>
    </row>
    <row r="1765" spans="1:13" ht="25" customHeight="1" x14ac:dyDescent="0.45">
      <c r="A1765" s="18">
        <v>45817</v>
      </c>
      <c r="B1765" s="19" t="s">
        <v>1897</v>
      </c>
      <c r="C1765" s="21" t="s">
        <v>9</v>
      </c>
      <c r="D1765" s="53" t="str">
        <f t="shared" si="213"/>
        <v>Cream</v>
      </c>
      <c r="E1765" s="21" t="s">
        <v>1834</v>
      </c>
      <c r="F1765" s="23" t="s">
        <v>13</v>
      </c>
      <c r="G1765" s="4" t="str">
        <f t="shared" si="212"/>
        <v>Romper Short</v>
      </c>
      <c r="H1765" s="38">
        <f t="shared" si="207"/>
        <v>6</v>
      </c>
      <c r="I1765" s="54">
        <f t="shared" si="206"/>
        <v>24</v>
      </c>
      <c r="J1765" s="14" t="str">
        <f t="shared" si="208"/>
        <v>FathersDay</v>
      </c>
      <c r="K1765" s="16" t="str">
        <f t="shared" si="209"/>
        <v>0-3</v>
      </c>
      <c r="L1765" s="14" t="str">
        <f t="shared" si="211"/>
        <v>Romper Short | 0-3 | Cream</v>
      </c>
      <c r="M1765" s="16" t="s">
        <v>3609</v>
      </c>
    </row>
    <row r="1766" spans="1:13" ht="25" customHeight="1" x14ac:dyDescent="0.45">
      <c r="A1766" s="18">
        <v>45818</v>
      </c>
      <c r="B1766" s="19" t="s">
        <v>1898</v>
      </c>
      <c r="C1766" s="21" t="s">
        <v>110</v>
      </c>
      <c r="D1766" s="53" t="str">
        <f t="shared" si="213"/>
        <v>Sage Green</v>
      </c>
      <c r="E1766" s="21" t="s">
        <v>1834</v>
      </c>
      <c r="F1766" s="23" t="s">
        <v>13</v>
      </c>
      <c r="G1766" s="4" t="str">
        <f t="shared" si="212"/>
        <v>Romper Short</v>
      </c>
      <c r="H1766" s="38">
        <f t="shared" si="207"/>
        <v>6</v>
      </c>
      <c r="I1766" s="54">
        <f t="shared" si="206"/>
        <v>24</v>
      </c>
      <c r="J1766" s="14" t="str">
        <f t="shared" si="208"/>
        <v>FathersDay</v>
      </c>
      <c r="K1766" s="16" t="str">
        <f t="shared" si="209"/>
        <v>0-3</v>
      </c>
      <c r="L1766" s="14" t="str">
        <f t="shared" si="211"/>
        <v>Romper Short | 0-3 | Sage Green</v>
      </c>
      <c r="M1766" s="16" t="s">
        <v>3610</v>
      </c>
    </row>
    <row r="1767" spans="1:13" ht="25" customHeight="1" x14ac:dyDescent="0.45">
      <c r="A1767" s="18">
        <v>45819</v>
      </c>
      <c r="B1767" s="19" t="s">
        <v>1899</v>
      </c>
      <c r="C1767" s="21" t="s">
        <v>9</v>
      </c>
      <c r="D1767" s="53" t="str">
        <f t="shared" si="213"/>
        <v>Cream</v>
      </c>
      <c r="E1767" s="21" t="s">
        <v>1831</v>
      </c>
      <c r="F1767" s="23" t="s">
        <v>7</v>
      </c>
      <c r="G1767" s="4" t="str">
        <f t="shared" si="212"/>
        <v>Romper Longer</v>
      </c>
      <c r="H1767" s="38">
        <f t="shared" si="207"/>
        <v>6</v>
      </c>
      <c r="I1767" s="54">
        <f t="shared" si="206"/>
        <v>24</v>
      </c>
      <c r="J1767" s="14" t="str">
        <f t="shared" si="208"/>
        <v>FathersDay</v>
      </c>
      <c r="K1767" s="16" t="str">
        <f t="shared" si="209"/>
        <v>0-3</v>
      </c>
      <c r="L1767" s="14" t="str">
        <f t="shared" si="211"/>
        <v>Romper Longer | 0-3 | Cream</v>
      </c>
      <c r="M1767" s="16" t="s">
        <v>3609</v>
      </c>
    </row>
    <row r="1768" spans="1:13" ht="25" customHeight="1" x14ac:dyDescent="0.45">
      <c r="A1768" s="18">
        <v>45820</v>
      </c>
      <c r="B1768" s="19" t="s">
        <v>1900</v>
      </c>
      <c r="C1768" s="21" t="s">
        <v>9</v>
      </c>
      <c r="D1768" s="53" t="str">
        <f t="shared" si="213"/>
        <v>Cream</v>
      </c>
      <c r="E1768" s="21" t="s">
        <v>1828</v>
      </c>
      <c r="F1768" s="23" t="s">
        <v>14</v>
      </c>
      <c r="G1768" s="4" t="str">
        <f t="shared" si="212"/>
        <v>Romper Longer</v>
      </c>
      <c r="H1768" s="38">
        <f t="shared" si="207"/>
        <v>6</v>
      </c>
      <c r="I1768" s="54">
        <f t="shared" si="206"/>
        <v>24</v>
      </c>
      <c r="J1768" s="14" t="str">
        <f t="shared" si="208"/>
        <v>FathersDay</v>
      </c>
      <c r="K1768" s="16" t="str">
        <f t="shared" si="209"/>
        <v>3-6</v>
      </c>
      <c r="L1768" s="14" t="str">
        <f t="shared" si="211"/>
        <v>Romper Longer | 3-6 | Cream</v>
      </c>
      <c r="M1768" s="16" t="s">
        <v>3609</v>
      </c>
    </row>
    <row r="1769" spans="1:13" ht="25" customHeight="1" x14ac:dyDescent="0.45">
      <c r="A1769" s="18">
        <v>45823</v>
      </c>
      <c r="B1769" s="19" t="s">
        <v>1901</v>
      </c>
      <c r="C1769" s="21" t="s">
        <v>9</v>
      </c>
      <c r="D1769" s="53" t="str">
        <f t="shared" si="213"/>
        <v>Cream</v>
      </c>
      <c r="E1769" s="21" t="s">
        <v>1831</v>
      </c>
      <c r="F1769" s="23" t="s">
        <v>7</v>
      </c>
      <c r="G1769" s="4" t="str">
        <f t="shared" si="212"/>
        <v>Romper Longer</v>
      </c>
      <c r="H1769" s="38">
        <f t="shared" si="207"/>
        <v>6</v>
      </c>
      <c r="I1769" s="54">
        <f t="shared" si="206"/>
        <v>25</v>
      </c>
      <c r="J1769" s="14" t="str">
        <f t="shared" si="208"/>
        <v>FathersDay</v>
      </c>
      <c r="K1769" s="16" t="str">
        <f t="shared" si="209"/>
        <v>0-3</v>
      </c>
      <c r="L1769" s="14" t="str">
        <f t="shared" si="211"/>
        <v>Romper Longer | 0-3 | Cream</v>
      </c>
      <c r="M1769" s="16" t="s">
        <v>3609</v>
      </c>
    </row>
    <row r="1770" spans="1:13" ht="25" customHeight="1" x14ac:dyDescent="0.45">
      <c r="A1770" s="18">
        <v>45824</v>
      </c>
      <c r="B1770" s="19" t="s">
        <v>1902</v>
      </c>
      <c r="C1770" s="21" t="s">
        <v>9</v>
      </c>
      <c r="D1770" s="53" t="str">
        <f t="shared" si="213"/>
        <v>Cream</v>
      </c>
      <c r="E1770" s="21" t="s">
        <v>1828</v>
      </c>
      <c r="F1770" s="23" t="s">
        <v>7</v>
      </c>
      <c r="G1770" s="4" t="str">
        <f t="shared" si="212"/>
        <v>Romper Longer</v>
      </c>
      <c r="H1770" s="38">
        <f t="shared" si="207"/>
        <v>6</v>
      </c>
      <c r="I1770" s="54">
        <f t="shared" si="206"/>
        <v>25</v>
      </c>
      <c r="J1770" s="14" t="str">
        <f t="shared" si="208"/>
        <v>FathersDay</v>
      </c>
      <c r="K1770" s="16" t="str">
        <f t="shared" si="209"/>
        <v>3-6</v>
      </c>
      <c r="L1770" s="14" t="str">
        <f t="shared" si="211"/>
        <v>Romper Longer | 3-6 | Cream</v>
      </c>
      <c r="M1770" s="16" t="s">
        <v>3609</v>
      </c>
    </row>
    <row r="1771" spans="1:13" ht="25" customHeight="1" x14ac:dyDescent="0.45">
      <c r="A1771" s="18">
        <v>45825</v>
      </c>
      <c r="B1771" s="19" t="s">
        <v>1903</v>
      </c>
      <c r="C1771" s="21" t="s">
        <v>85</v>
      </c>
      <c r="D1771" s="53" t="str">
        <f t="shared" si="213"/>
        <v>Forest Green</v>
      </c>
      <c r="E1771" s="21" t="s">
        <v>1831</v>
      </c>
      <c r="F1771" s="23" t="s">
        <v>7</v>
      </c>
      <c r="G1771" s="4" t="str">
        <f t="shared" si="212"/>
        <v>Romper Longer</v>
      </c>
      <c r="H1771" s="38">
        <f t="shared" si="207"/>
        <v>6</v>
      </c>
      <c r="I1771" s="54">
        <f t="shared" si="206"/>
        <v>25</v>
      </c>
      <c r="J1771" s="14" t="str">
        <f t="shared" si="208"/>
        <v>FathersDay</v>
      </c>
      <c r="K1771" s="16" t="str">
        <f t="shared" si="209"/>
        <v>0-3</v>
      </c>
      <c r="L1771" s="14" t="str">
        <f t="shared" si="211"/>
        <v>Romper Longer | 0-3 | Forest Green</v>
      </c>
      <c r="M1771" s="16" t="s">
        <v>3610</v>
      </c>
    </row>
    <row r="1772" spans="1:13" ht="25" customHeight="1" x14ac:dyDescent="0.45">
      <c r="A1772" s="18">
        <v>45826</v>
      </c>
      <c r="B1772" s="19" t="s">
        <v>1904</v>
      </c>
      <c r="C1772" s="21" t="s">
        <v>9</v>
      </c>
      <c r="D1772" s="53" t="str">
        <f t="shared" si="213"/>
        <v>Cream</v>
      </c>
      <c r="E1772" s="21" t="s">
        <v>1828</v>
      </c>
      <c r="F1772" s="23" t="s">
        <v>7</v>
      </c>
      <c r="G1772" s="4" t="str">
        <f t="shared" si="212"/>
        <v>Romper Longer</v>
      </c>
      <c r="H1772" s="38">
        <f t="shared" si="207"/>
        <v>6</v>
      </c>
      <c r="I1772" s="54">
        <f t="shared" si="206"/>
        <v>25</v>
      </c>
      <c r="J1772" s="14" t="str">
        <f t="shared" si="208"/>
        <v>FathersDay</v>
      </c>
      <c r="K1772" s="16" t="str">
        <f t="shared" si="209"/>
        <v>3-6</v>
      </c>
      <c r="L1772" s="14" t="str">
        <f t="shared" si="211"/>
        <v>Romper Longer | 3-6 | Cream</v>
      </c>
      <c r="M1772" s="16" t="s">
        <v>3609</v>
      </c>
    </row>
    <row r="1773" spans="1:13" ht="25" customHeight="1" x14ac:dyDescent="0.45">
      <c r="A1773" s="18">
        <v>45828</v>
      </c>
      <c r="B1773" s="19" t="s">
        <v>1905</v>
      </c>
      <c r="C1773" s="21" t="s">
        <v>9</v>
      </c>
      <c r="D1773" s="53" t="str">
        <f t="shared" si="213"/>
        <v>Cream</v>
      </c>
      <c r="E1773" s="21" t="s">
        <v>1841</v>
      </c>
      <c r="F1773" s="23" t="s">
        <v>11</v>
      </c>
      <c r="G1773" s="4" t="str">
        <f t="shared" si="212"/>
        <v>Romper Longer</v>
      </c>
      <c r="H1773" s="38">
        <f t="shared" si="207"/>
        <v>6</v>
      </c>
      <c r="I1773" s="54">
        <f t="shared" si="206"/>
        <v>25</v>
      </c>
      <c r="J1773" s="14" t="str">
        <f t="shared" si="208"/>
        <v>FathersDay</v>
      </c>
      <c r="K1773" s="16" t="str">
        <f t="shared" si="209"/>
        <v>6-12</v>
      </c>
      <c r="L1773" s="14" t="str">
        <f t="shared" si="211"/>
        <v>Romper Longer | 6-12 | Cream</v>
      </c>
      <c r="M1773" s="16" t="s">
        <v>3611</v>
      </c>
    </row>
    <row r="1774" spans="1:13" ht="25" customHeight="1" x14ac:dyDescent="0.45">
      <c r="A1774" s="18">
        <v>45829</v>
      </c>
      <c r="B1774" s="19" t="s">
        <v>1906</v>
      </c>
      <c r="C1774" s="21" t="s">
        <v>224</v>
      </c>
      <c r="D1774" s="53" t="str">
        <f t="shared" si="213"/>
        <v>Salmon</v>
      </c>
      <c r="E1774" s="21" t="s">
        <v>1550</v>
      </c>
      <c r="F1774" s="23" t="s">
        <v>7</v>
      </c>
      <c r="G1774" s="4" t="str">
        <f t="shared" si="212"/>
        <v>Romper Longer</v>
      </c>
      <c r="H1774" s="38">
        <f t="shared" si="207"/>
        <v>6</v>
      </c>
      <c r="I1774" s="54">
        <f t="shared" si="206"/>
        <v>25</v>
      </c>
      <c r="J1774" s="14" t="str">
        <f t="shared" si="208"/>
        <v>FathersDay</v>
      </c>
      <c r="K1774" s="16" t="str">
        <f t="shared" si="209"/>
        <v>12-18</v>
      </c>
      <c r="L1774" s="14" t="str">
        <f t="shared" si="211"/>
        <v>Romper Longer | 12-18 | Salmon</v>
      </c>
      <c r="M1774" s="16" t="s">
        <v>3610</v>
      </c>
    </row>
    <row r="1775" spans="1:13" ht="25" customHeight="1" x14ac:dyDescent="0.45">
      <c r="A1775" s="18">
        <v>45830</v>
      </c>
      <c r="B1775" s="19" t="s">
        <v>1907</v>
      </c>
      <c r="C1775" s="21" t="s">
        <v>9</v>
      </c>
      <c r="D1775" s="53" t="str">
        <f t="shared" si="213"/>
        <v>Cream</v>
      </c>
      <c r="E1775" s="21" t="s">
        <v>1831</v>
      </c>
      <c r="F1775" s="23" t="s">
        <v>7</v>
      </c>
      <c r="G1775" s="4" t="str">
        <f t="shared" si="212"/>
        <v>Romper Longer</v>
      </c>
      <c r="H1775" s="38">
        <f t="shared" si="207"/>
        <v>6</v>
      </c>
      <c r="I1775" s="54">
        <f t="shared" ref="I1775:I1838" si="214">WEEKNUM(A1775)</f>
        <v>26</v>
      </c>
      <c r="J1775" s="14" t="str">
        <f t="shared" si="208"/>
        <v>FathersDay</v>
      </c>
      <c r="K1775" s="16" t="str">
        <f t="shared" si="209"/>
        <v>0-3</v>
      </c>
      <c r="L1775" s="14" t="str">
        <f t="shared" si="211"/>
        <v>Romper Longer | 0-3 | Cream</v>
      </c>
      <c r="M1775" s="16" t="s">
        <v>3609</v>
      </c>
    </row>
    <row r="1776" spans="1:13" ht="25" customHeight="1" x14ac:dyDescent="0.45">
      <c r="A1776" s="18">
        <v>45831</v>
      </c>
      <c r="B1776" s="19" t="s">
        <v>1908</v>
      </c>
      <c r="C1776" s="21" t="s">
        <v>9</v>
      </c>
      <c r="D1776" s="53" t="str">
        <f t="shared" si="213"/>
        <v>Cream</v>
      </c>
      <c r="E1776" s="21" t="s">
        <v>1831</v>
      </c>
      <c r="F1776" s="23" t="s">
        <v>13</v>
      </c>
      <c r="G1776" s="4" t="str">
        <f t="shared" si="212"/>
        <v>Romper Longer</v>
      </c>
      <c r="H1776" s="38">
        <f t="shared" si="207"/>
        <v>6</v>
      </c>
      <c r="I1776" s="54">
        <f t="shared" si="214"/>
        <v>26</v>
      </c>
      <c r="J1776" s="14" t="str">
        <f t="shared" si="208"/>
        <v>FathersDay</v>
      </c>
      <c r="K1776" s="16" t="str">
        <f t="shared" si="209"/>
        <v>0-3</v>
      </c>
      <c r="L1776" s="14" t="str">
        <f t="shared" si="211"/>
        <v>Romper Longer | 0-3 | Cream</v>
      </c>
      <c r="M1776" s="16" t="s">
        <v>3609</v>
      </c>
    </row>
    <row r="1777" spans="1:13" ht="25" customHeight="1" x14ac:dyDescent="0.45">
      <c r="A1777" s="18">
        <v>45832</v>
      </c>
      <c r="B1777" s="19" t="s">
        <v>1909</v>
      </c>
      <c r="C1777" s="21" t="s">
        <v>9</v>
      </c>
      <c r="D1777" s="53" t="str">
        <f t="shared" si="213"/>
        <v>Cream</v>
      </c>
      <c r="E1777" s="21" t="s">
        <v>1841</v>
      </c>
      <c r="F1777" s="23" t="s">
        <v>1910</v>
      </c>
      <c r="G1777" s="4" t="str">
        <f t="shared" si="212"/>
        <v>Romper Longer</v>
      </c>
      <c r="H1777" s="38">
        <f t="shared" si="207"/>
        <v>6</v>
      </c>
      <c r="I1777" s="54">
        <f t="shared" si="214"/>
        <v>26</v>
      </c>
      <c r="J1777" s="14" t="str">
        <f t="shared" si="208"/>
        <v>FathersDay</v>
      </c>
      <c r="K1777" s="16" t="str">
        <f t="shared" si="209"/>
        <v>6-12</v>
      </c>
      <c r="L1777" s="14" t="str">
        <f t="shared" si="211"/>
        <v>Romper Longer | 6-12 | Cream</v>
      </c>
      <c r="M1777" s="16" t="s">
        <v>3611</v>
      </c>
    </row>
    <row r="1778" spans="1:13" ht="25" customHeight="1" x14ac:dyDescent="0.45">
      <c r="A1778" s="18">
        <v>45833</v>
      </c>
      <c r="B1778" s="19" t="s">
        <v>1911</v>
      </c>
      <c r="C1778" s="21" t="s">
        <v>9</v>
      </c>
      <c r="D1778" s="53" t="str">
        <f t="shared" si="213"/>
        <v>Cream</v>
      </c>
      <c r="E1778" s="21" t="s">
        <v>1834</v>
      </c>
      <c r="F1778" s="23" t="s">
        <v>7</v>
      </c>
      <c r="G1778" s="4" t="str">
        <f t="shared" si="212"/>
        <v>Romper Short</v>
      </c>
      <c r="H1778" s="38">
        <f t="shared" si="207"/>
        <v>6</v>
      </c>
      <c r="I1778" s="54">
        <f t="shared" si="214"/>
        <v>26</v>
      </c>
      <c r="J1778" s="14" t="str">
        <f t="shared" si="208"/>
        <v>FathersDay</v>
      </c>
      <c r="K1778" s="16" t="str">
        <f t="shared" si="209"/>
        <v>0-3</v>
      </c>
      <c r="L1778" s="14" t="str">
        <f t="shared" si="211"/>
        <v>Romper Short | 0-3 | Cream</v>
      </c>
      <c r="M1778" s="16" t="s">
        <v>3609</v>
      </c>
    </row>
    <row r="1779" spans="1:13" ht="25" customHeight="1" x14ac:dyDescent="0.45">
      <c r="A1779" s="18">
        <v>45834</v>
      </c>
      <c r="B1779" s="19" t="s">
        <v>1912</v>
      </c>
      <c r="C1779" s="21" t="s">
        <v>74</v>
      </c>
      <c r="D1779" s="53" t="str">
        <f t="shared" si="213"/>
        <v>Watermelon</v>
      </c>
      <c r="E1779" s="21" t="s">
        <v>1550</v>
      </c>
      <c r="F1779" s="23" t="s">
        <v>7</v>
      </c>
      <c r="G1779" s="4" t="str">
        <f t="shared" si="212"/>
        <v>Romper Longer</v>
      </c>
      <c r="H1779" s="38">
        <f t="shared" si="207"/>
        <v>6</v>
      </c>
      <c r="I1779" s="54">
        <f t="shared" si="214"/>
        <v>26</v>
      </c>
      <c r="J1779" s="14" t="str">
        <f t="shared" si="208"/>
        <v>FathersDay</v>
      </c>
      <c r="K1779" s="16" t="str">
        <f t="shared" si="209"/>
        <v>12-18</v>
      </c>
      <c r="L1779" s="14" t="str">
        <f t="shared" si="211"/>
        <v>Romper Longer | 12-18 | Watermelon</v>
      </c>
      <c r="M1779" s="16" t="s">
        <v>3610</v>
      </c>
    </row>
    <row r="1780" spans="1:13" ht="25" customHeight="1" x14ac:dyDescent="0.45">
      <c r="A1780" s="18">
        <v>45835</v>
      </c>
      <c r="B1780" s="19" t="s">
        <v>1913</v>
      </c>
      <c r="C1780" s="21" t="s">
        <v>9</v>
      </c>
      <c r="D1780" s="53" t="str">
        <f t="shared" si="213"/>
        <v>Cream</v>
      </c>
      <c r="E1780" s="21" t="s">
        <v>1831</v>
      </c>
      <c r="F1780" s="23" t="s">
        <v>7</v>
      </c>
      <c r="G1780" s="4" t="str">
        <f t="shared" si="212"/>
        <v>Romper Longer</v>
      </c>
      <c r="H1780" s="38">
        <f t="shared" si="207"/>
        <v>6</v>
      </c>
      <c r="I1780" s="54">
        <f t="shared" si="214"/>
        <v>26</v>
      </c>
      <c r="J1780" s="14" t="str">
        <f t="shared" si="208"/>
        <v>FathersDay</v>
      </c>
      <c r="K1780" s="16" t="str">
        <f t="shared" si="209"/>
        <v>0-3</v>
      </c>
      <c r="L1780" s="14" t="str">
        <f t="shared" si="211"/>
        <v>Romper Longer | 0-3 | Cream</v>
      </c>
      <c r="M1780" s="16" t="s">
        <v>3609</v>
      </c>
    </row>
    <row r="1781" spans="1:13" ht="25" customHeight="1" x14ac:dyDescent="0.45">
      <c r="A1781" s="18">
        <v>45836</v>
      </c>
      <c r="B1781" s="19" t="s">
        <v>1914</v>
      </c>
      <c r="C1781" s="21" t="s">
        <v>81</v>
      </c>
      <c r="D1781" s="53" t="str">
        <f t="shared" si="213"/>
        <v>Dusty Pink</v>
      </c>
      <c r="E1781" s="21" t="s">
        <v>1831</v>
      </c>
      <c r="F1781" s="23" t="s">
        <v>7</v>
      </c>
      <c r="G1781" s="4" t="str">
        <f t="shared" si="212"/>
        <v>Romper Longer</v>
      </c>
      <c r="H1781" s="38">
        <f t="shared" si="207"/>
        <v>6</v>
      </c>
      <c r="I1781" s="54">
        <f t="shared" si="214"/>
        <v>26</v>
      </c>
      <c r="J1781" s="14" t="str">
        <f t="shared" si="208"/>
        <v>FathersDay</v>
      </c>
      <c r="K1781" s="16" t="str">
        <f t="shared" si="209"/>
        <v>0-3</v>
      </c>
      <c r="L1781" s="14" t="str">
        <f t="shared" si="211"/>
        <v>Romper Longer | 0-3 | Dusty Pink</v>
      </c>
      <c r="M1781" s="16" t="s">
        <v>3610</v>
      </c>
    </row>
    <row r="1782" spans="1:13" ht="25" customHeight="1" x14ac:dyDescent="0.45">
      <c r="A1782" s="18">
        <v>45837</v>
      </c>
      <c r="B1782" s="19" t="s">
        <v>1915</v>
      </c>
      <c r="C1782" s="21" t="s">
        <v>9</v>
      </c>
      <c r="D1782" s="53" t="str">
        <f t="shared" si="213"/>
        <v>Cream</v>
      </c>
      <c r="E1782" s="21" t="s">
        <v>1831</v>
      </c>
      <c r="F1782" s="23" t="s">
        <v>7</v>
      </c>
      <c r="G1782" s="4" t="str">
        <f t="shared" si="212"/>
        <v>Romper Longer</v>
      </c>
      <c r="H1782" s="38">
        <f t="shared" si="207"/>
        <v>6</v>
      </c>
      <c r="I1782" s="54">
        <f t="shared" si="214"/>
        <v>27</v>
      </c>
      <c r="J1782" s="14" t="str">
        <f t="shared" si="208"/>
        <v>FathersDay</v>
      </c>
      <c r="K1782" s="16" t="str">
        <f t="shared" si="209"/>
        <v>0-3</v>
      </c>
      <c r="L1782" s="14" t="str">
        <f t="shared" si="211"/>
        <v>Romper Longer | 0-3 | Cream</v>
      </c>
      <c r="M1782" s="16" t="s">
        <v>3609</v>
      </c>
    </row>
    <row r="1783" spans="1:13" ht="25" customHeight="1" x14ac:dyDescent="0.45">
      <c r="A1783" s="18">
        <v>45838</v>
      </c>
      <c r="B1783" s="19" t="s">
        <v>1916</v>
      </c>
      <c r="C1783" s="21" t="s">
        <v>79</v>
      </c>
      <c r="D1783" s="53" t="str">
        <f t="shared" si="213"/>
        <v>White</v>
      </c>
      <c r="E1783" s="21" t="s">
        <v>1841</v>
      </c>
      <c r="F1783" s="23" t="s">
        <v>11</v>
      </c>
      <c r="G1783" s="4" t="str">
        <f t="shared" si="212"/>
        <v>Romper Longer</v>
      </c>
      <c r="H1783" s="38">
        <f t="shared" si="207"/>
        <v>6</v>
      </c>
      <c r="I1783" s="54">
        <f t="shared" si="214"/>
        <v>27</v>
      </c>
      <c r="J1783" s="14" t="str">
        <f t="shared" si="208"/>
        <v>FathersDay</v>
      </c>
      <c r="K1783" s="16" t="str">
        <f t="shared" si="209"/>
        <v>6-12</v>
      </c>
      <c r="L1783" s="14" t="str">
        <f t="shared" si="211"/>
        <v>Romper Longer | 6-12 | White</v>
      </c>
      <c r="M1783" s="16" t="s">
        <v>3610</v>
      </c>
    </row>
    <row r="1784" spans="1:13" ht="25" customHeight="1" x14ac:dyDescent="0.45">
      <c r="A1784" s="18">
        <v>45839</v>
      </c>
      <c r="B1784" s="19" t="s">
        <v>1917</v>
      </c>
      <c r="C1784" s="21" t="s">
        <v>9</v>
      </c>
      <c r="D1784" s="53" t="str">
        <f t="shared" si="213"/>
        <v>Cream</v>
      </c>
      <c r="E1784" s="21" t="s">
        <v>1831</v>
      </c>
      <c r="F1784" s="23" t="s">
        <v>7</v>
      </c>
      <c r="G1784" s="4" t="str">
        <f t="shared" si="212"/>
        <v>Romper Longer</v>
      </c>
      <c r="H1784" s="38">
        <f t="shared" si="207"/>
        <v>7</v>
      </c>
      <c r="I1784" s="54">
        <f t="shared" si="214"/>
        <v>27</v>
      </c>
      <c r="J1784" s="14" t="str">
        <f t="shared" si="208"/>
        <v>Summer</v>
      </c>
      <c r="K1784" s="16" t="str">
        <f t="shared" si="209"/>
        <v>0-3</v>
      </c>
      <c r="L1784" s="14" t="str">
        <f t="shared" si="211"/>
        <v>Romper Longer | 0-3 | Cream</v>
      </c>
      <c r="M1784" s="16" t="s">
        <v>3609</v>
      </c>
    </row>
    <row r="1785" spans="1:13" ht="25" customHeight="1" x14ac:dyDescent="0.45">
      <c r="A1785" s="18">
        <v>45840</v>
      </c>
      <c r="B1785" s="19" t="s">
        <v>1918</v>
      </c>
      <c r="C1785" s="21" t="s">
        <v>81</v>
      </c>
      <c r="D1785" s="53" t="str">
        <f t="shared" si="213"/>
        <v>Dusty Pink</v>
      </c>
      <c r="E1785" s="21" t="s">
        <v>1849</v>
      </c>
      <c r="F1785" s="23" t="s">
        <v>7</v>
      </c>
      <c r="G1785" s="4" t="str">
        <f t="shared" si="212"/>
        <v>Romper Short</v>
      </c>
      <c r="H1785" s="38">
        <f t="shared" ref="H1785:H1848" si="215">MONTH(A1785)</f>
        <v>7</v>
      </c>
      <c r="I1785" s="54">
        <f t="shared" si="214"/>
        <v>27</v>
      </c>
      <c r="J1785" s="14" t="str">
        <f t="shared" ref="J1785:J1848" si="216">IF(H1785=1,"NewYear",
IF(H1785=2,"Valentine",
IF(OR(H1785=3,H1785=4),"Easter",
IF(H1785=5,"MothersDay",
IF(H1785=6,"FathersDay",
IF(OR(H1785=7,H1785=8),"Summer",
IF(H1785=10,"Halloween",
IF(OR(H1785=11,H1785=12),"Christmas","Normal"))))))))</f>
        <v>Summer</v>
      </c>
      <c r="K1785" s="16" t="str">
        <f t="shared" ref="K1785:K1848" si="217">TRIM(LEFT(E1785,FIND("(",E1785&amp;"(")-3))</f>
        <v>3-6</v>
      </c>
      <c r="L1785" s="14" t="str">
        <f t="shared" si="211"/>
        <v>Romper Short | 3-6 | Dusty Pink</v>
      </c>
      <c r="M1785" s="16" t="s">
        <v>3610</v>
      </c>
    </row>
    <row r="1786" spans="1:13" ht="25" customHeight="1" x14ac:dyDescent="0.45">
      <c r="A1786" s="18">
        <v>45841</v>
      </c>
      <c r="B1786" s="19" t="s">
        <v>1919</v>
      </c>
      <c r="C1786" s="21" t="s">
        <v>71</v>
      </c>
      <c r="D1786" s="53" t="str">
        <f t="shared" si="213"/>
        <v>Coffee</v>
      </c>
      <c r="E1786" s="21" t="s">
        <v>1849</v>
      </c>
      <c r="F1786" s="23" t="s">
        <v>7</v>
      </c>
      <c r="G1786" s="4" t="str">
        <f t="shared" si="212"/>
        <v>Romper Short</v>
      </c>
      <c r="H1786" s="38">
        <f t="shared" si="215"/>
        <v>7</v>
      </c>
      <c r="I1786" s="54">
        <f t="shared" si="214"/>
        <v>27</v>
      </c>
      <c r="J1786" s="14" t="str">
        <f t="shared" si="216"/>
        <v>Summer</v>
      </c>
      <c r="K1786" s="16" t="str">
        <f t="shared" si="217"/>
        <v>3-6</v>
      </c>
      <c r="L1786" s="14" t="str">
        <f t="shared" si="211"/>
        <v>Romper Short | 3-6 | Coffee</v>
      </c>
      <c r="M1786" s="16" t="s">
        <v>3610</v>
      </c>
    </row>
    <row r="1787" spans="1:13" ht="25" customHeight="1" x14ac:dyDescent="0.45">
      <c r="A1787" s="18">
        <v>45842</v>
      </c>
      <c r="B1787" s="19" t="s">
        <v>1920</v>
      </c>
      <c r="C1787" s="21" t="s">
        <v>9</v>
      </c>
      <c r="D1787" s="53" t="str">
        <f t="shared" si="213"/>
        <v>Cream</v>
      </c>
      <c r="E1787" s="21" t="s">
        <v>1834</v>
      </c>
      <c r="F1787" s="23" t="s">
        <v>13</v>
      </c>
      <c r="G1787" s="4" t="str">
        <f t="shared" si="212"/>
        <v>Romper Short</v>
      </c>
      <c r="H1787" s="38">
        <f t="shared" si="215"/>
        <v>7</v>
      </c>
      <c r="I1787" s="54">
        <f t="shared" si="214"/>
        <v>27</v>
      </c>
      <c r="J1787" s="14" t="str">
        <f t="shared" si="216"/>
        <v>Summer</v>
      </c>
      <c r="K1787" s="16" t="str">
        <f t="shared" si="217"/>
        <v>0-3</v>
      </c>
      <c r="L1787" s="14" t="str">
        <f t="shared" si="211"/>
        <v>Romper Short | 0-3 | Cream</v>
      </c>
      <c r="M1787" s="16" t="s">
        <v>3609</v>
      </c>
    </row>
    <row r="1788" spans="1:13" ht="25" customHeight="1" x14ac:dyDescent="0.45">
      <c r="A1788" s="18">
        <v>45843</v>
      </c>
      <c r="B1788" s="19" t="s">
        <v>1921</v>
      </c>
      <c r="C1788" s="21" t="s">
        <v>9</v>
      </c>
      <c r="D1788" s="53" t="str">
        <f t="shared" si="213"/>
        <v>Cream</v>
      </c>
      <c r="E1788" s="21" t="s">
        <v>1834</v>
      </c>
      <c r="F1788" s="23" t="s">
        <v>7</v>
      </c>
      <c r="G1788" s="4" t="str">
        <f t="shared" si="212"/>
        <v>Romper Short</v>
      </c>
      <c r="H1788" s="38">
        <f t="shared" si="215"/>
        <v>7</v>
      </c>
      <c r="I1788" s="54">
        <f t="shared" si="214"/>
        <v>27</v>
      </c>
      <c r="J1788" s="14" t="str">
        <f t="shared" si="216"/>
        <v>Summer</v>
      </c>
      <c r="K1788" s="16" t="str">
        <f t="shared" si="217"/>
        <v>0-3</v>
      </c>
      <c r="L1788" s="14" t="str">
        <f t="shared" si="211"/>
        <v>Romper Short | 0-3 | Cream</v>
      </c>
      <c r="M1788" s="16" t="s">
        <v>3609</v>
      </c>
    </row>
    <row r="1789" spans="1:13" ht="25" customHeight="1" x14ac:dyDescent="0.45">
      <c r="A1789" s="18">
        <v>45844</v>
      </c>
      <c r="B1789" s="19" t="s">
        <v>1922</v>
      </c>
      <c r="C1789" s="21" t="s">
        <v>9</v>
      </c>
      <c r="D1789" s="53" t="str">
        <f t="shared" si="213"/>
        <v>Cream</v>
      </c>
      <c r="E1789" s="21" t="s">
        <v>1831</v>
      </c>
      <c r="F1789" s="23" t="s">
        <v>7</v>
      </c>
      <c r="G1789" s="4" t="str">
        <f t="shared" si="212"/>
        <v>Romper Longer</v>
      </c>
      <c r="H1789" s="38">
        <f t="shared" si="215"/>
        <v>7</v>
      </c>
      <c r="I1789" s="54">
        <f t="shared" si="214"/>
        <v>28</v>
      </c>
      <c r="J1789" s="14" t="str">
        <f t="shared" si="216"/>
        <v>Summer</v>
      </c>
      <c r="K1789" s="16" t="str">
        <f t="shared" si="217"/>
        <v>0-3</v>
      </c>
      <c r="L1789" s="14" t="str">
        <f t="shared" si="211"/>
        <v>Romper Longer | 0-3 | Cream</v>
      </c>
      <c r="M1789" s="16" t="s">
        <v>3609</v>
      </c>
    </row>
    <row r="1790" spans="1:13" ht="25" customHeight="1" x14ac:dyDescent="0.45">
      <c r="A1790" s="18">
        <v>45846</v>
      </c>
      <c r="B1790" s="19" t="s">
        <v>1923</v>
      </c>
      <c r="C1790" s="21" t="s">
        <v>9</v>
      </c>
      <c r="D1790" s="53" t="str">
        <f t="shared" si="213"/>
        <v>Cream</v>
      </c>
      <c r="E1790" s="21" t="s">
        <v>1841</v>
      </c>
      <c r="F1790" s="23" t="s">
        <v>14</v>
      </c>
      <c r="G1790" s="4" t="str">
        <f t="shared" si="212"/>
        <v>Romper Longer</v>
      </c>
      <c r="H1790" s="38">
        <f t="shared" si="215"/>
        <v>7</v>
      </c>
      <c r="I1790" s="54">
        <f t="shared" si="214"/>
        <v>28</v>
      </c>
      <c r="J1790" s="14" t="str">
        <f t="shared" si="216"/>
        <v>Summer</v>
      </c>
      <c r="K1790" s="16" t="str">
        <f t="shared" si="217"/>
        <v>6-12</v>
      </c>
      <c r="L1790" s="14" t="str">
        <f t="shared" si="211"/>
        <v>Romper Longer | 6-12 | Cream</v>
      </c>
      <c r="M1790" s="16" t="s">
        <v>3611</v>
      </c>
    </row>
    <row r="1791" spans="1:13" ht="25" customHeight="1" x14ac:dyDescent="0.45">
      <c r="A1791" s="18">
        <v>45847</v>
      </c>
      <c r="B1791" s="19" t="s">
        <v>1924</v>
      </c>
      <c r="C1791" s="21" t="s">
        <v>9</v>
      </c>
      <c r="D1791" s="53" t="str">
        <f t="shared" si="213"/>
        <v>Cream</v>
      </c>
      <c r="E1791" s="21" t="s">
        <v>1828</v>
      </c>
      <c r="F1791" s="23" t="s">
        <v>7</v>
      </c>
      <c r="G1791" s="4" t="str">
        <f t="shared" si="212"/>
        <v>Romper Longer</v>
      </c>
      <c r="H1791" s="38">
        <f t="shared" si="215"/>
        <v>7</v>
      </c>
      <c r="I1791" s="54">
        <f t="shared" si="214"/>
        <v>28</v>
      </c>
      <c r="J1791" s="14" t="str">
        <f t="shared" si="216"/>
        <v>Summer</v>
      </c>
      <c r="K1791" s="16" t="str">
        <f t="shared" si="217"/>
        <v>3-6</v>
      </c>
      <c r="L1791" s="14" t="str">
        <f t="shared" si="211"/>
        <v>Romper Longer | 3-6 | Cream</v>
      </c>
      <c r="M1791" s="16" t="s">
        <v>3609</v>
      </c>
    </row>
    <row r="1792" spans="1:13" ht="25" customHeight="1" x14ac:dyDescent="0.45">
      <c r="A1792" s="18">
        <v>45849</v>
      </c>
      <c r="B1792" s="19" t="s">
        <v>1925</v>
      </c>
      <c r="C1792" s="21" t="s">
        <v>9</v>
      </c>
      <c r="D1792" s="53" t="str">
        <f t="shared" si="213"/>
        <v>Cream</v>
      </c>
      <c r="E1792" s="21" t="s">
        <v>1849</v>
      </c>
      <c r="F1792" s="23" t="s">
        <v>19</v>
      </c>
      <c r="G1792" s="4" t="str">
        <f t="shared" si="212"/>
        <v>Romper Short</v>
      </c>
      <c r="H1792" s="38">
        <f t="shared" si="215"/>
        <v>7</v>
      </c>
      <c r="I1792" s="54">
        <f t="shared" si="214"/>
        <v>28</v>
      </c>
      <c r="J1792" s="14" t="str">
        <f t="shared" si="216"/>
        <v>Summer</v>
      </c>
      <c r="K1792" s="16" t="str">
        <f t="shared" si="217"/>
        <v>3-6</v>
      </c>
      <c r="L1792" s="14" t="str">
        <f t="shared" si="211"/>
        <v>Romper Short | 3-6 | Cream</v>
      </c>
      <c r="M1792" s="16" t="s">
        <v>3609</v>
      </c>
    </row>
    <row r="1793" spans="1:13" ht="25" customHeight="1" x14ac:dyDescent="0.45">
      <c r="A1793" s="18">
        <v>45850</v>
      </c>
      <c r="B1793" s="19" t="s">
        <v>1926</v>
      </c>
      <c r="C1793" s="21" t="s">
        <v>9</v>
      </c>
      <c r="D1793" s="53" t="str">
        <f t="shared" si="213"/>
        <v>Cream</v>
      </c>
      <c r="E1793" s="21" t="s">
        <v>1834</v>
      </c>
      <c r="F1793" s="23" t="s">
        <v>11</v>
      </c>
      <c r="G1793" s="4" t="str">
        <f t="shared" si="212"/>
        <v>Romper Short</v>
      </c>
      <c r="H1793" s="38">
        <f t="shared" si="215"/>
        <v>7</v>
      </c>
      <c r="I1793" s="54">
        <f t="shared" si="214"/>
        <v>28</v>
      </c>
      <c r="J1793" s="14" t="str">
        <f t="shared" si="216"/>
        <v>Summer</v>
      </c>
      <c r="K1793" s="16" t="str">
        <f t="shared" si="217"/>
        <v>0-3</v>
      </c>
      <c r="L1793" s="14" t="str">
        <f t="shared" si="211"/>
        <v>Romper Short | 0-3 | Cream</v>
      </c>
      <c r="M1793" s="16" t="s">
        <v>3609</v>
      </c>
    </row>
    <row r="1794" spans="1:13" ht="25" customHeight="1" x14ac:dyDescent="0.45">
      <c r="A1794" s="18">
        <v>45851</v>
      </c>
      <c r="B1794" s="19" t="s">
        <v>1927</v>
      </c>
      <c r="C1794" s="21" t="s">
        <v>224</v>
      </c>
      <c r="D1794" s="53" t="str">
        <f t="shared" si="213"/>
        <v>Salmon</v>
      </c>
      <c r="E1794" s="21" t="s">
        <v>1550</v>
      </c>
      <c r="F1794" s="23" t="s">
        <v>15</v>
      </c>
      <c r="G1794" s="4" t="str">
        <f t="shared" si="212"/>
        <v>Romper Longer</v>
      </c>
      <c r="H1794" s="38">
        <f t="shared" si="215"/>
        <v>7</v>
      </c>
      <c r="I1794" s="54">
        <f t="shared" si="214"/>
        <v>29</v>
      </c>
      <c r="J1794" s="14" t="str">
        <f t="shared" si="216"/>
        <v>Summer</v>
      </c>
      <c r="K1794" s="16" t="str">
        <f t="shared" si="217"/>
        <v>12-18</v>
      </c>
      <c r="L1794" s="14" t="str">
        <f t="shared" si="211"/>
        <v>Romper Longer | 12-18 | Salmon</v>
      </c>
      <c r="M1794" s="16" t="s">
        <v>3610</v>
      </c>
    </row>
    <row r="1795" spans="1:13" ht="25" customHeight="1" x14ac:dyDescent="0.45">
      <c r="A1795" s="18">
        <v>45852</v>
      </c>
      <c r="B1795" s="19" t="s">
        <v>1928</v>
      </c>
      <c r="C1795" s="21" t="s">
        <v>9</v>
      </c>
      <c r="D1795" s="53" t="str">
        <f t="shared" si="213"/>
        <v>Cream</v>
      </c>
      <c r="E1795" s="21" t="s">
        <v>1828</v>
      </c>
      <c r="F1795" s="23" t="s">
        <v>13</v>
      </c>
      <c r="G1795" s="4" t="str">
        <f t="shared" si="212"/>
        <v>Romper Longer</v>
      </c>
      <c r="H1795" s="38">
        <f t="shared" si="215"/>
        <v>7</v>
      </c>
      <c r="I1795" s="54">
        <f t="shared" si="214"/>
        <v>29</v>
      </c>
      <c r="J1795" s="14" t="str">
        <f t="shared" si="216"/>
        <v>Summer</v>
      </c>
      <c r="K1795" s="16" t="str">
        <f t="shared" si="217"/>
        <v>3-6</v>
      </c>
      <c r="L1795" s="14" t="str">
        <f t="shared" ref="L1795:L1858" si="218">TRIM(G1795)&amp;" | "&amp;TRIM(K1795)&amp;" | "&amp;PROPER(TRIM(D1795))</f>
        <v>Romper Longer | 3-6 | Cream</v>
      </c>
      <c r="M1795" s="16" t="s">
        <v>3609</v>
      </c>
    </row>
    <row r="1796" spans="1:13" ht="25" customHeight="1" x14ac:dyDescent="0.45">
      <c r="A1796" s="18">
        <v>45853</v>
      </c>
      <c r="B1796" s="19" t="s">
        <v>1929</v>
      </c>
      <c r="C1796" s="21" t="s">
        <v>9</v>
      </c>
      <c r="D1796" s="53" t="str">
        <f t="shared" si="213"/>
        <v>Cream</v>
      </c>
      <c r="E1796" s="21" t="s">
        <v>1834</v>
      </c>
      <c r="F1796" s="23" t="s">
        <v>7</v>
      </c>
      <c r="G1796" s="4" t="str">
        <f t="shared" si="212"/>
        <v>Romper Short</v>
      </c>
      <c r="H1796" s="38">
        <f t="shared" si="215"/>
        <v>7</v>
      </c>
      <c r="I1796" s="54">
        <f t="shared" si="214"/>
        <v>29</v>
      </c>
      <c r="J1796" s="14" t="str">
        <f t="shared" si="216"/>
        <v>Summer</v>
      </c>
      <c r="K1796" s="16" t="str">
        <f t="shared" si="217"/>
        <v>0-3</v>
      </c>
      <c r="L1796" s="14" t="str">
        <f t="shared" si="218"/>
        <v>Romper Short | 0-3 | Cream</v>
      </c>
      <c r="M1796" s="16" t="s">
        <v>3609</v>
      </c>
    </row>
    <row r="1797" spans="1:13" ht="25" customHeight="1" x14ac:dyDescent="0.45">
      <c r="A1797" s="18">
        <v>45854</v>
      </c>
      <c r="B1797" s="25" t="s">
        <v>1930</v>
      </c>
      <c r="C1797" s="21" t="s">
        <v>9</v>
      </c>
      <c r="D1797" s="53" t="str">
        <f t="shared" si="213"/>
        <v>Cream</v>
      </c>
      <c r="E1797" s="21" t="s">
        <v>1831</v>
      </c>
      <c r="F1797" s="26" t="s">
        <v>7</v>
      </c>
      <c r="G1797" s="4" t="str">
        <f t="shared" si="212"/>
        <v>Romper Longer</v>
      </c>
      <c r="H1797" s="38">
        <f t="shared" si="215"/>
        <v>7</v>
      </c>
      <c r="I1797" s="54">
        <f t="shared" si="214"/>
        <v>29</v>
      </c>
      <c r="J1797" s="14" t="str">
        <f t="shared" si="216"/>
        <v>Summer</v>
      </c>
      <c r="K1797" s="16" t="str">
        <f t="shared" si="217"/>
        <v>0-3</v>
      </c>
      <c r="L1797" s="14" t="str">
        <f t="shared" si="218"/>
        <v>Romper Longer | 0-3 | Cream</v>
      </c>
      <c r="M1797" s="16" t="s">
        <v>3609</v>
      </c>
    </row>
    <row r="1798" spans="1:13" ht="25" customHeight="1" x14ac:dyDescent="0.45">
      <c r="A1798" s="18">
        <v>45855</v>
      </c>
      <c r="B1798" s="19" t="s">
        <v>1931</v>
      </c>
      <c r="C1798" s="21" t="s">
        <v>9</v>
      </c>
      <c r="D1798" s="53" t="str">
        <f t="shared" si="213"/>
        <v>Cream</v>
      </c>
      <c r="E1798" s="21" t="s">
        <v>1849</v>
      </c>
      <c r="F1798" s="23" t="s">
        <v>19</v>
      </c>
      <c r="G1798" s="4" t="str">
        <f t="shared" si="212"/>
        <v>Romper Short</v>
      </c>
      <c r="H1798" s="38">
        <f t="shared" si="215"/>
        <v>7</v>
      </c>
      <c r="I1798" s="54">
        <f t="shared" si="214"/>
        <v>29</v>
      </c>
      <c r="J1798" s="14" t="str">
        <f t="shared" si="216"/>
        <v>Summer</v>
      </c>
      <c r="K1798" s="16" t="str">
        <f t="shared" si="217"/>
        <v>3-6</v>
      </c>
      <c r="L1798" s="14" t="str">
        <f t="shared" si="218"/>
        <v>Romper Short | 3-6 | Cream</v>
      </c>
      <c r="M1798" s="16" t="s">
        <v>3609</v>
      </c>
    </row>
    <row r="1799" spans="1:13" ht="25" customHeight="1" x14ac:dyDescent="0.45">
      <c r="A1799" s="18">
        <v>45856</v>
      </c>
      <c r="B1799" s="19" t="s">
        <v>1932</v>
      </c>
      <c r="C1799" s="21" t="s">
        <v>110</v>
      </c>
      <c r="D1799" s="53" t="str">
        <f t="shared" si="213"/>
        <v>Sage Green</v>
      </c>
      <c r="E1799" s="21" t="s">
        <v>1828</v>
      </c>
      <c r="F1799" s="23" t="s">
        <v>7</v>
      </c>
      <c r="G1799" s="4" t="str">
        <f t="shared" si="212"/>
        <v>Romper Longer</v>
      </c>
      <c r="H1799" s="38">
        <f t="shared" si="215"/>
        <v>7</v>
      </c>
      <c r="I1799" s="54">
        <f t="shared" si="214"/>
        <v>29</v>
      </c>
      <c r="J1799" s="14" t="str">
        <f t="shared" si="216"/>
        <v>Summer</v>
      </c>
      <c r="K1799" s="16" t="str">
        <f t="shared" si="217"/>
        <v>3-6</v>
      </c>
      <c r="L1799" s="14" t="str">
        <f t="shared" si="218"/>
        <v>Romper Longer | 3-6 | Sage Green</v>
      </c>
      <c r="M1799" s="16" t="s">
        <v>3611</v>
      </c>
    </row>
    <row r="1800" spans="1:13" ht="25" customHeight="1" x14ac:dyDescent="0.45">
      <c r="A1800" s="18">
        <v>45857</v>
      </c>
      <c r="B1800" s="19" t="s">
        <v>1933</v>
      </c>
      <c r="C1800" s="21" t="s">
        <v>9</v>
      </c>
      <c r="D1800" s="53" t="str">
        <f t="shared" si="213"/>
        <v>Cream</v>
      </c>
      <c r="E1800" s="21" t="s">
        <v>1834</v>
      </c>
      <c r="F1800" s="23" t="s">
        <v>11</v>
      </c>
      <c r="G1800" s="4" t="str">
        <f t="shared" si="212"/>
        <v>Romper Short</v>
      </c>
      <c r="H1800" s="38">
        <f t="shared" si="215"/>
        <v>7</v>
      </c>
      <c r="I1800" s="54">
        <f t="shared" si="214"/>
        <v>29</v>
      </c>
      <c r="J1800" s="14" t="str">
        <f t="shared" si="216"/>
        <v>Summer</v>
      </c>
      <c r="K1800" s="16" t="str">
        <f t="shared" si="217"/>
        <v>0-3</v>
      </c>
      <c r="L1800" s="14" t="str">
        <f t="shared" si="218"/>
        <v>Romper Short | 0-3 | Cream</v>
      </c>
      <c r="M1800" s="16" t="s">
        <v>3609</v>
      </c>
    </row>
    <row r="1801" spans="1:13" ht="25" customHeight="1" x14ac:dyDescent="0.45">
      <c r="A1801" s="18">
        <v>45858</v>
      </c>
      <c r="B1801" s="19" t="s">
        <v>1934</v>
      </c>
      <c r="C1801" s="21" t="s">
        <v>81</v>
      </c>
      <c r="D1801" s="53" t="str">
        <f t="shared" si="213"/>
        <v>Dusty Pink</v>
      </c>
      <c r="E1801" s="21" t="s">
        <v>1849</v>
      </c>
      <c r="F1801" s="23" t="s">
        <v>7</v>
      </c>
      <c r="G1801" s="4" t="str">
        <f t="shared" si="212"/>
        <v>Romper Short</v>
      </c>
      <c r="H1801" s="38">
        <f t="shared" si="215"/>
        <v>7</v>
      </c>
      <c r="I1801" s="54">
        <f t="shared" si="214"/>
        <v>30</v>
      </c>
      <c r="J1801" s="14" t="str">
        <f t="shared" si="216"/>
        <v>Summer</v>
      </c>
      <c r="K1801" s="16" t="str">
        <f t="shared" si="217"/>
        <v>3-6</v>
      </c>
      <c r="L1801" s="14" t="str">
        <f t="shared" si="218"/>
        <v>Romper Short | 3-6 | Dusty Pink</v>
      </c>
      <c r="M1801" s="16" t="s">
        <v>3610</v>
      </c>
    </row>
    <row r="1802" spans="1:13" ht="25" customHeight="1" x14ac:dyDescent="0.45">
      <c r="A1802" s="18">
        <v>45859</v>
      </c>
      <c r="B1802" s="19" t="s">
        <v>1935</v>
      </c>
      <c r="C1802" s="21" t="s">
        <v>9</v>
      </c>
      <c r="D1802" s="53" t="str">
        <f t="shared" si="213"/>
        <v>Cream</v>
      </c>
      <c r="E1802" s="21" t="s">
        <v>1831</v>
      </c>
      <c r="F1802" s="23" t="s">
        <v>11</v>
      </c>
      <c r="G1802" s="4" t="str">
        <f t="shared" si="212"/>
        <v>Romper Longer</v>
      </c>
      <c r="H1802" s="38">
        <f t="shared" si="215"/>
        <v>7</v>
      </c>
      <c r="I1802" s="54">
        <f t="shared" si="214"/>
        <v>30</v>
      </c>
      <c r="J1802" s="14" t="str">
        <f t="shared" si="216"/>
        <v>Summer</v>
      </c>
      <c r="K1802" s="16" t="str">
        <f t="shared" si="217"/>
        <v>0-3</v>
      </c>
      <c r="L1802" s="14" t="str">
        <f t="shared" si="218"/>
        <v>Romper Longer | 0-3 | Cream</v>
      </c>
      <c r="M1802" s="16" t="s">
        <v>3609</v>
      </c>
    </row>
    <row r="1803" spans="1:13" ht="25" customHeight="1" x14ac:dyDescent="0.45">
      <c r="A1803" s="18">
        <v>45860</v>
      </c>
      <c r="B1803" s="19" t="s">
        <v>1936</v>
      </c>
      <c r="C1803" s="21" t="s">
        <v>9</v>
      </c>
      <c r="D1803" s="53" t="str">
        <f t="shared" si="213"/>
        <v>Cream</v>
      </c>
      <c r="E1803" s="21" t="s">
        <v>1849</v>
      </c>
      <c r="F1803" s="23" t="s">
        <v>7</v>
      </c>
      <c r="G1803" s="4" t="str">
        <f t="shared" si="212"/>
        <v>Romper Short</v>
      </c>
      <c r="H1803" s="38">
        <f t="shared" si="215"/>
        <v>7</v>
      </c>
      <c r="I1803" s="54">
        <f t="shared" si="214"/>
        <v>30</v>
      </c>
      <c r="J1803" s="14" t="str">
        <f t="shared" si="216"/>
        <v>Summer</v>
      </c>
      <c r="K1803" s="16" t="str">
        <f t="shared" si="217"/>
        <v>3-6</v>
      </c>
      <c r="L1803" s="14" t="str">
        <f t="shared" si="218"/>
        <v>Romper Short | 3-6 | Cream</v>
      </c>
      <c r="M1803" s="16" t="s">
        <v>3609</v>
      </c>
    </row>
    <row r="1804" spans="1:13" ht="25" customHeight="1" x14ac:dyDescent="0.45">
      <c r="A1804" s="18">
        <v>45861</v>
      </c>
      <c r="B1804" s="19" t="s">
        <v>1937</v>
      </c>
      <c r="C1804" s="21" t="s">
        <v>9</v>
      </c>
      <c r="D1804" s="53" t="str">
        <f t="shared" si="213"/>
        <v>Cream</v>
      </c>
      <c r="E1804" s="21" t="s">
        <v>1828</v>
      </c>
      <c r="F1804" s="23" t="s">
        <v>13</v>
      </c>
      <c r="G1804" s="4" t="str">
        <f t="shared" si="212"/>
        <v>Romper Longer</v>
      </c>
      <c r="H1804" s="38">
        <f t="shared" si="215"/>
        <v>7</v>
      </c>
      <c r="I1804" s="54">
        <f t="shared" si="214"/>
        <v>30</v>
      </c>
      <c r="J1804" s="14" t="str">
        <f t="shared" si="216"/>
        <v>Summer</v>
      </c>
      <c r="K1804" s="16" t="str">
        <f t="shared" si="217"/>
        <v>3-6</v>
      </c>
      <c r="L1804" s="14" t="str">
        <f t="shared" si="218"/>
        <v>Romper Longer | 3-6 | Cream</v>
      </c>
      <c r="M1804" s="16" t="s">
        <v>3609</v>
      </c>
    </row>
    <row r="1805" spans="1:13" ht="25" customHeight="1" x14ac:dyDescent="0.45">
      <c r="A1805" s="18">
        <v>45862</v>
      </c>
      <c r="B1805" s="19" t="s">
        <v>1938</v>
      </c>
      <c r="C1805" s="21" t="s">
        <v>407</v>
      </c>
      <c r="D1805" s="53" t="str">
        <f t="shared" si="213"/>
        <v>Texas Orange</v>
      </c>
      <c r="E1805" s="21" t="s">
        <v>1828</v>
      </c>
      <c r="F1805" s="23" t="s">
        <v>7</v>
      </c>
      <c r="G1805" s="4" t="str">
        <f t="shared" si="212"/>
        <v>Romper Longer</v>
      </c>
      <c r="H1805" s="38">
        <f t="shared" si="215"/>
        <v>7</v>
      </c>
      <c r="I1805" s="54">
        <f t="shared" si="214"/>
        <v>30</v>
      </c>
      <c r="J1805" s="14" t="str">
        <f t="shared" si="216"/>
        <v>Summer</v>
      </c>
      <c r="K1805" s="16" t="str">
        <f t="shared" si="217"/>
        <v>3-6</v>
      </c>
      <c r="L1805" s="14" t="str">
        <f t="shared" si="218"/>
        <v>Romper Longer | 3-6 | Texas Orange</v>
      </c>
      <c r="M1805" s="16" t="s">
        <v>3610</v>
      </c>
    </row>
    <row r="1806" spans="1:13" ht="25" customHeight="1" x14ac:dyDescent="0.45">
      <c r="A1806" s="18">
        <v>45863</v>
      </c>
      <c r="B1806" s="23" t="s">
        <v>1939</v>
      </c>
      <c r="C1806" s="21" t="s">
        <v>407</v>
      </c>
      <c r="D1806" s="53" t="str">
        <f t="shared" si="213"/>
        <v>Texas Orange</v>
      </c>
      <c r="E1806" s="21" t="s">
        <v>1841</v>
      </c>
      <c r="F1806" s="23" t="s">
        <v>7</v>
      </c>
      <c r="G1806" s="4" t="str">
        <f t="shared" si="212"/>
        <v>Romper Longer</v>
      </c>
      <c r="H1806" s="38">
        <f t="shared" si="215"/>
        <v>7</v>
      </c>
      <c r="I1806" s="54">
        <f t="shared" si="214"/>
        <v>30</v>
      </c>
      <c r="J1806" s="14" t="str">
        <f t="shared" si="216"/>
        <v>Summer</v>
      </c>
      <c r="K1806" s="16" t="str">
        <f t="shared" si="217"/>
        <v>6-12</v>
      </c>
      <c r="L1806" s="14" t="str">
        <f t="shared" si="218"/>
        <v>Romper Longer | 6-12 | Texas Orange</v>
      </c>
      <c r="M1806" s="16" t="s">
        <v>3610</v>
      </c>
    </row>
    <row r="1807" spans="1:13" ht="25" customHeight="1" x14ac:dyDescent="0.45">
      <c r="A1807" s="18">
        <v>45864</v>
      </c>
      <c r="B1807" s="19" t="s">
        <v>1940</v>
      </c>
      <c r="C1807" s="21" t="s">
        <v>9</v>
      </c>
      <c r="D1807" s="53" t="str">
        <f t="shared" si="213"/>
        <v>Cream</v>
      </c>
      <c r="E1807" s="21" t="s">
        <v>1834</v>
      </c>
      <c r="F1807" s="23" t="s">
        <v>7</v>
      </c>
      <c r="G1807" s="4" t="str">
        <f t="shared" si="212"/>
        <v>Romper Short</v>
      </c>
      <c r="H1807" s="38">
        <f t="shared" si="215"/>
        <v>7</v>
      </c>
      <c r="I1807" s="54">
        <f t="shared" si="214"/>
        <v>30</v>
      </c>
      <c r="J1807" s="14" t="str">
        <f t="shared" si="216"/>
        <v>Summer</v>
      </c>
      <c r="K1807" s="16" t="str">
        <f t="shared" si="217"/>
        <v>0-3</v>
      </c>
      <c r="L1807" s="14" t="str">
        <f t="shared" si="218"/>
        <v>Romper Short | 0-3 | Cream</v>
      </c>
      <c r="M1807" s="16" t="s">
        <v>3609</v>
      </c>
    </row>
    <row r="1808" spans="1:13" ht="25" customHeight="1" x14ac:dyDescent="0.45">
      <c r="A1808" s="18">
        <v>45865</v>
      </c>
      <c r="B1808" s="19" t="s">
        <v>1941</v>
      </c>
      <c r="C1808" s="21" t="s">
        <v>224</v>
      </c>
      <c r="D1808" s="53" t="str">
        <f t="shared" si="213"/>
        <v>Salmon</v>
      </c>
      <c r="E1808" s="21" t="s">
        <v>1828</v>
      </c>
      <c r="F1808" s="23" t="s">
        <v>40</v>
      </c>
      <c r="G1808" s="4" t="str">
        <f t="shared" ref="G1808:G1871" si="219">IF(ISNUMBER(SEARCH("LONG",E1808)),"Romper Longer",IF(ISNUMBER(SEARCH("SHORT",E1808)),"Romper Short","Bodysuit"))</f>
        <v>Romper Longer</v>
      </c>
      <c r="H1808" s="38">
        <f t="shared" si="215"/>
        <v>7</v>
      </c>
      <c r="I1808" s="54">
        <f t="shared" si="214"/>
        <v>31</v>
      </c>
      <c r="J1808" s="14" t="str">
        <f t="shared" si="216"/>
        <v>Summer</v>
      </c>
      <c r="K1808" s="16" t="str">
        <f t="shared" si="217"/>
        <v>3-6</v>
      </c>
      <c r="L1808" s="14" t="str">
        <f t="shared" si="218"/>
        <v>Romper Longer | 3-6 | Salmon</v>
      </c>
      <c r="M1808" s="16" t="s">
        <v>3610</v>
      </c>
    </row>
    <row r="1809" spans="1:13" ht="25" customHeight="1" x14ac:dyDescent="0.45">
      <c r="A1809" s="18">
        <v>45866</v>
      </c>
      <c r="B1809" s="19" t="s">
        <v>1942</v>
      </c>
      <c r="C1809" s="21" t="s">
        <v>74</v>
      </c>
      <c r="D1809" s="53" t="str">
        <f t="shared" si="213"/>
        <v>Watermelon</v>
      </c>
      <c r="E1809" s="21" t="s">
        <v>1831</v>
      </c>
      <c r="F1809" s="23" t="s">
        <v>7</v>
      </c>
      <c r="G1809" s="4" t="str">
        <f t="shared" si="219"/>
        <v>Romper Longer</v>
      </c>
      <c r="H1809" s="38">
        <f t="shared" si="215"/>
        <v>7</v>
      </c>
      <c r="I1809" s="54">
        <f t="shared" si="214"/>
        <v>31</v>
      </c>
      <c r="J1809" s="14" t="str">
        <f t="shared" si="216"/>
        <v>Summer</v>
      </c>
      <c r="K1809" s="16" t="str">
        <f t="shared" si="217"/>
        <v>0-3</v>
      </c>
      <c r="L1809" s="14" t="str">
        <f t="shared" si="218"/>
        <v>Romper Longer | 0-3 | Watermelon</v>
      </c>
      <c r="M1809" s="16" t="s">
        <v>3610</v>
      </c>
    </row>
    <row r="1810" spans="1:13" ht="25" customHeight="1" x14ac:dyDescent="0.45">
      <c r="A1810" s="18">
        <v>45867</v>
      </c>
      <c r="B1810" s="19" t="s">
        <v>1943</v>
      </c>
      <c r="C1810" s="21" t="s">
        <v>9</v>
      </c>
      <c r="D1810" s="53" t="str">
        <f t="shared" si="213"/>
        <v>Cream</v>
      </c>
      <c r="E1810" s="21" t="s">
        <v>1849</v>
      </c>
      <c r="F1810" s="23" t="s">
        <v>13</v>
      </c>
      <c r="G1810" s="4" t="str">
        <f t="shared" si="219"/>
        <v>Romper Short</v>
      </c>
      <c r="H1810" s="38">
        <f t="shared" si="215"/>
        <v>7</v>
      </c>
      <c r="I1810" s="54">
        <f t="shared" si="214"/>
        <v>31</v>
      </c>
      <c r="J1810" s="14" t="str">
        <f t="shared" si="216"/>
        <v>Summer</v>
      </c>
      <c r="K1810" s="16" t="str">
        <f t="shared" si="217"/>
        <v>3-6</v>
      </c>
      <c r="L1810" s="14" t="str">
        <f t="shared" si="218"/>
        <v>Romper Short | 3-6 | Cream</v>
      </c>
      <c r="M1810" s="16" t="s">
        <v>3609</v>
      </c>
    </row>
    <row r="1811" spans="1:13" ht="25" customHeight="1" x14ac:dyDescent="0.45">
      <c r="A1811" s="18">
        <v>45869</v>
      </c>
      <c r="B1811" s="19" t="s">
        <v>1944</v>
      </c>
      <c r="C1811" s="21" t="s">
        <v>74</v>
      </c>
      <c r="D1811" s="53" t="str">
        <f t="shared" si="213"/>
        <v>Watermelon</v>
      </c>
      <c r="E1811" s="21" t="s">
        <v>1849</v>
      </c>
      <c r="F1811" s="23" t="s">
        <v>7</v>
      </c>
      <c r="G1811" s="4" t="str">
        <f t="shared" si="219"/>
        <v>Romper Short</v>
      </c>
      <c r="H1811" s="38">
        <f t="shared" si="215"/>
        <v>7</v>
      </c>
      <c r="I1811" s="54">
        <f t="shared" si="214"/>
        <v>31</v>
      </c>
      <c r="J1811" s="14" t="str">
        <f t="shared" si="216"/>
        <v>Summer</v>
      </c>
      <c r="K1811" s="16" t="str">
        <f t="shared" si="217"/>
        <v>3-6</v>
      </c>
      <c r="L1811" s="14" t="str">
        <f t="shared" si="218"/>
        <v>Romper Short | 3-6 | Watermelon</v>
      </c>
      <c r="M1811" s="16" t="s">
        <v>3610</v>
      </c>
    </row>
    <row r="1812" spans="1:13" ht="25" customHeight="1" x14ac:dyDescent="0.45">
      <c r="A1812" s="18">
        <v>45870</v>
      </c>
      <c r="B1812" s="19" t="s">
        <v>1945</v>
      </c>
      <c r="C1812" s="21" t="s">
        <v>76</v>
      </c>
      <c r="D1812" s="53" t="str">
        <f t="shared" ref="D1812:D1875" si="220">PROPER(C1812)</f>
        <v>Caldet Blue</v>
      </c>
      <c r="E1812" s="21" t="s">
        <v>1834</v>
      </c>
      <c r="F1812" s="23" t="s">
        <v>19</v>
      </c>
      <c r="G1812" s="4" t="str">
        <f t="shared" si="219"/>
        <v>Romper Short</v>
      </c>
      <c r="H1812" s="38">
        <f t="shared" si="215"/>
        <v>8</v>
      </c>
      <c r="I1812" s="54">
        <f t="shared" si="214"/>
        <v>31</v>
      </c>
      <c r="J1812" s="14" t="str">
        <f t="shared" si="216"/>
        <v>Summer</v>
      </c>
      <c r="K1812" s="16" t="str">
        <f t="shared" si="217"/>
        <v>0-3</v>
      </c>
      <c r="L1812" s="14" t="str">
        <f t="shared" si="218"/>
        <v>Romper Short | 0-3 | Caldet Blue</v>
      </c>
      <c r="M1812" s="16" t="s">
        <v>3610</v>
      </c>
    </row>
    <row r="1813" spans="1:13" ht="25" customHeight="1" x14ac:dyDescent="0.45">
      <c r="A1813" s="18">
        <v>45871</v>
      </c>
      <c r="B1813" s="19" t="s">
        <v>1946</v>
      </c>
      <c r="C1813" s="21" t="s">
        <v>9</v>
      </c>
      <c r="D1813" s="53" t="str">
        <f t="shared" si="220"/>
        <v>Cream</v>
      </c>
      <c r="E1813" s="21" t="s">
        <v>1841</v>
      </c>
      <c r="F1813" s="23" t="s">
        <v>7</v>
      </c>
      <c r="G1813" s="4" t="str">
        <f t="shared" si="219"/>
        <v>Romper Longer</v>
      </c>
      <c r="H1813" s="38">
        <f t="shared" si="215"/>
        <v>8</v>
      </c>
      <c r="I1813" s="54">
        <f t="shared" si="214"/>
        <v>31</v>
      </c>
      <c r="J1813" s="14" t="str">
        <f t="shared" si="216"/>
        <v>Summer</v>
      </c>
      <c r="K1813" s="16" t="str">
        <f t="shared" si="217"/>
        <v>6-12</v>
      </c>
      <c r="L1813" s="14" t="str">
        <f t="shared" si="218"/>
        <v>Romper Longer | 6-12 | Cream</v>
      </c>
      <c r="M1813" s="16" t="s">
        <v>3611</v>
      </c>
    </row>
    <row r="1814" spans="1:13" ht="25" customHeight="1" x14ac:dyDescent="0.45">
      <c r="A1814" s="18">
        <v>45872</v>
      </c>
      <c r="B1814" s="19" t="s">
        <v>1947</v>
      </c>
      <c r="C1814" s="21" t="s">
        <v>9</v>
      </c>
      <c r="D1814" s="53" t="str">
        <f t="shared" si="220"/>
        <v>Cream</v>
      </c>
      <c r="E1814" s="21" t="s">
        <v>1831</v>
      </c>
      <c r="F1814" s="23" t="s">
        <v>13</v>
      </c>
      <c r="G1814" s="4" t="str">
        <f t="shared" si="219"/>
        <v>Romper Longer</v>
      </c>
      <c r="H1814" s="38">
        <f t="shared" si="215"/>
        <v>8</v>
      </c>
      <c r="I1814" s="54">
        <f t="shared" si="214"/>
        <v>32</v>
      </c>
      <c r="J1814" s="14" t="str">
        <f t="shared" si="216"/>
        <v>Summer</v>
      </c>
      <c r="K1814" s="16" t="str">
        <f t="shared" si="217"/>
        <v>0-3</v>
      </c>
      <c r="L1814" s="14" t="str">
        <f t="shared" si="218"/>
        <v>Romper Longer | 0-3 | Cream</v>
      </c>
      <c r="M1814" s="16" t="s">
        <v>3609</v>
      </c>
    </row>
    <row r="1815" spans="1:13" ht="25" customHeight="1" x14ac:dyDescent="0.45">
      <c r="A1815" s="18">
        <v>45873</v>
      </c>
      <c r="B1815" s="19" t="s">
        <v>1948</v>
      </c>
      <c r="C1815" s="21" t="s">
        <v>81</v>
      </c>
      <c r="D1815" s="53" t="str">
        <f t="shared" si="220"/>
        <v>Dusty Pink</v>
      </c>
      <c r="E1815" s="21" t="s">
        <v>1849</v>
      </c>
      <c r="F1815" s="23" t="s">
        <v>7</v>
      </c>
      <c r="G1815" s="4" t="str">
        <f t="shared" si="219"/>
        <v>Romper Short</v>
      </c>
      <c r="H1815" s="38">
        <f t="shared" si="215"/>
        <v>8</v>
      </c>
      <c r="I1815" s="54">
        <f t="shared" si="214"/>
        <v>32</v>
      </c>
      <c r="J1815" s="14" t="str">
        <f t="shared" si="216"/>
        <v>Summer</v>
      </c>
      <c r="K1815" s="16" t="str">
        <f t="shared" si="217"/>
        <v>3-6</v>
      </c>
      <c r="L1815" s="14" t="str">
        <f t="shared" si="218"/>
        <v>Romper Short | 3-6 | Dusty Pink</v>
      </c>
      <c r="M1815" s="16" t="s">
        <v>3610</v>
      </c>
    </row>
    <row r="1816" spans="1:13" ht="25" customHeight="1" x14ac:dyDescent="0.45">
      <c r="A1816" s="18">
        <v>45874</v>
      </c>
      <c r="B1816" s="19" t="s">
        <v>1949</v>
      </c>
      <c r="C1816" s="21" t="s">
        <v>9</v>
      </c>
      <c r="D1816" s="53" t="str">
        <f t="shared" si="220"/>
        <v>Cream</v>
      </c>
      <c r="E1816" s="21" t="s">
        <v>1447</v>
      </c>
      <c r="F1816" s="23" t="s">
        <v>7</v>
      </c>
      <c r="G1816" s="4" t="str">
        <f t="shared" si="219"/>
        <v>Romper Longer</v>
      </c>
      <c r="H1816" s="38">
        <f t="shared" si="215"/>
        <v>8</v>
      </c>
      <c r="I1816" s="54">
        <f t="shared" si="214"/>
        <v>32</v>
      </c>
      <c r="J1816" s="14" t="str">
        <f t="shared" si="216"/>
        <v>Summer</v>
      </c>
      <c r="K1816" s="16" t="str">
        <f t="shared" si="217"/>
        <v>18-24</v>
      </c>
      <c r="L1816" s="14" t="str">
        <f t="shared" si="218"/>
        <v>Romper Longer | 18-24 | Cream</v>
      </c>
      <c r="M1816" s="16" t="s">
        <v>3610</v>
      </c>
    </row>
    <row r="1817" spans="1:13" ht="25" customHeight="1" x14ac:dyDescent="0.45">
      <c r="A1817" s="18">
        <v>45875</v>
      </c>
      <c r="B1817" s="19" t="s">
        <v>1950</v>
      </c>
      <c r="C1817" s="21" t="s">
        <v>9</v>
      </c>
      <c r="D1817" s="53" t="str">
        <f t="shared" si="220"/>
        <v>Cream</v>
      </c>
      <c r="E1817" s="21" t="s">
        <v>1834</v>
      </c>
      <c r="F1817" s="23" t="s">
        <v>7</v>
      </c>
      <c r="G1817" s="4" t="str">
        <f t="shared" si="219"/>
        <v>Romper Short</v>
      </c>
      <c r="H1817" s="38">
        <f t="shared" si="215"/>
        <v>8</v>
      </c>
      <c r="I1817" s="54">
        <f t="shared" si="214"/>
        <v>32</v>
      </c>
      <c r="J1817" s="14" t="str">
        <f t="shared" si="216"/>
        <v>Summer</v>
      </c>
      <c r="K1817" s="16" t="str">
        <f t="shared" si="217"/>
        <v>0-3</v>
      </c>
      <c r="L1817" s="14" t="str">
        <f t="shared" si="218"/>
        <v>Romper Short | 0-3 | Cream</v>
      </c>
      <c r="M1817" s="16" t="s">
        <v>3609</v>
      </c>
    </row>
    <row r="1818" spans="1:13" ht="25" customHeight="1" x14ac:dyDescent="0.45">
      <c r="A1818" s="18">
        <v>45876</v>
      </c>
      <c r="B1818" s="19" t="s">
        <v>1951</v>
      </c>
      <c r="C1818" s="21" t="s">
        <v>79</v>
      </c>
      <c r="D1818" s="53" t="str">
        <f t="shared" si="220"/>
        <v>White</v>
      </c>
      <c r="E1818" s="21" t="s">
        <v>1834</v>
      </c>
      <c r="F1818" s="23" t="s">
        <v>13</v>
      </c>
      <c r="G1818" s="4" t="str">
        <f t="shared" si="219"/>
        <v>Romper Short</v>
      </c>
      <c r="H1818" s="38">
        <f t="shared" si="215"/>
        <v>8</v>
      </c>
      <c r="I1818" s="54">
        <f t="shared" si="214"/>
        <v>32</v>
      </c>
      <c r="J1818" s="14" t="str">
        <f t="shared" si="216"/>
        <v>Summer</v>
      </c>
      <c r="K1818" s="16" t="str">
        <f t="shared" si="217"/>
        <v>0-3</v>
      </c>
      <c r="L1818" s="14" t="str">
        <f t="shared" si="218"/>
        <v>Romper Short | 0-3 | White</v>
      </c>
      <c r="M1818" s="16" t="s">
        <v>3610</v>
      </c>
    </row>
    <row r="1819" spans="1:13" ht="25" customHeight="1" x14ac:dyDescent="0.45">
      <c r="A1819" s="18">
        <v>45877</v>
      </c>
      <c r="B1819" s="19" t="s">
        <v>1952</v>
      </c>
      <c r="C1819" s="21" t="s">
        <v>79</v>
      </c>
      <c r="D1819" s="53" t="str">
        <f t="shared" si="220"/>
        <v>White</v>
      </c>
      <c r="E1819" s="21" t="s">
        <v>1834</v>
      </c>
      <c r="F1819" s="23"/>
      <c r="G1819" s="4" t="str">
        <f t="shared" si="219"/>
        <v>Romper Short</v>
      </c>
      <c r="H1819" s="38">
        <f t="shared" si="215"/>
        <v>8</v>
      </c>
      <c r="I1819" s="54">
        <f t="shared" si="214"/>
        <v>32</v>
      </c>
      <c r="J1819" s="14" t="str">
        <f t="shared" si="216"/>
        <v>Summer</v>
      </c>
      <c r="K1819" s="16" t="str">
        <f t="shared" si="217"/>
        <v>0-3</v>
      </c>
      <c r="L1819" s="14" t="str">
        <f t="shared" si="218"/>
        <v>Romper Short | 0-3 | White</v>
      </c>
      <c r="M1819" s="16" t="s">
        <v>3610</v>
      </c>
    </row>
    <row r="1820" spans="1:13" ht="25" customHeight="1" x14ac:dyDescent="0.45">
      <c r="A1820" s="18">
        <v>45878</v>
      </c>
      <c r="B1820" s="19" t="s">
        <v>1953</v>
      </c>
      <c r="C1820" s="21" t="s">
        <v>9</v>
      </c>
      <c r="D1820" s="53" t="str">
        <f t="shared" si="220"/>
        <v>Cream</v>
      </c>
      <c r="E1820" s="21" t="s">
        <v>1849</v>
      </c>
      <c r="F1820" s="23" t="s">
        <v>13</v>
      </c>
      <c r="G1820" s="4" t="str">
        <f t="shared" si="219"/>
        <v>Romper Short</v>
      </c>
      <c r="H1820" s="38">
        <f t="shared" si="215"/>
        <v>8</v>
      </c>
      <c r="I1820" s="54">
        <f t="shared" si="214"/>
        <v>32</v>
      </c>
      <c r="J1820" s="14" t="str">
        <f t="shared" si="216"/>
        <v>Summer</v>
      </c>
      <c r="K1820" s="16" t="str">
        <f t="shared" si="217"/>
        <v>3-6</v>
      </c>
      <c r="L1820" s="14" t="str">
        <f t="shared" si="218"/>
        <v>Romper Short | 3-6 | Cream</v>
      </c>
      <c r="M1820" s="16" t="s">
        <v>3609</v>
      </c>
    </row>
    <row r="1821" spans="1:13" ht="25" customHeight="1" x14ac:dyDescent="0.45">
      <c r="A1821" s="18">
        <v>45879</v>
      </c>
      <c r="B1821" s="19" t="s">
        <v>1954</v>
      </c>
      <c r="C1821" s="21" t="s">
        <v>110</v>
      </c>
      <c r="D1821" s="53" t="str">
        <f t="shared" si="220"/>
        <v>Sage Green</v>
      </c>
      <c r="E1821" s="21" t="s">
        <v>1831</v>
      </c>
      <c r="F1821" s="23" t="s">
        <v>11</v>
      </c>
      <c r="G1821" s="4" t="str">
        <f t="shared" si="219"/>
        <v>Romper Longer</v>
      </c>
      <c r="H1821" s="38">
        <f t="shared" si="215"/>
        <v>8</v>
      </c>
      <c r="I1821" s="54">
        <f t="shared" si="214"/>
        <v>33</v>
      </c>
      <c r="J1821" s="14" t="str">
        <f t="shared" si="216"/>
        <v>Summer</v>
      </c>
      <c r="K1821" s="16" t="str">
        <f t="shared" si="217"/>
        <v>0-3</v>
      </c>
      <c r="L1821" s="14" t="str">
        <f t="shared" si="218"/>
        <v>Romper Longer | 0-3 | Sage Green</v>
      </c>
      <c r="M1821" s="16" t="s">
        <v>3611</v>
      </c>
    </row>
    <row r="1822" spans="1:13" ht="25" customHeight="1" x14ac:dyDescent="0.45">
      <c r="A1822" s="18">
        <v>45880</v>
      </c>
      <c r="B1822" s="19" t="s">
        <v>1955</v>
      </c>
      <c r="C1822" s="21" t="s">
        <v>71</v>
      </c>
      <c r="D1822" s="53" t="str">
        <f t="shared" si="220"/>
        <v>Coffee</v>
      </c>
      <c r="E1822" s="21" t="s">
        <v>1841</v>
      </c>
      <c r="F1822" s="23" t="s">
        <v>7</v>
      </c>
      <c r="G1822" s="4" t="str">
        <f t="shared" si="219"/>
        <v>Romper Longer</v>
      </c>
      <c r="H1822" s="38">
        <f t="shared" si="215"/>
        <v>8</v>
      </c>
      <c r="I1822" s="54">
        <f t="shared" si="214"/>
        <v>33</v>
      </c>
      <c r="J1822" s="14" t="str">
        <f t="shared" si="216"/>
        <v>Summer</v>
      </c>
      <c r="K1822" s="16" t="str">
        <f t="shared" si="217"/>
        <v>6-12</v>
      </c>
      <c r="L1822" s="14" t="str">
        <f t="shared" si="218"/>
        <v>Romper Longer | 6-12 | Coffee</v>
      </c>
      <c r="M1822" s="16" t="s">
        <v>3610</v>
      </c>
    </row>
    <row r="1823" spans="1:13" ht="25" customHeight="1" x14ac:dyDescent="0.45">
      <c r="A1823" s="18">
        <v>45881</v>
      </c>
      <c r="B1823" s="19" t="s">
        <v>1956</v>
      </c>
      <c r="C1823" s="21" t="s">
        <v>81</v>
      </c>
      <c r="D1823" s="53" t="str">
        <f t="shared" si="220"/>
        <v>Dusty Pink</v>
      </c>
      <c r="E1823" s="21" t="s">
        <v>1831</v>
      </c>
      <c r="F1823" s="23" t="s">
        <v>7</v>
      </c>
      <c r="G1823" s="4" t="str">
        <f t="shared" si="219"/>
        <v>Romper Longer</v>
      </c>
      <c r="H1823" s="38">
        <f t="shared" si="215"/>
        <v>8</v>
      </c>
      <c r="I1823" s="54">
        <f t="shared" si="214"/>
        <v>33</v>
      </c>
      <c r="J1823" s="14" t="str">
        <f t="shared" si="216"/>
        <v>Summer</v>
      </c>
      <c r="K1823" s="16" t="str">
        <f t="shared" si="217"/>
        <v>0-3</v>
      </c>
      <c r="L1823" s="14" t="str">
        <f t="shared" si="218"/>
        <v>Romper Longer | 0-3 | Dusty Pink</v>
      </c>
      <c r="M1823" s="16" t="s">
        <v>3610</v>
      </c>
    </row>
    <row r="1824" spans="1:13" ht="25" customHeight="1" x14ac:dyDescent="0.45">
      <c r="A1824" s="18">
        <v>45883</v>
      </c>
      <c r="B1824" s="19" t="s">
        <v>1957</v>
      </c>
      <c r="C1824" s="21" t="s">
        <v>74</v>
      </c>
      <c r="D1824" s="53" t="str">
        <f t="shared" si="220"/>
        <v>Watermelon</v>
      </c>
      <c r="E1824" s="21" t="s">
        <v>1831</v>
      </c>
      <c r="F1824" s="23" t="s">
        <v>7</v>
      </c>
      <c r="G1824" s="4" t="str">
        <f t="shared" si="219"/>
        <v>Romper Longer</v>
      </c>
      <c r="H1824" s="38">
        <f t="shared" si="215"/>
        <v>8</v>
      </c>
      <c r="I1824" s="54">
        <f t="shared" si="214"/>
        <v>33</v>
      </c>
      <c r="J1824" s="14" t="str">
        <f t="shared" si="216"/>
        <v>Summer</v>
      </c>
      <c r="K1824" s="16" t="str">
        <f t="shared" si="217"/>
        <v>0-3</v>
      </c>
      <c r="L1824" s="14" t="str">
        <f t="shared" si="218"/>
        <v>Romper Longer | 0-3 | Watermelon</v>
      </c>
      <c r="M1824" s="16" t="s">
        <v>3610</v>
      </c>
    </row>
    <row r="1825" spans="1:13" ht="25" customHeight="1" x14ac:dyDescent="0.45">
      <c r="A1825" s="18">
        <v>45884</v>
      </c>
      <c r="B1825" s="19" t="s">
        <v>1958</v>
      </c>
      <c r="C1825" s="21" t="s">
        <v>9</v>
      </c>
      <c r="D1825" s="53" t="str">
        <f t="shared" si="220"/>
        <v>Cream</v>
      </c>
      <c r="E1825" s="21" t="s">
        <v>1828</v>
      </c>
      <c r="F1825" s="23" t="s">
        <v>11</v>
      </c>
      <c r="G1825" s="4" t="str">
        <f t="shared" si="219"/>
        <v>Romper Longer</v>
      </c>
      <c r="H1825" s="38">
        <f t="shared" si="215"/>
        <v>8</v>
      </c>
      <c r="I1825" s="54">
        <f t="shared" si="214"/>
        <v>33</v>
      </c>
      <c r="J1825" s="14" t="str">
        <f t="shared" si="216"/>
        <v>Summer</v>
      </c>
      <c r="K1825" s="16" t="str">
        <f t="shared" si="217"/>
        <v>3-6</v>
      </c>
      <c r="L1825" s="14" t="str">
        <f t="shared" si="218"/>
        <v>Romper Longer | 3-6 | Cream</v>
      </c>
      <c r="M1825" s="16" t="s">
        <v>3609</v>
      </c>
    </row>
    <row r="1826" spans="1:13" ht="25" customHeight="1" x14ac:dyDescent="0.45">
      <c r="A1826" s="18">
        <v>45886</v>
      </c>
      <c r="B1826" s="19" t="s">
        <v>1959</v>
      </c>
      <c r="C1826" s="21" t="s">
        <v>224</v>
      </c>
      <c r="D1826" s="53" t="str">
        <f t="shared" si="220"/>
        <v>Salmon</v>
      </c>
      <c r="E1826" s="21" t="s">
        <v>1831</v>
      </c>
      <c r="F1826" s="23" t="s">
        <v>16</v>
      </c>
      <c r="G1826" s="4" t="str">
        <f t="shared" si="219"/>
        <v>Romper Longer</v>
      </c>
      <c r="H1826" s="38">
        <f t="shared" si="215"/>
        <v>8</v>
      </c>
      <c r="I1826" s="54">
        <f t="shared" si="214"/>
        <v>34</v>
      </c>
      <c r="J1826" s="14" t="str">
        <f t="shared" si="216"/>
        <v>Summer</v>
      </c>
      <c r="K1826" s="16" t="str">
        <f t="shared" si="217"/>
        <v>0-3</v>
      </c>
      <c r="L1826" s="14" t="str">
        <f t="shared" si="218"/>
        <v>Romper Longer | 0-3 | Salmon</v>
      </c>
      <c r="M1826" s="16" t="s">
        <v>3610</v>
      </c>
    </row>
    <row r="1827" spans="1:13" ht="25" customHeight="1" x14ac:dyDescent="0.45">
      <c r="A1827" s="18">
        <v>45887</v>
      </c>
      <c r="B1827" s="19" t="s">
        <v>1960</v>
      </c>
      <c r="C1827" s="21" t="s">
        <v>9</v>
      </c>
      <c r="D1827" s="53" t="str">
        <f t="shared" si="220"/>
        <v>Cream</v>
      </c>
      <c r="E1827" s="21" t="s">
        <v>1834</v>
      </c>
      <c r="F1827" s="23" t="s">
        <v>7</v>
      </c>
      <c r="G1827" s="4" t="str">
        <f t="shared" si="219"/>
        <v>Romper Short</v>
      </c>
      <c r="H1827" s="38">
        <f t="shared" si="215"/>
        <v>8</v>
      </c>
      <c r="I1827" s="54">
        <f t="shared" si="214"/>
        <v>34</v>
      </c>
      <c r="J1827" s="14" t="str">
        <f t="shared" si="216"/>
        <v>Summer</v>
      </c>
      <c r="K1827" s="16" t="str">
        <f t="shared" si="217"/>
        <v>0-3</v>
      </c>
      <c r="L1827" s="14" t="str">
        <f t="shared" si="218"/>
        <v>Romper Short | 0-3 | Cream</v>
      </c>
      <c r="M1827" s="16" t="s">
        <v>3609</v>
      </c>
    </row>
    <row r="1828" spans="1:13" ht="25" customHeight="1" x14ac:dyDescent="0.45">
      <c r="A1828" s="18">
        <v>45888</v>
      </c>
      <c r="B1828" s="19" t="s">
        <v>1961</v>
      </c>
      <c r="C1828" s="21" t="s">
        <v>76</v>
      </c>
      <c r="D1828" s="53" t="str">
        <f t="shared" si="220"/>
        <v>Caldet Blue</v>
      </c>
      <c r="E1828" s="21" t="s">
        <v>1828</v>
      </c>
      <c r="F1828" s="23" t="s">
        <v>7</v>
      </c>
      <c r="G1828" s="4" t="str">
        <f t="shared" si="219"/>
        <v>Romper Longer</v>
      </c>
      <c r="H1828" s="38">
        <f t="shared" si="215"/>
        <v>8</v>
      </c>
      <c r="I1828" s="54">
        <f t="shared" si="214"/>
        <v>34</v>
      </c>
      <c r="J1828" s="14" t="str">
        <f t="shared" si="216"/>
        <v>Summer</v>
      </c>
      <c r="K1828" s="16" t="str">
        <f t="shared" si="217"/>
        <v>3-6</v>
      </c>
      <c r="L1828" s="14" t="str">
        <f t="shared" si="218"/>
        <v>Romper Longer | 3-6 | Caldet Blue</v>
      </c>
      <c r="M1828" s="16" t="s">
        <v>3610</v>
      </c>
    </row>
    <row r="1829" spans="1:13" ht="25" customHeight="1" x14ac:dyDescent="0.45">
      <c r="A1829" s="18">
        <v>45889</v>
      </c>
      <c r="B1829" s="19" t="s">
        <v>1962</v>
      </c>
      <c r="C1829" s="21" t="s">
        <v>9</v>
      </c>
      <c r="D1829" s="53" t="str">
        <f t="shared" si="220"/>
        <v>Cream</v>
      </c>
      <c r="E1829" s="21" t="s">
        <v>1828</v>
      </c>
      <c r="F1829" s="23" t="s">
        <v>17</v>
      </c>
      <c r="G1829" s="4" t="str">
        <f t="shared" si="219"/>
        <v>Romper Longer</v>
      </c>
      <c r="H1829" s="38">
        <f t="shared" si="215"/>
        <v>8</v>
      </c>
      <c r="I1829" s="54">
        <f t="shared" si="214"/>
        <v>34</v>
      </c>
      <c r="J1829" s="14" t="str">
        <f t="shared" si="216"/>
        <v>Summer</v>
      </c>
      <c r="K1829" s="16" t="str">
        <f t="shared" si="217"/>
        <v>3-6</v>
      </c>
      <c r="L1829" s="14" t="str">
        <f t="shared" si="218"/>
        <v>Romper Longer | 3-6 | Cream</v>
      </c>
      <c r="M1829" s="16" t="s">
        <v>3609</v>
      </c>
    </row>
    <row r="1830" spans="1:13" ht="25" customHeight="1" x14ac:dyDescent="0.45">
      <c r="A1830" s="18">
        <v>45890</v>
      </c>
      <c r="B1830" s="19" t="s">
        <v>1963</v>
      </c>
      <c r="C1830" s="21" t="s">
        <v>110</v>
      </c>
      <c r="D1830" s="53" t="str">
        <f t="shared" si="220"/>
        <v>Sage Green</v>
      </c>
      <c r="E1830" s="21" t="s">
        <v>1828</v>
      </c>
      <c r="F1830" s="23" t="s">
        <v>13</v>
      </c>
      <c r="G1830" s="4" t="str">
        <f t="shared" si="219"/>
        <v>Romper Longer</v>
      </c>
      <c r="H1830" s="38">
        <f t="shared" si="215"/>
        <v>8</v>
      </c>
      <c r="I1830" s="54">
        <f t="shared" si="214"/>
        <v>34</v>
      </c>
      <c r="J1830" s="14" t="str">
        <f t="shared" si="216"/>
        <v>Summer</v>
      </c>
      <c r="K1830" s="16" t="str">
        <f t="shared" si="217"/>
        <v>3-6</v>
      </c>
      <c r="L1830" s="14" t="str">
        <f t="shared" si="218"/>
        <v>Romper Longer | 3-6 | Sage Green</v>
      </c>
      <c r="M1830" s="16" t="s">
        <v>3611</v>
      </c>
    </row>
    <row r="1831" spans="1:13" ht="25" customHeight="1" x14ac:dyDescent="0.45">
      <c r="A1831" s="18">
        <v>45891</v>
      </c>
      <c r="B1831" s="19" t="s">
        <v>1964</v>
      </c>
      <c r="C1831" s="21" t="s">
        <v>9</v>
      </c>
      <c r="D1831" s="53" t="str">
        <f t="shared" si="220"/>
        <v>Cream</v>
      </c>
      <c r="E1831" s="21" t="s">
        <v>1831</v>
      </c>
      <c r="F1831" s="23" t="s">
        <v>17</v>
      </c>
      <c r="G1831" s="4" t="str">
        <f t="shared" si="219"/>
        <v>Romper Longer</v>
      </c>
      <c r="H1831" s="38">
        <f t="shared" si="215"/>
        <v>8</v>
      </c>
      <c r="I1831" s="54">
        <f t="shared" si="214"/>
        <v>34</v>
      </c>
      <c r="J1831" s="14" t="str">
        <f t="shared" si="216"/>
        <v>Summer</v>
      </c>
      <c r="K1831" s="16" t="str">
        <f t="shared" si="217"/>
        <v>0-3</v>
      </c>
      <c r="L1831" s="14" t="str">
        <f t="shared" si="218"/>
        <v>Romper Longer | 0-3 | Cream</v>
      </c>
      <c r="M1831" s="16" t="s">
        <v>3609</v>
      </c>
    </row>
    <row r="1832" spans="1:13" ht="25" customHeight="1" x14ac:dyDescent="0.45">
      <c r="A1832" s="18">
        <v>45892</v>
      </c>
      <c r="B1832" s="19" t="s">
        <v>1965</v>
      </c>
      <c r="C1832" s="21" t="s">
        <v>9</v>
      </c>
      <c r="D1832" s="53" t="str">
        <f t="shared" si="220"/>
        <v>Cream</v>
      </c>
      <c r="E1832" s="21" t="s">
        <v>1828</v>
      </c>
      <c r="F1832" s="23" t="s">
        <v>11</v>
      </c>
      <c r="G1832" s="4" t="str">
        <f t="shared" si="219"/>
        <v>Romper Longer</v>
      </c>
      <c r="H1832" s="38">
        <f t="shared" si="215"/>
        <v>8</v>
      </c>
      <c r="I1832" s="54">
        <f t="shared" si="214"/>
        <v>34</v>
      </c>
      <c r="J1832" s="14" t="str">
        <f t="shared" si="216"/>
        <v>Summer</v>
      </c>
      <c r="K1832" s="16" t="str">
        <f t="shared" si="217"/>
        <v>3-6</v>
      </c>
      <c r="L1832" s="14" t="str">
        <f t="shared" si="218"/>
        <v>Romper Longer | 3-6 | Cream</v>
      </c>
      <c r="M1832" s="16" t="s">
        <v>3609</v>
      </c>
    </row>
    <row r="1833" spans="1:13" ht="25" customHeight="1" x14ac:dyDescent="0.45">
      <c r="A1833" s="18">
        <v>45893</v>
      </c>
      <c r="B1833" s="19" t="s">
        <v>1966</v>
      </c>
      <c r="C1833" s="21" t="s">
        <v>9</v>
      </c>
      <c r="D1833" s="53" t="str">
        <f t="shared" si="220"/>
        <v>Cream</v>
      </c>
      <c r="E1833" s="21" t="s">
        <v>1828</v>
      </c>
      <c r="F1833" s="23" t="s">
        <v>19</v>
      </c>
      <c r="G1833" s="4" t="str">
        <f t="shared" si="219"/>
        <v>Romper Longer</v>
      </c>
      <c r="H1833" s="38">
        <f t="shared" si="215"/>
        <v>8</v>
      </c>
      <c r="I1833" s="54">
        <f t="shared" si="214"/>
        <v>35</v>
      </c>
      <c r="J1833" s="14" t="str">
        <f t="shared" si="216"/>
        <v>Summer</v>
      </c>
      <c r="K1833" s="16" t="str">
        <f t="shared" si="217"/>
        <v>3-6</v>
      </c>
      <c r="L1833" s="14" t="str">
        <f t="shared" si="218"/>
        <v>Romper Longer | 3-6 | Cream</v>
      </c>
      <c r="M1833" s="16" t="s">
        <v>3609</v>
      </c>
    </row>
    <row r="1834" spans="1:13" ht="25" customHeight="1" x14ac:dyDescent="0.45">
      <c r="A1834" s="18">
        <v>45894</v>
      </c>
      <c r="B1834" s="19" t="s">
        <v>1967</v>
      </c>
      <c r="C1834" s="21" t="s">
        <v>9</v>
      </c>
      <c r="D1834" s="53" t="str">
        <f t="shared" si="220"/>
        <v>Cream</v>
      </c>
      <c r="E1834" s="21" t="s">
        <v>1831</v>
      </c>
      <c r="F1834" s="23" t="s">
        <v>7</v>
      </c>
      <c r="G1834" s="4" t="str">
        <f t="shared" si="219"/>
        <v>Romper Longer</v>
      </c>
      <c r="H1834" s="38">
        <f t="shared" si="215"/>
        <v>8</v>
      </c>
      <c r="I1834" s="54">
        <f t="shared" si="214"/>
        <v>35</v>
      </c>
      <c r="J1834" s="14" t="str">
        <f t="shared" si="216"/>
        <v>Summer</v>
      </c>
      <c r="K1834" s="16" t="str">
        <f t="shared" si="217"/>
        <v>0-3</v>
      </c>
      <c r="L1834" s="14" t="str">
        <f t="shared" si="218"/>
        <v>Romper Longer | 0-3 | Cream</v>
      </c>
      <c r="M1834" s="16" t="s">
        <v>3609</v>
      </c>
    </row>
    <row r="1835" spans="1:13" ht="25" customHeight="1" x14ac:dyDescent="0.45">
      <c r="A1835" s="18">
        <v>45895</v>
      </c>
      <c r="B1835" s="19" t="s">
        <v>1968</v>
      </c>
      <c r="C1835" s="21" t="s">
        <v>9</v>
      </c>
      <c r="D1835" s="53" t="str">
        <f t="shared" si="220"/>
        <v>Cream</v>
      </c>
      <c r="E1835" s="21" t="s">
        <v>1831</v>
      </c>
      <c r="F1835" s="23" t="s">
        <v>7</v>
      </c>
      <c r="G1835" s="4" t="str">
        <f t="shared" si="219"/>
        <v>Romper Longer</v>
      </c>
      <c r="H1835" s="38">
        <f t="shared" si="215"/>
        <v>8</v>
      </c>
      <c r="I1835" s="54">
        <f t="shared" si="214"/>
        <v>35</v>
      </c>
      <c r="J1835" s="14" t="str">
        <f t="shared" si="216"/>
        <v>Summer</v>
      </c>
      <c r="K1835" s="16" t="str">
        <f t="shared" si="217"/>
        <v>0-3</v>
      </c>
      <c r="L1835" s="14" t="str">
        <f t="shared" si="218"/>
        <v>Romper Longer | 0-3 | Cream</v>
      </c>
      <c r="M1835" s="16" t="s">
        <v>3609</v>
      </c>
    </row>
    <row r="1836" spans="1:13" ht="25" customHeight="1" x14ac:dyDescent="0.45">
      <c r="A1836" s="18">
        <v>45896</v>
      </c>
      <c r="B1836" s="19" t="s">
        <v>1969</v>
      </c>
      <c r="C1836" s="21" t="s">
        <v>9</v>
      </c>
      <c r="D1836" s="53" t="str">
        <f t="shared" si="220"/>
        <v>Cream</v>
      </c>
      <c r="E1836" s="21" t="s">
        <v>1828</v>
      </c>
      <c r="F1836" s="23" t="s">
        <v>13</v>
      </c>
      <c r="G1836" s="4" t="str">
        <f t="shared" si="219"/>
        <v>Romper Longer</v>
      </c>
      <c r="H1836" s="38">
        <f t="shared" si="215"/>
        <v>8</v>
      </c>
      <c r="I1836" s="54">
        <f t="shared" si="214"/>
        <v>35</v>
      </c>
      <c r="J1836" s="14" t="str">
        <f t="shared" si="216"/>
        <v>Summer</v>
      </c>
      <c r="K1836" s="16" t="str">
        <f t="shared" si="217"/>
        <v>3-6</v>
      </c>
      <c r="L1836" s="14" t="str">
        <f t="shared" si="218"/>
        <v>Romper Longer | 3-6 | Cream</v>
      </c>
      <c r="M1836" s="16" t="s">
        <v>3609</v>
      </c>
    </row>
    <row r="1837" spans="1:13" ht="25" customHeight="1" x14ac:dyDescent="0.45">
      <c r="A1837" s="18">
        <v>45897</v>
      </c>
      <c r="B1837" s="19" t="s">
        <v>1970</v>
      </c>
      <c r="C1837" s="21" t="s">
        <v>9</v>
      </c>
      <c r="D1837" s="53" t="str">
        <f t="shared" si="220"/>
        <v>Cream</v>
      </c>
      <c r="E1837" s="21" t="s">
        <v>1831</v>
      </c>
      <c r="F1837" s="23" t="s">
        <v>11</v>
      </c>
      <c r="G1837" s="4" t="str">
        <f t="shared" si="219"/>
        <v>Romper Longer</v>
      </c>
      <c r="H1837" s="38">
        <f t="shared" si="215"/>
        <v>8</v>
      </c>
      <c r="I1837" s="54">
        <f t="shared" si="214"/>
        <v>35</v>
      </c>
      <c r="J1837" s="14" t="str">
        <f t="shared" si="216"/>
        <v>Summer</v>
      </c>
      <c r="K1837" s="16" t="str">
        <f t="shared" si="217"/>
        <v>0-3</v>
      </c>
      <c r="L1837" s="14" t="str">
        <f t="shared" si="218"/>
        <v>Romper Longer | 0-3 | Cream</v>
      </c>
      <c r="M1837" s="16" t="s">
        <v>3609</v>
      </c>
    </row>
    <row r="1838" spans="1:13" ht="25" customHeight="1" x14ac:dyDescent="0.45">
      <c r="A1838" s="18">
        <v>45898</v>
      </c>
      <c r="B1838" s="19" t="s">
        <v>1971</v>
      </c>
      <c r="C1838" s="21" t="s">
        <v>81</v>
      </c>
      <c r="D1838" s="53" t="str">
        <f t="shared" si="220"/>
        <v>Dusty Pink</v>
      </c>
      <c r="E1838" s="21" t="s">
        <v>1831</v>
      </c>
      <c r="F1838" s="23" t="s">
        <v>7</v>
      </c>
      <c r="G1838" s="4" t="str">
        <f t="shared" si="219"/>
        <v>Romper Longer</v>
      </c>
      <c r="H1838" s="38">
        <f t="shared" si="215"/>
        <v>8</v>
      </c>
      <c r="I1838" s="54">
        <f t="shared" si="214"/>
        <v>35</v>
      </c>
      <c r="J1838" s="14" t="str">
        <f t="shared" si="216"/>
        <v>Summer</v>
      </c>
      <c r="K1838" s="16" t="str">
        <f t="shared" si="217"/>
        <v>0-3</v>
      </c>
      <c r="L1838" s="14" t="str">
        <f t="shared" si="218"/>
        <v>Romper Longer | 0-3 | Dusty Pink</v>
      </c>
      <c r="M1838" s="16" t="s">
        <v>3610</v>
      </c>
    </row>
    <row r="1839" spans="1:13" ht="25" customHeight="1" x14ac:dyDescent="0.45">
      <c r="A1839" s="18">
        <v>45899</v>
      </c>
      <c r="B1839" s="25" t="s">
        <v>1972</v>
      </c>
      <c r="C1839" s="21" t="s">
        <v>9</v>
      </c>
      <c r="D1839" s="53" t="str">
        <f t="shared" si="220"/>
        <v>Cream</v>
      </c>
      <c r="E1839" s="21" t="s">
        <v>1834</v>
      </c>
      <c r="F1839" s="26" t="s">
        <v>7</v>
      </c>
      <c r="G1839" s="4" t="str">
        <f t="shared" si="219"/>
        <v>Romper Short</v>
      </c>
      <c r="H1839" s="38">
        <f t="shared" si="215"/>
        <v>8</v>
      </c>
      <c r="I1839" s="54">
        <f t="shared" ref="I1839:I1901" si="221">WEEKNUM(A1839)</f>
        <v>35</v>
      </c>
      <c r="J1839" s="14" t="str">
        <f t="shared" si="216"/>
        <v>Summer</v>
      </c>
      <c r="K1839" s="16" t="str">
        <f t="shared" si="217"/>
        <v>0-3</v>
      </c>
      <c r="L1839" s="14" t="str">
        <f t="shared" si="218"/>
        <v>Romper Short | 0-3 | Cream</v>
      </c>
      <c r="M1839" s="16" t="s">
        <v>3609</v>
      </c>
    </row>
    <row r="1840" spans="1:13" ht="25" customHeight="1" x14ac:dyDescent="0.45">
      <c r="A1840" s="18">
        <v>45900</v>
      </c>
      <c r="B1840" s="19" t="s">
        <v>1973</v>
      </c>
      <c r="C1840" s="21" t="s">
        <v>9</v>
      </c>
      <c r="D1840" s="53" t="str">
        <f t="shared" si="220"/>
        <v>Cream</v>
      </c>
      <c r="E1840" s="21" t="s">
        <v>1849</v>
      </c>
      <c r="F1840" s="23" t="s">
        <v>281</v>
      </c>
      <c r="G1840" s="4" t="str">
        <f t="shared" si="219"/>
        <v>Romper Short</v>
      </c>
      <c r="H1840" s="38">
        <f t="shared" si="215"/>
        <v>8</v>
      </c>
      <c r="I1840" s="54">
        <f t="shared" si="221"/>
        <v>36</v>
      </c>
      <c r="J1840" s="14" t="str">
        <f t="shared" si="216"/>
        <v>Summer</v>
      </c>
      <c r="K1840" s="16" t="str">
        <f t="shared" si="217"/>
        <v>3-6</v>
      </c>
      <c r="L1840" s="14" t="str">
        <f t="shared" si="218"/>
        <v>Romper Short | 3-6 | Cream</v>
      </c>
      <c r="M1840" s="16" t="s">
        <v>3609</v>
      </c>
    </row>
    <row r="1841" spans="1:13" ht="25" customHeight="1" x14ac:dyDescent="0.45">
      <c r="A1841" s="18">
        <v>45901</v>
      </c>
      <c r="B1841" s="19" t="s">
        <v>1974</v>
      </c>
      <c r="C1841" s="21" t="s">
        <v>85</v>
      </c>
      <c r="D1841" s="53" t="str">
        <f t="shared" si="220"/>
        <v>Forest Green</v>
      </c>
      <c r="E1841" s="21" t="s">
        <v>1828</v>
      </c>
      <c r="F1841" s="23" t="s">
        <v>7</v>
      </c>
      <c r="G1841" s="4" t="str">
        <f t="shared" si="219"/>
        <v>Romper Longer</v>
      </c>
      <c r="H1841" s="38">
        <f t="shared" si="215"/>
        <v>9</v>
      </c>
      <c r="I1841" s="54">
        <f t="shared" si="221"/>
        <v>36</v>
      </c>
      <c r="J1841" s="14" t="str">
        <f t="shared" si="216"/>
        <v>Normal</v>
      </c>
      <c r="K1841" s="16" t="str">
        <f t="shared" si="217"/>
        <v>3-6</v>
      </c>
      <c r="L1841" s="14" t="str">
        <f t="shared" si="218"/>
        <v>Romper Longer | 3-6 | Forest Green</v>
      </c>
      <c r="M1841" s="16" t="s">
        <v>3610</v>
      </c>
    </row>
    <row r="1842" spans="1:13" ht="25" customHeight="1" x14ac:dyDescent="0.45">
      <c r="A1842" s="18">
        <v>45902</v>
      </c>
      <c r="B1842" s="19" t="s">
        <v>1975</v>
      </c>
      <c r="C1842" s="21" t="s">
        <v>76</v>
      </c>
      <c r="D1842" s="53" t="str">
        <f t="shared" si="220"/>
        <v>Caldet Blue</v>
      </c>
      <c r="E1842" s="21" t="s">
        <v>1831</v>
      </c>
      <c r="F1842" s="23" t="s">
        <v>826</v>
      </c>
      <c r="G1842" s="4" t="str">
        <f t="shared" si="219"/>
        <v>Romper Longer</v>
      </c>
      <c r="H1842" s="38">
        <f t="shared" si="215"/>
        <v>9</v>
      </c>
      <c r="I1842" s="54">
        <f t="shared" si="221"/>
        <v>36</v>
      </c>
      <c r="J1842" s="14" t="str">
        <f t="shared" si="216"/>
        <v>Normal</v>
      </c>
      <c r="K1842" s="16" t="str">
        <f t="shared" si="217"/>
        <v>0-3</v>
      </c>
      <c r="L1842" s="14" t="str">
        <f t="shared" si="218"/>
        <v>Romper Longer | 0-3 | Caldet Blue</v>
      </c>
      <c r="M1842" s="16" t="s">
        <v>3610</v>
      </c>
    </row>
    <row r="1843" spans="1:13" ht="25" customHeight="1" x14ac:dyDescent="0.45">
      <c r="A1843" s="18">
        <v>45903</v>
      </c>
      <c r="B1843" s="19" t="s">
        <v>1976</v>
      </c>
      <c r="C1843" s="21" t="s">
        <v>74</v>
      </c>
      <c r="D1843" s="53" t="str">
        <f t="shared" si="220"/>
        <v>Watermelon</v>
      </c>
      <c r="E1843" s="21" t="s">
        <v>1831</v>
      </c>
      <c r="F1843" s="23" t="s">
        <v>826</v>
      </c>
      <c r="G1843" s="4" t="str">
        <f t="shared" si="219"/>
        <v>Romper Longer</v>
      </c>
      <c r="H1843" s="38">
        <f t="shared" si="215"/>
        <v>9</v>
      </c>
      <c r="I1843" s="54">
        <f t="shared" si="221"/>
        <v>36</v>
      </c>
      <c r="J1843" s="14" t="str">
        <f t="shared" si="216"/>
        <v>Normal</v>
      </c>
      <c r="K1843" s="16" t="str">
        <f t="shared" si="217"/>
        <v>0-3</v>
      </c>
      <c r="L1843" s="14" t="str">
        <f t="shared" si="218"/>
        <v>Romper Longer | 0-3 | Watermelon</v>
      </c>
      <c r="M1843" s="16" t="s">
        <v>3610</v>
      </c>
    </row>
    <row r="1844" spans="1:13" ht="25" customHeight="1" x14ac:dyDescent="0.45">
      <c r="A1844" s="18">
        <v>45904</v>
      </c>
      <c r="B1844" s="19" t="s">
        <v>1977</v>
      </c>
      <c r="C1844" s="21" t="s">
        <v>9</v>
      </c>
      <c r="D1844" s="53" t="str">
        <f t="shared" si="220"/>
        <v>Cream</v>
      </c>
      <c r="E1844" s="21" t="s">
        <v>1841</v>
      </c>
      <c r="F1844" s="23" t="s">
        <v>19</v>
      </c>
      <c r="G1844" s="4" t="str">
        <f t="shared" si="219"/>
        <v>Romper Longer</v>
      </c>
      <c r="H1844" s="38">
        <f t="shared" si="215"/>
        <v>9</v>
      </c>
      <c r="I1844" s="54">
        <f t="shared" si="221"/>
        <v>36</v>
      </c>
      <c r="J1844" s="14" t="str">
        <f t="shared" si="216"/>
        <v>Normal</v>
      </c>
      <c r="K1844" s="16" t="str">
        <f t="shared" si="217"/>
        <v>6-12</v>
      </c>
      <c r="L1844" s="14" t="str">
        <f t="shared" si="218"/>
        <v>Romper Longer | 6-12 | Cream</v>
      </c>
      <c r="M1844" s="16" t="s">
        <v>3611</v>
      </c>
    </row>
    <row r="1845" spans="1:13" ht="25" customHeight="1" x14ac:dyDescent="0.45">
      <c r="A1845" s="18">
        <v>45905</v>
      </c>
      <c r="B1845" s="19" t="s">
        <v>1978</v>
      </c>
      <c r="C1845" s="21" t="s">
        <v>9</v>
      </c>
      <c r="D1845" s="53" t="str">
        <f t="shared" si="220"/>
        <v>Cream</v>
      </c>
      <c r="E1845" s="21" t="s">
        <v>1420</v>
      </c>
      <c r="F1845" s="23" t="s">
        <v>14</v>
      </c>
      <c r="G1845" s="4" t="str">
        <f t="shared" si="219"/>
        <v>Romper Short</v>
      </c>
      <c r="H1845" s="38">
        <f t="shared" si="215"/>
        <v>9</v>
      </c>
      <c r="I1845" s="54">
        <f t="shared" si="221"/>
        <v>36</v>
      </c>
      <c r="J1845" s="14" t="str">
        <f t="shared" si="216"/>
        <v>Normal</v>
      </c>
      <c r="K1845" s="16" t="str">
        <f t="shared" si="217"/>
        <v>6-12</v>
      </c>
      <c r="L1845" s="14" t="str">
        <f t="shared" si="218"/>
        <v>Romper Short | 6-12 | Cream</v>
      </c>
      <c r="M1845" s="16" t="s">
        <v>3611</v>
      </c>
    </row>
    <row r="1846" spans="1:13" ht="25" customHeight="1" x14ac:dyDescent="0.45">
      <c r="A1846" s="18">
        <v>45906</v>
      </c>
      <c r="B1846" s="19" t="s">
        <v>1979</v>
      </c>
      <c r="C1846" s="21" t="s">
        <v>110</v>
      </c>
      <c r="D1846" s="53" t="str">
        <f t="shared" si="220"/>
        <v>Sage Green</v>
      </c>
      <c r="E1846" s="21" t="s">
        <v>1828</v>
      </c>
      <c r="F1846" s="23" t="s">
        <v>7</v>
      </c>
      <c r="G1846" s="4" t="str">
        <f t="shared" si="219"/>
        <v>Romper Longer</v>
      </c>
      <c r="H1846" s="38">
        <f t="shared" si="215"/>
        <v>9</v>
      </c>
      <c r="I1846" s="54">
        <f t="shared" si="221"/>
        <v>36</v>
      </c>
      <c r="J1846" s="14" t="str">
        <f t="shared" si="216"/>
        <v>Normal</v>
      </c>
      <c r="K1846" s="16" t="str">
        <f t="shared" si="217"/>
        <v>3-6</v>
      </c>
      <c r="L1846" s="14" t="str">
        <f t="shared" si="218"/>
        <v>Romper Longer | 3-6 | Sage Green</v>
      </c>
      <c r="M1846" s="16" t="s">
        <v>3611</v>
      </c>
    </row>
    <row r="1847" spans="1:13" ht="25" customHeight="1" x14ac:dyDescent="0.45">
      <c r="A1847" s="18">
        <v>45907</v>
      </c>
      <c r="B1847" s="19" t="s">
        <v>1980</v>
      </c>
      <c r="C1847" s="21" t="s">
        <v>85</v>
      </c>
      <c r="D1847" s="53" t="str">
        <f t="shared" si="220"/>
        <v>Forest Green</v>
      </c>
      <c r="E1847" s="21" t="s">
        <v>1828</v>
      </c>
      <c r="F1847" s="23" t="s">
        <v>15</v>
      </c>
      <c r="G1847" s="4" t="str">
        <f t="shared" si="219"/>
        <v>Romper Longer</v>
      </c>
      <c r="H1847" s="38">
        <f t="shared" si="215"/>
        <v>9</v>
      </c>
      <c r="I1847" s="54">
        <f t="shared" si="221"/>
        <v>37</v>
      </c>
      <c r="J1847" s="14" t="str">
        <f t="shared" si="216"/>
        <v>Normal</v>
      </c>
      <c r="K1847" s="16" t="str">
        <f t="shared" si="217"/>
        <v>3-6</v>
      </c>
      <c r="L1847" s="14" t="str">
        <f t="shared" si="218"/>
        <v>Romper Longer | 3-6 | Forest Green</v>
      </c>
      <c r="M1847" s="16" t="s">
        <v>3610</v>
      </c>
    </row>
    <row r="1848" spans="1:13" ht="25" customHeight="1" x14ac:dyDescent="0.45">
      <c r="A1848" s="18">
        <v>45908</v>
      </c>
      <c r="B1848" s="19" t="s">
        <v>1981</v>
      </c>
      <c r="C1848" s="21" t="s">
        <v>71</v>
      </c>
      <c r="D1848" s="53" t="str">
        <f t="shared" si="220"/>
        <v>Coffee</v>
      </c>
      <c r="E1848" s="21" t="s">
        <v>1834</v>
      </c>
      <c r="F1848" s="23" t="s">
        <v>7</v>
      </c>
      <c r="G1848" s="4" t="str">
        <f t="shared" si="219"/>
        <v>Romper Short</v>
      </c>
      <c r="H1848" s="38">
        <f t="shared" si="215"/>
        <v>9</v>
      </c>
      <c r="I1848" s="54">
        <f t="shared" si="221"/>
        <v>37</v>
      </c>
      <c r="J1848" s="14" t="str">
        <f t="shared" si="216"/>
        <v>Normal</v>
      </c>
      <c r="K1848" s="16" t="str">
        <f t="shared" si="217"/>
        <v>0-3</v>
      </c>
      <c r="L1848" s="14" t="str">
        <f t="shared" si="218"/>
        <v>Romper Short | 0-3 | Coffee</v>
      </c>
      <c r="M1848" s="16" t="s">
        <v>3610</v>
      </c>
    </row>
    <row r="1849" spans="1:13" ht="25" customHeight="1" x14ac:dyDescent="0.45">
      <c r="A1849" s="18">
        <v>45909</v>
      </c>
      <c r="B1849" s="19" t="s">
        <v>1982</v>
      </c>
      <c r="C1849" s="21" t="s">
        <v>79</v>
      </c>
      <c r="D1849" s="53" t="str">
        <f t="shared" si="220"/>
        <v>White</v>
      </c>
      <c r="E1849" s="21" t="s">
        <v>1834</v>
      </c>
      <c r="F1849" s="23" t="s">
        <v>7</v>
      </c>
      <c r="G1849" s="4" t="str">
        <f t="shared" si="219"/>
        <v>Romper Short</v>
      </c>
      <c r="H1849" s="38">
        <f t="shared" ref="H1849:H1911" si="222">MONTH(A1849)</f>
        <v>9</v>
      </c>
      <c r="I1849" s="54">
        <f t="shared" si="221"/>
        <v>37</v>
      </c>
      <c r="J1849" s="14" t="str">
        <f t="shared" ref="J1849:J1911" si="223">IF(H1849=1,"NewYear",
IF(H1849=2,"Valentine",
IF(OR(H1849=3,H1849=4),"Easter",
IF(H1849=5,"MothersDay",
IF(H1849=6,"FathersDay",
IF(OR(H1849=7,H1849=8),"Summer",
IF(H1849=10,"Halloween",
IF(OR(H1849=11,H1849=12),"Christmas","Normal"))))))))</f>
        <v>Normal</v>
      </c>
      <c r="K1849" s="16" t="str">
        <f t="shared" ref="K1849:K1911" si="224">TRIM(LEFT(E1849,FIND("(",E1849&amp;"(")-3))</f>
        <v>0-3</v>
      </c>
      <c r="L1849" s="14" t="str">
        <f t="shared" si="218"/>
        <v>Romper Short | 0-3 | White</v>
      </c>
      <c r="M1849" s="16" t="s">
        <v>3610</v>
      </c>
    </row>
    <row r="1850" spans="1:13" ht="25" customHeight="1" x14ac:dyDescent="0.45">
      <c r="A1850" s="18">
        <v>45910</v>
      </c>
      <c r="B1850" s="19" t="s">
        <v>1983</v>
      </c>
      <c r="C1850" s="21" t="s">
        <v>9</v>
      </c>
      <c r="D1850" s="53" t="str">
        <f t="shared" si="220"/>
        <v>Cream</v>
      </c>
      <c r="E1850" s="21" t="s">
        <v>1834</v>
      </c>
      <c r="F1850" s="23" t="s">
        <v>7</v>
      </c>
      <c r="G1850" s="4" t="str">
        <f t="shared" si="219"/>
        <v>Romper Short</v>
      </c>
      <c r="H1850" s="38">
        <f t="shared" si="222"/>
        <v>9</v>
      </c>
      <c r="I1850" s="54">
        <f t="shared" si="221"/>
        <v>37</v>
      </c>
      <c r="J1850" s="14" t="str">
        <f t="shared" si="223"/>
        <v>Normal</v>
      </c>
      <c r="K1850" s="16" t="str">
        <f t="shared" si="224"/>
        <v>0-3</v>
      </c>
      <c r="L1850" s="14" t="str">
        <f t="shared" si="218"/>
        <v>Romper Short | 0-3 | Cream</v>
      </c>
      <c r="M1850" s="16" t="s">
        <v>3609</v>
      </c>
    </row>
    <row r="1851" spans="1:13" ht="25" customHeight="1" x14ac:dyDescent="0.45">
      <c r="A1851" s="18">
        <v>45911</v>
      </c>
      <c r="B1851" s="19" t="s">
        <v>1984</v>
      </c>
      <c r="C1851" s="21" t="s">
        <v>9</v>
      </c>
      <c r="D1851" s="53" t="str">
        <f t="shared" si="220"/>
        <v>Cream</v>
      </c>
      <c r="E1851" s="21" t="s">
        <v>1834</v>
      </c>
      <c r="F1851" s="23" t="s">
        <v>7</v>
      </c>
      <c r="G1851" s="4" t="str">
        <f t="shared" si="219"/>
        <v>Romper Short</v>
      </c>
      <c r="H1851" s="38">
        <f t="shared" si="222"/>
        <v>9</v>
      </c>
      <c r="I1851" s="54">
        <f t="shared" si="221"/>
        <v>37</v>
      </c>
      <c r="J1851" s="14" t="str">
        <f t="shared" si="223"/>
        <v>Normal</v>
      </c>
      <c r="K1851" s="16" t="str">
        <f t="shared" si="224"/>
        <v>0-3</v>
      </c>
      <c r="L1851" s="14" t="str">
        <f t="shared" si="218"/>
        <v>Romper Short | 0-3 | Cream</v>
      </c>
      <c r="M1851" s="16" t="s">
        <v>3609</v>
      </c>
    </row>
    <row r="1852" spans="1:13" ht="25" customHeight="1" x14ac:dyDescent="0.45">
      <c r="A1852" s="18">
        <v>45912</v>
      </c>
      <c r="B1852" s="19" t="s">
        <v>1985</v>
      </c>
      <c r="C1852" s="21" t="s">
        <v>9</v>
      </c>
      <c r="D1852" s="53" t="str">
        <f t="shared" si="220"/>
        <v>Cream</v>
      </c>
      <c r="E1852" s="21" t="s">
        <v>1834</v>
      </c>
      <c r="F1852" s="23" t="s">
        <v>7</v>
      </c>
      <c r="G1852" s="4" t="str">
        <f t="shared" si="219"/>
        <v>Romper Short</v>
      </c>
      <c r="H1852" s="38">
        <f t="shared" si="222"/>
        <v>9</v>
      </c>
      <c r="I1852" s="54">
        <f t="shared" si="221"/>
        <v>37</v>
      </c>
      <c r="J1852" s="14" t="str">
        <f t="shared" si="223"/>
        <v>Normal</v>
      </c>
      <c r="K1852" s="16" t="str">
        <f t="shared" si="224"/>
        <v>0-3</v>
      </c>
      <c r="L1852" s="14" t="str">
        <f t="shared" si="218"/>
        <v>Romper Short | 0-3 | Cream</v>
      </c>
      <c r="M1852" s="16" t="s">
        <v>3609</v>
      </c>
    </row>
    <row r="1853" spans="1:13" ht="25" customHeight="1" x14ac:dyDescent="0.45">
      <c r="A1853" s="18">
        <v>45913</v>
      </c>
      <c r="B1853" s="19" t="s">
        <v>1986</v>
      </c>
      <c r="C1853" s="21" t="s">
        <v>9</v>
      </c>
      <c r="D1853" s="53" t="str">
        <f t="shared" si="220"/>
        <v>Cream</v>
      </c>
      <c r="E1853" s="21" t="s">
        <v>1834</v>
      </c>
      <c r="F1853" s="23" t="s">
        <v>7</v>
      </c>
      <c r="G1853" s="4" t="str">
        <f t="shared" si="219"/>
        <v>Romper Short</v>
      </c>
      <c r="H1853" s="38">
        <f t="shared" si="222"/>
        <v>9</v>
      </c>
      <c r="I1853" s="54">
        <f t="shared" si="221"/>
        <v>37</v>
      </c>
      <c r="J1853" s="14" t="str">
        <f t="shared" si="223"/>
        <v>Normal</v>
      </c>
      <c r="K1853" s="16" t="str">
        <f t="shared" si="224"/>
        <v>0-3</v>
      </c>
      <c r="L1853" s="14" t="str">
        <f t="shared" si="218"/>
        <v>Romper Short | 0-3 | Cream</v>
      </c>
      <c r="M1853" s="16" t="s">
        <v>3609</v>
      </c>
    </row>
    <row r="1854" spans="1:13" ht="25" customHeight="1" x14ac:dyDescent="0.45">
      <c r="A1854" s="18">
        <v>45914</v>
      </c>
      <c r="B1854" s="19" t="s">
        <v>1987</v>
      </c>
      <c r="C1854" s="21" t="s">
        <v>9</v>
      </c>
      <c r="D1854" s="53" t="str">
        <f t="shared" si="220"/>
        <v>Cream</v>
      </c>
      <c r="E1854" s="21" t="s">
        <v>1834</v>
      </c>
      <c r="F1854" s="23" t="s">
        <v>7</v>
      </c>
      <c r="G1854" s="4" t="str">
        <f t="shared" si="219"/>
        <v>Romper Short</v>
      </c>
      <c r="H1854" s="38">
        <f t="shared" si="222"/>
        <v>9</v>
      </c>
      <c r="I1854" s="54">
        <f t="shared" si="221"/>
        <v>38</v>
      </c>
      <c r="J1854" s="14" t="str">
        <f t="shared" si="223"/>
        <v>Normal</v>
      </c>
      <c r="K1854" s="16" t="str">
        <f t="shared" si="224"/>
        <v>0-3</v>
      </c>
      <c r="L1854" s="14" t="str">
        <f t="shared" si="218"/>
        <v>Romper Short | 0-3 | Cream</v>
      </c>
      <c r="M1854" s="16" t="s">
        <v>3609</v>
      </c>
    </row>
    <row r="1855" spans="1:13" ht="25" customHeight="1" x14ac:dyDescent="0.45">
      <c r="A1855" s="18">
        <v>45915</v>
      </c>
      <c r="B1855" s="19" t="s">
        <v>1988</v>
      </c>
      <c r="C1855" s="21" t="s">
        <v>9</v>
      </c>
      <c r="D1855" s="53" t="str">
        <f t="shared" si="220"/>
        <v>Cream</v>
      </c>
      <c r="E1855" s="21" t="s">
        <v>1834</v>
      </c>
      <c r="F1855" s="23" t="s">
        <v>7</v>
      </c>
      <c r="G1855" s="4" t="str">
        <f t="shared" si="219"/>
        <v>Romper Short</v>
      </c>
      <c r="H1855" s="38">
        <f t="shared" si="222"/>
        <v>9</v>
      </c>
      <c r="I1855" s="54">
        <f t="shared" si="221"/>
        <v>38</v>
      </c>
      <c r="J1855" s="14" t="str">
        <f t="shared" si="223"/>
        <v>Normal</v>
      </c>
      <c r="K1855" s="16" t="str">
        <f t="shared" si="224"/>
        <v>0-3</v>
      </c>
      <c r="L1855" s="14" t="str">
        <f t="shared" si="218"/>
        <v>Romper Short | 0-3 | Cream</v>
      </c>
      <c r="M1855" s="16" t="s">
        <v>3609</v>
      </c>
    </row>
    <row r="1856" spans="1:13" ht="25" customHeight="1" x14ac:dyDescent="0.45">
      <c r="A1856" s="18">
        <v>45916</v>
      </c>
      <c r="B1856" s="19" t="s">
        <v>1989</v>
      </c>
      <c r="C1856" s="21" t="s">
        <v>81</v>
      </c>
      <c r="D1856" s="53" t="str">
        <f t="shared" si="220"/>
        <v>Dusty Pink</v>
      </c>
      <c r="E1856" s="21" t="s">
        <v>1834</v>
      </c>
      <c r="F1856" s="23" t="s">
        <v>13</v>
      </c>
      <c r="G1856" s="4" t="str">
        <f t="shared" si="219"/>
        <v>Romper Short</v>
      </c>
      <c r="H1856" s="38">
        <f t="shared" si="222"/>
        <v>9</v>
      </c>
      <c r="I1856" s="54">
        <f t="shared" si="221"/>
        <v>38</v>
      </c>
      <c r="J1856" s="14" t="str">
        <f t="shared" si="223"/>
        <v>Normal</v>
      </c>
      <c r="K1856" s="16" t="str">
        <f t="shared" si="224"/>
        <v>0-3</v>
      </c>
      <c r="L1856" s="14" t="str">
        <f t="shared" si="218"/>
        <v>Romper Short | 0-3 | Dusty Pink</v>
      </c>
      <c r="M1856" s="16" t="s">
        <v>3610</v>
      </c>
    </row>
    <row r="1857" spans="1:13" ht="25" customHeight="1" x14ac:dyDescent="0.45">
      <c r="A1857" s="18">
        <v>45917</v>
      </c>
      <c r="B1857" s="19" t="s">
        <v>1990</v>
      </c>
      <c r="C1857" s="21" t="s">
        <v>76</v>
      </c>
      <c r="D1857" s="53" t="str">
        <f t="shared" si="220"/>
        <v>Caldet Blue</v>
      </c>
      <c r="E1857" s="21" t="s">
        <v>1834</v>
      </c>
      <c r="F1857" s="23" t="s">
        <v>7</v>
      </c>
      <c r="G1857" s="4" t="str">
        <f t="shared" si="219"/>
        <v>Romper Short</v>
      </c>
      <c r="H1857" s="38">
        <f t="shared" si="222"/>
        <v>9</v>
      </c>
      <c r="I1857" s="54">
        <f t="shared" si="221"/>
        <v>38</v>
      </c>
      <c r="J1857" s="14" t="str">
        <f t="shared" si="223"/>
        <v>Normal</v>
      </c>
      <c r="K1857" s="16" t="str">
        <f t="shared" si="224"/>
        <v>0-3</v>
      </c>
      <c r="L1857" s="14" t="str">
        <f t="shared" si="218"/>
        <v>Romper Short | 0-3 | Caldet Blue</v>
      </c>
      <c r="M1857" s="16" t="s">
        <v>3610</v>
      </c>
    </row>
    <row r="1858" spans="1:13" ht="25" customHeight="1" x14ac:dyDescent="0.45">
      <c r="A1858" s="18">
        <v>45918</v>
      </c>
      <c r="B1858" s="19" t="s">
        <v>1991</v>
      </c>
      <c r="C1858" s="21" t="s">
        <v>110</v>
      </c>
      <c r="D1858" s="53" t="str">
        <f t="shared" si="220"/>
        <v>Sage Green</v>
      </c>
      <c r="E1858" s="21" t="s">
        <v>1834</v>
      </c>
      <c r="F1858" s="23" t="s">
        <v>7</v>
      </c>
      <c r="G1858" s="4" t="str">
        <f t="shared" si="219"/>
        <v>Romper Short</v>
      </c>
      <c r="H1858" s="38">
        <f t="shared" si="222"/>
        <v>9</v>
      </c>
      <c r="I1858" s="54">
        <f t="shared" si="221"/>
        <v>38</v>
      </c>
      <c r="J1858" s="14" t="str">
        <f t="shared" si="223"/>
        <v>Normal</v>
      </c>
      <c r="K1858" s="16" t="str">
        <f t="shared" si="224"/>
        <v>0-3</v>
      </c>
      <c r="L1858" s="14" t="str">
        <f t="shared" si="218"/>
        <v>Romper Short | 0-3 | Sage Green</v>
      </c>
      <c r="M1858" s="16" t="s">
        <v>3610</v>
      </c>
    </row>
    <row r="1859" spans="1:13" ht="25" customHeight="1" x14ac:dyDescent="0.45">
      <c r="A1859" s="18">
        <v>45919</v>
      </c>
      <c r="B1859" s="19" t="s">
        <v>1992</v>
      </c>
      <c r="C1859" s="21" t="s">
        <v>9</v>
      </c>
      <c r="D1859" s="53" t="str">
        <f t="shared" si="220"/>
        <v>Cream</v>
      </c>
      <c r="E1859" s="21" t="s">
        <v>1834</v>
      </c>
      <c r="F1859" s="23" t="s">
        <v>7</v>
      </c>
      <c r="G1859" s="4" t="str">
        <f t="shared" si="219"/>
        <v>Romper Short</v>
      </c>
      <c r="H1859" s="38">
        <f t="shared" si="222"/>
        <v>9</v>
      </c>
      <c r="I1859" s="54">
        <f t="shared" si="221"/>
        <v>38</v>
      </c>
      <c r="J1859" s="14" t="str">
        <f t="shared" si="223"/>
        <v>Normal</v>
      </c>
      <c r="K1859" s="16" t="str">
        <f t="shared" si="224"/>
        <v>0-3</v>
      </c>
      <c r="L1859" s="14" t="str">
        <f t="shared" ref="L1859:L1921" si="225">TRIM(G1859)&amp;" | "&amp;TRIM(K1859)&amp;" | "&amp;PROPER(TRIM(D1859))</f>
        <v>Romper Short | 0-3 | Cream</v>
      </c>
      <c r="M1859" s="16" t="s">
        <v>3609</v>
      </c>
    </row>
    <row r="1860" spans="1:13" ht="25" customHeight="1" x14ac:dyDescent="0.45">
      <c r="A1860" s="18">
        <v>45920</v>
      </c>
      <c r="B1860" s="19" t="s">
        <v>1993</v>
      </c>
      <c r="C1860" s="21" t="s">
        <v>9</v>
      </c>
      <c r="D1860" s="53" t="str">
        <f t="shared" si="220"/>
        <v>Cream</v>
      </c>
      <c r="E1860" s="21" t="s">
        <v>1834</v>
      </c>
      <c r="F1860" s="23" t="s">
        <v>7</v>
      </c>
      <c r="G1860" s="4" t="str">
        <f t="shared" si="219"/>
        <v>Romper Short</v>
      </c>
      <c r="H1860" s="38">
        <f t="shared" si="222"/>
        <v>9</v>
      </c>
      <c r="I1860" s="54">
        <f t="shared" si="221"/>
        <v>38</v>
      </c>
      <c r="J1860" s="14" t="str">
        <f t="shared" si="223"/>
        <v>Normal</v>
      </c>
      <c r="K1860" s="16" t="str">
        <f t="shared" si="224"/>
        <v>0-3</v>
      </c>
      <c r="L1860" s="14" t="str">
        <f t="shared" si="225"/>
        <v>Romper Short | 0-3 | Cream</v>
      </c>
      <c r="M1860" s="16" t="s">
        <v>3609</v>
      </c>
    </row>
    <row r="1861" spans="1:13" ht="25" customHeight="1" x14ac:dyDescent="0.45">
      <c r="A1861" s="18">
        <v>45921</v>
      </c>
      <c r="B1861" s="19" t="s">
        <v>1994</v>
      </c>
      <c r="C1861" s="21" t="s">
        <v>9</v>
      </c>
      <c r="D1861" s="53" t="str">
        <f t="shared" si="220"/>
        <v>Cream</v>
      </c>
      <c r="E1861" s="21" t="s">
        <v>1834</v>
      </c>
      <c r="F1861" s="23" t="s">
        <v>7</v>
      </c>
      <c r="G1861" s="4" t="str">
        <f t="shared" si="219"/>
        <v>Romper Short</v>
      </c>
      <c r="H1861" s="38">
        <f t="shared" si="222"/>
        <v>9</v>
      </c>
      <c r="I1861" s="54">
        <f t="shared" si="221"/>
        <v>39</v>
      </c>
      <c r="J1861" s="14" t="str">
        <f t="shared" si="223"/>
        <v>Normal</v>
      </c>
      <c r="K1861" s="16" t="str">
        <f t="shared" si="224"/>
        <v>0-3</v>
      </c>
      <c r="L1861" s="14" t="str">
        <f t="shared" si="225"/>
        <v>Romper Short | 0-3 | Cream</v>
      </c>
      <c r="M1861" s="16" t="s">
        <v>3609</v>
      </c>
    </row>
    <row r="1862" spans="1:13" ht="25" customHeight="1" x14ac:dyDescent="0.45">
      <c r="A1862" s="18">
        <v>45922</v>
      </c>
      <c r="B1862" s="19" t="s">
        <v>1995</v>
      </c>
      <c r="C1862" s="21" t="s">
        <v>9</v>
      </c>
      <c r="D1862" s="53" t="str">
        <f t="shared" si="220"/>
        <v>Cream</v>
      </c>
      <c r="E1862" s="21" t="s">
        <v>1834</v>
      </c>
      <c r="F1862" s="23" t="s">
        <v>7</v>
      </c>
      <c r="G1862" s="4" t="str">
        <f t="shared" si="219"/>
        <v>Romper Short</v>
      </c>
      <c r="H1862" s="38">
        <f t="shared" si="222"/>
        <v>9</v>
      </c>
      <c r="I1862" s="54">
        <f t="shared" si="221"/>
        <v>39</v>
      </c>
      <c r="J1862" s="14" t="str">
        <f t="shared" si="223"/>
        <v>Normal</v>
      </c>
      <c r="K1862" s="16" t="str">
        <f t="shared" si="224"/>
        <v>0-3</v>
      </c>
      <c r="L1862" s="14" t="str">
        <f t="shared" si="225"/>
        <v>Romper Short | 0-3 | Cream</v>
      </c>
      <c r="M1862" s="16" t="s">
        <v>3609</v>
      </c>
    </row>
    <row r="1863" spans="1:13" ht="25" customHeight="1" x14ac:dyDescent="0.45">
      <c r="A1863" s="18">
        <v>45923</v>
      </c>
      <c r="B1863" s="19" t="s">
        <v>1996</v>
      </c>
      <c r="C1863" s="21" t="s">
        <v>407</v>
      </c>
      <c r="D1863" s="53" t="str">
        <f t="shared" si="220"/>
        <v>Texas Orange</v>
      </c>
      <c r="E1863" s="21" t="s">
        <v>1834</v>
      </c>
      <c r="F1863" s="23" t="s">
        <v>7</v>
      </c>
      <c r="G1863" s="4" t="str">
        <f t="shared" si="219"/>
        <v>Romper Short</v>
      </c>
      <c r="H1863" s="38">
        <f t="shared" si="222"/>
        <v>9</v>
      </c>
      <c r="I1863" s="54">
        <f t="shared" si="221"/>
        <v>39</v>
      </c>
      <c r="J1863" s="14" t="str">
        <f t="shared" si="223"/>
        <v>Normal</v>
      </c>
      <c r="K1863" s="16" t="str">
        <f t="shared" si="224"/>
        <v>0-3</v>
      </c>
      <c r="L1863" s="14" t="str">
        <f t="shared" si="225"/>
        <v>Romper Short | 0-3 | Texas Orange</v>
      </c>
      <c r="M1863" s="16" t="s">
        <v>3610</v>
      </c>
    </row>
    <row r="1864" spans="1:13" ht="25" customHeight="1" x14ac:dyDescent="0.45">
      <c r="A1864" s="18">
        <v>45924</v>
      </c>
      <c r="B1864" s="19" t="s">
        <v>1997</v>
      </c>
      <c r="C1864" s="21" t="s">
        <v>9</v>
      </c>
      <c r="D1864" s="53" t="str">
        <f t="shared" si="220"/>
        <v>Cream</v>
      </c>
      <c r="E1864" s="21" t="s">
        <v>1834</v>
      </c>
      <c r="F1864" s="23" t="s">
        <v>7</v>
      </c>
      <c r="G1864" s="4" t="str">
        <f t="shared" si="219"/>
        <v>Romper Short</v>
      </c>
      <c r="H1864" s="38">
        <f t="shared" si="222"/>
        <v>9</v>
      </c>
      <c r="I1864" s="54">
        <f t="shared" si="221"/>
        <v>39</v>
      </c>
      <c r="J1864" s="14" t="str">
        <f t="shared" si="223"/>
        <v>Normal</v>
      </c>
      <c r="K1864" s="16" t="str">
        <f t="shared" si="224"/>
        <v>0-3</v>
      </c>
      <c r="L1864" s="14" t="str">
        <f t="shared" si="225"/>
        <v>Romper Short | 0-3 | Cream</v>
      </c>
      <c r="M1864" s="16" t="s">
        <v>3609</v>
      </c>
    </row>
    <row r="1865" spans="1:13" ht="25" customHeight="1" x14ac:dyDescent="0.45">
      <c r="A1865" s="18">
        <v>45925</v>
      </c>
      <c r="B1865" s="19" t="s">
        <v>1998</v>
      </c>
      <c r="C1865" s="21" t="s">
        <v>74</v>
      </c>
      <c r="D1865" s="53" t="str">
        <f t="shared" si="220"/>
        <v>Watermelon</v>
      </c>
      <c r="E1865" s="21" t="s">
        <v>1834</v>
      </c>
      <c r="F1865" s="23" t="s">
        <v>7</v>
      </c>
      <c r="G1865" s="4" t="str">
        <f t="shared" si="219"/>
        <v>Romper Short</v>
      </c>
      <c r="H1865" s="38">
        <f t="shared" si="222"/>
        <v>9</v>
      </c>
      <c r="I1865" s="54">
        <f t="shared" si="221"/>
        <v>39</v>
      </c>
      <c r="J1865" s="14" t="str">
        <f t="shared" si="223"/>
        <v>Normal</v>
      </c>
      <c r="K1865" s="16" t="str">
        <f t="shared" si="224"/>
        <v>0-3</v>
      </c>
      <c r="L1865" s="14" t="str">
        <f t="shared" si="225"/>
        <v>Romper Short | 0-3 | Watermelon</v>
      </c>
      <c r="M1865" s="16" t="s">
        <v>3610</v>
      </c>
    </row>
    <row r="1866" spans="1:13" ht="25" customHeight="1" x14ac:dyDescent="0.45">
      <c r="A1866" s="18">
        <v>45926</v>
      </c>
      <c r="B1866" s="19" t="s">
        <v>1999</v>
      </c>
      <c r="C1866" s="21" t="s">
        <v>9</v>
      </c>
      <c r="D1866" s="53" t="str">
        <f t="shared" si="220"/>
        <v>Cream</v>
      </c>
      <c r="E1866" s="21" t="s">
        <v>1834</v>
      </c>
      <c r="F1866" s="23" t="s">
        <v>7</v>
      </c>
      <c r="G1866" s="4" t="str">
        <f t="shared" si="219"/>
        <v>Romper Short</v>
      </c>
      <c r="H1866" s="38">
        <f t="shared" si="222"/>
        <v>9</v>
      </c>
      <c r="I1866" s="54">
        <f t="shared" si="221"/>
        <v>39</v>
      </c>
      <c r="J1866" s="14" t="str">
        <f t="shared" si="223"/>
        <v>Normal</v>
      </c>
      <c r="K1866" s="16" t="str">
        <f t="shared" si="224"/>
        <v>0-3</v>
      </c>
      <c r="L1866" s="14" t="str">
        <f t="shared" si="225"/>
        <v>Romper Short | 0-3 | Cream</v>
      </c>
      <c r="M1866" s="16" t="s">
        <v>3609</v>
      </c>
    </row>
    <row r="1867" spans="1:13" ht="25" customHeight="1" x14ac:dyDescent="0.45">
      <c r="A1867" s="18">
        <v>45927</v>
      </c>
      <c r="B1867" s="19" t="s">
        <v>2000</v>
      </c>
      <c r="C1867" s="21" t="s">
        <v>9</v>
      </c>
      <c r="D1867" s="53" t="str">
        <f t="shared" si="220"/>
        <v>Cream</v>
      </c>
      <c r="E1867" s="21" t="s">
        <v>1834</v>
      </c>
      <c r="F1867" s="23" t="s">
        <v>7</v>
      </c>
      <c r="G1867" s="4" t="str">
        <f t="shared" si="219"/>
        <v>Romper Short</v>
      </c>
      <c r="H1867" s="38">
        <f t="shared" si="222"/>
        <v>9</v>
      </c>
      <c r="I1867" s="54">
        <f t="shared" si="221"/>
        <v>39</v>
      </c>
      <c r="J1867" s="14" t="str">
        <f t="shared" si="223"/>
        <v>Normal</v>
      </c>
      <c r="K1867" s="16" t="str">
        <f t="shared" si="224"/>
        <v>0-3</v>
      </c>
      <c r="L1867" s="14" t="str">
        <f t="shared" si="225"/>
        <v>Romper Short | 0-3 | Cream</v>
      </c>
      <c r="M1867" s="16" t="s">
        <v>3609</v>
      </c>
    </row>
    <row r="1868" spans="1:13" ht="25" customHeight="1" x14ac:dyDescent="0.45">
      <c r="A1868" s="18">
        <v>45928</v>
      </c>
      <c r="B1868" s="19" t="s">
        <v>2001</v>
      </c>
      <c r="C1868" s="21" t="s">
        <v>76</v>
      </c>
      <c r="D1868" s="53" t="str">
        <f t="shared" si="220"/>
        <v>Caldet Blue</v>
      </c>
      <c r="E1868" s="21" t="s">
        <v>1834</v>
      </c>
      <c r="F1868" s="23" t="s">
        <v>7</v>
      </c>
      <c r="G1868" s="4" t="str">
        <f t="shared" si="219"/>
        <v>Romper Short</v>
      </c>
      <c r="H1868" s="38">
        <f t="shared" si="222"/>
        <v>9</v>
      </c>
      <c r="I1868" s="54">
        <f t="shared" si="221"/>
        <v>40</v>
      </c>
      <c r="J1868" s="14" t="str">
        <f t="shared" si="223"/>
        <v>Normal</v>
      </c>
      <c r="K1868" s="16" t="str">
        <f t="shared" si="224"/>
        <v>0-3</v>
      </c>
      <c r="L1868" s="14" t="str">
        <f t="shared" si="225"/>
        <v>Romper Short | 0-3 | Caldet Blue</v>
      </c>
      <c r="M1868" s="16" t="s">
        <v>3610</v>
      </c>
    </row>
    <row r="1869" spans="1:13" ht="25" customHeight="1" x14ac:dyDescent="0.45">
      <c r="A1869" s="18">
        <v>45929</v>
      </c>
      <c r="B1869" s="19" t="s">
        <v>2002</v>
      </c>
      <c r="C1869" s="21" t="s">
        <v>9</v>
      </c>
      <c r="D1869" s="53" t="str">
        <f t="shared" si="220"/>
        <v>Cream</v>
      </c>
      <c r="E1869" s="21" t="s">
        <v>1841</v>
      </c>
      <c r="F1869" s="23" t="s">
        <v>7</v>
      </c>
      <c r="G1869" s="4" t="str">
        <f t="shared" si="219"/>
        <v>Romper Longer</v>
      </c>
      <c r="H1869" s="38">
        <f t="shared" si="222"/>
        <v>9</v>
      </c>
      <c r="I1869" s="54">
        <f t="shared" si="221"/>
        <v>40</v>
      </c>
      <c r="J1869" s="14" t="str">
        <f t="shared" si="223"/>
        <v>Normal</v>
      </c>
      <c r="K1869" s="16" t="str">
        <f t="shared" si="224"/>
        <v>6-12</v>
      </c>
      <c r="L1869" s="14" t="str">
        <f t="shared" si="225"/>
        <v>Romper Longer | 6-12 | Cream</v>
      </c>
      <c r="M1869" s="16" t="s">
        <v>3611</v>
      </c>
    </row>
    <row r="1870" spans="1:13" ht="25" customHeight="1" x14ac:dyDescent="0.45">
      <c r="A1870" s="18">
        <v>45930</v>
      </c>
      <c r="B1870" s="19" t="s">
        <v>2003</v>
      </c>
      <c r="C1870" s="21" t="s">
        <v>178</v>
      </c>
      <c r="D1870" s="53" t="str">
        <f t="shared" si="220"/>
        <v>Mauve Taupe</v>
      </c>
      <c r="E1870" s="21" t="s">
        <v>1831</v>
      </c>
      <c r="F1870" s="23" t="s">
        <v>7</v>
      </c>
      <c r="G1870" s="4" t="str">
        <f t="shared" si="219"/>
        <v>Romper Longer</v>
      </c>
      <c r="H1870" s="38">
        <f t="shared" si="222"/>
        <v>9</v>
      </c>
      <c r="I1870" s="54">
        <f t="shared" si="221"/>
        <v>40</v>
      </c>
      <c r="J1870" s="14" t="str">
        <f t="shared" si="223"/>
        <v>Normal</v>
      </c>
      <c r="K1870" s="16" t="str">
        <f t="shared" si="224"/>
        <v>0-3</v>
      </c>
      <c r="L1870" s="14" t="str">
        <f t="shared" si="225"/>
        <v>Romper Longer | 0-3 | Mauve Taupe</v>
      </c>
      <c r="M1870" s="16" t="s">
        <v>3610</v>
      </c>
    </row>
    <row r="1871" spans="1:13" ht="25" customHeight="1" x14ac:dyDescent="0.45">
      <c r="A1871" s="18">
        <v>45931</v>
      </c>
      <c r="B1871" s="19" t="s">
        <v>2004</v>
      </c>
      <c r="C1871" s="21" t="s">
        <v>79</v>
      </c>
      <c r="D1871" s="53" t="str">
        <f t="shared" si="220"/>
        <v>White</v>
      </c>
      <c r="E1871" s="21" t="s">
        <v>1849</v>
      </c>
      <c r="F1871" s="23" t="s">
        <v>7</v>
      </c>
      <c r="G1871" s="4" t="str">
        <f t="shared" si="219"/>
        <v>Romper Short</v>
      </c>
      <c r="H1871" s="38">
        <f t="shared" si="222"/>
        <v>10</v>
      </c>
      <c r="I1871" s="54">
        <f t="shared" si="221"/>
        <v>40</v>
      </c>
      <c r="J1871" s="14" t="str">
        <f t="shared" si="223"/>
        <v>Halloween</v>
      </c>
      <c r="K1871" s="16" t="str">
        <f t="shared" si="224"/>
        <v>3-6</v>
      </c>
      <c r="L1871" s="14" t="str">
        <f t="shared" si="225"/>
        <v>Romper Short | 3-6 | White</v>
      </c>
      <c r="M1871" s="16" t="s">
        <v>3610</v>
      </c>
    </row>
    <row r="1872" spans="1:13" ht="25" customHeight="1" x14ac:dyDescent="0.45">
      <c r="A1872" s="18">
        <v>45932</v>
      </c>
      <c r="B1872" s="19" t="s">
        <v>2005</v>
      </c>
      <c r="C1872" s="21" t="s">
        <v>9</v>
      </c>
      <c r="D1872" s="53" t="str">
        <f t="shared" si="220"/>
        <v>Cream</v>
      </c>
      <c r="E1872" s="21" t="s">
        <v>1841</v>
      </c>
      <c r="F1872" s="23" t="s">
        <v>7</v>
      </c>
      <c r="G1872" s="4" t="str">
        <f t="shared" ref="G1872:G1934" si="226">IF(ISNUMBER(SEARCH("LONG",E1872)),"Romper Longer",IF(ISNUMBER(SEARCH("SHORT",E1872)),"Romper Short","Bodysuit"))</f>
        <v>Romper Longer</v>
      </c>
      <c r="H1872" s="38">
        <f t="shared" si="222"/>
        <v>10</v>
      </c>
      <c r="I1872" s="54">
        <f t="shared" si="221"/>
        <v>40</v>
      </c>
      <c r="J1872" s="14" t="str">
        <f t="shared" si="223"/>
        <v>Halloween</v>
      </c>
      <c r="K1872" s="16" t="str">
        <f t="shared" si="224"/>
        <v>6-12</v>
      </c>
      <c r="L1872" s="14" t="str">
        <f t="shared" si="225"/>
        <v>Romper Longer | 6-12 | Cream</v>
      </c>
      <c r="M1872" s="16" t="s">
        <v>3611</v>
      </c>
    </row>
    <row r="1873" spans="1:13" ht="25" customHeight="1" x14ac:dyDescent="0.45">
      <c r="A1873" s="18">
        <v>45933</v>
      </c>
      <c r="B1873" s="19" t="s">
        <v>2006</v>
      </c>
      <c r="C1873" s="21" t="s">
        <v>71</v>
      </c>
      <c r="D1873" s="53" t="str">
        <f t="shared" si="220"/>
        <v>Coffee</v>
      </c>
      <c r="E1873" s="21" t="s">
        <v>1831</v>
      </c>
      <c r="F1873" s="23" t="s">
        <v>7</v>
      </c>
      <c r="G1873" s="4" t="str">
        <f t="shared" si="226"/>
        <v>Romper Longer</v>
      </c>
      <c r="H1873" s="38">
        <f t="shared" si="222"/>
        <v>10</v>
      </c>
      <c r="I1873" s="54">
        <f t="shared" si="221"/>
        <v>40</v>
      </c>
      <c r="J1873" s="14" t="str">
        <f t="shared" si="223"/>
        <v>Halloween</v>
      </c>
      <c r="K1873" s="16" t="str">
        <f t="shared" si="224"/>
        <v>0-3</v>
      </c>
      <c r="L1873" s="14" t="str">
        <f t="shared" si="225"/>
        <v>Romper Longer | 0-3 | Coffee</v>
      </c>
      <c r="M1873" s="16" t="s">
        <v>3610</v>
      </c>
    </row>
    <row r="1874" spans="1:13" ht="25" customHeight="1" x14ac:dyDescent="0.45">
      <c r="A1874" s="18">
        <v>45934</v>
      </c>
      <c r="B1874" s="19" t="s">
        <v>2007</v>
      </c>
      <c r="C1874" s="21" t="s">
        <v>76</v>
      </c>
      <c r="D1874" s="53" t="str">
        <f t="shared" si="220"/>
        <v>Caldet Blue</v>
      </c>
      <c r="E1874" s="21" t="s">
        <v>1841</v>
      </c>
      <c r="F1874" s="23" t="s">
        <v>7</v>
      </c>
      <c r="G1874" s="4" t="str">
        <f t="shared" si="226"/>
        <v>Romper Longer</v>
      </c>
      <c r="H1874" s="38">
        <f t="shared" si="222"/>
        <v>10</v>
      </c>
      <c r="I1874" s="54">
        <f t="shared" si="221"/>
        <v>40</v>
      </c>
      <c r="J1874" s="14" t="str">
        <f t="shared" si="223"/>
        <v>Halloween</v>
      </c>
      <c r="K1874" s="16" t="str">
        <f t="shared" si="224"/>
        <v>6-12</v>
      </c>
      <c r="L1874" s="14" t="str">
        <f t="shared" si="225"/>
        <v>Romper Longer | 6-12 | Caldet Blue</v>
      </c>
      <c r="M1874" s="16" t="s">
        <v>3610</v>
      </c>
    </row>
    <row r="1875" spans="1:13" ht="25" customHeight="1" x14ac:dyDescent="0.45">
      <c r="A1875" s="18">
        <v>45935</v>
      </c>
      <c r="B1875" s="19" t="s">
        <v>2008</v>
      </c>
      <c r="C1875" s="21" t="s">
        <v>9</v>
      </c>
      <c r="D1875" s="53" t="str">
        <f t="shared" si="220"/>
        <v>Cream</v>
      </c>
      <c r="E1875" s="21" t="s">
        <v>1828</v>
      </c>
      <c r="F1875" s="23" t="s">
        <v>7</v>
      </c>
      <c r="G1875" s="4" t="str">
        <f t="shared" si="226"/>
        <v>Romper Longer</v>
      </c>
      <c r="H1875" s="38">
        <f t="shared" si="222"/>
        <v>10</v>
      </c>
      <c r="I1875" s="54">
        <f t="shared" si="221"/>
        <v>41</v>
      </c>
      <c r="J1875" s="14" t="str">
        <f t="shared" si="223"/>
        <v>Halloween</v>
      </c>
      <c r="K1875" s="16" t="str">
        <f t="shared" si="224"/>
        <v>3-6</v>
      </c>
      <c r="L1875" s="14" t="str">
        <f t="shared" si="225"/>
        <v>Romper Longer | 3-6 | Cream</v>
      </c>
      <c r="M1875" s="16" t="s">
        <v>3609</v>
      </c>
    </row>
    <row r="1876" spans="1:13" ht="25" customHeight="1" x14ac:dyDescent="0.45">
      <c r="A1876" s="18">
        <v>45936</v>
      </c>
      <c r="B1876" s="19" t="s">
        <v>2009</v>
      </c>
      <c r="C1876" s="21" t="s">
        <v>9</v>
      </c>
      <c r="D1876" s="53" t="str">
        <f t="shared" ref="D1876:D1938" si="227">PROPER(C1876)</f>
        <v>Cream</v>
      </c>
      <c r="E1876" s="21" t="s">
        <v>1828</v>
      </c>
      <c r="F1876" s="23" t="s">
        <v>7</v>
      </c>
      <c r="G1876" s="4" t="str">
        <f t="shared" si="226"/>
        <v>Romper Longer</v>
      </c>
      <c r="H1876" s="38">
        <f t="shared" si="222"/>
        <v>10</v>
      </c>
      <c r="I1876" s="54">
        <f t="shared" si="221"/>
        <v>41</v>
      </c>
      <c r="J1876" s="14" t="str">
        <f t="shared" si="223"/>
        <v>Halloween</v>
      </c>
      <c r="K1876" s="16" t="str">
        <f t="shared" si="224"/>
        <v>3-6</v>
      </c>
      <c r="L1876" s="14" t="str">
        <f t="shared" si="225"/>
        <v>Romper Longer | 3-6 | Cream</v>
      </c>
      <c r="M1876" s="16" t="s">
        <v>3609</v>
      </c>
    </row>
    <row r="1877" spans="1:13" ht="25" customHeight="1" x14ac:dyDescent="0.45">
      <c r="A1877" s="18">
        <v>45937</v>
      </c>
      <c r="B1877" s="19" t="s">
        <v>2010</v>
      </c>
      <c r="C1877" s="21" t="s">
        <v>9</v>
      </c>
      <c r="D1877" s="53" t="str">
        <f t="shared" si="227"/>
        <v>Cream</v>
      </c>
      <c r="E1877" s="21" t="s">
        <v>1828</v>
      </c>
      <c r="F1877" s="23" t="s">
        <v>7</v>
      </c>
      <c r="G1877" s="4" t="str">
        <f t="shared" si="226"/>
        <v>Romper Longer</v>
      </c>
      <c r="H1877" s="38">
        <f t="shared" si="222"/>
        <v>10</v>
      </c>
      <c r="I1877" s="54">
        <f t="shared" si="221"/>
        <v>41</v>
      </c>
      <c r="J1877" s="14" t="str">
        <f t="shared" si="223"/>
        <v>Halloween</v>
      </c>
      <c r="K1877" s="16" t="str">
        <f t="shared" si="224"/>
        <v>3-6</v>
      </c>
      <c r="L1877" s="14" t="str">
        <f t="shared" si="225"/>
        <v>Romper Longer | 3-6 | Cream</v>
      </c>
      <c r="M1877" s="16" t="s">
        <v>3609</v>
      </c>
    </row>
    <row r="1878" spans="1:13" ht="25" customHeight="1" x14ac:dyDescent="0.45">
      <c r="A1878" s="18">
        <v>45938</v>
      </c>
      <c r="B1878" s="19" t="s">
        <v>2011</v>
      </c>
      <c r="C1878" s="21" t="s">
        <v>110</v>
      </c>
      <c r="D1878" s="53" t="str">
        <f t="shared" si="227"/>
        <v>Sage Green</v>
      </c>
      <c r="E1878" s="21" t="s">
        <v>1841</v>
      </c>
      <c r="F1878" s="23" t="s">
        <v>7</v>
      </c>
      <c r="G1878" s="4" t="str">
        <f t="shared" si="226"/>
        <v>Romper Longer</v>
      </c>
      <c r="H1878" s="38">
        <f t="shared" si="222"/>
        <v>10</v>
      </c>
      <c r="I1878" s="54">
        <f t="shared" si="221"/>
        <v>41</v>
      </c>
      <c r="J1878" s="14" t="str">
        <f t="shared" si="223"/>
        <v>Halloween</v>
      </c>
      <c r="K1878" s="16" t="str">
        <f t="shared" si="224"/>
        <v>6-12</v>
      </c>
      <c r="L1878" s="14" t="str">
        <f t="shared" si="225"/>
        <v>Romper Longer | 6-12 | Sage Green</v>
      </c>
      <c r="M1878" s="16" t="s">
        <v>3610</v>
      </c>
    </row>
    <row r="1879" spans="1:13" ht="25" customHeight="1" x14ac:dyDescent="0.45">
      <c r="A1879" s="18">
        <v>45939</v>
      </c>
      <c r="B1879" s="19" t="s">
        <v>2012</v>
      </c>
      <c r="C1879" s="21" t="s">
        <v>9</v>
      </c>
      <c r="D1879" s="53" t="str">
        <f t="shared" si="227"/>
        <v>Cream</v>
      </c>
      <c r="E1879" s="21" t="s">
        <v>1831</v>
      </c>
      <c r="F1879" s="23" t="s">
        <v>7</v>
      </c>
      <c r="G1879" s="4" t="str">
        <f t="shared" si="226"/>
        <v>Romper Longer</v>
      </c>
      <c r="H1879" s="38">
        <f t="shared" si="222"/>
        <v>10</v>
      </c>
      <c r="I1879" s="54">
        <f t="shared" si="221"/>
        <v>41</v>
      </c>
      <c r="J1879" s="14" t="str">
        <f t="shared" si="223"/>
        <v>Halloween</v>
      </c>
      <c r="K1879" s="16" t="str">
        <f t="shared" si="224"/>
        <v>0-3</v>
      </c>
      <c r="L1879" s="14" t="str">
        <f t="shared" si="225"/>
        <v>Romper Longer | 0-3 | Cream</v>
      </c>
      <c r="M1879" s="16" t="s">
        <v>3609</v>
      </c>
    </row>
    <row r="1880" spans="1:13" ht="25" customHeight="1" x14ac:dyDescent="0.45">
      <c r="A1880" s="18">
        <v>45940</v>
      </c>
      <c r="B1880" s="19" t="s">
        <v>2013</v>
      </c>
      <c r="C1880" s="21" t="s">
        <v>9</v>
      </c>
      <c r="D1880" s="53" t="str">
        <f t="shared" si="227"/>
        <v>Cream</v>
      </c>
      <c r="E1880" s="21" t="s">
        <v>1849</v>
      </c>
      <c r="F1880" s="23" t="s">
        <v>7</v>
      </c>
      <c r="G1880" s="4" t="str">
        <f t="shared" si="226"/>
        <v>Romper Short</v>
      </c>
      <c r="H1880" s="38">
        <f t="shared" si="222"/>
        <v>10</v>
      </c>
      <c r="I1880" s="54">
        <f t="shared" si="221"/>
        <v>41</v>
      </c>
      <c r="J1880" s="14" t="str">
        <f t="shared" si="223"/>
        <v>Halloween</v>
      </c>
      <c r="K1880" s="16" t="str">
        <f t="shared" si="224"/>
        <v>3-6</v>
      </c>
      <c r="L1880" s="14" t="str">
        <f t="shared" si="225"/>
        <v>Romper Short | 3-6 | Cream</v>
      </c>
      <c r="M1880" s="16" t="s">
        <v>3609</v>
      </c>
    </row>
    <row r="1881" spans="1:13" ht="25" customHeight="1" x14ac:dyDescent="0.45">
      <c r="A1881" s="18">
        <v>45941</v>
      </c>
      <c r="B1881" s="19" t="s">
        <v>2014</v>
      </c>
      <c r="C1881" s="21" t="s">
        <v>79</v>
      </c>
      <c r="D1881" s="53" t="str">
        <f t="shared" si="227"/>
        <v>White</v>
      </c>
      <c r="E1881" s="21" t="s">
        <v>1831</v>
      </c>
      <c r="F1881" s="23" t="s">
        <v>7</v>
      </c>
      <c r="G1881" s="4" t="str">
        <f t="shared" si="226"/>
        <v>Romper Longer</v>
      </c>
      <c r="H1881" s="38">
        <f t="shared" si="222"/>
        <v>10</v>
      </c>
      <c r="I1881" s="54">
        <f t="shared" si="221"/>
        <v>41</v>
      </c>
      <c r="J1881" s="14" t="str">
        <f t="shared" si="223"/>
        <v>Halloween</v>
      </c>
      <c r="K1881" s="16" t="str">
        <f t="shared" si="224"/>
        <v>0-3</v>
      </c>
      <c r="L1881" s="14" t="str">
        <f t="shared" si="225"/>
        <v>Romper Longer | 0-3 | White</v>
      </c>
      <c r="M1881" s="16" t="s">
        <v>3610</v>
      </c>
    </row>
    <row r="1882" spans="1:13" ht="25" customHeight="1" x14ac:dyDescent="0.45">
      <c r="A1882" s="18">
        <v>45942</v>
      </c>
      <c r="B1882" s="19" t="s">
        <v>2015</v>
      </c>
      <c r="C1882" s="21" t="s">
        <v>9</v>
      </c>
      <c r="D1882" s="53" t="str">
        <f t="shared" si="227"/>
        <v>Cream</v>
      </c>
      <c r="E1882" s="21" t="s">
        <v>1831</v>
      </c>
      <c r="F1882" s="23" t="s">
        <v>7</v>
      </c>
      <c r="G1882" s="4" t="str">
        <f t="shared" si="226"/>
        <v>Romper Longer</v>
      </c>
      <c r="H1882" s="38">
        <f t="shared" si="222"/>
        <v>10</v>
      </c>
      <c r="I1882" s="54">
        <f t="shared" si="221"/>
        <v>42</v>
      </c>
      <c r="J1882" s="14" t="str">
        <f t="shared" si="223"/>
        <v>Halloween</v>
      </c>
      <c r="K1882" s="16" t="str">
        <f t="shared" si="224"/>
        <v>0-3</v>
      </c>
      <c r="L1882" s="14" t="str">
        <f t="shared" si="225"/>
        <v>Romper Longer | 0-3 | Cream</v>
      </c>
      <c r="M1882" s="16" t="s">
        <v>3609</v>
      </c>
    </row>
    <row r="1883" spans="1:13" ht="25" customHeight="1" x14ac:dyDescent="0.45">
      <c r="A1883" s="18">
        <v>45943</v>
      </c>
      <c r="B1883" s="19" t="s">
        <v>2016</v>
      </c>
      <c r="C1883" s="21" t="s">
        <v>9</v>
      </c>
      <c r="D1883" s="53" t="str">
        <f t="shared" si="227"/>
        <v>Cream</v>
      </c>
      <c r="E1883" s="21" t="s">
        <v>1841</v>
      </c>
      <c r="F1883" s="23" t="s">
        <v>7</v>
      </c>
      <c r="G1883" s="4" t="str">
        <f t="shared" si="226"/>
        <v>Romper Longer</v>
      </c>
      <c r="H1883" s="38">
        <f t="shared" si="222"/>
        <v>10</v>
      </c>
      <c r="I1883" s="54">
        <f t="shared" si="221"/>
        <v>42</v>
      </c>
      <c r="J1883" s="14" t="str">
        <f t="shared" si="223"/>
        <v>Halloween</v>
      </c>
      <c r="K1883" s="16" t="str">
        <f t="shared" si="224"/>
        <v>6-12</v>
      </c>
      <c r="L1883" s="14" t="str">
        <f t="shared" si="225"/>
        <v>Romper Longer | 6-12 | Cream</v>
      </c>
      <c r="M1883" s="16" t="s">
        <v>3611</v>
      </c>
    </row>
    <row r="1884" spans="1:13" ht="25" customHeight="1" x14ac:dyDescent="0.45">
      <c r="A1884" s="18">
        <v>45944</v>
      </c>
      <c r="B1884" s="19" t="s">
        <v>2017</v>
      </c>
      <c r="C1884" s="21" t="s">
        <v>9</v>
      </c>
      <c r="D1884" s="53" t="str">
        <f t="shared" si="227"/>
        <v>Cream</v>
      </c>
      <c r="E1884" s="21" t="s">
        <v>1834</v>
      </c>
      <c r="F1884" s="23" t="s">
        <v>7</v>
      </c>
      <c r="G1884" s="4" t="str">
        <f t="shared" si="226"/>
        <v>Romper Short</v>
      </c>
      <c r="H1884" s="38">
        <f t="shared" si="222"/>
        <v>10</v>
      </c>
      <c r="I1884" s="54">
        <f t="shared" si="221"/>
        <v>42</v>
      </c>
      <c r="J1884" s="14" t="str">
        <f t="shared" si="223"/>
        <v>Halloween</v>
      </c>
      <c r="K1884" s="16" t="str">
        <f t="shared" si="224"/>
        <v>0-3</v>
      </c>
      <c r="L1884" s="14" t="str">
        <f t="shared" si="225"/>
        <v>Romper Short | 0-3 | Cream</v>
      </c>
      <c r="M1884" s="16" t="s">
        <v>3609</v>
      </c>
    </row>
    <row r="1885" spans="1:13" ht="25" customHeight="1" x14ac:dyDescent="0.45">
      <c r="A1885" s="18">
        <v>45945</v>
      </c>
      <c r="B1885" s="19" t="s">
        <v>2018</v>
      </c>
      <c r="C1885" s="21" t="s">
        <v>9</v>
      </c>
      <c r="D1885" s="53" t="str">
        <f t="shared" si="227"/>
        <v>Cream</v>
      </c>
      <c r="E1885" s="21" t="s">
        <v>1831</v>
      </c>
      <c r="F1885" s="23" t="s">
        <v>7</v>
      </c>
      <c r="G1885" s="4" t="str">
        <f t="shared" si="226"/>
        <v>Romper Longer</v>
      </c>
      <c r="H1885" s="38">
        <f t="shared" si="222"/>
        <v>10</v>
      </c>
      <c r="I1885" s="54">
        <f t="shared" si="221"/>
        <v>42</v>
      </c>
      <c r="J1885" s="14" t="str">
        <f t="shared" si="223"/>
        <v>Halloween</v>
      </c>
      <c r="K1885" s="16" t="str">
        <f t="shared" si="224"/>
        <v>0-3</v>
      </c>
      <c r="L1885" s="14" t="str">
        <f t="shared" si="225"/>
        <v>Romper Longer | 0-3 | Cream</v>
      </c>
      <c r="M1885" s="16" t="s">
        <v>3609</v>
      </c>
    </row>
    <row r="1886" spans="1:13" ht="25" customHeight="1" x14ac:dyDescent="0.45">
      <c r="A1886" s="18">
        <v>45946</v>
      </c>
      <c r="B1886" s="19" t="s">
        <v>2019</v>
      </c>
      <c r="C1886" s="21" t="s">
        <v>9</v>
      </c>
      <c r="D1886" s="53" t="str">
        <f t="shared" si="227"/>
        <v>Cream</v>
      </c>
      <c r="E1886" s="21" t="s">
        <v>1831</v>
      </c>
      <c r="F1886" s="23" t="s">
        <v>7</v>
      </c>
      <c r="G1886" s="4" t="str">
        <f t="shared" si="226"/>
        <v>Romper Longer</v>
      </c>
      <c r="H1886" s="38">
        <f t="shared" si="222"/>
        <v>10</v>
      </c>
      <c r="I1886" s="54">
        <f t="shared" si="221"/>
        <v>42</v>
      </c>
      <c r="J1886" s="14" t="str">
        <f t="shared" si="223"/>
        <v>Halloween</v>
      </c>
      <c r="K1886" s="16" t="str">
        <f t="shared" si="224"/>
        <v>0-3</v>
      </c>
      <c r="L1886" s="14" t="str">
        <f t="shared" si="225"/>
        <v>Romper Longer | 0-3 | Cream</v>
      </c>
      <c r="M1886" s="16" t="s">
        <v>3609</v>
      </c>
    </row>
    <row r="1887" spans="1:13" ht="25" customHeight="1" x14ac:dyDescent="0.45">
      <c r="A1887" s="18">
        <v>45947</v>
      </c>
      <c r="B1887" s="19" t="s">
        <v>2020</v>
      </c>
      <c r="C1887" s="21" t="s">
        <v>9</v>
      </c>
      <c r="D1887" s="53" t="str">
        <f t="shared" si="227"/>
        <v>Cream</v>
      </c>
      <c r="E1887" s="21" t="s">
        <v>1831</v>
      </c>
      <c r="F1887" s="23" t="s">
        <v>7</v>
      </c>
      <c r="G1887" s="4" t="str">
        <f t="shared" si="226"/>
        <v>Romper Longer</v>
      </c>
      <c r="H1887" s="38">
        <f t="shared" si="222"/>
        <v>10</v>
      </c>
      <c r="I1887" s="54">
        <f t="shared" si="221"/>
        <v>42</v>
      </c>
      <c r="J1887" s="14" t="str">
        <f t="shared" si="223"/>
        <v>Halloween</v>
      </c>
      <c r="K1887" s="16" t="str">
        <f t="shared" si="224"/>
        <v>0-3</v>
      </c>
      <c r="L1887" s="14" t="str">
        <f t="shared" si="225"/>
        <v>Romper Longer | 0-3 | Cream</v>
      </c>
      <c r="M1887" s="16" t="s">
        <v>3609</v>
      </c>
    </row>
    <row r="1888" spans="1:13" ht="25" customHeight="1" x14ac:dyDescent="0.45">
      <c r="A1888" s="18">
        <v>45948</v>
      </c>
      <c r="B1888" s="19" t="s">
        <v>2021</v>
      </c>
      <c r="C1888" s="21" t="s">
        <v>76</v>
      </c>
      <c r="D1888" s="53" t="str">
        <f t="shared" si="227"/>
        <v>Caldet Blue</v>
      </c>
      <c r="E1888" s="21" t="s">
        <v>1828</v>
      </c>
      <c r="F1888" s="23" t="s">
        <v>7</v>
      </c>
      <c r="G1888" s="4" t="str">
        <f t="shared" si="226"/>
        <v>Romper Longer</v>
      </c>
      <c r="H1888" s="38">
        <f t="shared" si="222"/>
        <v>10</v>
      </c>
      <c r="I1888" s="54">
        <f t="shared" si="221"/>
        <v>42</v>
      </c>
      <c r="J1888" s="14" t="str">
        <f t="shared" si="223"/>
        <v>Halloween</v>
      </c>
      <c r="K1888" s="16" t="str">
        <f t="shared" si="224"/>
        <v>3-6</v>
      </c>
      <c r="L1888" s="14" t="str">
        <f t="shared" si="225"/>
        <v>Romper Longer | 3-6 | Caldet Blue</v>
      </c>
      <c r="M1888" s="16" t="s">
        <v>3610</v>
      </c>
    </row>
    <row r="1889" spans="1:13" ht="25" customHeight="1" x14ac:dyDescent="0.45">
      <c r="A1889" s="18">
        <v>45949</v>
      </c>
      <c r="B1889" s="19" t="s">
        <v>2022</v>
      </c>
      <c r="C1889" s="21" t="s">
        <v>9</v>
      </c>
      <c r="D1889" s="53" t="str">
        <f t="shared" si="227"/>
        <v>Cream</v>
      </c>
      <c r="E1889" s="21" t="s">
        <v>1831</v>
      </c>
      <c r="F1889" s="23" t="s">
        <v>7</v>
      </c>
      <c r="G1889" s="4" t="str">
        <f t="shared" si="226"/>
        <v>Romper Longer</v>
      </c>
      <c r="H1889" s="38">
        <f t="shared" si="222"/>
        <v>10</v>
      </c>
      <c r="I1889" s="54">
        <f t="shared" si="221"/>
        <v>43</v>
      </c>
      <c r="J1889" s="14" t="str">
        <f t="shared" si="223"/>
        <v>Halloween</v>
      </c>
      <c r="K1889" s="16" t="str">
        <f t="shared" si="224"/>
        <v>0-3</v>
      </c>
      <c r="L1889" s="14" t="str">
        <f t="shared" si="225"/>
        <v>Romper Longer | 0-3 | Cream</v>
      </c>
      <c r="M1889" s="16" t="s">
        <v>3609</v>
      </c>
    </row>
    <row r="1890" spans="1:13" ht="25" customHeight="1" x14ac:dyDescent="0.45">
      <c r="A1890" s="18">
        <v>45950</v>
      </c>
      <c r="B1890" s="19" t="s">
        <v>2023</v>
      </c>
      <c r="C1890" s="21" t="s">
        <v>110</v>
      </c>
      <c r="D1890" s="53" t="str">
        <f t="shared" si="227"/>
        <v>Sage Green</v>
      </c>
      <c r="E1890" s="21" t="s">
        <v>1828</v>
      </c>
      <c r="F1890" s="23" t="s">
        <v>7</v>
      </c>
      <c r="G1890" s="4" t="str">
        <f t="shared" si="226"/>
        <v>Romper Longer</v>
      </c>
      <c r="H1890" s="38">
        <f t="shared" si="222"/>
        <v>10</v>
      </c>
      <c r="I1890" s="54">
        <f t="shared" si="221"/>
        <v>43</v>
      </c>
      <c r="J1890" s="14" t="str">
        <f t="shared" si="223"/>
        <v>Halloween</v>
      </c>
      <c r="K1890" s="16" t="str">
        <f t="shared" si="224"/>
        <v>3-6</v>
      </c>
      <c r="L1890" s="14" t="str">
        <f t="shared" si="225"/>
        <v>Romper Longer | 3-6 | Sage Green</v>
      </c>
      <c r="M1890" s="16" t="s">
        <v>3611</v>
      </c>
    </row>
    <row r="1891" spans="1:13" ht="25" customHeight="1" x14ac:dyDescent="0.45">
      <c r="A1891" s="18">
        <v>45810</v>
      </c>
      <c r="B1891" s="19" t="s">
        <v>2024</v>
      </c>
      <c r="C1891" s="23" t="s">
        <v>9</v>
      </c>
      <c r="D1891" s="53" t="str">
        <f t="shared" si="227"/>
        <v>Cream</v>
      </c>
      <c r="E1891" s="21" t="s">
        <v>1831</v>
      </c>
      <c r="F1891" s="23" t="s">
        <v>7</v>
      </c>
      <c r="G1891" s="4" t="str">
        <f t="shared" si="226"/>
        <v>Romper Longer</v>
      </c>
      <c r="H1891" s="38">
        <f t="shared" si="222"/>
        <v>6</v>
      </c>
      <c r="I1891" s="54">
        <f t="shared" si="221"/>
        <v>23</v>
      </c>
      <c r="J1891" s="14" t="str">
        <f t="shared" si="223"/>
        <v>FathersDay</v>
      </c>
      <c r="K1891" s="16" t="str">
        <f t="shared" si="224"/>
        <v>0-3</v>
      </c>
      <c r="L1891" s="14" t="str">
        <f t="shared" si="225"/>
        <v>Romper Longer | 0-3 | Cream</v>
      </c>
      <c r="M1891" s="16" t="s">
        <v>3609</v>
      </c>
    </row>
    <row r="1892" spans="1:13" ht="25" customHeight="1" x14ac:dyDescent="0.45">
      <c r="A1892" s="18">
        <v>45811</v>
      </c>
      <c r="B1892" s="19" t="s">
        <v>2025</v>
      </c>
      <c r="C1892" s="21" t="s">
        <v>9</v>
      </c>
      <c r="D1892" s="53" t="str">
        <f t="shared" si="227"/>
        <v>Cream</v>
      </c>
      <c r="E1892" s="21" t="s">
        <v>1831</v>
      </c>
      <c r="F1892" s="23" t="s">
        <v>7</v>
      </c>
      <c r="G1892" s="4" t="str">
        <f t="shared" si="226"/>
        <v>Romper Longer</v>
      </c>
      <c r="H1892" s="38">
        <f t="shared" si="222"/>
        <v>6</v>
      </c>
      <c r="I1892" s="54">
        <f t="shared" si="221"/>
        <v>23</v>
      </c>
      <c r="J1892" s="14" t="str">
        <f t="shared" si="223"/>
        <v>FathersDay</v>
      </c>
      <c r="K1892" s="16" t="str">
        <f t="shared" si="224"/>
        <v>0-3</v>
      </c>
      <c r="L1892" s="14" t="str">
        <f t="shared" si="225"/>
        <v>Romper Longer | 0-3 | Cream</v>
      </c>
      <c r="M1892" s="16" t="s">
        <v>3609</v>
      </c>
    </row>
    <row r="1893" spans="1:13" ht="25" customHeight="1" x14ac:dyDescent="0.45">
      <c r="A1893" s="18">
        <v>45812</v>
      </c>
      <c r="B1893" s="19" t="s">
        <v>2026</v>
      </c>
      <c r="C1893" s="21" t="s">
        <v>9</v>
      </c>
      <c r="D1893" s="53" t="str">
        <f t="shared" si="227"/>
        <v>Cream</v>
      </c>
      <c r="E1893" s="21" t="s">
        <v>1831</v>
      </c>
      <c r="F1893" s="28" t="s">
        <v>7</v>
      </c>
      <c r="G1893" s="4" t="str">
        <f t="shared" si="226"/>
        <v>Romper Longer</v>
      </c>
      <c r="H1893" s="38">
        <f t="shared" si="222"/>
        <v>6</v>
      </c>
      <c r="I1893" s="54">
        <f t="shared" si="221"/>
        <v>23</v>
      </c>
      <c r="J1893" s="14" t="str">
        <f t="shared" si="223"/>
        <v>FathersDay</v>
      </c>
      <c r="K1893" s="16" t="str">
        <f t="shared" si="224"/>
        <v>0-3</v>
      </c>
      <c r="L1893" s="14" t="str">
        <f t="shared" si="225"/>
        <v>Romper Longer | 0-3 | Cream</v>
      </c>
      <c r="M1893" s="16" t="s">
        <v>3609</v>
      </c>
    </row>
    <row r="1894" spans="1:13" ht="25" customHeight="1" x14ac:dyDescent="0.45">
      <c r="A1894" s="18">
        <v>45813</v>
      </c>
      <c r="B1894" s="19" t="s">
        <v>2027</v>
      </c>
      <c r="C1894" s="21" t="s">
        <v>9</v>
      </c>
      <c r="D1894" s="53" t="str">
        <f t="shared" si="227"/>
        <v>Cream</v>
      </c>
      <c r="E1894" s="21" t="s">
        <v>1828</v>
      </c>
      <c r="F1894" s="28" t="s">
        <v>7</v>
      </c>
      <c r="G1894" s="4" t="str">
        <f t="shared" si="226"/>
        <v>Romper Longer</v>
      </c>
      <c r="H1894" s="38">
        <f t="shared" si="222"/>
        <v>6</v>
      </c>
      <c r="I1894" s="54">
        <f t="shared" si="221"/>
        <v>23</v>
      </c>
      <c r="J1894" s="14" t="str">
        <f t="shared" si="223"/>
        <v>FathersDay</v>
      </c>
      <c r="K1894" s="16" t="str">
        <f t="shared" si="224"/>
        <v>3-6</v>
      </c>
      <c r="L1894" s="14" t="str">
        <f t="shared" si="225"/>
        <v>Romper Longer | 3-6 | Cream</v>
      </c>
      <c r="M1894" s="16" t="s">
        <v>3609</v>
      </c>
    </row>
    <row r="1895" spans="1:13" ht="25" customHeight="1" x14ac:dyDescent="0.45">
      <c r="A1895" s="18">
        <v>45814</v>
      </c>
      <c r="B1895" s="19" t="s">
        <v>2028</v>
      </c>
      <c r="C1895" s="21" t="s">
        <v>9</v>
      </c>
      <c r="D1895" s="53" t="str">
        <f t="shared" si="227"/>
        <v>Cream</v>
      </c>
      <c r="E1895" s="21" t="s">
        <v>1828</v>
      </c>
      <c r="F1895" s="28" t="s">
        <v>7</v>
      </c>
      <c r="G1895" s="4" t="str">
        <f t="shared" si="226"/>
        <v>Romper Longer</v>
      </c>
      <c r="H1895" s="38">
        <f t="shared" si="222"/>
        <v>6</v>
      </c>
      <c r="I1895" s="54">
        <f t="shared" si="221"/>
        <v>23</v>
      </c>
      <c r="J1895" s="14" t="str">
        <f t="shared" si="223"/>
        <v>FathersDay</v>
      </c>
      <c r="K1895" s="16" t="str">
        <f t="shared" si="224"/>
        <v>3-6</v>
      </c>
      <c r="L1895" s="14" t="str">
        <f t="shared" si="225"/>
        <v>Romper Longer | 3-6 | Cream</v>
      </c>
      <c r="M1895" s="16" t="s">
        <v>3609</v>
      </c>
    </row>
    <row r="1896" spans="1:13" ht="25" customHeight="1" x14ac:dyDescent="0.45">
      <c r="A1896" s="18">
        <v>45815</v>
      </c>
      <c r="B1896" s="19" t="s">
        <v>2029</v>
      </c>
      <c r="C1896" s="21" t="s">
        <v>9</v>
      </c>
      <c r="D1896" s="53" t="str">
        <f t="shared" si="227"/>
        <v>Cream</v>
      </c>
      <c r="E1896" s="21" t="s">
        <v>1828</v>
      </c>
      <c r="F1896" s="28" t="s">
        <v>7</v>
      </c>
      <c r="G1896" s="4" t="str">
        <f t="shared" si="226"/>
        <v>Romper Longer</v>
      </c>
      <c r="H1896" s="38">
        <f t="shared" si="222"/>
        <v>6</v>
      </c>
      <c r="I1896" s="54">
        <f t="shared" si="221"/>
        <v>23</v>
      </c>
      <c r="J1896" s="14" t="str">
        <f t="shared" si="223"/>
        <v>FathersDay</v>
      </c>
      <c r="K1896" s="16" t="str">
        <f t="shared" si="224"/>
        <v>3-6</v>
      </c>
      <c r="L1896" s="14" t="str">
        <f t="shared" si="225"/>
        <v>Romper Longer | 3-6 | Cream</v>
      </c>
      <c r="M1896" s="16" t="s">
        <v>3609</v>
      </c>
    </row>
    <row r="1897" spans="1:13" ht="25" customHeight="1" x14ac:dyDescent="0.45">
      <c r="A1897" s="18">
        <v>45816</v>
      </c>
      <c r="B1897" s="19" t="s">
        <v>2030</v>
      </c>
      <c r="C1897" s="21" t="s">
        <v>110</v>
      </c>
      <c r="D1897" s="53" t="str">
        <f t="shared" si="227"/>
        <v>Sage Green</v>
      </c>
      <c r="E1897" s="21" t="s">
        <v>1828</v>
      </c>
      <c r="F1897" s="28" t="s">
        <v>7</v>
      </c>
      <c r="G1897" s="4" t="str">
        <f t="shared" si="226"/>
        <v>Romper Longer</v>
      </c>
      <c r="H1897" s="38">
        <f t="shared" si="222"/>
        <v>6</v>
      </c>
      <c r="I1897" s="54">
        <f t="shared" si="221"/>
        <v>24</v>
      </c>
      <c r="J1897" s="14" t="str">
        <f t="shared" si="223"/>
        <v>FathersDay</v>
      </c>
      <c r="K1897" s="16" t="str">
        <f t="shared" si="224"/>
        <v>3-6</v>
      </c>
      <c r="L1897" s="14" t="str">
        <f t="shared" si="225"/>
        <v>Romper Longer | 3-6 | Sage Green</v>
      </c>
      <c r="M1897" s="16" t="s">
        <v>3611</v>
      </c>
    </row>
    <row r="1898" spans="1:13" ht="25" customHeight="1" x14ac:dyDescent="0.45">
      <c r="A1898" s="18">
        <v>45817</v>
      </c>
      <c r="B1898" s="19" t="s">
        <v>2031</v>
      </c>
      <c r="C1898" s="21" t="s">
        <v>224</v>
      </c>
      <c r="D1898" s="53" t="str">
        <f t="shared" si="227"/>
        <v>Salmon</v>
      </c>
      <c r="E1898" s="21" t="s">
        <v>1831</v>
      </c>
      <c r="F1898" s="28" t="s">
        <v>7</v>
      </c>
      <c r="G1898" s="4" t="str">
        <f t="shared" si="226"/>
        <v>Romper Longer</v>
      </c>
      <c r="H1898" s="38">
        <f t="shared" si="222"/>
        <v>6</v>
      </c>
      <c r="I1898" s="54">
        <f t="shared" si="221"/>
        <v>24</v>
      </c>
      <c r="J1898" s="14" t="str">
        <f t="shared" si="223"/>
        <v>FathersDay</v>
      </c>
      <c r="K1898" s="16" t="str">
        <f t="shared" si="224"/>
        <v>0-3</v>
      </c>
      <c r="L1898" s="14" t="str">
        <f t="shared" si="225"/>
        <v>Romper Longer | 0-3 | Salmon</v>
      </c>
      <c r="M1898" s="16" t="s">
        <v>3610</v>
      </c>
    </row>
    <row r="1899" spans="1:13" ht="25" customHeight="1" x14ac:dyDescent="0.45">
      <c r="A1899" s="18">
        <v>45818</v>
      </c>
      <c r="B1899" s="19" t="s">
        <v>2032</v>
      </c>
      <c r="C1899" s="21" t="s">
        <v>9</v>
      </c>
      <c r="D1899" s="53" t="str">
        <f t="shared" si="227"/>
        <v>Cream</v>
      </c>
      <c r="E1899" s="21" t="s">
        <v>1841</v>
      </c>
      <c r="F1899" s="28" t="s">
        <v>7</v>
      </c>
      <c r="G1899" s="4" t="str">
        <f t="shared" si="226"/>
        <v>Romper Longer</v>
      </c>
      <c r="H1899" s="38">
        <f t="shared" si="222"/>
        <v>6</v>
      </c>
      <c r="I1899" s="54">
        <f t="shared" si="221"/>
        <v>24</v>
      </c>
      <c r="J1899" s="14" t="str">
        <f t="shared" si="223"/>
        <v>FathersDay</v>
      </c>
      <c r="K1899" s="16" t="str">
        <f t="shared" si="224"/>
        <v>6-12</v>
      </c>
      <c r="L1899" s="14" t="str">
        <f t="shared" si="225"/>
        <v>Romper Longer | 6-12 | Cream</v>
      </c>
      <c r="M1899" s="16" t="s">
        <v>3611</v>
      </c>
    </row>
    <row r="1900" spans="1:13" ht="25" customHeight="1" x14ac:dyDescent="0.45">
      <c r="A1900" s="18">
        <v>45819</v>
      </c>
      <c r="B1900" s="19" t="s">
        <v>2033</v>
      </c>
      <c r="C1900" s="21" t="s">
        <v>224</v>
      </c>
      <c r="D1900" s="53" t="str">
        <f t="shared" si="227"/>
        <v>Salmon</v>
      </c>
      <c r="E1900" s="21" t="s">
        <v>1550</v>
      </c>
      <c r="F1900" s="28" t="s">
        <v>7</v>
      </c>
      <c r="G1900" s="4" t="str">
        <f t="shared" si="226"/>
        <v>Romper Longer</v>
      </c>
      <c r="H1900" s="38">
        <f t="shared" si="222"/>
        <v>6</v>
      </c>
      <c r="I1900" s="54">
        <f t="shared" si="221"/>
        <v>24</v>
      </c>
      <c r="J1900" s="14" t="str">
        <f t="shared" si="223"/>
        <v>FathersDay</v>
      </c>
      <c r="K1900" s="16" t="str">
        <f t="shared" si="224"/>
        <v>12-18</v>
      </c>
      <c r="L1900" s="14" t="str">
        <f t="shared" si="225"/>
        <v>Romper Longer | 12-18 | Salmon</v>
      </c>
      <c r="M1900" s="16" t="s">
        <v>3610</v>
      </c>
    </row>
    <row r="1901" spans="1:13" ht="25" customHeight="1" x14ac:dyDescent="0.45">
      <c r="A1901" s="18">
        <v>45820</v>
      </c>
      <c r="B1901" s="19" t="s">
        <v>2034</v>
      </c>
      <c r="C1901" s="21" t="s">
        <v>9</v>
      </c>
      <c r="D1901" s="53" t="str">
        <f t="shared" si="227"/>
        <v>Cream</v>
      </c>
      <c r="E1901" s="21" t="s">
        <v>1828</v>
      </c>
      <c r="F1901" s="28" t="s">
        <v>7</v>
      </c>
      <c r="G1901" s="4" t="str">
        <f t="shared" si="226"/>
        <v>Romper Longer</v>
      </c>
      <c r="H1901" s="38">
        <f t="shared" si="222"/>
        <v>6</v>
      </c>
      <c r="I1901" s="54">
        <f t="shared" si="221"/>
        <v>24</v>
      </c>
      <c r="J1901" s="14" t="str">
        <f t="shared" si="223"/>
        <v>FathersDay</v>
      </c>
      <c r="K1901" s="16" t="str">
        <f t="shared" si="224"/>
        <v>3-6</v>
      </c>
      <c r="L1901" s="14" t="str">
        <f t="shared" si="225"/>
        <v>Romper Longer | 3-6 | Cream</v>
      </c>
      <c r="M1901" s="16" t="s">
        <v>3609</v>
      </c>
    </row>
    <row r="1902" spans="1:13" ht="25" customHeight="1" x14ac:dyDescent="0.45">
      <c r="A1902" s="18">
        <v>45821</v>
      </c>
      <c r="B1902" s="19" t="s">
        <v>2035</v>
      </c>
      <c r="C1902" s="21" t="s">
        <v>85</v>
      </c>
      <c r="D1902" s="53" t="str">
        <f t="shared" si="227"/>
        <v>Forest Green</v>
      </c>
      <c r="E1902" s="21" t="s">
        <v>1828</v>
      </c>
      <c r="F1902" s="28" t="s">
        <v>7</v>
      </c>
      <c r="G1902" s="4" t="str">
        <f t="shared" si="226"/>
        <v>Romper Longer</v>
      </c>
      <c r="H1902" s="38">
        <f t="shared" si="222"/>
        <v>6</v>
      </c>
      <c r="I1902" s="54">
        <f t="shared" ref="I1902:I1965" si="228">WEEKNUM(A1902)</f>
        <v>24</v>
      </c>
      <c r="J1902" s="14" t="str">
        <f t="shared" si="223"/>
        <v>FathersDay</v>
      </c>
      <c r="K1902" s="16" t="str">
        <f t="shared" si="224"/>
        <v>3-6</v>
      </c>
      <c r="L1902" s="14" t="str">
        <f t="shared" si="225"/>
        <v>Romper Longer | 3-6 | Forest Green</v>
      </c>
      <c r="M1902" s="16" t="s">
        <v>3610</v>
      </c>
    </row>
    <row r="1903" spans="1:13" ht="25" customHeight="1" x14ac:dyDescent="0.45">
      <c r="A1903" s="18">
        <v>45822</v>
      </c>
      <c r="B1903" s="19" t="s">
        <v>2036</v>
      </c>
      <c r="C1903" s="21" t="s">
        <v>9</v>
      </c>
      <c r="D1903" s="53" t="str">
        <f t="shared" si="227"/>
        <v>Cream</v>
      </c>
      <c r="E1903" s="21" t="s">
        <v>1831</v>
      </c>
      <c r="F1903" s="28" t="s">
        <v>7</v>
      </c>
      <c r="G1903" s="4" t="str">
        <f t="shared" si="226"/>
        <v>Romper Longer</v>
      </c>
      <c r="H1903" s="38">
        <f t="shared" si="222"/>
        <v>6</v>
      </c>
      <c r="I1903" s="54">
        <f t="shared" si="228"/>
        <v>24</v>
      </c>
      <c r="J1903" s="14" t="str">
        <f t="shared" si="223"/>
        <v>FathersDay</v>
      </c>
      <c r="K1903" s="16" t="str">
        <f t="shared" si="224"/>
        <v>0-3</v>
      </c>
      <c r="L1903" s="14" t="str">
        <f t="shared" si="225"/>
        <v>Romper Longer | 0-3 | Cream</v>
      </c>
      <c r="M1903" s="16" t="s">
        <v>3609</v>
      </c>
    </row>
    <row r="1904" spans="1:13" ht="25" customHeight="1" x14ac:dyDescent="0.45">
      <c r="A1904" s="18">
        <v>45823</v>
      </c>
      <c r="B1904" s="19" t="s">
        <v>2037</v>
      </c>
      <c r="C1904" s="21" t="s">
        <v>9</v>
      </c>
      <c r="D1904" s="53" t="str">
        <f t="shared" si="227"/>
        <v>Cream</v>
      </c>
      <c r="E1904" s="21" t="s">
        <v>1834</v>
      </c>
      <c r="F1904" s="28" t="s">
        <v>7</v>
      </c>
      <c r="G1904" s="4" t="str">
        <f t="shared" si="226"/>
        <v>Romper Short</v>
      </c>
      <c r="H1904" s="38">
        <f t="shared" si="222"/>
        <v>6</v>
      </c>
      <c r="I1904" s="54">
        <f t="shared" si="228"/>
        <v>25</v>
      </c>
      <c r="J1904" s="14" t="str">
        <f t="shared" si="223"/>
        <v>FathersDay</v>
      </c>
      <c r="K1904" s="16" t="str">
        <f t="shared" si="224"/>
        <v>0-3</v>
      </c>
      <c r="L1904" s="14" t="str">
        <f t="shared" si="225"/>
        <v>Romper Short | 0-3 | Cream</v>
      </c>
      <c r="M1904" s="16" t="s">
        <v>3609</v>
      </c>
    </row>
    <row r="1905" spans="1:13" ht="25" customHeight="1" x14ac:dyDescent="0.45">
      <c r="A1905" s="18">
        <v>45824</v>
      </c>
      <c r="B1905" s="19" t="s">
        <v>2038</v>
      </c>
      <c r="C1905" s="21" t="s">
        <v>81</v>
      </c>
      <c r="D1905" s="53" t="str">
        <f t="shared" si="227"/>
        <v>Dusty Pink</v>
      </c>
      <c r="E1905" s="21" t="s">
        <v>1828</v>
      </c>
      <c r="F1905" s="28"/>
      <c r="G1905" s="4" t="str">
        <f t="shared" si="226"/>
        <v>Romper Longer</v>
      </c>
      <c r="H1905" s="38">
        <f t="shared" si="222"/>
        <v>6</v>
      </c>
      <c r="I1905" s="54">
        <f t="shared" si="228"/>
        <v>25</v>
      </c>
      <c r="J1905" s="14" t="str">
        <f t="shared" si="223"/>
        <v>FathersDay</v>
      </c>
      <c r="K1905" s="16" t="str">
        <f t="shared" si="224"/>
        <v>3-6</v>
      </c>
      <c r="L1905" s="14" t="str">
        <f t="shared" si="225"/>
        <v>Romper Longer | 3-6 | Dusty Pink</v>
      </c>
      <c r="M1905" s="16" t="s">
        <v>3610</v>
      </c>
    </row>
    <row r="1906" spans="1:13" ht="25" customHeight="1" x14ac:dyDescent="0.45">
      <c r="A1906" s="18">
        <v>45825</v>
      </c>
      <c r="B1906" s="19" t="s">
        <v>2039</v>
      </c>
      <c r="C1906" s="21" t="s">
        <v>74</v>
      </c>
      <c r="D1906" s="53" t="str">
        <f t="shared" si="227"/>
        <v>Watermelon</v>
      </c>
      <c r="E1906" s="21" t="s">
        <v>1849</v>
      </c>
      <c r="F1906" s="28" t="s">
        <v>7</v>
      </c>
      <c r="G1906" s="4" t="str">
        <f t="shared" si="226"/>
        <v>Romper Short</v>
      </c>
      <c r="H1906" s="38">
        <f t="shared" si="222"/>
        <v>6</v>
      </c>
      <c r="I1906" s="54">
        <f t="shared" si="228"/>
        <v>25</v>
      </c>
      <c r="J1906" s="14" t="str">
        <f t="shared" si="223"/>
        <v>FathersDay</v>
      </c>
      <c r="K1906" s="16" t="str">
        <f t="shared" si="224"/>
        <v>3-6</v>
      </c>
      <c r="L1906" s="14" t="str">
        <f t="shared" si="225"/>
        <v>Romper Short | 3-6 | Watermelon</v>
      </c>
      <c r="M1906" s="16" t="s">
        <v>3610</v>
      </c>
    </row>
    <row r="1907" spans="1:13" ht="25" customHeight="1" x14ac:dyDescent="0.45">
      <c r="A1907" s="18">
        <v>45826</v>
      </c>
      <c r="B1907" s="19" t="s">
        <v>2040</v>
      </c>
      <c r="C1907" s="21" t="s">
        <v>9</v>
      </c>
      <c r="D1907" s="53" t="str">
        <f t="shared" si="227"/>
        <v>Cream</v>
      </c>
      <c r="E1907" s="21" t="s">
        <v>1831</v>
      </c>
      <c r="F1907" s="28" t="s">
        <v>7</v>
      </c>
      <c r="G1907" s="4" t="str">
        <f t="shared" si="226"/>
        <v>Romper Longer</v>
      </c>
      <c r="H1907" s="38">
        <f t="shared" si="222"/>
        <v>6</v>
      </c>
      <c r="I1907" s="54">
        <f t="shared" si="228"/>
        <v>25</v>
      </c>
      <c r="J1907" s="14" t="str">
        <f t="shared" si="223"/>
        <v>FathersDay</v>
      </c>
      <c r="K1907" s="16" t="str">
        <f t="shared" si="224"/>
        <v>0-3</v>
      </c>
      <c r="L1907" s="14" t="str">
        <f t="shared" si="225"/>
        <v>Romper Longer | 0-3 | Cream</v>
      </c>
      <c r="M1907" s="16" t="s">
        <v>3609</v>
      </c>
    </row>
    <row r="1908" spans="1:13" ht="25" customHeight="1" x14ac:dyDescent="0.45">
      <c r="A1908" s="18">
        <v>45827</v>
      </c>
      <c r="B1908" s="19" t="s">
        <v>2041</v>
      </c>
      <c r="C1908" s="21" t="s">
        <v>110</v>
      </c>
      <c r="D1908" s="53" t="str">
        <f t="shared" si="227"/>
        <v>Sage Green</v>
      </c>
      <c r="E1908" s="21" t="s">
        <v>1831</v>
      </c>
      <c r="F1908" s="28" t="s">
        <v>7</v>
      </c>
      <c r="G1908" s="4" t="str">
        <f t="shared" si="226"/>
        <v>Romper Longer</v>
      </c>
      <c r="H1908" s="38">
        <f t="shared" si="222"/>
        <v>6</v>
      </c>
      <c r="I1908" s="54">
        <f t="shared" si="228"/>
        <v>25</v>
      </c>
      <c r="J1908" s="14" t="str">
        <f t="shared" si="223"/>
        <v>FathersDay</v>
      </c>
      <c r="K1908" s="16" t="str">
        <f t="shared" si="224"/>
        <v>0-3</v>
      </c>
      <c r="L1908" s="14" t="str">
        <f t="shared" si="225"/>
        <v>Romper Longer | 0-3 | Sage Green</v>
      </c>
      <c r="M1908" s="16" t="s">
        <v>3611</v>
      </c>
    </row>
    <row r="1909" spans="1:13" ht="25" customHeight="1" x14ac:dyDescent="0.45">
      <c r="A1909" s="18">
        <v>45828</v>
      </c>
      <c r="B1909" s="19" t="s">
        <v>2042</v>
      </c>
      <c r="C1909" s="21" t="s">
        <v>9</v>
      </c>
      <c r="D1909" s="53" t="str">
        <f t="shared" si="227"/>
        <v>Cream</v>
      </c>
      <c r="E1909" s="21" t="s">
        <v>1828</v>
      </c>
      <c r="F1909" s="28" t="s">
        <v>7</v>
      </c>
      <c r="G1909" s="4" t="str">
        <f t="shared" si="226"/>
        <v>Romper Longer</v>
      </c>
      <c r="H1909" s="38">
        <f t="shared" si="222"/>
        <v>6</v>
      </c>
      <c r="I1909" s="54">
        <f t="shared" si="228"/>
        <v>25</v>
      </c>
      <c r="J1909" s="14" t="str">
        <f t="shared" si="223"/>
        <v>FathersDay</v>
      </c>
      <c r="K1909" s="16" t="str">
        <f t="shared" si="224"/>
        <v>3-6</v>
      </c>
      <c r="L1909" s="14" t="str">
        <f t="shared" si="225"/>
        <v>Romper Longer | 3-6 | Cream</v>
      </c>
      <c r="M1909" s="16" t="s">
        <v>3609</v>
      </c>
    </row>
    <row r="1910" spans="1:13" ht="25" customHeight="1" x14ac:dyDescent="0.45">
      <c r="A1910" s="18">
        <v>45829</v>
      </c>
      <c r="B1910" s="19" t="s">
        <v>2043</v>
      </c>
      <c r="C1910" s="21" t="s">
        <v>110</v>
      </c>
      <c r="D1910" s="53" t="str">
        <f t="shared" si="227"/>
        <v>Sage Green</v>
      </c>
      <c r="E1910" s="21" t="s">
        <v>1828</v>
      </c>
      <c r="F1910" s="28" t="s">
        <v>7</v>
      </c>
      <c r="G1910" s="4" t="str">
        <f t="shared" si="226"/>
        <v>Romper Longer</v>
      </c>
      <c r="H1910" s="38">
        <f t="shared" si="222"/>
        <v>6</v>
      </c>
      <c r="I1910" s="54">
        <f t="shared" si="228"/>
        <v>25</v>
      </c>
      <c r="J1910" s="14" t="str">
        <f t="shared" si="223"/>
        <v>FathersDay</v>
      </c>
      <c r="K1910" s="16" t="str">
        <f t="shared" si="224"/>
        <v>3-6</v>
      </c>
      <c r="L1910" s="14" t="str">
        <f t="shared" si="225"/>
        <v>Romper Longer | 3-6 | Sage Green</v>
      </c>
      <c r="M1910" s="16" t="s">
        <v>3611</v>
      </c>
    </row>
    <row r="1911" spans="1:13" ht="25" customHeight="1" x14ac:dyDescent="0.45">
      <c r="A1911" s="18">
        <v>45830</v>
      </c>
      <c r="B1911" s="19" t="s">
        <v>2044</v>
      </c>
      <c r="C1911" s="21" t="s">
        <v>74</v>
      </c>
      <c r="D1911" s="53" t="str">
        <f t="shared" si="227"/>
        <v>Watermelon</v>
      </c>
      <c r="E1911" s="21" t="s">
        <v>1849</v>
      </c>
      <c r="F1911" s="28" t="s">
        <v>7</v>
      </c>
      <c r="G1911" s="4" t="str">
        <f t="shared" si="226"/>
        <v>Romper Short</v>
      </c>
      <c r="H1911" s="38">
        <f t="shared" si="222"/>
        <v>6</v>
      </c>
      <c r="I1911" s="54">
        <f t="shared" si="228"/>
        <v>26</v>
      </c>
      <c r="J1911" s="14" t="str">
        <f t="shared" si="223"/>
        <v>FathersDay</v>
      </c>
      <c r="K1911" s="16" t="str">
        <f t="shared" si="224"/>
        <v>3-6</v>
      </c>
      <c r="L1911" s="14" t="str">
        <f t="shared" si="225"/>
        <v>Romper Short | 3-6 | Watermelon</v>
      </c>
      <c r="M1911" s="16" t="s">
        <v>3610</v>
      </c>
    </row>
    <row r="1912" spans="1:13" ht="25" customHeight="1" x14ac:dyDescent="0.45">
      <c r="A1912" s="18">
        <v>45831</v>
      </c>
      <c r="B1912" s="19" t="s">
        <v>2045</v>
      </c>
      <c r="C1912" s="21" t="s">
        <v>81</v>
      </c>
      <c r="D1912" s="53" t="str">
        <f t="shared" si="227"/>
        <v>Dusty Pink</v>
      </c>
      <c r="E1912" s="21" t="s">
        <v>1834</v>
      </c>
      <c r="F1912" s="28" t="s">
        <v>7</v>
      </c>
      <c r="G1912" s="4" t="str">
        <f t="shared" si="226"/>
        <v>Romper Short</v>
      </c>
      <c r="H1912" s="38">
        <f t="shared" ref="H1912:H1975" si="229">MONTH(A1912)</f>
        <v>6</v>
      </c>
      <c r="I1912" s="54">
        <f t="shared" si="228"/>
        <v>26</v>
      </c>
      <c r="J1912" s="14" t="str">
        <f t="shared" ref="J1912:J1975" si="230">IF(H1912=1,"NewYear",
IF(H1912=2,"Valentine",
IF(OR(H1912=3,H1912=4),"Easter",
IF(H1912=5,"MothersDay",
IF(H1912=6,"FathersDay",
IF(OR(H1912=7,H1912=8),"Summer",
IF(H1912=10,"Halloween",
IF(OR(H1912=11,H1912=12),"Christmas","Normal"))))))))</f>
        <v>FathersDay</v>
      </c>
      <c r="K1912" s="16" t="str">
        <f t="shared" ref="K1912:K1975" si="231">TRIM(LEFT(E1912,FIND("(",E1912&amp;"(")-3))</f>
        <v>0-3</v>
      </c>
      <c r="L1912" s="14" t="str">
        <f t="shared" si="225"/>
        <v>Romper Short | 0-3 | Dusty Pink</v>
      </c>
      <c r="M1912" s="16" t="s">
        <v>3610</v>
      </c>
    </row>
    <row r="1913" spans="1:13" ht="25" customHeight="1" x14ac:dyDescent="0.45">
      <c r="A1913" s="18">
        <v>45832</v>
      </c>
      <c r="B1913" s="19" t="s">
        <v>2046</v>
      </c>
      <c r="C1913" s="21" t="s">
        <v>79</v>
      </c>
      <c r="D1913" s="53" t="str">
        <f t="shared" si="227"/>
        <v>White</v>
      </c>
      <c r="E1913" s="21" t="s">
        <v>1828</v>
      </c>
      <c r="F1913" s="28" t="s">
        <v>7</v>
      </c>
      <c r="G1913" s="4" t="str">
        <f t="shared" si="226"/>
        <v>Romper Longer</v>
      </c>
      <c r="H1913" s="38">
        <f t="shared" si="229"/>
        <v>6</v>
      </c>
      <c r="I1913" s="54">
        <f t="shared" si="228"/>
        <v>26</v>
      </c>
      <c r="J1913" s="14" t="str">
        <f t="shared" si="230"/>
        <v>FathersDay</v>
      </c>
      <c r="K1913" s="16" t="str">
        <f t="shared" si="231"/>
        <v>3-6</v>
      </c>
      <c r="L1913" s="14" t="str">
        <f t="shared" si="225"/>
        <v>Romper Longer | 3-6 | White</v>
      </c>
      <c r="M1913" s="16" t="s">
        <v>3610</v>
      </c>
    </row>
    <row r="1914" spans="1:13" ht="25" customHeight="1" x14ac:dyDescent="0.45">
      <c r="A1914" s="18">
        <v>45833</v>
      </c>
      <c r="B1914" s="19" t="s">
        <v>2047</v>
      </c>
      <c r="C1914" s="21" t="s">
        <v>9</v>
      </c>
      <c r="D1914" s="53" t="str">
        <f t="shared" si="227"/>
        <v>Cream</v>
      </c>
      <c r="E1914" s="21" t="s">
        <v>1831</v>
      </c>
      <c r="F1914" s="28" t="s">
        <v>7</v>
      </c>
      <c r="G1914" s="4" t="str">
        <f t="shared" si="226"/>
        <v>Romper Longer</v>
      </c>
      <c r="H1914" s="38">
        <f t="shared" si="229"/>
        <v>6</v>
      </c>
      <c r="I1914" s="54">
        <f t="shared" si="228"/>
        <v>26</v>
      </c>
      <c r="J1914" s="14" t="str">
        <f t="shared" si="230"/>
        <v>FathersDay</v>
      </c>
      <c r="K1914" s="16" t="str">
        <f t="shared" si="231"/>
        <v>0-3</v>
      </c>
      <c r="L1914" s="14" t="str">
        <f t="shared" si="225"/>
        <v>Romper Longer | 0-3 | Cream</v>
      </c>
      <c r="M1914" s="16" t="s">
        <v>3609</v>
      </c>
    </row>
    <row r="1915" spans="1:13" ht="25" customHeight="1" x14ac:dyDescent="0.45">
      <c r="A1915" s="18">
        <v>45834</v>
      </c>
      <c r="B1915" s="19" t="s">
        <v>2048</v>
      </c>
      <c r="C1915" s="21" t="s">
        <v>9</v>
      </c>
      <c r="D1915" s="53" t="str">
        <f t="shared" si="227"/>
        <v>Cream</v>
      </c>
      <c r="E1915" s="21" t="s">
        <v>1831</v>
      </c>
      <c r="F1915" s="28" t="s">
        <v>7</v>
      </c>
      <c r="G1915" s="4" t="str">
        <f t="shared" si="226"/>
        <v>Romper Longer</v>
      </c>
      <c r="H1915" s="38">
        <f t="shared" si="229"/>
        <v>6</v>
      </c>
      <c r="I1915" s="54">
        <f t="shared" si="228"/>
        <v>26</v>
      </c>
      <c r="J1915" s="14" t="str">
        <f t="shared" si="230"/>
        <v>FathersDay</v>
      </c>
      <c r="K1915" s="16" t="str">
        <f t="shared" si="231"/>
        <v>0-3</v>
      </c>
      <c r="L1915" s="14" t="str">
        <f t="shared" si="225"/>
        <v>Romper Longer | 0-3 | Cream</v>
      </c>
      <c r="M1915" s="16" t="s">
        <v>3609</v>
      </c>
    </row>
    <row r="1916" spans="1:13" ht="25" customHeight="1" x14ac:dyDescent="0.45">
      <c r="A1916" s="18">
        <v>45835</v>
      </c>
      <c r="B1916" s="19" t="s">
        <v>2049</v>
      </c>
      <c r="C1916" s="21" t="s">
        <v>76</v>
      </c>
      <c r="D1916" s="53" t="str">
        <f t="shared" si="227"/>
        <v>Caldet Blue</v>
      </c>
      <c r="E1916" s="21" t="s">
        <v>1849</v>
      </c>
      <c r="F1916" s="28" t="s">
        <v>7</v>
      </c>
      <c r="G1916" s="4" t="str">
        <f t="shared" si="226"/>
        <v>Romper Short</v>
      </c>
      <c r="H1916" s="38">
        <f t="shared" si="229"/>
        <v>6</v>
      </c>
      <c r="I1916" s="54">
        <f t="shared" si="228"/>
        <v>26</v>
      </c>
      <c r="J1916" s="14" t="str">
        <f t="shared" si="230"/>
        <v>FathersDay</v>
      </c>
      <c r="K1916" s="16" t="str">
        <f t="shared" si="231"/>
        <v>3-6</v>
      </c>
      <c r="L1916" s="14" t="str">
        <f t="shared" si="225"/>
        <v>Romper Short | 3-6 | Caldet Blue</v>
      </c>
      <c r="M1916" s="16" t="s">
        <v>3610</v>
      </c>
    </row>
    <row r="1917" spans="1:13" ht="25" customHeight="1" x14ac:dyDescent="0.45">
      <c r="A1917" s="18">
        <v>45836</v>
      </c>
      <c r="B1917" s="19" t="s">
        <v>2050</v>
      </c>
      <c r="C1917" s="21" t="s">
        <v>9</v>
      </c>
      <c r="D1917" s="53" t="str">
        <f t="shared" si="227"/>
        <v>Cream</v>
      </c>
      <c r="E1917" s="21" t="s">
        <v>1831</v>
      </c>
      <c r="F1917" s="28" t="s">
        <v>7</v>
      </c>
      <c r="G1917" s="4" t="str">
        <f t="shared" si="226"/>
        <v>Romper Longer</v>
      </c>
      <c r="H1917" s="38">
        <f t="shared" si="229"/>
        <v>6</v>
      </c>
      <c r="I1917" s="54">
        <f t="shared" si="228"/>
        <v>26</v>
      </c>
      <c r="J1917" s="14" t="str">
        <f t="shared" si="230"/>
        <v>FathersDay</v>
      </c>
      <c r="K1917" s="16" t="str">
        <f t="shared" si="231"/>
        <v>0-3</v>
      </c>
      <c r="L1917" s="14" t="str">
        <f t="shared" si="225"/>
        <v>Romper Longer | 0-3 | Cream</v>
      </c>
      <c r="M1917" s="16" t="s">
        <v>3609</v>
      </c>
    </row>
    <row r="1918" spans="1:13" ht="25" customHeight="1" x14ac:dyDescent="0.45">
      <c r="A1918" s="18">
        <v>45837</v>
      </c>
      <c r="B1918" s="19" t="s">
        <v>2051</v>
      </c>
      <c r="C1918" s="21" t="s">
        <v>9</v>
      </c>
      <c r="D1918" s="53" t="str">
        <f t="shared" si="227"/>
        <v>Cream</v>
      </c>
      <c r="E1918" s="21" t="s">
        <v>1831</v>
      </c>
      <c r="F1918" s="28" t="s">
        <v>7</v>
      </c>
      <c r="G1918" s="4" t="str">
        <f t="shared" si="226"/>
        <v>Romper Longer</v>
      </c>
      <c r="H1918" s="38">
        <f t="shared" si="229"/>
        <v>6</v>
      </c>
      <c r="I1918" s="54">
        <f t="shared" si="228"/>
        <v>27</v>
      </c>
      <c r="J1918" s="14" t="str">
        <f t="shared" si="230"/>
        <v>FathersDay</v>
      </c>
      <c r="K1918" s="16" t="str">
        <f t="shared" si="231"/>
        <v>0-3</v>
      </c>
      <c r="L1918" s="14" t="str">
        <f t="shared" si="225"/>
        <v>Romper Longer | 0-3 | Cream</v>
      </c>
      <c r="M1918" s="16" t="s">
        <v>3609</v>
      </c>
    </row>
    <row r="1919" spans="1:13" ht="25" customHeight="1" x14ac:dyDescent="0.45">
      <c r="A1919" s="18">
        <v>45838</v>
      </c>
      <c r="B1919" s="19" t="s">
        <v>2052</v>
      </c>
      <c r="C1919" s="21" t="s">
        <v>79</v>
      </c>
      <c r="D1919" s="53" t="str">
        <f t="shared" si="227"/>
        <v>White</v>
      </c>
      <c r="E1919" s="21" t="s">
        <v>1834</v>
      </c>
      <c r="F1919" s="28" t="s">
        <v>7</v>
      </c>
      <c r="G1919" s="4" t="str">
        <f t="shared" si="226"/>
        <v>Romper Short</v>
      </c>
      <c r="H1919" s="38">
        <f t="shared" si="229"/>
        <v>6</v>
      </c>
      <c r="I1919" s="54">
        <f t="shared" si="228"/>
        <v>27</v>
      </c>
      <c r="J1919" s="14" t="str">
        <f t="shared" si="230"/>
        <v>FathersDay</v>
      </c>
      <c r="K1919" s="16" t="str">
        <f t="shared" si="231"/>
        <v>0-3</v>
      </c>
      <c r="L1919" s="14" t="str">
        <f t="shared" si="225"/>
        <v>Romper Short | 0-3 | White</v>
      </c>
      <c r="M1919" s="16" t="s">
        <v>3610</v>
      </c>
    </row>
    <row r="1920" spans="1:13" ht="25" customHeight="1" x14ac:dyDescent="0.45">
      <c r="A1920" s="18">
        <v>45839</v>
      </c>
      <c r="B1920" s="19" t="s">
        <v>2053</v>
      </c>
      <c r="C1920" s="21" t="s">
        <v>9</v>
      </c>
      <c r="D1920" s="53" t="str">
        <f t="shared" si="227"/>
        <v>Cream</v>
      </c>
      <c r="E1920" s="21" t="s">
        <v>1831</v>
      </c>
      <c r="F1920" s="28" t="s">
        <v>7</v>
      </c>
      <c r="G1920" s="4" t="str">
        <f t="shared" si="226"/>
        <v>Romper Longer</v>
      </c>
      <c r="H1920" s="38">
        <f t="shared" si="229"/>
        <v>7</v>
      </c>
      <c r="I1920" s="54">
        <f t="shared" si="228"/>
        <v>27</v>
      </c>
      <c r="J1920" s="14" t="str">
        <f t="shared" si="230"/>
        <v>Summer</v>
      </c>
      <c r="K1920" s="16" t="str">
        <f t="shared" si="231"/>
        <v>0-3</v>
      </c>
      <c r="L1920" s="14" t="str">
        <f t="shared" si="225"/>
        <v>Romper Longer | 0-3 | Cream</v>
      </c>
      <c r="M1920" s="16" t="s">
        <v>3609</v>
      </c>
    </row>
    <row r="1921" spans="1:13" ht="25" customHeight="1" x14ac:dyDescent="0.45">
      <c r="A1921" s="18">
        <v>45840</v>
      </c>
      <c r="B1921" s="19" t="s">
        <v>2054</v>
      </c>
      <c r="C1921" s="21" t="s">
        <v>9</v>
      </c>
      <c r="D1921" s="53" t="str">
        <f t="shared" si="227"/>
        <v>Cream</v>
      </c>
      <c r="E1921" s="21" t="s">
        <v>1831</v>
      </c>
      <c r="F1921" s="28" t="s">
        <v>7</v>
      </c>
      <c r="G1921" s="4" t="str">
        <f t="shared" si="226"/>
        <v>Romper Longer</v>
      </c>
      <c r="H1921" s="38">
        <f t="shared" si="229"/>
        <v>7</v>
      </c>
      <c r="I1921" s="54">
        <f t="shared" si="228"/>
        <v>27</v>
      </c>
      <c r="J1921" s="14" t="str">
        <f t="shared" si="230"/>
        <v>Summer</v>
      </c>
      <c r="K1921" s="16" t="str">
        <f t="shared" si="231"/>
        <v>0-3</v>
      </c>
      <c r="L1921" s="14" t="str">
        <f t="shared" si="225"/>
        <v>Romper Longer | 0-3 | Cream</v>
      </c>
      <c r="M1921" s="16" t="s">
        <v>3609</v>
      </c>
    </row>
    <row r="1922" spans="1:13" ht="25" customHeight="1" x14ac:dyDescent="0.45">
      <c r="A1922" s="18">
        <v>45841</v>
      </c>
      <c r="B1922" s="19" t="s">
        <v>2055</v>
      </c>
      <c r="C1922" s="21" t="s">
        <v>76</v>
      </c>
      <c r="D1922" s="53" t="str">
        <f t="shared" si="227"/>
        <v>Caldet Blue</v>
      </c>
      <c r="E1922" s="21" t="s">
        <v>1849</v>
      </c>
      <c r="F1922" s="28" t="s">
        <v>7</v>
      </c>
      <c r="G1922" s="4" t="str">
        <f t="shared" si="226"/>
        <v>Romper Short</v>
      </c>
      <c r="H1922" s="38">
        <f t="shared" si="229"/>
        <v>7</v>
      </c>
      <c r="I1922" s="54">
        <f t="shared" si="228"/>
        <v>27</v>
      </c>
      <c r="J1922" s="14" t="str">
        <f t="shared" si="230"/>
        <v>Summer</v>
      </c>
      <c r="K1922" s="16" t="str">
        <f t="shared" si="231"/>
        <v>3-6</v>
      </c>
      <c r="L1922" s="14" t="str">
        <f t="shared" ref="L1922:L1985" si="232">TRIM(G1922)&amp;" | "&amp;TRIM(K1922)&amp;" | "&amp;PROPER(TRIM(D1922))</f>
        <v>Romper Short | 3-6 | Caldet Blue</v>
      </c>
      <c r="M1922" s="16" t="s">
        <v>3610</v>
      </c>
    </row>
    <row r="1923" spans="1:13" ht="25" customHeight="1" x14ac:dyDescent="0.45">
      <c r="A1923" s="18">
        <v>45842</v>
      </c>
      <c r="B1923" s="19" t="s">
        <v>2056</v>
      </c>
      <c r="C1923" s="21" t="s">
        <v>9</v>
      </c>
      <c r="D1923" s="53" t="str">
        <f t="shared" si="227"/>
        <v>Cream</v>
      </c>
      <c r="E1923" s="21" t="s">
        <v>1828</v>
      </c>
      <c r="F1923" s="28" t="s">
        <v>7</v>
      </c>
      <c r="G1923" s="4" t="str">
        <f t="shared" si="226"/>
        <v>Romper Longer</v>
      </c>
      <c r="H1923" s="38">
        <f t="shared" si="229"/>
        <v>7</v>
      </c>
      <c r="I1923" s="54">
        <f t="shared" si="228"/>
        <v>27</v>
      </c>
      <c r="J1923" s="14" t="str">
        <f t="shared" si="230"/>
        <v>Summer</v>
      </c>
      <c r="K1923" s="16" t="str">
        <f t="shared" si="231"/>
        <v>3-6</v>
      </c>
      <c r="L1923" s="14" t="str">
        <f t="shared" si="232"/>
        <v>Romper Longer | 3-6 | Cream</v>
      </c>
      <c r="M1923" s="16" t="s">
        <v>3609</v>
      </c>
    </row>
    <row r="1924" spans="1:13" ht="25" customHeight="1" x14ac:dyDescent="0.45">
      <c r="A1924" s="18">
        <v>45843</v>
      </c>
      <c r="B1924" s="19" t="s">
        <v>2057</v>
      </c>
      <c r="C1924" s="21" t="s">
        <v>9</v>
      </c>
      <c r="D1924" s="53" t="str">
        <f t="shared" si="227"/>
        <v>Cream</v>
      </c>
      <c r="E1924" s="21" t="s">
        <v>1550</v>
      </c>
      <c r="F1924" s="28" t="s">
        <v>7</v>
      </c>
      <c r="G1924" s="4" t="str">
        <f t="shared" si="226"/>
        <v>Romper Longer</v>
      </c>
      <c r="H1924" s="38">
        <f t="shared" si="229"/>
        <v>7</v>
      </c>
      <c r="I1924" s="54">
        <f t="shared" si="228"/>
        <v>27</v>
      </c>
      <c r="J1924" s="14" t="str">
        <f t="shared" si="230"/>
        <v>Summer</v>
      </c>
      <c r="K1924" s="16" t="str">
        <f t="shared" si="231"/>
        <v>12-18</v>
      </c>
      <c r="L1924" s="14" t="str">
        <f t="shared" si="232"/>
        <v>Romper Longer | 12-18 | Cream</v>
      </c>
      <c r="M1924" s="16" t="s">
        <v>3610</v>
      </c>
    </row>
    <row r="1925" spans="1:13" ht="25" customHeight="1" x14ac:dyDescent="0.45">
      <c r="A1925" s="18">
        <v>45844</v>
      </c>
      <c r="B1925" s="19" t="s">
        <v>2058</v>
      </c>
      <c r="C1925" s="21" t="s">
        <v>178</v>
      </c>
      <c r="D1925" s="53" t="str">
        <f t="shared" si="227"/>
        <v>Mauve Taupe</v>
      </c>
      <c r="E1925" s="21" t="s">
        <v>1550</v>
      </c>
      <c r="F1925" s="28" t="s">
        <v>7</v>
      </c>
      <c r="G1925" s="4" t="str">
        <f t="shared" si="226"/>
        <v>Romper Longer</v>
      </c>
      <c r="H1925" s="38">
        <f t="shared" si="229"/>
        <v>7</v>
      </c>
      <c r="I1925" s="54">
        <f t="shared" si="228"/>
        <v>28</v>
      </c>
      <c r="J1925" s="14" t="str">
        <f t="shared" si="230"/>
        <v>Summer</v>
      </c>
      <c r="K1925" s="16" t="str">
        <f t="shared" si="231"/>
        <v>12-18</v>
      </c>
      <c r="L1925" s="14" t="str">
        <f t="shared" si="232"/>
        <v>Romper Longer | 12-18 | Mauve Taupe</v>
      </c>
      <c r="M1925" s="16" t="s">
        <v>3610</v>
      </c>
    </row>
    <row r="1926" spans="1:13" ht="25" customHeight="1" x14ac:dyDescent="0.45">
      <c r="A1926" s="18">
        <v>45845</v>
      </c>
      <c r="B1926" s="19" t="s">
        <v>2059</v>
      </c>
      <c r="C1926" s="21" t="s">
        <v>76</v>
      </c>
      <c r="D1926" s="53" t="str">
        <f t="shared" si="227"/>
        <v>Caldet Blue</v>
      </c>
      <c r="E1926" s="21" t="s">
        <v>1550</v>
      </c>
      <c r="F1926" s="28" t="s">
        <v>7</v>
      </c>
      <c r="G1926" s="4" t="str">
        <f t="shared" si="226"/>
        <v>Romper Longer</v>
      </c>
      <c r="H1926" s="38">
        <f t="shared" si="229"/>
        <v>7</v>
      </c>
      <c r="I1926" s="54">
        <f t="shared" si="228"/>
        <v>28</v>
      </c>
      <c r="J1926" s="14" t="str">
        <f t="shared" si="230"/>
        <v>Summer</v>
      </c>
      <c r="K1926" s="16" t="str">
        <f t="shared" si="231"/>
        <v>12-18</v>
      </c>
      <c r="L1926" s="14" t="str">
        <f t="shared" si="232"/>
        <v>Romper Longer | 12-18 | Caldet Blue</v>
      </c>
      <c r="M1926" s="16" t="s">
        <v>3610</v>
      </c>
    </row>
    <row r="1927" spans="1:13" ht="25" customHeight="1" x14ac:dyDescent="0.45">
      <c r="A1927" s="18">
        <v>45846</v>
      </c>
      <c r="B1927" s="19" t="s">
        <v>2060</v>
      </c>
      <c r="C1927" s="21" t="s">
        <v>110</v>
      </c>
      <c r="D1927" s="53" t="str">
        <f t="shared" si="227"/>
        <v>Sage Green</v>
      </c>
      <c r="E1927" s="21" t="s">
        <v>1550</v>
      </c>
      <c r="F1927" s="28" t="s">
        <v>7</v>
      </c>
      <c r="G1927" s="4" t="str">
        <f t="shared" si="226"/>
        <v>Romper Longer</v>
      </c>
      <c r="H1927" s="38">
        <f t="shared" si="229"/>
        <v>7</v>
      </c>
      <c r="I1927" s="54">
        <f t="shared" si="228"/>
        <v>28</v>
      </c>
      <c r="J1927" s="14" t="str">
        <f t="shared" si="230"/>
        <v>Summer</v>
      </c>
      <c r="K1927" s="16" t="str">
        <f t="shared" si="231"/>
        <v>12-18</v>
      </c>
      <c r="L1927" s="14" t="str">
        <f t="shared" si="232"/>
        <v>Romper Longer | 12-18 | Sage Green</v>
      </c>
      <c r="M1927" s="16" t="s">
        <v>3610</v>
      </c>
    </row>
    <row r="1928" spans="1:13" ht="25" customHeight="1" x14ac:dyDescent="0.45">
      <c r="A1928" s="18">
        <v>45847</v>
      </c>
      <c r="B1928" s="19" t="s">
        <v>2061</v>
      </c>
      <c r="C1928" s="21" t="s">
        <v>9</v>
      </c>
      <c r="D1928" s="53" t="str">
        <f t="shared" si="227"/>
        <v>Cream</v>
      </c>
      <c r="E1928" s="21" t="s">
        <v>1831</v>
      </c>
      <c r="F1928" s="28" t="s">
        <v>7</v>
      </c>
      <c r="G1928" s="4" t="str">
        <f t="shared" si="226"/>
        <v>Romper Longer</v>
      </c>
      <c r="H1928" s="38">
        <f t="shared" si="229"/>
        <v>7</v>
      </c>
      <c r="I1928" s="54">
        <f t="shared" si="228"/>
        <v>28</v>
      </c>
      <c r="J1928" s="14" t="str">
        <f t="shared" si="230"/>
        <v>Summer</v>
      </c>
      <c r="K1928" s="16" t="str">
        <f t="shared" si="231"/>
        <v>0-3</v>
      </c>
      <c r="L1928" s="14" t="str">
        <f t="shared" si="232"/>
        <v>Romper Longer | 0-3 | Cream</v>
      </c>
      <c r="M1928" s="16" t="s">
        <v>3609</v>
      </c>
    </row>
    <row r="1929" spans="1:13" ht="25" customHeight="1" x14ac:dyDescent="0.45">
      <c r="A1929" s="18">
        <v>45848</v>
      </c>
      <c r="B1929" s="19" t="s">
        <v>2062</v>
      </c>
      <c r="C1929" s="21" t="s">
        <v>9</v>
      </c>
      <c r="D1929" s="53" t="str">
        <f t="shared" si="227"/>
        <v>Cream</v>
      </c>
      <c r="E1929" s="21" t="s">
        <v>1420</v>
      </c>
      <c r="F1929" s="29" t="s">
        <v>7</v>
      </c>
      <c r="G1929" s="4" t="str">
        <f t="shared" si="226"/>
        <v>Romper Short</v>
      </c>
      <c r="H1929" s="38">
        <f t="shared" si="229"/>
        <v>7</v>
      </c>
      <c r="I1929" s="54">
        <f t="shared" si="228"/>
        <v>28</v>
      </c>
      <c r="J1929" s="14" t="str">
        <f t="shared" si="230"/>
        <v>Summer</v>
      </c>
      <c r="K1929" s="16" t="str">
        <f t="shared" si="231"/>
        <v>6-12</v>
      </c>
      <c r="L1929" s="14" t="str">
        <f t="shared" si="232"/>
        <v>Romper Short | 6-12 | Cream</v>
      </c>
      <c r="M1929" s="16" t="s">
        <v>3611</v>
      </c>
    </row>
    <row r="1930" spans="1:13" ht="25" customHeight="1" x14ac:dyDescent="0.45">
      <c r="A1930" s="18">
        <v>45849</v>
      </c>
      <c r="B1930" s="19" t="s">
        <v>2063</v>
      </c>
      <c r="C1930" s="21" t="s">
        <v>76</v>
      </c>
      <c r="D1930" s="53" t="str">
        <f t="shared" si="227"/>
        <v>Caldet Blue</v>
      </c>
      <c r="E1930" s="21" t="s">
        <v>1831</v>
      </c>
      <c r="F1930" s="29" t="s">
        <v>7</v>
      </c>
      <c r="G1930" s="4" t="str">
        <f t="shared" si="226"/>
        <v>Romper Longer</v>
      </c>
      <c r="H1930" s="38">
        <f t="shared" si="229"/>
        <v>7</v>
      </c>
      <c r="I1930" s="54">
        <f t="shared" si="228"/>
        <v>28</v>
      </c>
      <c r="J1930" s="14" t="str">
        <f t="shared" si="230"/>
        <v>Summer</v>
      </c>
      <c r="K1930" s="16" t="str">
        <f t="shared" si="231"/>
        <v>0-3</v>
      </c>
      <c r="L1930" s="14" t="str">
        <f t="shared" si="232"/>
        <v>Romper Longer | 0-3 | Caldet Blue</v>
      </c>
      <c r="M1930" s="16" t="s">
        <v>3610</v>
      </c>
    </row>
    <row r="1931" spans="1:13" ht="25" customHeight="1" x14ac:dyDescent="0.45">
      <c r="A1931" s="18">
        <v>45850</v>
      </c>
      <c r="B1931" s="19" t="s">
        <v>2064</v>
      </c>
      <c r="C1931" s="21" t="s">
        <v>9</v>
      </c>
      <c r="D1931" s="53" t="str">
        <f t="shared" si="227"/>
        <v>Cream</v>
      </c>
      <c r="E1931" s="21" t="s">
        <v>1828</v>
      </c>
      <c r="F1931" s="29" t="s">
        <v>7</v>
      </c>
      <c r="G1931" s="4" t="str">
        <f t="shared" si="226"/>
        <v>Romper Longer</v>
      </c>
      <c r="H1931" s="38">
        <f t="shared" si="229"/>
        <v>7</v>
      </c>
      <c r="I1931" s="54">
        <f t="shared" si="228"/>
        <v>28</v>
      </c>
      <c r="J1931" s="14" t="str">
        <f t="shared" si="230"/>
        <v>Summer</v>
      </c>
      <c r="K1931" s="16" t="str">
        <f t="shared" si="231"/>
        <v>3-6</v>
      </c>
      <c r="L1931" s="14" t="str">
        <f t="shared" si="232"/>
        <v>Romper Longer | 3-6 | Cream</v>
      </c>
      <c r="M1931" s="16" t="s">
        <v>3609</v>
      </c>
    </row>
    <row r="1932" spans="1:13" ht="25" customHeight="1" x14ac:dyDescent="0.45">
      <c r="A1932" s="18">
        <v>45851</v>
      </c>
      <c r="B1932" s="19" t="s">
        <v>2065</v>
      </c>
      <c r="C1932" s="21" t="s">
        <v>9</v>
      </c>
      <c r="D1932" s="53" t="str">
        <f t="shared" si="227"/>
        <v>Cream</v>
      </c>
      <c r="E1932" s="21" t="s">
        <v>1849</v>
      </c>
      <c r="F1932" s="29" t="s">
        <v>7</v>
      </c>
      <c r="G1932" s="4" t="str">
        <f t="shared" si="226"/>
        <v>Romper Short</v>
      </c>
      <c r="H1932" s="38">
        <f t="shared" si="229"/>
        <v>7</v>
      </c>
      <c r="I1932" s="54">
        <f t="shared" si="228"/>
        <v>29</v>
      </c>
      <c r="J1932" s="14" t="str">
        <f t="shared" si="230"/>
        <v>Summer</v>
      </c>
      <c r="K1932" s="16" t="str">
        <f t="shared" si="231"/>
        <v>3-6</v>
      </c>
      <c r="L1932" s="14" t="str">
        <f t="shared" si="232"/>
        <v>Romper Short | 3-6 | Cream</v>
      </c>
      <c r="M1932" s="16" t="s">
        <v>3609</v>
      </c>
    </row>
    <row r="1933" spans="1:13" ht="25" customHeight="1" x14ac:dyDescent="0.45">
      <c r="A1933" s="18">
        <v>45852</v>
      </c>
      <c r="B1933" s="19" t="s">
        <v>2066</v>
      </c>
      <c r="C1933" s="21" t="s">
        <v>224</v>
      </c>
      <c r="D1933" s="53" t="str">
        <f t="shared" si="227"/>
        <v>Salmon</v>
      </c>
      <c r="E1933" s="21" t="s">
        <v>1420</v>
      </c>
      <c r="F1933" s="29" t="s">
        <v>7</v>
      </c>
      <c r="G1933" s="4" t="str">
        <f t="shared" si="226"/>
        <v>Romper Short</v>
      </c>
      <c r="H1933" s="38">
        <f t="shared" si="229"/>
        <v>7</v>
      </c>
      <c r="I1933" s="54">
        <f t="shared" si="228"/>
        <v>29</v>
      </c>
      <c r="J1933" s="14" t="str">
        <f t="shared" si="230"/>
        <v>Summer</v>
      </c>
      <c r="K1933" s="16" t="str">
        <f t="shared" si="231"/>
        <v>6-12</v>
      </c>
      <c r="L1933" s="14" t="str">
        <f t="shared" si="232"/>
        <v>Romper Short | 6-12 | Salmon</v>
      </c>
      <c r="M1933" s="16" t="s">
        <v>3610</v>
      </c>
    </row>
    <row r="1934" spans="1:13" ht="25" customHeight="1" x14ac:dyDescent="0.45">
      <c r="A1934" s="18">
        <v>45853</v>
      </c>
      <c r="B1934" s="19" t="s">
        <v>2067</v>
      </c>
      <c r="C1934" s="21" t="s">
        <v>224</v>
      </c>
      <c r="D1934" s="53" t="str">
        <f t="shared" si="227"/>
        <v>Salmon</v>
      </c>
      <c r="E1934" s="21" t="s">
        <v>1831</v>
      </c>
      <c r="F1934" s="29" t="s">
        <v>7</v>
      </c>
      <c r="G1934" s="4" t="str">
        <f t="shared" si="226"/>
        <v>Romper Longer</v>
      </c>
      <c r="H1934" s="38">
        <f t="shared" si="229"/>
        <v>7</v>
      </c>
      <c r="I1934" s="54">
        <f t="shared" si="228"/>
        <v>29</v>
      </c>
      <c r="J1934" s="14" t="str">
        <f t="shared" si="230"/>
        <v>Summer</v>
      </c>
      <c r="K1934" s="16" t="str">
        <f t="shared" si="231"/>
        <v>0-3</v>
      </c>
      <c r="L1934" s="14" t="str">
        <f t="shared" si="232"/>
        <v>Romper Longer | 0-3 | Salmon</v>
      </c>
      <c r="M1934" s="16" t="s">
        <v>3610</v>
      </c>
    </row>
    <row r="1935" spans="1:13" ht="25" customHeight="1" x14ac:dyDescent="0.45">
      <c r="A1935" s="18">
        <v>45854</v>
      </c>
      <c r="B1935" s="19" t="s">
        <v>2068</v>
      </c>
      <c r="C1935" s="21" t="s">
        <v>9</v>
      </c>
      <c r="D1935" s="53" t="str">
        <f t="shared" si="227"/>
        <v>Cream</v>
      </c>
      <c r="E1935" s="21" t="s">
        <v>1828</v>
      </c>
      <c r="F1935" s="29" t="s">
        <v>7</v>
      </c>
      <c r="G1935" s="4" t="str">
        <f t="shared" ref="G1935:G1998" si="233">IF(ISNUMBER(SEARCH("LONG",E1935)),"Romper Longer",IF(ISNUMBER(SEARCH("SHORT",E1935)),"Romper Short","Bodysuit"))</f>
        <v>Romper Longer</v>
      </c>
      <c r="H1935" s="38">
        <f t="shared" si="229"/>
        <v>7</v>
      </c>
      <c r="I1935" s="54">
        <f t="shared" si="228"/>
        <v>29</v>
      </c>
      <c r="J1935" s="14" t="str">
        <f t="shared" si="230"/>
        <v>Summer</v>
      </c>
      <c r="K1935" s="16" t="str">
        <f t="shared" si="231"/>
        <v>3-6</v>
      </c>
      <c r="L1935" s="14" t="str">
        <f t="shared" si="232"/>
        <v>Romper Longer | 3-6 | Cream</v>
      </c>
      <c r="M1935" s="16" t="s">
        <v>3609</v>
      </c>
    </row>
    <row r="1936" spans="1:13" ht="25" customHeight="1" x14ac:dyDescent="0.45">
      <c r="A1936" s="18">
        <v>45855</v>
      </c>
      <c r="B1936" s="19" t="s">
        <v>2069</v>
      </c>
      <c r="C1936" s="21" t="s">
        <v>9</v>
      </c>
      <c r="D1936" s="53" t="str">
        <f t="shared" si="227"/>
        <v>Cream</v>
      </c>
      <c r="E1936" s="21" t="s">
        <v>1849</v>
      </c>
      <c r="F1936" s="29" t="s">
        <v>7</v>
      </c>
      <c r="G1936" s="4" t="str">
        <f t="shared" si="233"/>
        <v>Romper Short</v>
      </c>
      <c r="H1936" s="38">
        <f t="shared" si="229"/>
        <v>7</v>
      </c>
      <c r="I1936" s="54">
        <f t="shared" si="228"/>
        <v>29</v>
      </c>
      <c r="J1936" s="14" t="str">
        <f t="shared" si="230"/>
        <v>Summer</v>
      </c>
      <c r="K1936" s="16" t="str">
        <f t="shared" si="231"/>
        <v>3-6</v>
      </c>
      <c r="L1936" s="14" t="str">
        <f t="shared" si="232"/>
        <v>Romper Short | 3-6 | Cream</v>
      </c>
      <c r="M1936" s="16" t="s">
        <v>3609</v>
      </c>
    </row>
    <row r="1937" spans="1:13" ht="25" customHeight="1" x14ac:dyDescent="0.45">
      <c r="A1937" s="18">
        <v>45856</v>
      </c>
      <c r="B1937" s="19" t="s">
        <v>2070</v>
      </c>
      <c r="C1937" s="21" t="s">
        <v>81</v>
      </c>
      <c r="D1937" s="53" t="str">
        <f t="shared" si="227"/>
        <v>Dusty Pink</v>
      </c>
      <c r="E1937" s="21" t="s">
        <v>1828</v>
      </c>
      <c r="F1937" s="29" t="s">
        <v>7</v>
      </c>
      <c r="G1937" s="4" t="str">
        <f t="shared" si="233"/>
        <v>Romper Longer</v>
      </c>
      <c r="H1937" s="38">
        <f t="shared" si="229"/>
        <v>7</v>
      </c>
      <c r="I1937" s="54">
        <f t="shared" si="228"/>
        <v>29</v>
      </c>
      <c r="J1937" s="14" t="str">
        <f t="shared" si="230"/>
        <v>Summer</v>
      </c>
      <c r="K1937" s="16" t="str">
        <f t="shared" si="231"/>
        <v>3-6</v>
      </c>
      <c r="L1937" s="14" t="str">
        <f t="shared" si="232"/>
        <v>Romper Longer | 3-6 | Dusty Pink</v>
      </c>
      <c r="M1937" s="16" t="s">
        <v>3610</v>
      </c>
    </row>
    <row r="1938" spans="1:13" ht="25" customHeight="1" x14ac:dyDescent="0.45">
      <c r="A1938" s="18">
        <v>45857</v>
      </c>
      <c r="B1938" s="19" t="s">
        <v>2071</v>
      </c>
      <c r="C1938" s="21" t="s">
        <v>71</v>
      </c>
      <c r="D1938" s="53" t="str">
        <f t="shared" si="227"/>
        <v>Coffee</v>
      </c>
      <c r="E1938" s="21" t="s">
        <v>1828</v>
      </c>
      <c r="F1938" s="29" t="s">
        <v>7</v>
      </c>
      <c r="G1938" s="4" t="str">
        <f t="shared" si="233"/>
        <v>Romper Longer</v>
      </c>
      <c r="H1938" s="38">
        <f t="shared" si="229"/>
        <v>7</v>
      </c>
      <c r="I1938" s="54">
        <f t="shared" si="228"/>
        <v>29</v>
      </c>
      <c r="J1938" s="14" t="str">
        <f t="shared" si="230"/>
        <v>Summer</v>
      </c>
      <c r="K1938" s="16" t="str">
        <f t="shared" si="231"/>
        <v>3-6</v>
      </c>
      <c r="L1938" s="14" t="str">
        <f t="shared" si="232"/>
        <v>Romper Longer | 3-6 | Coffee</v>
      </c>
      <c r="M1938" s="16" t="s">
        <v>3610</v>
      </c>
    </row>
    <row r="1939" spans="1:13" ht="25" customHeight="1" x14ac:dyDescent="0.45">
      <c r="A1939" s="18">
        <v>45858</v>
      </c>
      <c r="B1939" s="19" t="s">
        <v>2072</v>
      </c>
      <c r="C1939" s="21" t="s">
        <v>9</v>
      </c>
      <c r="D1939" s="53" t="str">
        <f t="shared" ref="D1939:D2002" si="234">PROPER(C1939)</f>
        <v>Cream</v>
      </c>
      <c r="E1939" s="21" t="s">
        <v>1841</v>
      </c>
      <c r="F1939" s="29" t="s">
        <v>7</v>
      </c>
      <c r="G1939" s="4" t="str">
        <f t="shared" si="233"/>
        <v>Romper Longer</v>
      </c>
      <c r="H1939" s="38">
        <f t="shared" si="229"/>
        <v>7</v>
      </c>
      <c r="I1939" s="54">
        <f t="shared" si="228"/>
        <v>30</v>
      </c>
      <c r="J1939" s="14" t="str">
        <f t="shared" si="230"/>
        <v>Summer</v>
      </c>
      <c r="K1939" s="16" t="str">
        <f t="shared" si="231"/>
        <v>6-12</v>
      </c>
      <c r="L1939" s="14" t="str">
        <f t="shared" si="232"/>
        <v>Romper Longer | 6-12 | Cream</v>
      </c>
      <c r="M1939" s="16" t="s">
        <v>3611</v>
      </c>
    </row>
    <row r="1940" spans="1:13" ht="25" customHeight="1" x14ac:dyDescent="0.45">
      <c r="A1940" s="18">
        <v>45859</v>
      </c>
      <c r="B1940" s="19" t="s">
        <v>2073</v>
      </c>
      <c r="C1940" s="21" t="s">
        <v>9</v>
      </c>
      <c r="D1940" s="53" t="str">
        <f t="shared" si="234"/>
        <v>Cream</v>
      </c>
      <c r="E1940" s="21" t="s">
        <v>1841</v>
      </c>
      <c r="F1940" s="29" t="s">
        <v>7</v>
      </c>
      <c r="G1940" s="4" t="str">
        <f t="shared" si="233"/>
        <v>Romper Longer</v>
      </c>
      <c r="H1940" s="38">
        <f t="shared" si="229"/>
        <v>7</v>
      </c>
      <c r="I1940" s="54">
        <f t="shared" si="228"/>
        <v>30</v>
      </c>
      <c r="J1940" s="14" t="str">
        <f t="shared" si="230"/>
        <v>Summer</v>
      </c>
      <c r="K1940" s="16" t="str">
        <f t="shared" si="231"/>
        <v>6-12</v>
      </c>
      <c r="L1940" s="14" t="str">
        <f t="shared" si="232"/>
        <v>Romper Longer | 6-12 | Cream</v>
      </c>
      <c r="M1940" s="16" t="s">
        <v>3611</v>
      </c>
    </row>
    <row r="1941" spans="1:13" ht="25" customHeight="1" x14ac:dyDescent="0.45">
      <c r="A1941" s="18">
        <v>45860</v>
      </c>
      <c r="B1941" s="19" t="s">
        <v>2074</v>
      </c>
      <c r="C1941" s="21" t="s">
        <v>9</v>
      </c>
      <c r="D1941" s="53" t="str">
        <f t="shared" si="234"/>
        <v>Cream</v>
      </c>
      <c r="E1941" s="21" t="s">
        <v>1420</v>
      </c>
      <c r="F1941" s="29" t="s">
        <v>7</v>
      </c>
      <c r="G1941" s="4" t="str">
        <f t="shared" si="233"/>
        <v>Romper Short</v>
      </c>
      <c r="H1941" s="38">
        <f t="shared" si="229"/>
        <v>7</v>
      </c>
      <c r="I1941" s="54">
        <f t="shared" si="228"/>
        <v>30</v>
      </c>
      <c r="J1941" s="14" t="str">
        <f t="shared" si="230"/>
        <v>Summer</v>
      </c>
      <c r="K1941" s="16" t="str">
        <f t="shared" si="231"/>
        <v>6-12</v>
      </c>
      <c r="L1941" s="14" t="str">
        <f t="shared" si="232"/>
        <v>Romper Short | 6-12 | Cream</v>
      </c>
      <c r="M1941" s="16" t="s">
        <v>3611</v>
      </c>
    </row>
    <row r="1942" spans="1:13" ht="25" customHeight="1" x14ac:dyDescent="0.45">
      <c r="A1942" s="18">
        <v>45861</v>
      </c>
      <c r="B1942" s="19" t="s">
        <v>2075</v>
      </c>
      <c r="C1942" s="21" t="s">
        <v>76</v>
      </c>
      <c r="D1942" s="53" t="str">
        <f t="shared" si="234"/>
        <v>Caldet Blue</v>
      </c>
      <c r="E1942" s="21" t="s">
        <v>1831</v>
      </c>
      <c r="F1942" s="29" t="s">
        <v>7</v>
      </c>
      <c r="G1942" s="4" t="str">
        <f t="shared" si="233"/>
        <v>Romper Longer</v>
      </c>
      <c r="H1942" s="38">
        <f t="shared" si="229"/>
        <v>7</v>
      </c>
      <c r="I1942" s="54">
        <f t="shared" si="228"/>
        <v>30</v>
      </c>
      <c r="J1942" s="14" t="str">
        <f t="shared" si="230"/>
        <v>Summer</v>
      </c>
      <c r="K1942" s="16" t="str">
        <f t="shared" si="231"/>
        <v>0-3</v>
      </c>
      <c r="L1942" s="14" t="str">
        <f t="shared" si="232"/>
        <v>Romper Longer | 0-3 | Caldet Blue</v>
      </c>
      <c r="M1942" s="16" t="s">
        <v>3610</v>
      </c>
    </row>
    <row r="1943" spans="1:13" ht="25" customHeight="1" x14ac:dyDescent="0.45">
      <c r="A1943" s="18">
        <v>45862</v>
      </c>
      <c r="B1943" s="19" t="s">
        <v>2076</v>
      </c>
      <c r="C1943" s="21" t="s">
        <v>9</v>
      </c>
      <c r="D1943" s="53" t="str">
        <f t="shared" si="234"/>
        <v>Cream</v>
      </c>
      <c r="E1943" s="21" t="s">
        <v>1831</v>
      </c>
      <c r="F1943" s="29" t="s">
        <v>7</v>
      </c>
      <c r="G1943" s="4" t="str">
        <f t="shared" si="233"/>
        <v>Romper Longer</v>
      </c>
      <c r="H1943" s="38">
        <f t="shared" si="229"/>
        <v>7</v>
      </c>
      <c r="I1943" s="54">
        <f t="shared" si="228"/>
        <v>30</v>
      </c>
      <c r="J1943" s="14" t="str">
        <f t="shared" si="230"/>
        <v>Summer</v>
      </c>
      <c r="K1943" s="16" t="str">
        <f t="shared" si="231"/>
        <v>0-3</v>
      </c>
      <c r="L1943" s="14" t="str">
        <f t="shared" si="232"/>
        <v>Romper Longer | 0-3 | Cream</v>
      </c>
      <c r="M1943" s="16" t="s">
        <v>3609</v>
      </c>
    </row>
    <row r="1944" spans="1:13" ht="25" customHeight="1" x14ac:dyDescent="0.45">
      <c r="A1944" s="18">
        <v>45863</v>
      </c>
      <c r="B1944" s="19" t="s">
        <v>2077</v>
      </c>
      <c r="C1944" s="21" t="s">
        <v>9</v>
      </c>
      <c r="D1944" s="53" t="str">
        <f t="shared" si="234"/>
        <v>Cream</v>
      </c>
      <c r="E1944" s="21" t="s">
        <v>1849</v>
      </c>
      <c r="F1944" s="29" t="s">
        <v>7</v>
      </c>
      <c r="G1944" s="4" t="str">
        <f t="shared" si="233"/>
        <v>Romper Short</v>
      </c>
      <c r="H1944" s="38">
        <f t="shared" si="229"/>
        <v>7</v>
      </c>
      <c r="I1944" s="54">
        <f t="shared" si="228"/>
        <v>30</v>
      </c>
      <c r="J1944" s="14" t="str">
        <f t="shared" si="230"/>
        <v>Summer</v>
      </c>
      <c r="K1944" s="16" t="str">
        <f t="shared" si="231"/>
        <v>3-6</v>
      </c>
      <c r="L1944" s="14" t="str">
        <f t="shared" si="232"/>
        <v>Romper Short | 3-6 | Cream</v>
      </c>
      <c r="M1944" s="16" t="s">
        <v>3609</v>
      </c>
    </row>
    <row r="1945" spans="1:13" ht="25" customHeight="1" x14ac:dyDescent="0.45">
      <c r="A1945" s="18">
        <v>45864</v>
      </c>
      <c r="B1945" s="19" t="s">
        <v>2078</v>
      </c>
      <c r="C1945" s="21" t="s">
        <v>9</v>
      </c>
      <c r="D1945" s="53" t="str">
        <f t="shared" si="234"/>
        <v>Cream</v>
      </c>
      <c r="E1945" s="21" t="s">
        <v>1849</v>
      </c>
      <c r="F1945" s="29" t="s">
        <v>7</v>
      </c>
      <c r="G1945" s="4" t="str">
        <f t="shared" si="233"/>
        <v>Romper Short</v>
      </c>
      <c r="H1945" s="38">
        <f t="shared" si="229"/>
        <v>7</v>
      </c>
      <c r="I1945" s="54">
        <f t="shared" si="228"/>
        <v>30</v>
      </c>
      <c r="J1945" s="14" t="str">
        <f t="shared" si="230"/>
        <v>Summer</v>
      </c>
      <c r="K1945" s="16" t="str">
        <f t="shared" si="231"/>
        <v>3-6</v>
      </c>
      <c r="L1945" s="14" t="str">
        <f t="shared" si="232"/>
        <v>Romper Short | 3-6 | Cream</v>
      </c>
      <c r="M1945" s="16" t="s">
        <v>3609</v>
      </c>
    </row>
    <row r="1946" spans="1:13" ht="25" customHeight="1" x14ac:dyDescent="0.45">
      <c r="A1946" s="18">
        <v>45865</v>
      </c>
      <c r="B1946" s="19" t="s">
        <v>2079</v>
      </c>
      <c r="C1946" s="21" t="s">
        <v>9</v>
      </c>
      <c r="D1946" s="53" t="str">
        <f t="shared" si="234"/>
        <v>Cream</v>
      </c>
      <c r="E1946" s="21" t="s">
        <v>1831</v>
      </c>
      <c r="F1946" s="29" t="s">
        <v>7</v>
      </c>
      <c r="G1946" s="4" t="str">
        <f t="shared" si="233"/>
        <v>Romper Longer</v>
      </c>
      <c r="H1946" s="38">
        <f t="shared" si="229"/>
        <v>7</v>
      </c>
      <c r="I1946" s="54">
        <f t="shared" si="228"/>
        <v>31</v>
      </c>
      <c r="J1946" s="14" t="str">
        <f t="shared" si="230"/>
        <v>Summer</v>
      </c>
      <c r="K1946" s="16" t="str">
        <f t="shared" si="231"/>
        <v>0-3</v>
      </c>
      <c r="L1946" s="14" t="str">
        <f t="shared" si="232"/>
        <v>Romper Longer | 0-3 | Cream</v>
      </c>
      <c r="M1946" s="16" t="s">
        <v>3609</v>
      </c>
    </row>
    <row r="1947" spans="1:13" ht="25" customHeight="1" x14ac:dyDescent="0.45">
      <c r="A1947" s="18">
        <v>45866</v>
      </c>
      <c r="B1947" s="19" t="s">
        <v>2080</v>
      </c>
      <c r="C1947" s="21" t="s">
        <v>9</v>
      </c>
      <c r="D1947" s="53" t="str">
        <f t="shared" si="234"/>
        <v>Cream</v>
      </c>
      <c r="E1947" s="21" t="s">
        <v>1831</v>
      </c>
      <c r="F1947" s="29" t="s">
        <v>7</v>
      </c>
      <c r="G1947" s="4" t="str">
        <f t="shared" si="233"/>
        <v>Romper Longer</v>
      </c>
      <c r="H1947" s="38">
        <f t="shared" si="229"/>
        <v>7</v>
      </c>
      <c r="I1947" s="54">
        <f t="shared" si="228"/>
        <v>31</v>
      </c>
      <c r="J1947" s="14" t="str">
        <f t="shared" si="230"/>
        <v>Summer</v>
      </c>
      <c r="K1947" s="16" t="str">
        <f t="shared" si="231"/>
        <v>0-3</v>
      </c>
      <c r="L1947" s="14" t="str">
        <f t="shared" si="232"/>
        <v>Romper Longer | 0-3 | Cream</v>
      </c>
      <c r="M1947" s="16" t="s">
        <v>3609</v>
      </c>
    </row>
    <row r="1948" spans="1:13" ht="25" customHeight="1" x14ac:dyDescent="0.45">
      <c r="A1948" s="18">
        <v>45867</v>
      </c>
      <c r="B1948" s="19" t="s">
        <v>2081</v>
      </c>
      <c r="C1948" s="21" t="s">
        <v>85</v>
      </c>
      <c r="D1948" s="53" t="str">
        <f t="shared" si="234"/>
        <v>Forest Green</v>
      </c>
      <c r="E1948" s="21" t="s">
        <v>1841</v>
      </c>
      <c r="F1948" s="29" t="s">
        <v>7</v>
      </c>
      <c r="G1948" s="4" t="str">
        <f t="shared" si="233"/>
        <v>Romper Longer</v>
      </c>
      <c r="H1948" s="38">
        <f t="shared" si="229"/>
        <v>7</v>
      </c>
      <c r="I1948" s="54">
        <f t="shared" si="228"/>
        <v>31</v>
      </c>
      <c r="J1948" s="14" t="str">
        <f t="shared" si="230"/>
        <v>Summer</v>
      </c>
      <c r="K1948" s="16" t="str">
        <f t="shared" si="231"/>
        <v>6-12</v>
      </c>
      <c r="L1948" s="14" t="str">
        <f t="shared" si="232"/>
        <v>Romper Longer | 6-12 | Forest Green</v>
      </c>
      <c r="M1948" s="16" t="s">
        <v>3610</v>
      </c>
    </row>
    <row r="1949" spans="1:13" ht="25" customHeight="1" x14ac:dyDescent="0.45">
      <c r="A1949" s="18">
        <v>45868</v>
      </c>
      <c r="B1949" s="19" t="s">
        <v>2023</v>
      </c>
      <c r="C1949" s="21" t="s">
        <v>9</v>
      </c>
      <c r="D1949" s="53" t="str">
        <f t="shared" si="234"/>
        <v>Cream</v>
      </c>
      <c r="E1949" s="21" t="s">
        <v>1828</v>
      </c>
      <c r="F1949" s="29" t="s">
        <v>7</v>
      </c>
      <c r="G1949" s="4" t="str">
        <f t="shared" si="233"/>
        <v>Romper Longer</v>
      </c>
      <c r="H1949" s="38">
        <f t="shared" si="229"/>
        <v>7</v>
      </c>
      <c r="I1949" s="54">
        <f t="shared" si="228"/>
        <v>31</v>
      </c>
      <c r="J1949" s="14" t="str">
        <f t="shared" si="230"/>
        <v>Summer</v>
      </c>
      <c r="K1949" s="16" t="str">
        <f t="shared" si="231"/>
        <v>3-6</v>
      </c>
      <c r="L1949" s="14" t="str">
        <f t="shared" si="232"/>
        <v>Romper Longer | 3-6 | Cream</v>
      </c>
      <c r="M1949" s="16" t="s">
        <v>3609</v>
      </c>
    </row>
    <row r="1950" spans="1:13" ht="25" customHeight="1" x14ac:dyDescent="0.45">
      <c r="A1950" s="18">
        <v>45869</v>
      </c>
      <c r="B1950" s="19" t="s">
        <v>2082</v>
      </c>
      <c r="C1950" s="21" t="s">
        <v>9</v>
      </c>
      <c r="D1950" s="53" t="str">
        <f t="shared" si="234"/>
        <v>Cream</v>
      </c>
      <c r="E1950" s="21" t="s">
        <v>1834</v>
      </c>
      <c r="F1950" s="29" t="s">
        <v>7</v>
      </c>
      <c r="G1950" s="4" t="str">
        <f t="shared" si="233"/>
        <v>Romper Short</v>
      </c>
      <c r="H1950" s="38">
        <f t="shared" si="229"/>
        <v>7</v>
      </c>
      <c r="I1950" s="54">
        <f t="shared" si="228"/>
        <v>31</v>
      </c>
      <c r="J1950" s="14" t="str">
        <f t="shared" si="230"/>
        <v>Summer</v>
      </c>
      <c r="K1950" s="16" t="str">
        <f t="shared" si="231"/>
        <v>0-3</v>
      </c>
      <c r="L1950" s="14" t="str">
        <f t="shared" si="232"/>
        <v>Romper Short | 0-3 | Cream</v>
      </c>
      <c r="M1950" s="16" t="s">
        <v>3609</v>
      </c>
    </row>
    <row r="1951" spans="1:13" ht="25" customHeight="1" x14ac:dyDescent="0.45">
      <c r="A1951" s="18">
        <v>45870</v>
      </c>
      <c r="B1951" s="30" t="s">
        <v>2083</v>
      </c>
      <c r="C1951" s="21" t="s">
        <v>9</v>
      </c>
      <c r="D1951" s="53" t="str">
        <f t="shared" si="234"/>
        <v>Cream</v>
      </c>
      <c r="E1951" s="21" t="s">
        <v>1828</v>
      </c>
      <c r="F1951" s="29" t="s">
        <v>7</v>
      </c>
      <c r="G1951" s="4" t="str">
        <f t="shared" si="233"/>
        <v>Romper Longer</v>
      </c>
      <c r="H1951" s="38">
        <f t="shared" si="229"/>
        <v>8</v>
      </c>
      <c r="I1951" s="54">
        <f t="shared" si="228"/>
        <v>31</v>
      </c>
      <c r="J1951" s="14" t="str">
        <f t="shared" si="230"/>
        <v>Summer</v>
      </c>
      <c r="K1951" s="16" t="str">
        <f t="shared" si="231"/>
        <v>3-6</v>
      </c>
      <c r="L1951" s="14" t="str">
        <f t="shared" si="232"/>
        <v>Romper Longer | 3-6 | Cream</v>
      </c>
      <c r="M1951" s="16" t="s">
        <v>3609</v>
      </c>
    </row>
    <row r="1952" spans="1:13" ht="25" customHeight="1" x14ac:dyDescent="0.45">
      <c r="A1952" s="18">
        <v>45871</v>
      </c>
      <c r="B1952" s="30" t="s">
        <v>2084</v>
      </c>
      <c r="C1952" s="21" t="s">
        <v>9</v>
      </c>
      <c r="D1952" s="53" t="str">
        <f t="shared" si="234"/>
        <v>Cream</v>
      </c>
      <c r="E1952" s="21" t="s">
        <v>1828</v>
      </c>
      <c r="F1952" s="29" t="s">
        <v>7</v>
      </c>
      <c r="G1952" s="4" t="str">
        <f t="shared" si="233"/>
        <v>Romper Longer</v>
      </c>
      <c r="H1952" s="38">
        <f t="shared" si="229"/>
        <v>8</v>
      </c>
      <c r="I1952" s="54">
        <f t="shared" si="228"/>
        <v>31</v>
      </c>
      <c r="J1952" s="14" t="str">
        <f t="shared" si="230"/>
        <v>Summer</v>
      </c>
      <c r="K1952" s="16" t="str">
        <f t="shared" si="231"/>
        <v>3-6</v>
      </c>
      <c r="L1952" s="14" t="str">
        <f t="shared" si="232"/>
        <v>Romper Longer | 3-6 | Cream</v>
      </c>
      <c r="M1952" s="16" t="s">
        <v>3609</v>
      </c>
    </row>
    <row r="1953" spans="1:13" ht="25" customHeight="1" x14ac:dyDescent="0.45">
      <c r="A1953" s="18">
        <v>45872</v>
      </c>
      <c r="B1953" s="30" t="s">
        <v>2085</v>
      </c>
      <c r="C1953" s="21" t="s">
        <v>9</v>
      </c>
      <c r="D1953" s="53" t="str">
        <f t="shared" si="234"/>
        <v>Cream</v>
      </c>
      <c r="E1953" s="21" t="s">
        <v>1828</v>
      </c>
      <c r="F1953" s="29" t="s">
        <v>7</v>
      </c>
      <c r="G1953" s="4" t="str">
        <f t="shared" si="233"/>
        <v>Romper Longer</v>
      </c>
      <c r="H1953" s="38">
        <f t="shared" si="229"/>
        <v>8</v>
      </c>
      <c r="I1953" s="54">
        <f t="shared" si="228"/>
        <v>32</v>
      </c>
      <c r="J1953" s="14" t="str">
        <f t="shared" si="230"/>
        <v>Summer</v>
      </c>
      <c r="K1953" s="16" t="str">
        <f t="shared" si="231"/>
        <v>3-6</v>
      </c>
      <c r="L1953" s="14" t="str">
        <f t="shared" si="232"/>
        <v>Romper Longer | 3-6 | Cream</v>
      </c>
      <c r="M1953" s="16" t="s">
        <v>3609</v>
      </c>
    </row>
    <row r="1954" spans="1:13" ht="25" customHeight="1" x14ac:dyDescent="0.45">
      <c r="A1954" s="18">
        <v>45873</v>
      </c>
      <c r="B1954" s="30" t="s">
        <v>2086</v>
      </c>
      <c r="C1954" s="21" t="s">
        <v>81</v>
      </c>
      <c r="D1954" s="53" t="str">
        <f t="shared" si="234"/>
        <v>Dusty Pink</v>
      </c>
      <c r="E1954" s="21" t="s">
        <v>1831</v>
      </c>
      <c r="F1954" s="29" t="s">
        <v>7</v>
      </c>
      <c r="G1954" s="4" t="str">
        <f t="shared" si="233"/>
        <v>Romper Longer</v>
      </c>
      <c r="H1954" s="38">
        <f t="shared" si="229"/>
        <v>8</v>
      </c>
      <c r="I1954" s="54">
        <f t="shared" si="228"/>
        <v>32</v>
      </c>
      <c r="J1954" s="14" t="str">
        <f t="shared" si="230"/>
        <v>Summer</v>
      </c>
      <c r="K1954" s="16" t="str">
        <f t="shared" si="231"/>
        <v>0-3</v>
      </c>
      <c r="L1954" s="14" t="str">
        <f t="shared" si="232"/>
        <v>Romper Longer | 0-3 | Dusty Pink</v>
      </c>
      <c r="M1954" s="16" t="s">
        <v>3610</v>
      </c>
    </row>
    <row r="1955" spans="1:13" ht="25" customHeight="1" x14ac:dyDescent="0.45">
      <c r="A1955" s="18">
        <v>45874</v>
      </c>
      <c r="B1955" s="30" t="s">
        <v>2086</v>
      </c>
      <c r="C1955" s="21" t="s">
        <v>85</v>
      </c>
      <c r="D1955" s="53" t="str">
        <f t="shared" si="234"/>
        <v>Forest Green</v>
      </c>
      <c r="E1955" s="21" t="s">
        <v>1828</v>
      </c>
      <c r="F1955" s="31" t="s">
        <v>7</v>
      </c>
      <c r="G1955" s="4" t="str">
        <f t="shared" si="233"/>
        <v>Romper Longer</v>
      </c>
      <c r="H1955" s="38">
        <f t="shared" si="229"/>
        <v>8</v>
      </c>
      <c r="I1955" s="54">
        <f t="shared" si="228"/>
        <v>32</v>
      </c>
      <c r="J1955" s="14" t="str">
        <f t="shared" si="230"/>
        <v>Summer</v>
      </c>
      <c r="K1955" s="16" t="str">
        <f t="shared" si="231"/>
        <v>3-6</v>
      </c>
      <c r="L1955" s="14" t="str">
        <f t="shared" si="232"/>
        <v>Romper Longer | 3-6 | Forest Green</v>
      </c>
      <c r="M1955" s="16" t="s">
        <v>3610</v>
      </c>
    </row>
    <row r="1956" spans="1:13" ht="25" customHeight="1" x14ac:dyDescent="0.45">
      <c r="A1956" s="18">
        <v>45875</v>
      </c>
      <c r="B1956" s="30" t="s">
        <v>2087</v>
      </c>
      <c r="C1956" s="21" t="s">
        <v>9</v>
      </c>
      <c r="D1956" s="53" t="str">
        <f t="shared" si="234"/>
        <v>Cream</v>
      </c>
      <c r="E1956" s="21" t="s">
        <v>1834</v>
      </c>
      <c r="F1956" s="31" t="s">
        <v>7</v>
      </c>
      <c r="G1956" s="4" t="str">
        <f t="shared" si="233"/>
        <v>Romper Short</v>
      </c>
      <c r="H1956" s="38">
        <f t="shared" si="229"/>
        <v>8</v>
      </c>
      <c r="I1956" s="54">
        <f t="shared" si="228"/>
        <v>32</v>
      </c>
      <c r="J1956" s="14" t="str">
        <f t="shared" si="230"/>
        <v>Summer</v>
      </c>
      <c r="K1956" s="16" t="str">
        <f t="shared" si="231"/>
        <v>0-3</v>
      </c>
      <c r="L1956" s="14" t="str">
        <f t="shared" si="232"/>
        <v>Romper Short | 0-3 | Cream</v>
      </c>
      <c r="M1956" s="16" t="s">
        <v>3609</v>
      </c>
    </row>
    <row r="1957" spans="1:13" ht="25" customHeight="1" x14ac:dyDescent="0.45">
      <c r="A1957" s="18">
        <v>45876</v>
      </c>
      <c r="B1957" s="30" t="s">
        <v>2088</v>
      </c>
      <c r="C1957" s="21" t="s">
        <v>9</v>
      </c>
      <c r="D1957" s="53" t="str">
        <f t="shared" si="234"/>
        <v>Cream</v>
      </c>
      <c r="E1957" s="21" t="s">
        <v>1831</v>
      </c>
      <c r="F1957" s="31" t="s">
        <v>7</v>
      </c>
      <c r="G1957" s="4" t="str">
        <f t="shared" si="233"/>
        <v>Romper Longer</v>
      </c>
      <c r="H1957" s="38">
        <f t="shared" si="229"/>
        <v>8</v>
      </c>
      <c r="I1957" s="54">
        <f t="shared" si="228"/>
        <v>32</v>
      </c>
      <c r="J1957" s="14" t="str">
        <f t="shared" si="230"/>
        <v>Summer</v>
      </c>
      <c r="K1957" s="16" t="str">
        <f t="shared" si="231"/>
        <v>0-3</v>
      </c>
      <c r="L1957" s="14" t="str">
        <f t="shared" si="232"/>
        <v>Romper Longer | 0-3 | Cream</v>
      </c>
      <c r="M1957" s="16" t="s">
        <v>3609</v>
      </c>
    </row>
    <row r="1958" spans="1:13" ht="25" customHeight="1" x14ac:dyDescent="0.45">
      <c r="A1958" s="18">
        <v>45877</v>
      </c>
      <c r="B1958" s="30" t="s">
        <v>2089</v>
      </c>
      <c r="C1958" s="21" t="s">
        <v>76</v>
      </c>
      <c r="D1958" s="53" t="str">
        <f t="shared" si="234"/>
        <v>Caldet Blue</v>
      </c>
      <c r="E1958" s="21" t="s">
        <v>1841</v>
      </c>
      <c r="F1958" s="31" t="s">
        <v>7</v>
      </c>
      <c r="G1958" s="4" t="str">
        <f t="shared" si="233"/>
        <v>Romper Longer</v>
      </c>
      <c r="H1958" s="38">
        <f t="shared" si="229"/>
        <v>8</v>
      </c>
      <c r="I1958" s="54">
        <f t="shared" si="228"/>
        <v>32</v>
      </c>
      <c r="J1958" s="14" t="str">
        <f t="shared" si="230"/>
        <v>Summer</v>
      </c>
      <c r="K1958" s="16" t="str">
        <f t="shared" si="231"/>
        <v>6-12</v>
      </c>
      <c r="L1958" s="14" t="str">
        <f t="shared" si="232"/>
        <v>Romper Longer | 6-12 | Caldet Blue</v>
      </c>
      <c r="M1958" s="16" t="s">
        <v>3610</v>
      </c>
    </row>
    <row r="1959" spans="1:13" ht="25" customHeight="1" x14ac:dyDescent="0.45">
      <c r="A1959" s="18">
        <v>45878</v>
      </c>
      <c r="B1959" s="30" t="s">
        <v>2090</v>
      </c>
      <c r="C1959" s="21" t="s">
        <v>178</v>
      </c>
      <c r="D1959" s="53" t="str">
        <f t="shared" si="234"/>
        <v>Mauve Taupe</v>
      </c>
      <c r="E1959" s="21" t="s">
        <v>1841</v>
      </c>
      <c r="F1959" s="31" t="s">
        <v>7</v>
      </c>
      <c r="G1959" s="4" t="str">
        <f t="shared" si="233"/>
        <v>Romper Longer</v>
      </c>
      <c r="H1959" s="38">
        <f t="shared" si="229"/>
        <v>8</v>
      </c>
      <c r="I1959" s="54">
        <f t="shared" si="228"/>
        <v>32</v>
      </c>
      <c r="J1959" s="14" t="str">
        <f t="shared" si="230"/>
        <v>Summer</v>
      </c>
      <c r="K1959" s="16" t="str">
        <f t="shared" si="231"/>
        <v>6-12</v>
      </c>
      <c r="L1959" s="14" t="str">
        <f t="shared" si="232"/>
        <v>Romper Longer | 6-12 | Mauve Taupe</v>
      </c>
      <c r="M1959" s="16" t="s">
        <v>3610</v>
      </c>
    </row>
    <row r="1960" spans="1:13" ht="25" customHeight="1" x14ac:dyDescent="0.45">
      <c r="A1960" s="18">
        <v>45879</v>
      </c>
      <c r="B1960" s="30" t="s">
        <v>2091</v>
      </c>
      <c r="C1960" s="21" t="s">
        <v>81</v>
      </c>
      <c r="D1960" s="53" t="str">
        <f t="shared" si="234"/>
        <v>Dusty Pink</v>
      </c>
      <c r="E1960" s="21" t="s">
        <v>1841</v>
      </c>
      <c r="F1960" s="31" t="s">
        <v>7</v>
      </c>
      <c r="G1960" s="4" t="str">
        <f t="shared" si="233"/>
        <v>Romper Longer</v>
      </c>
      <c r="H1960" s="38">
        <f t="shared" si="229"/>
        <v>8</v>
      </c>
      <c r="I1960" s="54">
        <f t="shared" si="228"/>
        <v>33</v>
      </c>
      <c r="J1960" s="14" t="str">
        <f t="shared" si="230"/>
        <v>Summer</v>
      </c>
      <c r="K1960" s="16" t="str">
        <f t="shared" si="231"/>
        <v>6-12</v>
      </c>
      <c r="L1960" s="14" t="str">
        <f t="shared" si="232"/>
        <v>Romper Longer | 6-12 | Dusty Pink</v>
      </c>
      <c r="M1960" s="16" t="s">
        <v>3610</v>
      </c>
    </row>
    <row r="1961" spans="1:13" ht="25" customHeight="1" x14ac:dyDescent="0.45">
      <c r="A1961" s="18">
        <v>45972</v>
      </c>
      <c r="B1961" s="30" t="s">
        <v>2092</v>
      </c>
      <c r="C1961" s="21" t="s">
        <v>9</v>
      </c>
      <c r="D1961" s="53" t="str">
        <f t="shared" si="234"/>
        <v>Cream</v>
      </c>
      <c r="E1961" s="21" t="s">
        <v>1831</v>
      </c>
      <c r="F1961" s="31" t="s">
        <v>7</v>
      </c>
      <c r="G1961" s="4" t="str">
        <f t="shared" si="233"/>
        <v>Romper Longer</v>
      </c>
      <c r="H1961" s="38">
        <f t="shared" si="229"/>
        <v>11</v>
      </c>
      <c r="I1961" s="54">
        <f t="shared" si="228"/>
        <v>46</v>
      </c>
      <c r="J1961" s="14" t="str">
        <f t="shared" si="230"/>
        <v>Christmas</v>
      </c>
      <c r="K1961" s="16" t="str">
        <f t="shared" si="231"/>
        <v>0-3</v>
      </c>
      <c r="L1961" s="14" t="str">
        <f t="shared" si="232"/>
        <v>Romper Longer | 0-3 | Cream</v>
      </c>
      <c r="M1961" s="16" t="s">
        <v>3609</v>
      </c>
    </row>
    <row r="1962" spans="1:13" ht="25" customHeight="1" x14ac:dyDescent="0.45">
      <c r="A1962" s="18">
        <v>45973</v>
      </c>
      <c r="B1962" s="30" t="s">
        <v>2093</v>
      </c>
      <c r="C1962" s="21" t="s">
        <v>9</v>
      </c>
      <c r="D1962" s="53" t="str">
        <f t="shared" si="234"/>
        <v>Cream</v>
      </c>
      <c r="E1962" s="21" t="s">
        <v>1841</v>
      </c>
      <c r="F1962" s="31" t="s">
        <v>7</v>
      </c>
      <c r="G1962" s="4" t="str">
        <f t="shared" si="233"/>
        <v>Romper Longer</v>
      </c>
      <c r="H1962" s="38">
        <f t="shared" si="229"/>
        <v>11</v>
      </c>
      <c r="I1962" s="54">
        <f t="shared" si="228"/>
        <v>46</v>
      </c>
      <c r="J1962" s="14" t="str">
        <f t="shared" si="230"/>
        <v>Christmas</v>
      </c>
      <c r="K1962" s="16" t="str">
        <f t="shared" si="231"/>
        <v>6-12</v>
      </c>
      <c r="L1962" s="14" t="str">
        <f t="shared" si="232"/>
        <v>Romper Longer | 6-12 | Cream</v>
      </c>
      <c r="M1962" s="16" t="s">
        <v>3611</v>
      </c>
    </row>
    <row r="1963" spans="1:13" ht="25" customHeight="1" x14ac:dyDescent="0.45">
      <c r="A1963" s="18">
        <v>45974</v>
      </c>
      <c r="B1963" s="19" t="s">
        <v>2094</v>
      </c>
      <c r="C1963" s="23" t="s">
        <v>9</v>
      </c>
      <c r="D1963" s="53" t="str">
        <f t="shared" si="234"/>
        <v>Cream</v>
      </c>
      <c r="E1963" s="21" t="s">
        <v>1841</v>
      </c>
      <c r="F1963" s="31" t="s">
        <v>7</v>
      </c>
      <c r="G1963" s="4" t="str">
        <f t="shared" si="233"/>
        <v>Romper Longer</v>
      </c>
      <c r="H1963" s="38">
        <f t="shared" si="229"/>
        <v>11</v>
      </c>
      <c r="I1963" s="54">
        <f t="shared" si="228"/>
        <v>46</v>
      </c>
      <c r="J1963" s="14" t="str">
        <f t="shared" si="230"/>
        <v>Christmas</v>
      </c>
      <c r="K1963" s="16" t="str">
        <f t="shared" si="231"/>
        <v>6-12</v>
      </c>
      <c r="L1963" s="14" t="str">
        <f t="shared" si="232"/>
        <v>Romper Longer | 6-12 | Cream</v>
      </c>
      <c r="M1963" s="16" t="s">
        <v>3611</v>
      </c>
    </row>
    <row r="1964" spans="1:13" ht="25" customHeight="1" x14ac:dyDescent="0.45">
      <c r="A1964" s="18">
        <v>45975</v>
      </c>
      <c r="B1964" s="19" t="s">
        <v>2095</v>
      </c>
      <c r="C1964" s="21" t="s">
        <v>85</v>
      </c>
      <c r="D1964" s="53" t="str">
        <f t="shared" si="234"/>
        <v>Forest Green</v>
      </c>
      <c r="E1964" s="21" t="s">
        <v>1831</v>
      </c>
      <c r="F1964" s="31" t="s">
        <v>7</v>
      </c>
      <c r="G1964" s="4" t="str">
        <f t="shared" si="233"/>
        <v>Romper Longer</v>
      </c>
      <c r="H1964" s="38">
        <f t="shared" si="229"/>
        <v>11</v>
      </c>
      <c r="I1964" s="54">
        <f t="shared" si="228"/>
        <v>46</v>
      </c>
      <c r="J1964" s="14" t="str">
        <f t="shared" si="230"/>
        <v>Christmas</v>
      </c>
      <c r="K1964" s="16" t="str">
        <f t="shared" si="231"/>
        <v>0-3</v>
      </c>
      <c r="L1964" s="14" t="str">
        <f t="shared" si="232"/>
        <v>Romper Longer | 0-3 | Forest Green</v>
      </c>
      <c r="M1964" s="16" t="s">
        <v>3610</v>
      </c>
    </row>
    <row r="1965" spans="1:13" ht="25" customHeight="1" x14ac:dyDescent="0.45">
      <c r="A1965" s="18">
        <v>45976</v>
      </c>
      <c r="B1965" s="19" t="s">
        <v>2096</v>
      </c>
      <c r="C1965" s="21" t="s">
        <v>9</v>
      </c>
      <c r="D1965" s="53" t="str">
        <f t="shared" si="234"/>
        <v>Cream</v>
      </c>
      <c r="E1965" s="21" t="s">
        <v>1831</v>
      </c>
      <c r="F1965" s="31" t="s">
        <v>7</v>
      </c>
      <c r="G1965" s="4" t="str">
        <f t="shared" si="233"/>
        <v>Romper Longer</v>
      </c>
      <c r="H1965" s="38">
        <f t="shared" si="229"/>
        <v>11</v>
      </c>
      <c r="I1965" s="54">
        <f t="shared" si="228"/>
        <v>46</v>
      </c>
      <c r="J1965" s="14" t="str">
        <f t="shared" si="230"/>
        <v>Christmas</v>
      </c>
      <c r="K1965" s="16" t="str">
        <f t="shared" si="231"/>
        <v>0-3</v>
      </c>
      <c r="L1965" s="14" t="str">
        <f t="shared" si="232"/>
        <v>Romper Longer | 0-3 | Cream</v>
      </c>
      <c r="M1965" s="16" t="s">
        <v>3609</v>
      </c>
    </row>
    <row r="1966" spans="1:13" ht="25" customHeight="1" x14ac:dyDescent="0.45">
      <c r="A1966" s="18">
        <v>45977</v>
      </c>
      <c r="B1966" s="19" t="s">
        <v>2097</v>
      </c>
      <c r="C1966" s="21" t="s">
        <v>74</v>
      </c>
      <c r="D1966" s="53" t="str">
        <f t="shared" si="234"/>
        <v>Watermelon</v>
      </c>
      <c r="E1966" s="21" t="s">
        <v>1828</v>
      </c>
      <c r="F1966" s="31" t="s">
        <v>7</v>
      </c>
      <c r="G1966" s="4" t="str">
        <f t="shared" si="233"/>
        <v>Romper Longer</v>
      </c>
      <c r="H1966" s="38">
        <f t="shared" si="229"/>
        <v>11</v>
      </c>
      <c r="I1966" s="54">
        <f t="shared" ref="I1966:I2029" si="235">WEEKNUM(A1966)</f>
        <v>47</v>
      </c>
      <c r="J1966" s="14" t="str">
        <f t="shared" si="230"/>
        <v>Christmas</v>
      </c>
      <c r="K1966" s="16" t="str">
        <f t="shared" si="231"/>
        <v>3-6</v>
      </c>
      <c r="L1966" s="14" t="str">
        <f t="shared" si="232"/>
        <v>Romper Longer | 3-6 | Watermelon</v>
      </c>
      <c r="M1966" s="16" t="s">
        <v>3610</v>
      </c>
    </row>
    <row r="1967" spans="1:13" ht="25" customHeight="1" x14ac:dyDescent="0.45">
      <c r="A1967" s="18">
        <v>45978</v>
      </c>
      <c r="B1967" s="19" t="s">
        <v>2098</v>
      </c>
      <c r="C1967" s="21" t="s">
        <v>9</v>
      </c>
      <c r="D1967" s="53" t="str">
        <f t="shared" si="234"/>
        <v>Cream</v>
      </c>
      <c r="E1967" s="21" t="s">
        <v>1831</v>
      </c>
      <c r="F1967" s="31" t="s">
        <v>7</v>
      </c>
      <c r="G1967" s="4" t="str">
        <f t="shared" si="233"/>
        <v>Romper Longer</v>
      </c>
      <c r="H1967" s="38">
        <f t="shared" si="229"/>
        <v>11</v>
      </c>
      <c r="I1967" s="54">
        <f t="shared" si="235"/>
        <v>47</v>
      </c>
      <c r="J1967" s="14" t="str">
        <f t="shared" si="230"/>
        <v>Christmas</v>
      </c>
      <c r="K1967" s="16" t="str">
        <f t="shared" si="231"/>
        <v>0-3</v>
      </c>
      <c r="L1967" s="14" t="str">
        <f t="shared" si="232"/>
        <v>Romper Longer | 0-3 | Cream</v>
      </c>
      <c r="M1967" s="16" t="s">
        <v>3609</v>
      </c>
    </row>
    <row r="1968" spans="1:13" ht="25" customHeight="1" x14ac:dyDescent="0.45">
      <c r="A1968" s="18">
        <v>45979</v>
      </c>
      <c r="B1968" s="19" t="s">
        <v>2099</v>
      </c>
      <c r="C1968" s="21" t="s">
        <v>85</v>
      </c>
      <c r="D1968" s="53" t="str">
        <f t="shared" si="234"/>
        <v>Forest Green</v>
      </c>
      <c r="E1968" s="21" t="s">
        <v>1550</v>
      </c>
      <c r="F1968" s="31" t="s">
        <v>7</v>
      </c>
      <c r="G1968" s="4" t="str">
        <f t="shared" si="233"/>
        <v>Romper Longer</v>
      </c>
      <c r="H1968" s="38">
        <f t="shared" si="229"/>
        <v>11</v>
      </c>
      <c r="I1968" s="54">
        <f t="shared" si="235"/>
        <v>47</v>
      </c>
      <c r="J1968" s="14" t="str">
        <f t="shared" si="230"/>
        <v>Christmas</v>
      </c>
      <c r="K1968" s="16" t="str">
        <f t="shared" si="231"/>
        <v>12-18</v>
      </c>
      <c r="L1968" s="14" t="str">
        <f t="shared" si="232"/>
        <v>Romper Longer | 12-18 | Forest Green</v>
      </c>
      <c r="M1968" s="16" t="s">
        <v>3610</v>
      </c>
    </row>
    <row r="1969" spans="1:13" ht="25" customHeight="1" x14ac:dyDescent="0.45">
      <c r="A1969" s="18">
        <v>45980</v>
      </c>
      <c r="B1969" s="19" t="s">
        <v>2100</v>
      </c>
      <c r="C1969" s="21" t="s">
        <v>9</v>
      </c>
      <c r="D1969" s="53" t="str">
        <f t="shared" si="234"/>
        <v>Cream</v>
      </c>
      <c r="E1969" s="21" t="s">
        <v>1849</v>
      </c>
      <c r="F1969" s="31" t="s">
        <v>7</v>
      </c>
      <c r="G1969" s="4" t="str">
        <f t="shared" si="233"/>
        <v>Romper Short</v>
      </c>
      <c r="H1969" s="38">
        <f t="shared" si="229"/>
        <v>11</v>
      </c>
      <c r="I1969" s="54">
        <f t="shared" si="235"/>
        <v>47</v>
      </c>
      <c r="J1969" s="14" t="str">
        <f t="shared" si="230"/>
        <v>Christmas</v>
      </c>
      <c r="K1969" s="16" t="str">
        <f t="shared" si="231"/>
        <v>3-6</v>
      </c>
      <c r="L1969" s="14" t="str">
        <f t="shared" si="232"/>
        <v>Romper Short | 3-6 | Cream</v>
      </c>
      <c r="M1969" s="16" t="s">
        <v>3609</v>
      </c>
    </row>
    <row r="1970" spans="1:13" ht="25" customHeight="1" x14ac:dyDescent="0.45">
      <c r="A1970" s="18">
        <v>45981</v>
      </c>
      <c r="B1970" s="19" t="s">
        <v>2101</v>
      </c>
      <c r="C1970" s="21" t="s">
        <v>9</v>
      </c>
      <c r="D1970" s="53" t="str">
        <f t="shared" si="234"/>
        <v>Cream</v>
      </c>
      <c r="E1970" s="21" t="s">
        <v>1841</v>
      </c>
      <c r="F1970" s="31" t="s">
        <v>7</v>
      </c>
      <c r="G1970" s="4" t="str">
        <f t="shared" si="233"/>
        <v>Romper Longer</v>
      </c>
      <c r="H1970" s="38">
        <f t="shared" si="229"/>
        <v>11</v>
      </c>
      <c r="I1970" s="54">
        <f t="shared" si="235"/>
        <v>47</v>
      </c>
      <c r="J1970" s="14" t="str">
        <f t="shared" si="230"/>
        <v>Christmas</v>
      </c>
      <c r="K1970" s="16" t="str">
        <f t="shared" si="231"/>
        <v>6-12</v>
      </c>
      <c r="L1970" s="14" t="str">
        <f t="shared" si="232"/>
        <v>Romper Longer | 6-12 | Cream</v>
      </c>
      <c r="M1970" s="16" t="s">
        <v>3611</v>
      </c>
    </row>
    <row r="1971" spans="1:13" ht="25" customHeight="1" x14ac:dyDescent="0.45">
      <c r="A1971" s="18">
        <v>45982</v>
      </c>
      <c r="B1971" s="19" t="s">
        <v>2102</v>
      </c>
      <c r="C1971" s="21" t="s">
        <v>9</v>
      </c>
      <c r="D1971" s="53" t="str">
        <f t="shared" si="234"/>
        <v>Cream</v>
      </c>
      <c r="E1971" s="21" t="s">
        <v>1828</v>
      </c>
      <c r="F1971" s="21" t="s">
        <v>7</v>
      </c>
      <c r="G1971" s="4" t="str">
        <f t="shared" si="233"/>
        <v>Romper Longer</v>
      </c>
      <c r="H1971" s="38">
        <f t="shared" si="229"/>
        <v>11</v>
      </c>
      <c r="I1971" s="54">
        <f t="shared" si="235"/>
        <v>47</v>
      </c>
      <c r="J1971" s="14" t="str">
        <f t="shared" si="230"/>
        <v>Christmas</v>
      </c>
      <c r="K1971" s="16" t="str">
        <f t="shared" si="231"/>
        <v>3-6</v>
      </c>
      <c r="L1971" s="14" t="str">
        <f t="shared" si="232"/>
        <v>Romper Longer | 3-6 | Cream</v>
      </c>
      <c r="M1971" s="16" t="s">
        <v>3609</v>
      </c>
    </row>
    <row r="1972" spans="1:13" ht="25" customHeight="1" x14ac:dyDescent="0.45">
      <c r="A1972" s="18">
        <v>45983</v>
      </c>
      <c r="B1972" s="19" t="s">
        <v>2103</v>
      </c>
      <c r="C1972" s="21" t="s">
        <v>110</v>
      </c>
      <c r="D1972" s="53" t="str">
        <f t="shared" si="234"/>
        <v>Sage Green</v>
      </c>
      <c r="E1972" s="21" t="s">
        <v>1420</v>
      </c>
      <c r="F1972" s="21" t="s">
        <v>7</v>
      </c>
      <c r="G1972" s="4" t="str">
        <f t="shared" si="233"/>
        <v>Romper Short</v>
      </c>
      <c r="H1972" s="38">
        <f t="shared" si="229"/>
        <v>11</v>
      </c>
      <c r="I1972" s="54">
        <f t="shared" si="235"/>
        <v>47</v>
      </c>
      <c r="J1972" s="14" t="str">
        <f t="shared" si="230"/>
        <v>Christmas</v>
      </c>
      <c r="K1972" s="16" t="str">
        <f t="shared" si="231"/>
        <v>6-12</v>
      </c>
      <c r="L1972" s="14" t="str">
        <f t="shared" si="232"/>
        <v>Romper Short | 6-12 | Sage Green</v>
      </c>
      <c r="M1972" s="16" t="s">
        <v>3610</v>
      </c>
    </row>
    <row r="1973" spans="1:13" ht="25" customHeight="1" x14ac:dyDescent="0.45">
      <c r="A1973" s="18">
        <v>45984</v>
      </c>
      <c r="B1973" s="19" t="s">
        <v>2104</v>
      </c>
      <c r="C1973" s="21" t="s">
        <v>71</v>
      </c>
      <c r="D1973" s="53" t="str">
        <f t="shared" si="234"/>
        <v>Coffee</v>
      </c>
      <c r="E1973" s="21" t="s">
        <v>1838</v>
      </c>
      <c r="F1973" s="21" t="s">
        <v>7</v>
      </c>
      <c r="G1973" s="4" t="str">
        <f t="shared" si="233"/>
        <v>Romper Short</v>
      </c>
      <c r="H1973" s="38">
        <f t="shared" si="229"/>
        <v>11</v>
      </c>
      <c r="I1973" s="54">
        <f t="shared" si="235"/>
        <v>48</v>
      </c>
      <c r="J1973" s="14" t="str">
        <f t="shared" si="230"/>
        <v>Christmas</v>
      </c>
      <c r="K1973" s="16" t="str">
        <f t="shared" si="231"/>
        <v>12-18</v>
      </c>
      <c r="L1973" s="14" t="str">
        <f t="shared" si="232"/>
        <v>Romper Short | 12-18 | Coffee</v>
      </c>
      <c r="M1973" s="16" t="s">
        <v>3610</v>
      </c>
    </row>
    <row r="1974" spans="1:13" ht="25" customHeight="1" x14ac:dyDescent="0.45">
      <c r="A1974" s="18">
        <v>45985</v>
      </c>
      <c r="B1974" s="19" t="s">
        <v>2105</v>
      </c>
      <c r="C1974" s="21" t="s">
        <v>79</v>
      </c>
      <c r="D1974" s="53" t="str">
        <f t="shared" si="234"/>
        <v>White</v>
      </c>
      <c r="E1974" s="21" t="s">
        <v>1841</v>
      </c>
      <c r="F1974" s="21" t="s">
        <v>7</v>
      </c>
      <c r="G1974" s="4" t="str">
        <f t="shared" si="233"/>
        <v>Romper Longer</v>
      </c>
      <c r="H1974" s="38">
        <f t="shared" si="229"/>
        <v>11</v>
      </c>
      <c r="I1974" s="54">
        <f t="shared" si="235"/>
        <v>48</v>
      </c>
      <c r="J1974" s="14" t="str">
        <f t="shared" si="230"/>
        <v>Christmas</v>
      </c>
      <c r="K1974" s="16" t="str">
        <f t="shared" si="231"/>
        <v>6-12</v>
      </c>
      <c r="L1974" s="14" t="str">
        <f t="shared" si="232"/>
        <v>Romper Longer | 6-12 | White</v>
      </c>
      <c r="M1974" s="16" t="s">
        <v>3610</v>
      </c>
    </row>
    <row r="1975" spans="1:13" ht="25" customHeight="1" x14ac:dyDescent="0.45">
      <c r="A1975" s="18">
        <v>45986</v>
      </c>
      <c r="B1975" s="19" t="s">
        <v>2106</v>
      </c>
      <c r="C1975" s="21" t="s">
        <v>85</v>
      </c>
      <c r="D1975" s="53" t="str">
        <f t="shared" si="234"/>
        <v>Forest Green</v>
      </c>
      <c r="E1975" s="21" t="s">
        <v>1831</v>
      </c>
      <c r="F1975" s="21" t="s">
        <v>7</v>
      </c>
      <c r="G1975" s="4" t="str">
        <f t="shared" si="233"/>
        <v>Romper Longer</v>
      </c>
      <c r="H1975" s="38">
        <f t="shared" si="229"/>
        <v>11</v>
      </c>
      <c r="I1975" s="54">
        <f t="shared" si="235"/>
        <v>48</v>
      </c>
      <c r="J1975" s="14" t="str">
        <f t="shared" si="230"/>
        <v>Christmas</v>
      </c>
      <c r="K1975" s="16" t="str">
        <f t="shared" si="231"/>
        <v>0-3</v>
      </c>
      <c r="L1975" s="14" t="str">
        <f t="shared" si="232"/>
        <v>Romper Longer | 0-3 | Forest Green</v>
      </c>
      <c r="M1975" s="16" t="s">
        <v>3610</v>
      </c>
    </row>
    <row r="1976" spans="1:13" ht="25" customHeight="1" x14ac:dyDescent="0.45">
      <c r="A1976" s="18">
        <v>45987</v>
      </c>
      <c r="B1976" s="19" t="s">
        <v>2107</v>
      </c>
      <c r="C1976" s="21" t="s">
        <v>9</v>
      </c>
      <c r="D1976" s="53" t="str">
        <f t="shared" si="234"/>
        <v>Cream</v>
      </c>
      <c r="E1976" s="21" t="s">
        <v>1831</v>
      </c>
      <c r="F1976" s="21" t="s">
        <v>7</v>
      </c>
      <c r="G1976" s="4" t="str">
        <f t="shared" si="233"/>
        <v>Romper Longer</v>
      </c>
      <c r="H1976" s="38">
        <f t="shared" ref="H1976:H2039" si="236">MONTH(A1976)</f>
        <v>11</v>
      </c>
      <c r="I1976" s="54">
        <f t="shared" si="235"/>
        <v>48</v>
      </c>
      <c r="J1976" s="14" t="str">
        <f t="shared" ref="J1976:J2039" si="237">IF(H1976=1,"NewYear",
IF(H1976=2,"Valentine",
IF(OR(H1976=3,H1976=4),"Easter",
IF(H1976=5,"MothersDay",
IF(H1976=6,"FathersDay",
IF(OR(H1976=7,H1976=8),"Summer",
IF(H1976=10,"Halloween",
IF(OR(H1976=11,H1976=12),"Christmas","Normal"))))))))</f>
        <v>Christmas</v>
      </c>
      <c r="K1976" s="16" t="str">
        <f t="shared" ref="K1976:K2039" si="238">TRIM(LEFT(E1976,FIND("(",E1976&amp;"(")-3))</f>
        <v>0-3</v>
      </c>
      <c r="L1976" s="14" t="str">
        <f t="shared" si="232"/>
        <v>Romper Longer | 0-3 | Cream</v>
      </c>
      <c r="M1976" s="16" t="s">
        <v>3609</v>
      </c>
    </row>
    <row r="1977" spans="1:13" ht="25" customHeight="1" x14ac:dyDescent="0.45">
      <c r="A1977" s="18">
        <v>45988</v>
      </c>
      <c r="B1977" s="19" t="s">
        <v>2108</v>
      </c>
      <c r="C1977" s="21" t="s">
        <v>9</v>
      </c>
      <c r="D1977" s="53" t="str">
        <f t="shared" si="234"/>
        <v>Cream</v>
      </c>
      <c r="E1977" s="21" t="s">
        <v>1420</v>
      </c>
      <c r="F1977" s="21" t="s">
        <v>7</v>
      </c>
      <c r="G1977" s="4" t="str">
        <f t="shared" si="233"/>
        <v>Romper Short</v>
      </c>
      <c r="H1977" s="38">
        <f t="shared" si="236"/>
        <v>11</v>
      </c>
      <c r="I1977" s="54">
        <f t="shared" si="235"/>
        <v>48</v>
      </c>
      <c r="J1977" s="14" t="str">
        <f t="shared" si="237"/>
        <v>Christmas</v>
      </c>
      <c r="K1977" s="16" t="str">
        <f t="shared" si="238"/>
        <v>6-12</v>
      </c>
      <c r="L1977" s="14" t="str">
        <f t="shared" si="232"/>
        <v>Romper Short | 6-12 | Cream</v>
      </c>
      <c r="M1977" s="16" t="s">
        <v>3611</v>
      </c>
    </row>
    <row r="1978" spans="1:13" ht="25" customHeight="1" x14ac:dyDescent="0.45">
      <c r="A1978" s="18">
        <v>45989</v>
      </c>
      <c r="B1978" s="19" t="s">
        <v>2109</v>
      </c>
      <c r="C1978" s="21" t="s">
        <v>9</v>
      </c>
      <c r="D1978" s="53" t="str">
        <f t="shared" si="234"/>
        <v>Cream</v>
      </c>
      <c r="E1978" s="21" t="s">
        <v>1834</v>
      </c>
      <c r="F1978" s="21" t="s">
        <v>7</v>
      </c>
      <c r="G1978" s="4" t="str">
        <f t="shared" si="233"/>
        <v>Romper Short</v>
      </c>
      <c r="H1978" s="38">
        <f t="shared" si="236"/>
        <v>11</v>
      </c>
      <c r="I1978" s="54">
        <f t="shared" si="235"/>
        <v>48</v>
      </c>
      <c r="J1978" s="14" t="str">
        <f t="shared" si="237"/>
        <v>Christmas</v>
      </c>
      <c r="K1978" s="16" t="str">
        <f t="shared" si="238"/>
        <v>0-3</v>
      </c>
      <c r="L1978" s="14" t="str">
        <f t="shared" si="232"/>
        <v>Romper Short | 0-3 | Cream</v>
      </c>
      <c r="M1978" s="16" t="s">
        <v>3609</v>
      </c>
    </row>
    <row r="1979" spans="1:13" ht="25" customHeight="1" x14ac:dyDescent="0.45">
      <c r="A1979" s="18">
        <v>45990</v>
      </c>
      <c r="B1979" s="19" t="s">
        <v>2110</v>
      </c>
      <c r="C1979" s="21" t="s">
        <v>71</v>
      </c>
      <c r="D1979" s="53" t="str">
        <f t="shared" si="234"/>
        <v>Coffee</v>
      </c>
      <c r="E1979" s="21" t="s">
        <v>1841</v>
      </c>
      <c r="F1979" s="21" t="s">
        <v>7</v>
      </c>
      <c r="G1979" s="4" t="str">
        <f t="shared" si="233"/>
        <v>Romper Longer</v>
      </c>
      <c r="H1979" s="38">
        <f t="shared" si="236"/>
        <v>11</v>
      </c>
      <c r="I1979" s="54">
        <f t="shared" si="235"/>
        <v>48</v>
      </c>
      <c r="J1979" s="14" t="str">
        <f t="shared" si="237"/>
        <v>Christmas</v>
      </c>
      <c r="K1979" s="16" t="str">
        <f t="shared" si="238"/>
        <v>6-12</v>
      </c>
      <c r="L1979" s="14" t="str">
        <f t="shared" si="232"/>
        <v>Romper Longer | 6-12 | Coffee</v>
      </c>
      <c r="M1979" s="16" t="s">
        <v>3610</v>
      </c>
    </row>
    <row r="1980" spans="1:13" ht="25" customHeight="1" x14ac:dyDescent="0.45">
      <c r="A1980" s="18">
        <v>45991</v>
      </c>
      <c r="B1980" s="19" t="s">
        <v>2111</v>
      </c>
      <c r="C1980" s="21" t="s">
        <v>9</v>
      </c>
      <c r="D1980" s="53" t="str">
        <f t="shared" si="234"/>
        <v>Cream</v>
      </c>
      <c r="E1980" s="21" t="s">
        <v>1828</v>
      </c>
      <c r="F1980" s="21" t="s">
        <v>7</v>
      </c>
      <c r="G1980" s="4" t="str">
        <f t="shared" si="233"/>
        <v>Romper Longer</v>
      </c>
      <c r="H1980" s="38">
        <f t="shared" si="236"/>
        <v>11</v>
      </c>
      <c r="I1980" s="54">
        <f t="shared" si="235"/>
        <v>49</v>
      </c>
      <c r="J1980" s="14" t="str">
        <f t="shared" si="237"/>
        <v>Christmas</v>
      </c>
      <c r="K1980" s="16" t="str">
        <f t="shared" si="238"/>
        <v>3-6</v>
      </c>
      <c r="L1980" s="14" t="str">
        <f t="shared" si="232"/>
        <v>Romper Longer | 3-6 | Cream</v>
      </c>
      <c r="M1980" s="16" t="s">
        <v>3609</v>
      </c>
    </row>
    <row r="1981" spans="1:13" ht="25" customHeight="1" x14ac:dyDescent="0.45">
      <c r="A1981" s="18">
        <v>45992</v>
      </c>
      <c r="B1981" s="19" t="s">
        <v>2112</v>
      </c>
      <c r="C1981" s="21" t="s">
        <v>71</v>
      </c>
      <c r="D1981" s="53" t="str">
        <f t="shared" si="234"/>
        <v>Coffee</v>
      </c>
      <c r="E1981" s="21" t="s">
        <v>1849</v>
      </c>
      <c r="F1981" s="21" t="s">
        <v>7</v>
      </c>
      <c r="G1981" s="4" t="str">
        <f t="shared" si="233"/>
        <v>Romper Short</v>
      </c>
      <c r="H1981" s="38">
        <f t="shared" si="236"/>
        <v>12</v>
      </c>
      <c r="I1981" s="54">
        <f t="shared" si="235"/>
        <v>49</v>
      </c>
      <c r="J1981" s="14" t="str">
        <f t="shared" si="237"/>
        <v>Christmas</v>
      </c>
      <c r="K1981" s="16" t="str">
        <f t="shared" si="238"/>
        <v>3-6</v>
      </c>
      <c r="L1981" s="14" t="str">
        <f t="shared" si="232"/>
        <v>Romper Short | 3-6 | Coffee</v>
      </c>
      <c r="M1981" s="16" t="s">
        <v>3610</v>
      </c>
    </row>
    <row r="1982" spans="1:13" ht="25" customHeight="1" x14ac:dyDescent="0.45">
      <c r="A1982" s="18">
        <v>45993</v>
      </c>
      <c r="B1982" s="19" t="s">
        <v>2113</v>
      </c>
      <c r="C1982" s="21" t="s">
        <v>76</v>
      </c>
      <c r="D1982" s="53" t="str">
        <f t="shared" si="234"/>
        <v>Caldet Blue</v>
      </c>
      <c r="E1982" s="21" t="s">
        <v>1828</v>
      </c>
      <c r="F1982" s="21" t="s">
        <v>7</v>
      </c>
      <c r="G1982" s="4" t="str">
        <f t="shared" si="233"/>
        <v>Romper Longer</v>
      </c>
      <c r="H1982" s="38">
        <f t="shared" si="236"/>
        <v>12</v>
      </c>
      <c r="I1982" s="54">
        <f t="shared" si="235"/>
        <v>49</v>
      </c>
      <c r="J1982" s="14" t="str">
        <f t="shared" si="237"/>
        <v>Christmas</v>
      </c>
      <c r="K1982" s="16" t="str">
        <f t="shared" si="238"/>
        <v>3-6</v>
      </c>
      <c r="L1982" s="14" t="str">
        <f t="shared" si="232"/>
        <v>Romper Longer | 3-6 | Caldet Blue</v>
      </c>
      <c r="M1982" s="16" t="s">
        <v>3610</v>
      </c>
    </row>
    <row r="1983" spans="1:13" ht="25" customHeight="1" x14ac:dyDescent="0.45">
      <c r="A1983" s="18">
        <v>45994</v>
      </c>
      <c r="B1983" s="19" t="s">
        <v>2114</v>
      </c>
      <c r="C1983" s="21" t="s">
        <v>76</v>
      </c>
      <c r="D1983" s="53" t="str">
        <f t="shared" si="234"/>
        <v>Caldet Blue</v>
      </c>
      <c r="E1983" s="21" t="s">
        <v>1831</v>
      </c>
      <c r="F1983" s="21" t="s">
        <v>7</v>
      </c>
      <c r="G1983" s="4" t="str">
        <f t="shared" si="233"/>
        <v>Romper Longer</v>
      </c>
      <c r="H1983" s="38">
        <f t="shared" si="236"/>
        <v>12</v>
      </c>
      <c r="I1983" s="54">
        <f t="shared" si="235"/>
        <v>49</v>
      </c>
      <c r="J1983" s="14" t="str">
        <f t="shared" si="237"/>
        <v>Christmas</v>
      </c>
      <c r="K1983" s="16" t="str">
        <f t="shared" si="238"/>
        <v>0-3</v>
      </c>
      <c r="L1983" s="14" t="str">
        <f t="shared" si="232"/>
        <v>Romper Longer | 0-3 | Caldet Blue</v>
      </c>
      <c r="M1983" s="16" t="s">
        <v>3610</v>
      </c>
    </row>
    <row r="1984" spans="1:13" ht="25" customHeight="1" x14ac:dyDescent="0.45">
      <c r="A1984" s="18">
        <v>45995</v>
      </c>
      <c r="B1984" s="19" t="s">
        <v>2115</v>
      </c>
      <c r="C1984" s="21" t="s">
        <v>9</v>
      </c>
      <c r="D1984" s="53" t="str">
        <f t="shared" si="234"/>
        <v>Cream</v>
      </c>
      <c r="E1984" s="21" t="s">
        <v>1834</v>
      </c>
      <c r="F1984" s="21" t="s">
        <v>7</v>
      </c>
      <c r="G1984" s="4" t="str">
        <f t="shared" si="233"/>
        <v>Romper Short</v>
      </c>
      <c r="H1984" s="38">
        <f t="shared" si="236"/>
        <v>12</v>
      </c>
      <c r="I1984" s="54">
        <f t="shared" si="235"/>
        <v>49</v>
      </c>
      <c r="J1984" s="14" t="str">
        <f t="shared" si="237"/>
        <v>Christmas</v>
      </c>
      <c r="K1984" s="16" t="str">
        <f t="shared" si="238"/>
        <v>0-3</v>
      </c>
      <c r="L1984" s="14" t="str">
        <f t="shared" si="232"/>
        <v>Romper Short | 0-3 | Cream</v>
      </c>
      <c r="M1984" s="16" t="s">
        <v>3609</v>
      </c>
    </row>
    <row r="1985" spans="1:13" ht="25" customHeight="1" x14ac:dyDescent="0.45">
      <c r="A1985" s="18">
        <v>45996</v>
      </c>
      <c r="B1985" s="19" t="s">
        <v>2116</v>
      </c>
      <c r="C1985" s="21" t="s">
        <v>9</v>
      </c>
      <c r="D1985" s="53" t="str">
        <f t="shared" si="234"/>
        <v>Cream</v>
      </c>
      <c r="E1985" s="21" t="s">
        <v>1831</v>
      </c>
      <c r="F1985" s="21" t="s">
        <v>7</v>
      </c>
      <c r="G1985" s="4" t="str">
        <f t="shared" si="233"/>
        <v>Romper Longer</v>
      </c>
      <c r="H1985" s="38">
        <f t="shared" si="236"/>
        <v>12</v>
      </c>
      <c r="I1985" s="54">
        <f t="shared" si="235"/>
        <v>49</v>
      </c>
      <c r="J1985" s="14" t="str">
        <f t="shared" si="237"/>
        <v>Christmas</v>
      </c>
      <c r="K1985" s="16" t="str">
        <f t="shared" si="238"/>
        <v>0-3</v>
      </c>
      <c r="L1985" s="14" t="str">
        <f t="shared" si="232"/>
        <v>Romper Longer | 0-3 | Cream</v>
      </c>
      <c r="M1985" s="16" t="s">
        <v>3609</v>
      </c>
    </row>
    <row r="1986" spans="1:13" ht="25" customHeight="1" x14ac:dyDescent="0.45">
      <c r="A1986" s="18">
        <v>45997</v>
      </c>
      <c r="B1986" s="19" t="s">
        <v>2117</v>
      </c>
      <c r="C1986" s="21" t="s">
        <v>74</v>
      </c>
      <c r="D1986" s="53" t="str">
        <f t="shared" si="234"/>
        <v>Watermelon</v>
      </c>
      <c r="E1986" s="21" t="s">
        <v>1831</v>
      </c>
      <c r="F1986" s="21" t="s">
        <v>7</v>
      </c>
      <c r="G1986" s="4" t="str">
        <f t="shared" si="233"/>
        <v>Romper Longer</v>
      </c>
      <c r="H1986" s="38">
        <f t="shared" si="236"/>
        <v>12</v>
      </c>
      <c r="I1986" s="54">
        <f t="shared" si="235"/>
        <v>49</v>
      </c>
      <c r="J1986" s="14" t="str">
        <f t="shared" si="237"/>
        <v>Christmas</v>
      </c>
      <c r="K1986" s="16" t="str">
        <f t="shared" si="238"/>
        <v>0-3</v>
      </c>
      <c r="L1986" s="14" t="str">
        <f t="shared" ref="L1986:L2049" si="239">TRIM(G1986)&amp;" | "&amp;TRIM(K1986)&amp;" | "&amp;PROPER(TRIM(D1986))</f>
        <v>Romper Longer | 0-3 | Watermelon</v>
      </c>
      <c r="M1986" s="16" t="s">
        <v>3610</v>
      </c>
    </row>
    <row r="1987" spans="1:13" ht="25" customHeight="1" x14ac:dyDescent="0.45">
      <c r="A1987" s="18">
        <v>45998</v>
      </c>
      <c r="B1987" s="19" t="s">
        <v>2118</v>
      </c>
      <c r="C1987" s="21" t="s">
        <v>110</v>
      </c>
      <c r="D1987" s="53" t="str">
        <f t="shared" si="234"/>
        <v>Sage Green</v>
      </c>
      <c r="E1987" s="21" t="s">
        <v>1841</v>
      </c>
      <c r="F1987" s="17" t="s">
        <v>7</v>
      </c>
      <c r="G1987" s="4" t="str">
        <f t="shared" si="233"/>
        <v>Romper Longer</v>
      </c>
      <c r="H1987" s="38">
        <f t="shared" si="236"/>
        <v>12</v>
      </c>
      <c r="I1987" s="54">
        <f t="shared" si="235"/>
        <v>50</v>
      </c>
      <c r="J1987" s="14" t="str">
        <f t="shared" si="237"/>
        <v>Christmas</v>
      </c>
      <c r="K1987" s="16" t="str">
        <f t="shared" si="238"/>
        <v>6-12</v>
      </c>
      <c r="L1987" s="14" t="str">
        <f t="shared" si="239"/>
        <v>Romper Longer | 6-12 | Sage Green</v>
      </c>
      <c r="M1987" s="16" t="s">
        <v>3610</v>
      </c>
    </row>
    <row r="1988" spans="1:13" ht="25" customHeight="1" x14ac:dyDescent="0.45">
      <c r="A1988" s="18">
        <v>45999</v>
      </c>
      <c r="B1988" s="19" t="s">
        <v>2119</v>
      </c>
      <c r="C1988" s="21" t="s">
        <v>9</v>
      </c>
      <c r="D1988" s="53" t="str">
        <f t="shared" si="234"/>
        <v>Cream</v>
      </c>
      <c r="E1988" s="21" t="s">
        <v>1841</v>
      </c>
      <c r="F1988" s="17" t="s">
        <v>7</v>
      </c>
      <c r="G1988" s="4" t="str">
        <f t="shared" si="233"/>
        <v>Romper Longer</v>
      </c>
      <c r="H1988" s="38">
        <f t="shared" si="236"/>
        <v>12</v>
      </c>
      <c r="I1988" s="54">
        <f t="shared" si="235"/>
        <v>50</v>
      </c>
      <c r="J1988" s="14" t="str">
        <f t="shared" si="237"/>
        <v>Christmas</v>
      </c>
      <c r="K1988" s="16" t="str">
        <f t="shared" si="238"/>
        <v>6-12</v>
      </c>
      <c r="L1988" s="14" t="str">
        <f t="shared" si="239"/>
        <v>Romper Longer | 6-12 | Cream</v>
      </c>
      <c r="M1988" s="16" t="s">
        <v>3611</v>
      </c>
    </row>
    <row r="1989" spans="1:13" ht="25" customHeight="1" x14ac:dyDescent="0.45">
      <c r="A1989" s="18">
        <v>46000</v>
      </c>
      <c r="B1989" s="19" t="s">
        <v>2120</v>
      </c>
      <c r="C1989" s="21" t="s">
        <v>407</v>
      </c>
      <c r="D1989" s="53" t="str">
        <f t="shared" si="234"/>
        <v>Texas Orange</v>
      </c>
      <c r="E1989" s="21" t="s">
        <v>1834</v>
      </c>
      <c r="F1989" s="17" t="s">
        <v>7</v>
      </c>
      <c r="G1989" s="4" t="str">
        <f t="shared" si="233"/>
        <v>Romper Short</v>
      </c>
      <c r="H1989" s="38">
        <f t="shared" si="236"/>
        <v>12</v>
      </c>
      <c r="I1989" s="54">
        <f t="shared" si="235"/>
        <v>50</v>
      </c>
      <c r="J1989" s="14" t="str">
        <f t="shared" si="237"/>
        <v>Christmas</v>
      </c>
      <c r="K1989" s="16" t="str">
        <f t="shared" si="238"/>
        <v>0-3</v>
      </c>
      <c r="L1989" s="14" t="str">
        <f t="shared" si="239"/>
        <v>Romper Short | 0-3 | Texas Orange</v>
      </c>
      <c r="M1989" s="16" t="s">
        <v>3610</v>
      </c>
    </row>
    <row r="1990" spans="1:13" ht="25" customHeight="1" x14ac:dyDescent="0.45">
      <c r="A1990" s="18">
        <v>46001</v>
      </c>
      <c r="B1990" s="19" t="s">
        <v>2121</v>
      </c>
      <c r="C1990" s="21" t="s">
        <v>85</v>
      </c>
      <c r="D1990" s="53" t="str">
        <f t="shared" si="234"/>
        <v>Forest Green</v>
      </c>
      <c r="E1990" s="21" t="s">
        <v>1828</v>
      </c>
      <c r="F1990" s="17" t="s">
        <v>7</v>
      </c>
      <c r="G1990" s="4" t="str">
        <f t="shared" si="233"/>
        <v>Romper Longer</v>
      </c>
      <c r="H1990" s="38">
        <f t="shared" si="236"/>
        <v>12</v>
      </c>
      <c r="I1990" s="54">
        <f t="shared" si="235"/>
        <v>50</v>
      </c>
      <c r="J1990" s="14" t="str">
        <f t="shared" si="237"/>
        <v>Christmas</v>
      </c>
      <c r="K1990" s="16" t="str">
        <f t="shared" si="238"/>
        <v>3-6</v>
      </c>
      <c r="L1990" s="14" t="str">
        <f t="shared" si="239"/>
        <v>Romper Longer | 3-6 | Forest Green</v>
      </c>
      <c r="M1990" s="16" t="s">
        <v>3610</v>
      </c>
    </row>
    <row r="1991" spans="1:13" ht="25" customHeight="1" x14ac:dyDescent="0.45">
      <c r="A1991" s="18">
        <v>46002</v>
      </c>
      <c r="B1991" s="19" t="s">
        <v>2122</v>
      </c>
      <c r="C1991" s="21" t="s">
        <v>76</v>
      </c>
      <c r="D1991" s="53" t="str">
        <f t="shared" si="234"/>
        <v>Caldet Blue</v>
      </c>
      <c r="E1991" s="21" t="s">
        <v>1420</v>
      </c>
      <c r="F1991" s="17" t="s">
        <v>7</v>
      </c>
      <c r="G1991" s="4" t="str">
        <f t="shared" si="233"/>
        <v>Romper Short</v>
      </c>
      <c r="H1991" s="38">
        <f t="shared" si="236"/>
        <v>12</v>
      </c>
      <c r="I1991" s="54">
        <f t="shared" si="235"/>
        <v>50</v>
      </c>
      <c r="J1991" s="14" t="str">
        <f t="shared" si="237"/>
        <v>Christmas</v>
      </c>
      <c r="K1991" s="16" t="str">
        <f t="shared" si="238"/>
        <v>6-12</v>
      </c>
      <c r="L1991" s="14" t="str">
        <f t="shared" si="239"/>
        <v>Romper Short | 6-12 | Caldet Blue</v>
      </c>
      <c r="M1991" s="16" t="s">
        <v>3610</v>
      </c>
    </row>
    <row r="1992" spans="1:13" ht="25" customHeight="1" x14ac:dyDescent="0.45">
      <c r="A1992" s="18">
        <v>46003</v>
      </c>
      <c r="B1992" s="19" t="s">
        <v>2123</v>
      </c>
      <c r="C1992" s="21" t="s">
        <v>9</v>
      </c>
      <c r="D1992" s="53" t="str">
        <f t="shared" si="234"/>
        <v>Cream</v>
      </c>
      <c r="E1992" s="21" t="s">
        <v>1828</v>
      </c>
      <c r="F1992" s="17" t="s">
        <v>7</v>
      </c>
      <c r="G1992" s="4" t="str">
        <f t="shared" si="233"/>
        <v>Romper Longer</v>
      </c>
      <c r="H1992" s="38">
        <f t="shared" si="236"/>
        <v>12</v>
      </c>
      <c r="I1992" s="54">
        <f t="shared" si="235"/>
        <v>50</v>
      </c>
      <c r="J1992" s="14" t="str">
        <f t="shared" si="237"/>
        <v>Christmas</v>
      </c>
      <c r="K1992" s="16" t="str">
        <f t="shared" si="238"/>
        <v>3-6</v>
      </c>
      <c r="L1992" s="14" t="str">
        <f t="shared" si="239"/>
        <v>Romper Longer | 3-6 | Cream</v>
      </c>
      <c r="M1992" s="16" t="s">
        <v>3609</v>
      </c>
    </row>
    <row r="1993" spans="1:13" ht="25" customHeight="1" x14ac:dyDescent="0.45">
      <c r="A1993" s="18">
        <v>46004</v>
      </c>
      <c r="B1993" s="19" t="s">
        <v>2124</v>
      </c>
      <c r="C1993" s="21" t="s">
        <v>9</v>
      </c>
      <c r="D1993" s="53" t="str">
        <f t="shared" si="234"/>
        <v>Cream</v>
      </c>
      <c r="E1993" s="21" t="s">
        <v>1841</v>
      </c>
      <c r="F1993" s="21" t="s">
        <v>7</v>
      </c>
      <c r="G1993" s="4" t="str">
        <f t="shared" si="233"/>
        <v>Romper Longer</v>
      </c>
      <c r="H1993" s="38">
        <f t="shared" si="236"/>
        <v>12</v>
      </c>
      <c r="I1993" s="54">
        <f t="shared" si="235"/>
        <v>50</v>
      </c>
      <c r="J1993" s="14" t="str">
        <f t="shared" si="237"/>
        <v>Christmas</v>
      </c>
      <c r="K1993" s="16" t="str">
        <f t="shared" si="238"/>
        <v>6-12</v>
      </c>
      <c r="L1993" s="14" t="str">
        <f t="shared" si="239"/>
        <v>Romper Longer | 6-12 | Cream</v>
      </c>
      <c r="M1993" s="16" t="s">
        <v>3611</v>
      </c>
    </row>
    <row r="1994" spans="1:13" ht="25" customHeight="1" x14ac:dyDescent="0.45">
      <c r="A1994" s="18">
        <v>46005</v>
      </c>
      <c r="B1994" s="19" t="s">
        <v>2125</v>
      </c>
      <c r="C1994" s="21" t="s">
        <v>9</v>
      </c>
      <c r="D1994" s="53" t="str">
        <f t="shared" si="234"/>
        <v>Cream</v>
      </c>
      <c r="E1994" s="21" t="s">
        <v>1828</v>
      </c>
      <c r="F1994" s="21" t="s">
        <v>7</v>
      </c>
      <c r="G1994" s="4" t="str">
        <f t="shared" si="233"/>
        <v>Romper Longer</v>
      </c>
      <c r="H1994" s="38">
        <f t="shared" si="236"/>
        <v>12</v>
      </c>
      <c r="I1994" s="54">
        <f t="shared" si="235"/>
        <v>51</v>
      </c>
      <c r="J1994" s="14" t="str">
        <f t="shared" si="237"/>
        <v>Christmas</v>
      </c>
      <c r="K1994" s="16" t="str">
        <f t="shared" si="238"/>
        <v>3-6</v>
      </c>
      <c r="L1994" s="14" t="str">
        <f t="shared" si="239"/>
        <v>Romper Longer | 3-6 | Cream</v>
      </c>
      <c r="M1994" s="16" t="s">
        <v>3609</v>
      </c>
    </row>
    <row r="1995" spans="1:13" ht="25" customHeight="1" x14ac:dyDescent="0.45">
      <c r="A1995" s="18">
        <v>46006</v>
      </c>
      <c r="B1995" s="19" t="s">
        <v>2126</v>
      </c>
      <c r="C1995" s="21" t="s">
        <v>110</v>
      </c>
      <c r="D1995" s="53" t="str">
        <f t="shared" si="234"/>
        <v>Sage Green</v>
      </c>
      <c r="E1995" s="21" t="s">
        <v>1828</v>
      </c>
      <c r="F1995" s="21" t="s">
        <v>7</v>
      </c>
      <c r="G1995" s="4" t="str">
        <f t="shared" si="233"/>
        <v>Romper Longer</v>
      </c>
      <c r="H1995" s="38">
        <f t="shared" si="236"/>
        <v>12</v>
      </c>
      <c r="I1995" s="54">
        <f t="shared" si="235"/>
        <v>51</v>
      </c>
      <c r="J1995" s="14" t="str">
        <f t="shared" si="237"/>
        <v>Christmas</v>
      </c>
      <c r="K1995" s="16" t="str">
        <f t="shared" si="238"/>
        <v>3-6</v>
      </c>
      <c r="L1995" s="14" t="str">
        <f t="shared" si="239"/>
        <v>Romper Longer | 3-6 | Sage Green</v>
      </c>
      <c r="M1995" s="16" t="s">
        <v>3611</v>
      </c>
    </row>
    <row r="1996" spans="1:13" ht="25" customHeight="1" x14ac:dyDescent="0.45">
      <c r="A1996" s="18">
        <v>46007</v>
      </c>
      <c r="B1996" s="19" t="s">
        <v>2127</v>
      </c>
      <c r="C1996" s="21" t="s">
        <v>407</v>
      </c>
      <c r="D1996" s="53" t="str">
        <f t="shared" si="234"/>
        <v>Texas Orange</v>
      </c>
      <c r="E1996" s="21" t="s">
        <v>1828</v>
      </c>
      <c r="F1996" s="21" t="s">
        <v>7</v>
      </c>
      <c r="G1996" s="4" t="str">
        <f t="shared" si="233"/>
        <v>Romper Longer</v>
      </c>
      <c r="H1996" s="38">
        <f t="shared" si="236"/>
        <v>12</v>
      </c>
      <c r="I1996" s="54">
        <f t="shared" si="235"/>
        <v>51</v>
      </c>
      <c r="J1996" s="14" t="str">
        <f t="shared" si="237"/>
        <v>Christmas</v>
      </c>
      <c r="K1996" s="16" t="str">
        <f t="shared" si="238"/>
        <v>3-6</v>
      </c>
      <c r="L1996" s="14" t="str">
        <f t="shared" si="239"/>
        <v>Romper Longer | 3-6 | Texas Orange</v>
      </c>
      <c r="M1996" s="16" t="s">
        <v>3610</v>
      </c>
    </row>
    <row r="1997" spans="1:13" ht="25" customHeight="1" x14ac:dyDescent="0.45">
      <c r="A1997" s="18">
        <v>46008</v>
      </c>
      <c r="B1997" s="19" t="s">
        <v>2128</v>
      </c>
      <c r="C1997" s="21" t="s">
        <v>110</v>
      </c>
      <c r="D1997" s="53" t="str">
        <f t="shared" si="234"/>
        <v>Sage Green</v>
      </c>
      <c r="E1997" s="21" t="s">
        <v>1828</v>
      </c>
      <c r="F1997" s="21" t="s">
        <v>7</v>
      </c>
      <c r="G1997" s="4" t="str">
        <f t="shared" si="233"/>
        <v>Romper Longer</v>
      </c>
      <c r="H1997" s="38">
        <f t="shared" si="236"/>
        <v>12</v>
      </c>
      <c r="I1997" s="54">
        <f t="shared" si="235"/>
        <v>51</v>
      </c>
      <c r="J1997" s="14" t="str">
        <f t="shared" si="237"/>
        <v>Christmas</v>
      </c>
      <c r="K1997" s="16" t="str">
        <f t="shared" si="238"/>
        <v>3-6</v>
      </c>
      <c r="L1997" s="14" t="str">
        <f t="shared" si="239"/>
        <v>Romper Longer | 3-6 | Sage Green</v>
      </c>
      <c r="M1997" s="16" t="s">
        <v>3611</v>
      </c>
    </row>
    <row r="1998" spans="1:13" ht="25" customHeight="1" x14ac:dyDescent="0.45">
      <c r="A1998" s="18">
        <v>46009</v>
      </c>
      <c r="B1998" s="19" t="s">
        <v>2129</v>
      </c>
      <c r="C1998" s="21" t="s">
        <v>81</v>
      </c>
      <c r="D1998" s="53" t="str">
        <f t="shared" si="234"/>
        <v>Dusty Pink</v>
      </c>
      <c r="E1998" s="21" t="s">
        <v>1834</v>
      </c>
      <c r="F1998" s="21" t="s">
        <v>7</v>
      </c>
      <c r="G1998" s="4" t="str">
        <f t="shared" si="233"/>
        <v>Romper Short</v>
      </c>
      <c r="H1998" s="38">
        <f t="shared" si="236"/>
        <v>12</v>
      </c>
      <c r="I1998" s="54">
        <f t="shared" si="235"/>
        <v>51</v>
      </c>
      <c r="J1998" s="14" t="str">
        <f t="shared" si="237"/>
        <v>Christmas</v>
      </c>
      <c r="K1998" s="16" t="str">
        <f t="shared" si="238"/>
        <v>0-3</v>
      </c>
      <c r="L1998" s="14" t="str">
        <f t="shared" si="239"/>
        <v>Romper Short | 0-3 | Dusty Pink</v>
      </c>
      <c r="M1998" s="16" t="s">
        <v>3610</v>
      </c>
    </row>
    <row r="1999" spans="1:13" ht="25" customHeight="1" x14ac:dyDescent="0.45">
      <c r="A1999" s="18">
        <v>46010</v>
      </c>
      <c r="B1999" s="19" t="s">
        <v>2130</v>
      </c>
      <c r="C1999" s="21" t="s">
        <v>9</v>
      </c>
      <c r="D1999" s="53" t="str">
        <f t="shared" si="234"/>
        <v>Cream</v>
      </c>
      <c r="E1999" s="21" t="s">
        <v>1831</v>
      </c>
      <c r="F1999" s="21" t="s">
        <v>7</v>
      </c>
      <c r="G1999" s="4" t="str">
        <f t="shared" ref="G1999:G2062" si="240">IF(ISNUMBER(SEARCH("LONG",E1999)),"Romper Longer",IF(ISNUMBER(SEARCH("SHORT",E1999)),"Romper Short","Bodysuit"))</f>
        <v>Romper Longer</v>
      </c>
      <c r="H1999" s="38">
        <f t="shared" si="236"/>
        <v>12</v>
      </c>
      <c r="I1999" s="54">
        <f t="shared" si="235"/>
        <v>51</v>
      </c>
      <c r="J1999" s="14" t="str">
        <f t="shared" si="237"/>
        <v>Christmas</v>
      </c>
      <c r="K1999" s="16" t="str">
        <f t="shared" si="238"/>
        <v>0-3</v>
      </c>
      <c r="L1999" s="14" t="str">
        <f t="shared" si="239"/>
        <v>Romper Longer | 0-3 | Cream</v>
      </c>
      <c r="M1999" s="16" t="s">
        <v>3609</v>
      </c>
    </row>
    <row r="2000" spans="1:13" ht="25" customHeight="1" x14ac:dyDescent="0.45">
      <c r="A2000" s="18">
        <v>46011</v>
      </c>
      <c r="B2000" s="19" t="s">
        <v>2131</v>
      </c>
      <c r="C2000" s="21" t="s">
        <v>224</v>
      </c>
      <c r="D2000" s="53" t="str">
        <f t="shared" si="234"/>
        <v>Salmon</v>
      </c>
      <c r="E2000" s="21" t="s">
        <v>1550</v>
      </c>
      <c r="F2000" s="21" t="s">
        <v>7</v>
      </c>
      <c r="G2000" s="4" t="str">
        <f t="shared" si="240"/>
        <v>Romper Longer</v>
      </c>
      <c r="H2000" s="38">
        <f t="shared" si="236"/>
        <v>12</v>
      </c>
      <c r="I2000" s="54">
        <f t="shared" si="235"/>
        <v>51</v>
      </c>
      <c r="J2000" s="14" t="str">
        <f t="shared" si="237"/>
        <v>Christmas</v>
      </c>
      <c r="K2000" s="16" t="str">
        <f t="shared" si="238"/>
        <v>12-18</v>
      </c>
      <c r="L2000" s="14" t="str">
        <f t="shared" si="239"/>
        <v>Romper Longer | 12-18 | Salmon</v>
      </c>
      <c r="M2000" s="16" t="s">
        <v>3610</v>
      </c>
    </row>
    <row r="2001" spans="1:13" ht="25" customHeight="1" x14ac:dyDescent="0.45">
      <c r="A2001" s="18">
        <v>46012</v>
      </c>
      <c r="B2001" s="19" t="s">
        <v>2132</v>
      </c>
      <c r="C2001" s="21" t="s">
        <v>81</v>
      </c>
      <c r="D2001" s="53" t="str">
        <f t="shared" si="234"/>
        <v>Dusty Pink</v>
      </c>
      <c r="E2001" s="21" t="s">
        <v>1550</v>
      </c>
      <c r="F2001" s="21" t="s">
        <v>7</v>
      </c>
      <c r="G2001" s="4" t="str">
        <f t="shared" si="240"/>
        <v>Romper Longer</v>
      </c>
      <c r="H2001" s="38">
        <f t="shared" si="236"/>
        <v>12</v>
      </c>
      <c r="I2001" s="54">
        <f t="shared" si="235"/>
        <v>52</v>
      </c>
      <c r="J2001" s="14" t="str">
        <f t="shared" si="237"/>
        <v>Christmas</v>
      </c>
      <c r="K2001" s="16" t="str">
        <f t="shared" si="238"/>
        <v>12-18</v>
      </c>
      <c r="L2001" s="14" t="str">
        <f t="shared" si="239"/>
        <v>Romper Longer | 12-18 | Dusty Pink</v>
      </c>
      <c r="M2001" s="16" t="s">
        <v>3610</v>
      </c>
    </row>
    <row r="2002" spans="1:13" ht="25" customHeight="1" x14ac:dyDescent="0.45">
      <c r="A2002" s="18">
        <v>46013</v>
      </c>
      <c r="B2002" s="19" t="s">
        <v>2133</v>
      </c>
      <c r="C2002" s="21" t="s">
        <v>9</v>
      </c>
      <c r="D2002" s="53" t="str">
        <f t="shared" si="234"/>
        <v>Cream</v>
      </c>
      <c r="E2002" s="21" t="s">
        <v>1831</v>
      </c>
      <c r="F2002" s="21" t="s">
        <v>7</v>
      </c>
      <c r="G2002" s="4" t="str">
        <f t="shared" si="240"/>
        <v>Romper Longer</v>
      </c>
      <c r="H2002" s="38">
        <f t="shared" si="236"/>
        <v>12</v>
      </c>
      <c r="I2002" s="54">
        <f t="shared" si="235"/>
        <v>52</v>
      </c>
      <c r="J2002" s="14" t="str">
        <f t="shared" si="237"/>
        <v>Christmas</v>
      </c>
      <c r="K2002" s="16" t="str">
        <f t="shared" si="238"/>
        <v>0-3</v>
      </c>
      <c r="L2002" s="14" t="str">
        <f t="shared" si="239"/>
        <v>Romper Longer | 0-3 | Cream</v>
      </c>
      <c r="M2002" s="16" t="s">
        <v>3609</v>
      </c>
    </row>
    <row r="2003" spans="1:13" ht="25" customHeight="1" x14ac:dyDescent="0.45">
      <c r="A2003" s="18">
        <v>46014</v>
      </c>
      <c r="B2003" s="19" t="s">
        <v>2134</v>
      </c>
      <c r="C2003" s="21" t="s">
        <v>79</v>
      </c>
      <c r="D2003" s="53" t="str">
        <f t="shared" ref="D2003:D2066" si="241">PROPER(C2003)</f>
        <v>White</v>
      </c>
      <c r="E2003" s="21" t="s">
        <v>1828</v>
      </c>
      <c r="F2003" s="21" t="s">
        <v>7</v>
      </c>
      <c r="G2003" s="4" t="str">
        <f t="shared" si="240"/>
        <v>Romper Longer</v>
      </c>
      <c r="H2003" s="38">
        <f t="shared" si="236"/>
        <v>12</v>
      </c>
      <c r="I2003" s="54">
        <f t="shared" si="235"/>
        <v>52</v>
      </c>
      <c r="J2003" s="14" t="str">
        <f t="shared" si="237"/>
        <v>Christmas</v>
      </c>
      <c r="K2003" s="16" t="str">
        <f t="shared" si="238"/>
        <v>3-6</v>
      </c>
      <c r="L2003" s="14" t="str">
        <f t="shared" si="239"/>
        <v>Romper Longer | 3-6 | White</v>
      </c>
      <c r="M2003" s="16" t="s">
        <v>3610</v>
      </c>
    </row>
    <row r="2004" spans="1:13" ht="25" customHeight="1" x14ac:dyDescent="0.45">
      <c r="A2004" s="18">
        <v>46015</v>
      </c>
      <c r="B2004" s="19" t="s">
        <v>2135</v>
      </c>
      <c r="C2004" s="21" t="s">
        <v>9</v>
      </c>
      <c r="D2004" s="53" t="str">
        <f t="shared" si="241"/>
        <v>Cream</v>
      </c>
      <c r="E2004" s="21" t="s">
        <v>1834</v>
      </c>
      <c r="F2004" s="21" t="s">
        <v>7</v>
      </c>
      <c r="G2004" s="4" t="str">
        <f t="shared" si="240"/>
        <v>Romper Short</v>
      </c>
      <c r="H2004" s="38">
        <f t="shared" si="236"/>
        <v>12</v>
      </c>
      <c r="I2004" s="54">
        <f t="shared" si="235"/>
        <v>52</v>
      </c>
      <c r="J2004" s="14" t="str">
        <f t="shared" si="237"/>
        <v>Christmas</v>
      </c>
      <c r="K2004" s="16" t="str">
        <f t="shared" si="238"/>
        <v>0-3</v>
      </c>
      <c r="L2004" s="14" t="str">
        <f t="shared" si="239"/>
        <v>Romper Short | 0-3 | Cream</v>
      </c>
      <c r="M2004" s="16" t="s">
        <v>3609</v>
      </c>
    </row>
    <row r="2005" spans="1:13" ht="25" customHeight="1" x14ac:dyDescent="0.45">
      <c r="A2005" s="18">
        <v>46016</v>
      </c>
      <c r="B2005" s="19" t="s">
        <v>2136</v>
      </c>
      <c r="C2005" s="21" t="s">
        <v>9</v>
      </c>
      <c r="D2005" s="53" t="str">
        <f t="shared" si="241"/>
        <v>Cream</v>
      </c>
      <c r="E2005" s="21" t="s">
        <v>1834</v>
      </c>
      <c r="F2005" s="21" t="s">
        <v>7</v>
      </c>
      <c r="G2005" s="4" t="str">
        <f t="shared" si="240"/>
        <v>Romper Short</v>
      </c>
      <c r="H2005" s="38">
        <f t="shared" si="236"/>
        <v>12</v>
      </c>
      <c r="I2005" s="54">
        <f t="shared" si="235"/>
        <v>52</v>
      </c>
      <c r="J2005" s="14" t="str">
        <f t="shared" si="237"/>
        <v>Christmas</v>
      </c>
      <c r="K2005" s="16" t="str">
        <f t="shared" si="238"/>
        <v>0-3</v>
      </c>
      <c r="L2005" s="14" t="str">
        <f t="shared" si="239"/>
        <v>Romper Short | 0-3 | Cream</v>
      </c>
      <c r="M2005" s="16" t="s">
        <v>3609</v>
      </c>
    </row>
    <row r="2006" spans="1:13" ht="25" customHeight="1" x14ac:dyDescent="0.45">
      <c r="A2006" s="18">
        <v>46017</v>
      </c>
      <c r="B2006" s="19" t="s">
        <v>2137</v>
      </c>
      <c r="C2006" s="21" t="s">
        <v>81</v>
      </c>
      <c r="D2006" s="53" t="str">
        <f t="shared" si="241"/>
        <v>Dusty Pink</v>
      </c>
      <c r="E2006" s="21" t="s">
        <v>1831</v>
      </c>
      <c r="F2006" s="21" t="s">
        <v>7</v>
      </c>
      <c r="G2006" s="4" t="str">
        <f t="shared" si="240"/>
        <v>Romper Longer</v>
      </c>
      <c r="H2006" s="38">
        <f t="shared" si="236"/>
        <v>12</v>
      </c>
      <c r="I2006" s="54">
        <f t="shared" si="235"/>
        <v>52</v>
      </c>
      <c r="J2006" s="14" t="str">
        <f t="shared" si="237"/>
        <v>Christmas</v>
      </c>
      <c r="K2006" s="16" t="str">
        <f t="shared" si="238"/>
        <v>0-3</v>
      </c>
      <c r="L2006" s="14" t="str">
        <f t="shared" si="239"/>
        <v>Romper Longer | 0-3 | Dusty Pink</v>
      </c>
      <c r="M2006" s="16" t="s">
        <v>3610</v>
      </c>
    </row>
    <row r="2007" spans="1:13" ht="25" customHeight="1" x14ac:dyDescent="0.45">
      <c r="A2007" s="18">
        <v>46018</v>
      </c>
      <c r="B2007" s="19" t="s">
        <v>2138</v>
      </c>
      <c r="C2007" s="21" t="s">
        <v>71</v>
      </c>
      <c r="D2007" s="53" t="str">
        <f t="shared" si="241"/>
        <v>Coffee</v>
      </c>
      <c r="E2007" s="21" t="s">
        <v>1828</v>
      </c>
      <c r="F2007" s="21" t="s">
        <v>7</v>
      </c>
      <c r="G2007" s="4" t="str">
        <f t="shared" si="240"/>
        <v>Romper Longer</v>
      </c>
      <c r="H2007" s="38">
        <f t="shared" si="236"/>
        <v>12</v>
      </c>
      <c r="I2007" s="54">
        <f t="shared" si="235"/>
        <v>52</v>
      </c>
      <c r="J2007" s="14" t="str">
        <f t="shared" si="237"/>
        <v>Christmas</v>
      </c>
      <c r="K2007" s="16" t="str">
        <f t="shared" si="238"/>
        <v>3-6</v>
      </c>
      <c r="L2007" s="14" t="str">
        <f t="shared" si="239"/>
        <v>Romper Longer | 3-6 | Coffee</v>
      </c>
      <c r="M2007" s="16" t="s">
        <v>3610</v>
      </c>
    </row>
    <row r="2008" spans="1:13" ht="25" customHeight="1" x14ac:dyDescent="0.45">
      <c r="A2008" s="18">
        <v>46019</v>
      </c>
      <c r="B2008" s="19" t="s">
        <v>2139</v>
      </c>
      <c r="C2008" s="21" t="s">
        <v>76</v>
      </c>
      <c r="D2008" s="53" t="str">
        <f t="shared" si="241"/>
        <v>Caldet Blue</v>
      </c>
      <c r="E2008" s="21" t="s">
        <v>1831</v>
      </c>
      <c r="F2008" s="21" t="s">
        <v>7</v>
      </c>
      <c r="G2008" s="4" t="str">
        <f t="shared" si="240"/>
        <v>Romper Longer</v>
      </c>
      <c r="H2008" s="38">
        <f t="shared" si="236"/>
        <v>12</v>
      </c>
      <c r="I2008" s="54">
        <f t="shared" si="235"/>
        <v>53</v>
      </c>
      <c r="J2008" s="14" t="str">
        <f t="shared" si="237"/>
        <v>Christmas</v>
      </c>
      <c r="K2008" s="16" t="str">
        <f t="shared" si="238"/>
        <v>0-3</v>
      </c>
      <c r="L2008" s="14" t="str">
        <f t="shared" si="239"/>
        <v>Romper Longer | 0-3 | Caldet Blue</v>
      </c>
      <c r="M2008" s="16" t="s">
        <v>3610</v>
      </c>
    </row>
    <row r="2009" spans="1:13" ht="25" customHeight="1" x14ac:dyDescent="0.45">
      <c r="A2009" s="18">
        <v>46020</v>
      </c>
      <c r="B2009" s="19" t="s">
        <v>2140</v>
      </c>
      <c r="C2009" s="21" t="s">
        <v>9</v>
      </c>
      <c r="D2009" s="53" t="str">
        <f t="shared" si="241"/>
        <v>Cream</v>
      </c>
      <c r="E2009" s="21" t="s">
        <v>1834</v>
      </c>
      <c r="F2009" s="21" t="s">
        <v>7</v>
      </c>
      <c r="G2009" s="4" t="str">
        <f t="shared" si="240"/>
        <v>Romper Short</v>
      </c>
      <c r="H2009" s="38">
        <f t="shared" si="236"/>
        <v>12</v>
      </c>
      <c r="I2009" s="54">
        <f t="shared" si="235"/>
        <v>53</v>
      </c>
      <c r="J2009" s="14" t="str">
        <f t="shared" si="237"/>
        <v>Christmas</v>
      </c>
      <c r="K2009" s="16" t="str">
        <f t="shared" si="238"/>
        <v>0-3</v>
      </c>
      <c r="L2009" s="14" t="str">
        <f t="shared" si="239"/>
        <v>Romper Short | 0-3 | Cream</v>
      </c>
      <c r="M2009" s="16" t="s">
        <v>3609</v>
      </c>
    </row>
    <row r="2010" spans="1:13" ht="25" customHeight="1" x14ac:dyDescent="0.45">
      <c r="A2010" s="18">
        <v>46021</v>
      </c>
      <c r="B2010" s="19" t="s">
        <v>2141</v>
      </c>
      <c r="C2010" s="21" t="s">
        <v>9</v>
      </c>
      <c r="D2010" s="53" t="str">
        <f t="shared" si="241"/>
        <v>Cream</v>
      </c>
      <c r="E2010" s="21" t="s">
        <v>1834</v>
      </c>
      <c r="F2010" s="21" t="s">
        <v>7</v>
      </c>
      <c r="G2010" s="4" t="str">
        <f t="shared" si="240"/>
        <v>Romper Short</v>
      </c>
      <c r="H2010" s="38">
        <f t="shared" si="236"/>
        <v>12</v>
      </c>
      <c r="I2010" s="54">
        <f t="shared" si="235"/>
        <v>53</v>
      </c>
      <c r="J2010" s="14" t="str">
        <f t="shared" si="237"/>
        <v>Christmas</v>
      </c>
      <c r="K2010" s="16" t="str">
        <f t="shared" si="238"/>
        <v>0-3</v>
      </c>
      <c r="L2010" s="14" t="str">
        <f t="shared" si="239"/>
        <v>Romper Short | 0-3 | Cream</v>
      </c>
      <c r="M2010" s="16" t="s">
        <v>3609</v>
      </c>
    </row>
    <row r="2011" spans="1:13" ht="25" customHeight="1" x14ac:dyDescent="0.45">
      <c r="A2011" s="18">
        <v>46022</v>
      </c>
      <c r="B2011" s="19" t="s">
        <v>2142</v>
      </c>
      <c r="C2011" s="21" t="s">
        <v>9</v>
      </c>
      <c r="D2011" s="53" t="str">
        <f t="shared" si="241"/>
        <v>Cream</v>
      </c>
      <c r="E2011" s="21" t="s">
        <v>1834</v>
      </c>
      <c r="F2011" s="21" t="s">
        <v>7</v>
      </c>
      <c r="G2011" s="4" t="str">
        <f t="shared" si="240"/>
        <v>Romper Short</v>
      </c>
      <c r="H2011" s="38">
        <f t="shared" si="236"/>
        <v>12</v>
      </c>
      <c r="I2011" s="54">
        <f t="shared" si="235"/>
        <v>53</v>
      </c>
      <c r="J2011" s="14" t="str">
        <f t="shared" si="237"/>
        <v>Christmas</v>
      </c>
      <c r="K2011" s="16" t="str">
        <f t="shared" si="238"/>
        <v>0-3</v>
      </c>
      <c r="L2011" s="14" t="str">
        <f t="shared" si="239"/>
        <v>Romper Short | 0-3 | Cream</v>
      </c>
      <c r="M2011" s="16" t="s">
        <v>3609</v>
      </c>
    </row>
    <row r="2012" spans="1:13" ht="25" customHeight="1" x14ac:dyDescent="0.45">
      <c r="A2012" s="18">
        <v>46023</v>
      </c>
      <c r="B2012" s="19" t="s">
        <v>2143</v>
      </c>
      <c r="C2012" s="21" t="s">
        <v>85</v>
      </c>
      <c r="D2012" s="53" t="str">
        <f t="shared" si="241"/>
        <v>Forest Green</v>
      </c>
      <c r="E2012" s="21" t="s">
        <v>1831</v>
      </c>
      <c r="F2012" s="21" t="s">
        <v>7</v>
      </c>
      <c r="G2012" s="4" t="str">
        <f t="shared" si="240"/>
        <v>Romper Longer</v>
      </c>
      <c r="H2012" s="38">
        <f t="shared" si="236"/>
        <v>1</v>
      </c>
      <c r="I2012" s="54">
        <f t="shared" si="235"/>
        <v>1</v>
      </c>
      <c r="J2012" s="14" t="str">
        <f t="shared" si="237"/>
        <v>NewYear</v>
      </c>
      <c r="K2012" s="16" t="str">
        <f t="shared" si="238"/>
        <v>0-3</v>
      </c>
      <c r="L2012" s="14" t="str">
        <f t="shared" si="239"/>
        <v>Romper Longer | 0-3 | Forest Green</v>
      </c>
      <c r="M2012" s="16" t="s">
        <v>3610</v>
      </c>
    </row>
    <row r="2013" spans="1:13" ht="25" customHeight="1" x14ac:dyDescent="0.45">
      <c r="A2013" s="18">
        <v>46024</v>
      </c>
      <c r="B2013" s="19" t="s">
        <v>2144</v>
      </c>
      <c r="C2013" s="21" t="s">
        <v>178</v>
      </c>
      <c r="D2013" s="53" t="str">
        <f t="shared" si="241"/>
        <v>Mauve Taupe</v>
      </c>
      <c r="E2013" s="21" t="s">
        <v>1420</v>
      </c>
      <c r="F2013" s="21" t="s">
        <v>7</v>
      </c>
      <c r="G2013" s="4" t="str">
        <f t="shared" si="240"/>
        <v>Romper Short</v>
      </c>
      <c r="H2013" s="38">
        <f t="shared" si="236"/>
        <v>1</v>
      </c>
      <c r="I2013" s="54">
        <f t="shared" si="235"/>
        <v>1</v>
      </c>
      <c r="J2013" s="14" t="str">
        <f t="shared" si="237"/>
        <v>NewYear</v>
      </c>
      <c r="K2013" s="16" t="str">
        <f t="shared" si="238"/>
        <v>6-12</v>
      </c>
      <c r="L2013" s="14" t="str">
        <f t="shared" si="239"/>
        <v>Romper Short | 6-12 | Mauve Taupe</v>
      </c>
      <c r="M2013" s="16" t="s">
        <v>3610</v>
      </c>
    </row>
    <row r="2014" spans="1:13" ht="25" customHeight="1" x14ac:dyDescent="0.45">
      <c r="A2014" s="18">
        <v>46025</v>
      </c>
      <c r="B2014" s="19" t="s">
        <v>2145</v>
      </c>
      <c r="C2014" s="21" t="s">
        <v>85</v>
      </c>
      <c r="D2014" s="53" t="str">
        <f t="shared" si="241"/>
        <v>Forest Green</v>
      </c>
      <c r="E2014" s="21" t="s">
        <v>1831</v>
      </c>
      <c r="F2014" s="21" t="s">
        <v>7</v>
      </c>
      <c r="G2014" s="4" t="str">
        <f t="shared" si="240"/>
        <v>Romper Longer</v>
      </c>
      <c r="H2014" s="38">
        <f t="shared" si="236"/>
        <v>1</v>
      </c>
      <c r="I2014" s="54">
        <f t="shared" si="235"/>
        <v>1</v>
      </c>
      <c r="J2014" s="14" t="str">
        <f t="shared" si="237"/>
        <v>NewYear</v>
      </c>
      <c r="K2014" s="16" t="str">
        <f t="shared" si="238"/>
        <v>0-3</v>
      </c>
      <c r="L2014" s="14" t="str">
        <f t="shared" si="239"/>
        <v>Romper Longer | 0-3 | Forest Green</v>
      </c>
      <c r="M2014" s="16" t="s">
        <v>3610</v>
      </c>
    </row>
    <row r="2015" spans="1:13" ht="25" customHeight="1" x14ac:dyDescent="0.45">
      <c r="A2015" s="18">
        <v>46026</v>
      </c>
      <c r="B2015" s="19" t="s">
        <v>2146</v>
      </c>
      <c r="C2015" s="21" t="s">
        <v>71</v>
      </c>
      <c r="D2015" s="53" t="str">
        <f t="shared" si="241"/>
        <v>Coffee</v>
      </c>
      <c r="E2015" s="21" t="s">
        <v>1447</v>
      </c>
      <c r="F2015" s="21" t="s">
        <v>7</v>
      </c>
      <c r="G2015" s="4" t="str">
        <f t="shared" si="240"/>
        <v>Romper Longer</v>
      </c>
      <c r="H2015" s="38">
        <f t="shared" si="236"/>
        <v>1</v>
      </c>
      <c r="I2015" s="54">
        <f t="shared" si="235"/>
        <v>2</v>
      </c>
      <c r="J2015" s="14" t="str">
        <f t="shared" si="237"/>
        <v>NewYear</v>
      </c>
      <c r="K2015" s="16" t="str">
        <f t="shared" si="238"/>
        <v>18-24</v>
      </c>
      <c r="L2015" s="14" t="str">
        <f t="shared" si="239"/>
        <v>Romper Longer | 18-24 | Coffee</v>
      </c>
      <c r="M2015" s="16" t="s">
        <v>3610</v>
      </c>
    </row>
    <row r="2016" spans="1:13" ht="25" customHeight="1" x14ac:dyDescent="0.45">
      <c r="A2016" s="18">
        <v>46027</v>
      </c>
      <c r="B2016" s="19" t="s">
        <v>2147</v>
      </c>
      <c r="C2016" s="21" t="s">
        <v>9</v>
      </c>
      <c r="D2016" s="53" t="str">
        <f t="shared" si="241"/>
        <v>Cream</v>
      </c>
      <c r="E2016" s="21" t="s">
        <v>1849</v>
      </c>
      <c r="F2016" s="31" t="s">
        <v>7</v>
      </c>
      <c r="G2016" s="4" t="str">
        <f t="shared" si="240"/>
        <v>Romper Short</v>
      </c>
      <c r="H2016" s="38">
        <f t="shared" si="236"/>
        <v>1</v>
      </c>
      <c r="I2016" s="54">
        <f t="shared" si="235"/>
        <v>2</v>
      </c>
      <c r="J2016" s="14" t="str">
        <f t="shared" si="237"/>
        <v>NewYear</v>
      </c>
      <c r="K2016" s="16" t="str">
        <f t="shared" si="238"/>
        <v>3-6</v>
      </c>
      <c r="L2016" s="14" t="str">
        <f t="shared" si="239"/>
        <v>Romper Short | 3-6 | Cream</v>
      </c>
      <c r="M2016" s="16" t="s">
        <v>3609</v>
      </c>
    </row>
    <row r="2017" spans="1:13" ht="25" customHeight="1" x14ac:dyDescent="0.45">
      <c r="A2017" s="18">
        <v>46028</v>
      </c>
      <c r="B2017" s="19" t="s">
        <v>2148</v>
      </c>
      <c r="C2017" s="21" t="s">
        <v>9</v>
      </c>
      <c r="D2017" s="53" t="str">
        <f t="shared" si="241"/>
        <v>Cream</v>
      </c>
      <c r="E2017" s="21" t="s">
        <v>1849</v>
      </c>
      <c r="F2017" s="31" t="s">
        <v>7</v>
      </c>
      <c r="G2017" s="4" t="str">
        <f t="shared" si="240"/>
        <v>Romper Short</v>
      </c>
      <c r="H2017" s="38">
        <f t="shared" si="236"/>
        <v>1</v>
      </c>
      <c r="I2017" s="54">
        <f t="shared" si="235"/>
        <v>2</v>
      </c>
      <c r="J2017" s="14" t="str">
        <f t="shared" si="237"/>
        <v>NewYear</v>
      </c>
      <c r="K2017" s="16" t="str">
        <f t="shared" si="238"/>
        <v>3-6</v>
      </c>
      <c r="L2017" s="14" t="str">
        <f t="shared" si="239"/>
        <v>Romper Short | 3-6 | Cream</v>
      </c>
      <c r="M2017" s="16" t="s">
        <v>3609</v>
      </c>
    </row>
    <row r="2018" spans="1:13" ht="25" customHeight="1" x14ac:dyDescent="0.45">
      <c r="A2018" s="18">
        <v>46029</v>
      </c>
      <c r="B2018" s="19" t="s">
        <v>2149</v>
      </c>
      <c r="C2018" s="21" t="s">
        <v>9</v>
      </c>
      <c r="D2018" s="53" t="str">
        <f t="shared" si="241"/>
        <v>Cream</v>
      </c>
      <c r="E2018" s="21" t="s">
        <v>1849</v>
      </c>
      <c r="F2018" s="31" t="s">
        <v>7</v>
      </c>
      <c r="G2018" s="4" t="str">
        <f t="shared" si="240"/>
        <v>Romper Short</v>
      </c>
      <c r="H2018" s="38">
        <f t="shared" si="236"/>
        <v>1</v>
      </c>
      <c r="I2018" s="54">
        <f t="shared" si="235"/>
        <v>2</v>
      </c>
      <c r="J2018" s="14" t="str">
        <f t="shared" si="237"/>
        <v>NewYear</v>
      </c>
      <c r="K2018" s="16" t="str">
        <f t="shared" si="238"/>
        <v>3-6</v>
      </c>
      <c r="L2018" s="14" t="str">
        <f t="shared" si="239"/>
        <v>Romper Short | 3-6 | Cream</v>
      </c>
      <c r="M2018" s="16" t="s">
        <v>3609</v>
      </c>
    </row>
    <row r="2019" spans="1:13" ht="25" customHeight="1" x14ac:dyDescent="0.45">
      <c r="A2019" s="18">
        <v>46030</v>
      </c>
      <c r="B2019" s="19" t="s">
        <v>2150</v>
      </c>
      <c r="C2019" s="21" t="s">
        <v>9</v>
      </c>
      <c r="D2019" s="53" t="str">
        <f t="shared" si="241"/>
        <v>Cream</v>
      </c>
      <c r="E2019" s="21" t="s">
        <v>1841</v>
      </c>
      <c r="F2019" s="21" t="s">
        <v>7</v>
      </c>
      <c r="G2019" s="4" t="str">
        <f t="shared" si="240"/>
        <v>Romper Longer</v>
      </c>
      <c r="H2019" s="38">
        <f t="shared" si="236"/>
        <v>1</v>
      </c>
      <c r="I2019" s="54">
        <f t="shared" si="235"/>
        <v>2</v>
      </c>
      <c r="J2019" s="14" t="str">
        <f t="shared" si="237"/>
        <v>NewYear</v>
      </c>
      <c r="K2019" s="16" t="str">
        <f t="shared" si="238"/>
        <v>6-12</v>
      </c>
      <c r="L2019" s="14" t="str">
        <f t="shared" si="239"/>
        <v>Romper Longer | 6-12 | Cream</v>
      </c>
      <c r="M2019" s="16" t="s">
        <v>3611</v>
      </c>
    </row>
    <row r="2020" spans="1:13" ht="25" customHeight="1" x14ac:dyDescent="0.45">
      <c r="A2020" s="18">
        <v>46031</v>
      </c>
      <c r="B2020" s="19" t="s">
        <v>2151</v>
      </c>
      <c r="C2020" s="21" t="s">
        <v>9</v>
      </c>
      <c r="D2020" s="53" t="str">
        <f t="shared" si="241"/>
        <v>Cream</v>
      </c>
      <c r="E2020" s="21" t="s">
        <v>1420</v>
      </c>
      <c r="F2020" s="21" t="s">
        <v>7</v>
      </c>
      <c r="G2020" s="4" t="str">
        <f t="shared" si="240"/>
        <v>Romper Short</v>
      </c>
      <c r="H2020" s="38">
        <f t="shared" si="236"/>
        <v>1</v>
      </c>
      <c r="I2020" s="54">
        <f t="shared" si="235"/>
        <v>2</v>
      </c>
      <c r="J2020" s="14" t="str">
        <f t="shared" si="237"/>
        <v>NewYear</v>
      </c>
      <c r="K2020" s="16" t="str">
        <f t="shared" si="238"/>
        <v>6-12</v>
      </c>
      <c r="L2020" s="14" t="str">
        <f t="shared" si="239"/>
        <v>Romper Short | 6-12 | Cream</v>
      </c>
      <c r="M2020" s="16" t="s">
        <v>3611</v>
      </c>
    </row>
    <row r="2021" spans="1:13" ht="25" customHeight="1" x14ac:dyDescent="0.45">
      <c r="A2021" s="18">
        <v>46032</v>
      </c>
      <c r="B2021" s="19" t="s">
        <v>2152</v>
      </c>
      <c r="C2021" s="21" t="s">
        <v>81</v>
      </c>
      <c r="D2021" s="53" t="str">
        <f t="shared" si="241"/>
        <v>Dusty Pink</v>
      </c>
      <c r="E2021" s="21" t="s">
        <v>1831</v>
      </c>
      <c r="F2021" s="21" t="s">
        <v>7</v>
      </c>
      <c r="G2021" s="4" t="str">
        <f t="shared" si="240"/>
        <v>Romper Longer</v>
      </c>
      <c r="H2021" s="38">
        <f t="shared" si="236"/>
        <v>1</v>
      </c>
      <c r="I2021" s="54">
        <f t="shared" si="235"/>
        <v>2</v>
      </c>
      <c r="J2021" s="14" t="str">
        <f t="shared" si="237"/>
        <v>NewYear</v>
      </c>
      <c r="K2021" s="16" t="str">
        <f t="shared" si="238"/>
        <v>0-3</v>
      </c>
      <c r="L2021" s="14" t="str">
        <f t="shared" si="239"/>
        <v>Romper Longer | 0-3 | Dusty Pink</v>
      </c>
      <c r="M2021" s="16" t="s">
        <v>3610</v>
      </c>
    </row>
    <row r="2022" spans="1:13" ht="25" customHeight="1" x14ac:dyDescent="0.45">
      <c r="A2022" s="18">
        <v>46033</v>
      </c>
      <c r="B2022" s="19" t="s">
        <v>2153</v>
      </c>
      <c r="C2022" s="21" t="s">
        <v>110</v>
      </c>
      <c r="D2022" s="53" t="str">
        <f t="shared" si="241"/>
        <v>Sage Green</v>
      </c>
      <c r="E2022" s="21" t="s">
        <v>1828</v>
      </c>
      <c r="F2022" s="21" t="s">
        <v>7</v>
      </c>
      <c r="G2022" s="4" t="str">
        <f t="shared" si="240"/>
        <v>Romper Longer</v>
      </c>
      <c r="H2022" s="38">
        <f t="shared" si="236"/>
        <v>1</v>
      </c>
      <c r="I2022" s="54">
        <f t="shared" si="235"/>
        <v>3</v>
      </c>
      <c r="J2022" s="14" t="str">
        <f t="shared" si="237"/>
        <v>NewYear</v>
      </c>
      <c r="K2022" s="16" t="str">
        <f t="shared" si="238"/>
        <v>3-6</v>
      </c>
      <c r="L2022" s="14" t="str">
        <f t="shared" si="239"/>
        <v>Romper Longer | 3-6 | Sage Green</v>
      </c>
      <c r="M2022" s="16" t="s">
        <v>3611</v>
      </c>
    </row>
    <row r="2023" spans="1:13" ht="25" customHeight="1" x14ac:dyDescent="0.45">
      <c r="A2023" s="18">
        <v>46034</v>
      </c>
      <c r="B2023" s="19" t="s">
        <v>2154</v>
      </c>
      <c r="C2023" s="21" t="s">
        <v>9</v>
      </c>
      <c r="D2023" s="53" t="str">
        <f t="shared" si="241"/>
        <v>Cream</v>
      </c>
      <c r="E2023" s="21" t="s">
        <v>1831</v>
      </c>
      <c r="F2023" s="21" t="s">
        <v>7</v>
      </c>
      <c r="G2023" s="4" t="str">
        <f t="shared" si="240"/>
        <v>Romper Longer</v>
      </c>
      <c r="H2023" s="38">
        <f t="shared" si="236"/>
        <v>1</v>
      </c>
      <c r="I2023" s="54">
        <f t="shared" si="235"/>
        <v>3</v>
      </c>
      <c r="J2023" s="14" t="str">
        <f t="shared" si="237"/>
        <v>NewYear</v>
      </c>
      <c r="K2023" s="16" t="str">
        <f t="shared" si="238"/>
        <v>0-3</v>
      </c>
      <c r="L2023" s="14" t="str">
        <f t="shared" si="239"/>
        <v>Romper Longer | 0-3 | Cream</v>
      </c>
      <c r="M2023" s="16" t="s">
        <v>3609</v>
      </c>
    </row>
    <row r="2024" spans="1:13" ht="25" customHeight="1" x14ac:dyDescent="0.45">
      <c r="A2024" s="18">
        <v>46035</v>
      </c>
      <c r="B2024" s="19" t="s">
        <v>2155</v>
      </c>
      <c r="C2024" s="21" t="s">
        <v>9</v>
      </c>
      <c r="D2024" s="53" t="str">
        <f t="shared" si="241"/>
        <v>Cream</v>
      </c>
      <c r="E2024" s="21" t="s">
        <v>1828</v>
      </c>
      <c r="F2024" s="21" t="s">
        <v>7</v>
      </c>
      <c r="G2024" s="4" t="str">
        <f t="shared" si="240"/>
        <v>Romper Longer</v>
      </c>
      <c r="H2024" s="38">
        <f t="shared" si="236"/>
        <v>1</v>
      </c>
      <c r="I2024" s="54">
        <f t="shared" si="235"/>
        <v>3</v>
      </c>
      <c r="J2024" s="14" t="str">
        <f t="shared" si="237"/>
        <v>NewYear</v>
      </c>
      <c r="K2024" s="16" t="str">
        <f t="shared" si="238"/>
        <v>3-6</v>
      </c>
      <c r="L2024" s="14" t="str">
        <f t="shared" si="239"/>
        <v>Romper Longer | 3-6 | Cream</v>
      </c>
      <c r="M2024" s="16" t="s">
        <v>3609</v>
      </c>
    </row>
    <row r="2025" spans="1:13" ht="25" customHeight="1" x14ac:dyDescent="0.45">
      <c r="A2025" s="18">
        <v>46036</v>
      </c>
      <c r="B2025" s="19" t="s">
        <v>2156</v>
      </c>
      <c r="C2025" s="21" t="s">
        <v>110</v>
      </c>
      <c r="D2025" s="53" t="str">
        <f t="shared" si="241"/>
        <v>Sage Green</v>
      </c>
      <c r="E2025" s="21" t="s">
        <v>1831</v>
      </c>
      <c r="F2025" s="21" t="s">
        <v>7</v>
      </c>
      <c r="G2025" s="4" t="str">
        <f t="shared" si="240"/>
        <v>Romper Longer</v>
      </c>
      <c r="H2025" s="38">
        <f t="shared" si="236"/>
        <v>1</v>
      </c>
      <c r="I2025" s="54">
        <f t="shared" si="235"/>
        <v>3</v>
      </c>
      <c r="J2025" s="14" t="str">
        <f t="shared" si="237"/>
        <v>NewYear</v>
      </c>
      <c r="K2025" s="16" t="str">
        <f t="shared" si="238"/>
        <v>0-3</v>
      </c>
      <c r="L2025" s="14" t="str">
        <f t="shared" si="239"/>
        <v>Romper Longer | 0-3 | Sage Green</v>
      </c>
      <c r="M2025" s="16" t="s">
        <v>3611</v>
      </c>
    </row>
    <row r="2026" spans="1:13" ht="25" customHeight="1" x14ac:dyDescent="0.45">
      <c r="A2026" s="18">
        <v>46037</v>
      </c>
      <c r="B2026" s="19" t="s">
        <v>2157</v>
      </c>
      <c r="C2026" s="21" t="s">
        <v>71</v>
      </c>
      <c r="D2026" s="53" t="str">
        <f t="shared" si="241"/>
        <v>Coffee</v>
      </c>
      <c r="E2026" s="21" t="s">
        <v>1831</v>
      </c>
      <c r="F2026" s="21" t="s">
        <v>7</v>
      </c>
      <c r="G2026" s="4" t="str">
        <f t="shared" si="240"/>
        <v>Romper Longer</v>
      </c>
      <c r="H2026" s="38">
        <f t="shared" si="236"/>
        <v>1</v>
      </c>
      <c r="I2026" s="54">
        <f t="shared" si="235"/>
        <v>3</v>
      </c>
      <c r="J2026" s="14" t="str">
        <f t="shared" si="237"/>
        <v>NewYear</v>
      </c>
      <c r="K2026" s="16" t="str">
        <f t="shared" si="238"/>
        <v>0-3</v>
      </c>
      <c r="L2026" s="14" t="str">
        <f t="shared" si="239"/>
        <v>Romper Longer | 0-3 | Coffee</v>
      </c>
      <c r="M2026" s="16" t="s">
        <v>3610</v>
      </c>
    </row>
    <row r="2027" spans="1:13" ht="25" customHeight="1" x14ac:dyDescent="0.45">
      <c r="A2027" s="18">
        <v>46038</v>
      </c>
      <c r="B2027" s="19" t="s">
        <v>2158</v>
      </c>
      <c r="C2027" s="21" t="s">
        <v>74</v>
      </c>
      <c r="D2027" s="53" t="str">
        <f t="shared" si="241"/>
        <v>Watermelon</v>
      </c>
      <c r="E2027" s="21" t="s">
        <v>1828</v>
      </c>
      <c r="F2027" s="21" t="s">
        <v>7</v>
      </c>
      <c r="G2027" s="4" t="str">
        <f t="shared" si="240"/>
        <v>Romper Longer</v>
      </c>
      <c r="H2027" s="38">
        <f t="shared" si="236"/>
        <v>1</v>
      </c>
      <c r="I2027" s="54">
        <f t="shared" si="235"/>
        <v>3</v>
      </c>
      <c r="J2027" s="14" t="str">
        <f t="shared" si="237"/>
        <v>NewYear</v>
      </c>
      <c r="K2027" s="16" t="str">
        <f t="shared" si="238"/>
        <v>3-6</v>
      </c>
      <c r="L2027" s="14" t="str">
        <f t="shared" si="239"/>
        <v>Romper Longer | 3-6 | Watermelon</v>
      </c>
      <c r="M2027" s="16" t="s">
        <v>3610</v>
      </c>
    </row>
    <row r="2028" spans="1:13" ht="25" customHeight="1" x14ac:dyDescent="0.45">
      <c r="A2028" s="18">
        <v>46039</v>
      </c>
      <c r="B2028" s="19" t="s">
        <v>2159</v>
      </c>
      <c r="C2028" s="21" t="s">
        <v>9</v>
      </c>
      <c r="D2028" s="53" t="str">
        <f t="shared" si="241"/>
        <v>Cream</v>
      </c>
      <c r="E2028" s="21" t="s">
        <v>1849</v>
      </c>
      <c r="F2028" s="21" t="s">
        <v>7</v>
      </c>
      <c r="G2028" s="4" t="str">
        <f t="shared" si="240"/>
        <v>Romper Short</v>
      </c>
      <c r="H2028" s="38">
        <f t="shared" si="236"/>
        <v>1</v>
      </c>
      <c r="I2028" s="54">
        <f t="shared" si="235"/>
        <v>3</v>
      </c>
      <c r="J2028" s="14" t="str">
        <f t="shared" si="237"/>
        <v>NewYear</v>
      </c>
      <c r="K2028" s="16" t="str">
        <f t="shared" si="238"/>
        <v>3-6</v>
      </c>
      <c r="L2028" s="14" t="str">
        <f t="shared" si="239"/>
        <v>Romper Short | 3-6 | Cream</v>
      </c>
      <c r="M2028" s="16" t="s">
        <v>3609</v>
      </c>
    </row>
    <row r="2029" spans="1:13" ht="25" customHeight="1" x14ac:dyDescent="0.45">
      <c r="A2029" s="18">
        <v>46040</v>
      </c>
      <c r="B2029" s="19" t="s">
        <v>2160</v>
      </c>
      <c r="C2029" s="21" t="s">
        <v>71</v>
      </c>
      <c r="D2029" s="53" t="str">
        <f t="shared" si="241"/>
        <v>Coffee</v>
      </c>
      <c r="E2029" s="21" t="s">
        <v>1841</v>
      </c>
      <c r="F2029" s="21" t="s">
        <v>7</v>
      </c>
      <c r="G2029" s="4" t="str">
        <f t="shared" si="240"/>
        <v>Romper Longer</v>
      </c>
      <c r="H2029" s="38">
        <f t="shared" si="236"/>
        <v>1</v>
      </c>
      <c r="I2029" s="54">
        <f t="shared" si="235"/>
        <v>4</v>
      </c>
      <c r="J2029" s="14" t="str">
        <f t="shared" si="237"/>
        <v>NewYear</v>
      </c>
      <c r="K2029" s="16" t="str">
        <f t="shared" si="238"/>
        <v>6-12</v>
      </c>
      <c r="L2029" s="14" t="str">
        <f t="shared" si="239"/>
        <v>Romper Longer | 6-12 | Coffee</v>
      </c>
      <c r="M2029" s="16" t="s">
        <v>3610</v>
      </c>
    </row>
    <row r="2030" spans="1:13" ht="25" customHeight="1" x14ac:dyDescent="0.45">
      <c r="A2030" s="18">
        <v>46041</v>
      </c>
      <c r="B2030" s="19" t="s">
        <v>2161</v>
      </c>
      <c r="C2030" s="21" t="s">
        <v>9</v>
      </c>
      <c r="D2030" s="53" t="str">
        <f t="shared" si="241"/>
        <v>Cream</v>
      </c>
      <c r="E2030" s="21" t="s">
        <v>1831</v>
      </c>
      <c r="F2030" s="21" t="s">
        <v>7</v>
      </c>
      <c r="G2030" s="4" t="str">
        <f t="shared" si="240"/>
        <v>Romper Longer</v>
      </c>
      <c r="H2030" s="38">
        <f t="shared" si="236"/>
        <v>1</v>
      </c>
      <c r="I2030" s="54">
        <f t="shared" ref="I2030:I2093" si="242">WEEKNUM(A2030)</f>
        <v>4</v>
      </c>
      <c r="J2030" s="14" t="str">
        <f t="shared" si="237"/>
        <v>NewYear</v>
      </c>
      <c r="K2030" s="16" t="str">
        <f t="shared" si="238"/>
        <v>0-3</v>
      </c>
      <c r="L2030" s="14" t="str">
        <f t="shared" si="239"/>
        <v>Romper Longer | 0-3 | Cream</v>
      </c>
      <c r="M2030" s="16" t="s">
        <v>3609</v>
      </c>
    </row>
    <row r="2031" spans="1:13" ht="25" customHeight="1" x14ac:dyDescent="0.45">
      <c r="A2031" s="18">
        <v>46042</v>
      </c>
      <c r="B2031" s="19" t="s">
        <v>2162</v>
      </c>
      <c r="C2031" s="21" t="s">
        <v>9</v>
      </c>
      <c r="D2031" s="53" t="str">
        <f t="shared" si="241"/>
        <v>Cream</v>
      </c>
      <c r="E2031" s="21" t="s">
        <v>1828</v>
      </c>
      <c r="F2031" s="21" t="s">
        <v>7</v>
      </c>
      <c r="G2031" s="4" t="str">
        <f t="shared" si="240"/>
        <v>Romper Longer</v>
      </c>
      <c r="H2031" s="38">
        <f t="shared" si="236"/>
        <v>1</v>
      </c>
      <c r="I2031" s="54">
        <f t="shared" si="242"/>
        <v>4</v>
      </c>
      <c r="J2031" s="14" t="str">
        <f t="shared" si="237"/>
        <v>NewYear</v>
      </c>
      <c r="K2031" s="16" t="str">
        <f t="shared" si="238"/>
        <v>3-6</v>
      </c>
      <c r="L2031" s="14" t="str">
        <f t="shared" si="239"/>
        <v>Romper Longer | 3-6 | Cream</v>
      </c>
      <c r="M2031" s="16" t="s">
        <v>3609</v>
      </c>
    </row>
    <row r="2032" spans="1:13" ht="25" customHeight="1" x14ac:dyDescent="0.45">
      <c r="A2032" s="18">
        <v>46043</v>
      </c>
      <c r="B2032" s="19" t="s">
        <v>2163</v>
      </c>
      <c r="C2032" s="21" t="s">
        <v>79</v>
      </c>
      <c r="D2032" s="53" t="str">
        <f t="shared" si="241"/>
        <v>White</v>
      </c>
      <c r="E2032" s="21" t="s">
        <v>1828</v>
      </c>
      <c r="F2032" s="21" t="s">
        <v>7</v>
      </c>
      <c r="G2032" s="4" t="str">
        <f t="shared" si="240"/>
        <v>Romper Longer</v>
      </c>
      <c r="H2032" s="38">
        <f t="shared" si="236"/>
        <v>1</v>
      </c>
      <c r="I2032" s="54">
        <f t="shared" si="242"/>
        <v>4</v>
      </c>
      <c r="J2032" s="14" t="str">
        <f t="shared" si="237"/>
        <v>NewYear</v>
      </c>
      <c r="K2032" s="16" t="str">
        <f t="shared" si="238"/>
        <v>3-6</v>
      </c>
      <c r="L2032" s="14" t="str">
        <f t="shared" si="239"/>
        <v>Romper Longer | 3-6 | White</v>
      </c>
      <c r="M2032" s="16" t="s">
        <v>3610</v>
      </c>
    </row>
    <row r="2033" spans="1:13" ht="25" customHeight="1" x14ac:dyDescent="0.45">
      <c r="A2033" s="18">
        <v>46044</v>
      </c>
      <c r="B2033" s="19" t="s">
        <v>2164</v>
      </c>
      <c r="C2033" s="21" t="s">
        <v>9</v>
      </c>
      <c r="D2033" s="53" t="str">
        <f t="shared" si="241"/>
        <v>Cream</v>
      </c>
      <c r="E2033" s="21" t="s">
        <v>1831</v>
      </c>
      <c r="F2033" s="21" t="s">
        <v>7</v>
      </c>
      <c r="G2033" s="4" t="str">
        <f t="shared" si="240"/>
        <v>Romper Longer</v>
      </c>
      <c r="H2033" s="38">
        <f t="shared" si="236"/>
        <v>1</v>
      </c>
      <c r="I2033" s="54">
        <f t="shared" si="242"/>
        <v>4</v>
      </c>
      <c r="J2033" s="14" t="str">
        <f t="shared" si="237"/>
        <v>NewYear</v>
      </c>
      <c r="K2033" s="16" t="str">
        <f t="shared" si="238"/>
        <v>0-3</v>
      </c>
      <c r="L2033" s="14" t="str">
        <f t="shared" si="239"/>
        <v>Romper Longer | 0-3 | Cream</v>
      </c>
      <c r="M2033" s="16" t="s">
        <v>3609</v>
      </c>
    </row>
    <row r="2034" spans="1:13" ht="25" customHeight="1" x14ac:dyDescent="0.45">
      <c r="A2034" s="18">
        <v>46045</v>
      </c>
      <c r="B2034" s="19" t="s">
        <v>2165</v>
      </c>
      <c r="C2034" s="23" t="s">
        <v>178</v>
      </c>
      <c r="D2034" s="53" t="str">
        <f t="shared" si="241"/>
        <v>Mauve Taupe</v>
      </c>
      <c r="E2034" s="21" t="s">
        <v>1849</v>
      </c>
      <c r="F2034" s="17" t="s">
        <v>7</v>
      </c>
      <c r="G2034" s="4" t="str">
        <f t="shared" si="240"/>
        <v>Romper Short</v>
      </c>
      <c r="H2034" s="38">
        <f t="shared" si="236"/>
        <v>1</v>
      </c>
      <c r="I2034" s="54">
        <f t="shared" si="242"/>
        <v>4</v>
      </c>
      <c r="J2034" s="14" t="str">
        <f t="shared" si="237"/>
        <v>NewYear</v>
      </c>
      <c r="K2034" s="16" t="str">
        <f t="shared" si="238"/>
        <v>3-6</v>
      </c>
      <c r="L2034" s="14" t="str">
        <f t="shared" si="239"/>
        <v>Romper Short | 3-6 | Mauve Taupe</v>
      </c>
      <c r="M2034" s="16" t="s">
        <v>3610</v>
      </c>
    </row>
    <row r="2035" spans="1:13" ht="25" customHeight="1" x14ac:dyDescent="0.45">
      <c r="A2035" s="18">
        <v>46046</v>
      </c>
      <c r="B2035" s="19" t="s">
        <v>2166</v>
      </c>
      <c r="C2035" s="23" t="s">
        <v>9</v>
      </c>
      <c r="D2035" s="53" t="str">
        <f t="shared" si="241"/>
        <v>Cream</v>
      </c>
      <c r="E2035" s="21" t="s">
        <v>1849</v>
      </c>
      <c r="F2035" s="17" t="s">
        <v>7</v>
      </c>
      <c r="G2035" s="4" t="str">
        <f t="shared" si="240"/>
        <v>Romper Short</v>
      </c>
      <c r="H2035" s="38">
        <f t="shared" si="236"/>
        <v>1</v>
      </c>
      <c r="I2035" s="54">
        <f t="shared" si="242"/>
        <v>4</v>
      </c>
      <c r="J2035" s="14" t="str">
        <f t="shared" si="237"/>
        <v>NewYear</v>
      </c>
      <c r="K2035" s="16" t="str">
        <f t="shared" si="238"/>
        <v>3-6</v>
      </c>
      <c r="L2035" s="14" t="str">
        <f t="shared" si="239"/>
        <v>Romper Short | 3-6 | Cream</v>
      </c>
      <c r="M2035" s="16" t="s">
        <v>3609</v>
      </c>
    </row>
    <row r="2036" spans="1:13" ht="25" customHeight="1" x14ac:dyDescent="0.45">
      <c r="A2036" s="18">
        <v>46047</v>
      </c>
      <c r="B2036" s="19" t="s">
        <v>2167</v>
      </c>
      <c r="C2036" s="23" t="s">
        <v>81</v>
      </c>
      <c r="D2036" s="53" t="str">
        <f t="shared" si="241"/>
        <v>Dusty Pink</v>
      </c>
      <c r="E2036" s="21" t="s">
        <v>1831</v>
      </c>
      <c r="F2036" s="17" t="s">
        <v>7</v>
      </c>
      <c r="G2036" s="4" t="str">
        <f t="shared" si="240"/>
        <v>Romper Longer</v>
      </c>
      <c r="H2036" s="38">
        <f t="shared" si="236"/>
        <v>1</v>
      </c>
      <c r="I2036" s="54">
        <f t="shared" si="242"/>
        <v>5</v>
      </c>
      <c r="J2036" s="14" t="str">
        <f t="shared" si="237"/>
        <v>NewYear</v>
      </c>
      <c r="K2036" s="16" t="str">
        <f t="shared" si="238"/>
        <v>0-3</v>
      </c>
      <c r="L2036" s="14" t="str">
        <f t="shared" si="239"/>
        <v>Romper Longer | 0-3 | Dusty Pink</v>
      </c>
      <c r="M2036" s="16" t="s">
        <v>3610</v>
      </c>
    </row>
    <row r="2037" spans="1:13" ht="25" customHeight="1" x14ac:dyDescent="0.45">
      <c r="A2037" s="18">
        <v>46048</v>
      </c>
      <c r="B2037" s="19" t="s">
        <v>2168</v>
      </c>
      <c r="C2037" s="23" t="s">
        <v>9</v>
      </c>
      <c r="D2037" s="53" t="str">
        <f t="shared" si="241"/>
        <v>Cream</v>
      </c>
      <c r="E2037" s="21" t="s">
        <v>1841</v>
      </c>
      <c r="F2037" s="23" t="s">
        <v>7</v>
      </c>
      <c r="G2037" s="4" t="str">
        <f t="shared" si="240"/>
        <v>Romper Longer</v>
      </c>
      <c r="H2037" s="38">
        <f t="shared" si="236"/>
        <v>1</v>
      </c>
      <c r="I2037" s="54">
        <f t="shared" si="242"/>
        <v>5</v>
      </c>
      <c r="J2037" s="14" t="str">
        <f t="shared" si="237"/>
        <v>NewYear</v>
      </c>
      <c r="K2037" s="16" t="str">
        <f t="shared" si="238"/>
        <v>6-12</v>
      </c>
      <c r="L2037" s="14" t="str">
        <f t="shared" si="239"/>
        <v>Romper Longer | 6-12 | Cream</v>
      </c>
      <c r="M2037" s="16" t="s">
        <v>3611</v>
      </c>
    </row>
    <row r="2038" spans="1:13" ht="25" customHeight="1" x14ac:dyDescent="0.45">
      <c r="A2038" s="18">
        <v>46049</v>
      </c>
      <c r="B2038" s="19" t="s">
        <v>2169</v>
      </c>
      <c r="C2038" s="23" t="s">
        <v>9</v>
      </c>
      <c r="D2038" s="53" t="str">
        <f t="shared" si="241"/>
        <v>Cream</v>
      </c>
      <c r="E2038" s="21" t="s">
        <v>1831</v>
      </c>
      <c r="F2038" s="23" t="s">
        <v>7</v>
      </c>
      <c r="G2038" s="4" t="str">
        <f t="shared" si="240"/>
        <v>Romper Longer</v>
      </c>
      <c r="H2038" s="38">
        <f t="shared" si="236"/>
        <v>1</v>
      </c>
      <c r="I2038" s="54">
        <f t="shared" si="242"/>
        <v>5</v>
      </c>
      <c r="J2038" s="14" t="str">
        <f t="shared" si="237"/>
        <v>NewYear</v>
      </c>
      <c r="K2038" s="16" t="str">
        <f t="shared" si="238"/>
        <v>0-3</v>
      </c>
      <c r="L2038" s="14" t="str">
        <f t="shared" si="239"/>
        <v>Romper Longer | 0-3 | Cream</v>
      </c>
      <c r="M2038" s="16" t="s">
        <v>3609</v>
      </c>
    </row>
    <row r="2039" spans="1:13" ht="25" customHeight="1" x14ac:dyDescent="0.45">
      <c r="A2039" s="18">
        <v>46050</v>
      </c>
      <c r="B2039" s="19" t="s">
        <v>2170</v>
      </c>
      <c r="C2039" s="23" t="s">
        <v>9</v>
      </c>
      <c r="D2039" s="53" t="str">
        <f t="shared" si="241"/>
        <v>Cream</v>
      </c>
      <c r="E2039" s="21" t="s">
        <v>1849</v>
      </c>
      <c r="F2039" s="23" t="s">
        <v>7</v>
      </c>
      <c r="G2039" s="4" t="str">
        <f t="shared" si="240"/>
        <v>Romper Short</v>
      </c>
      <c r="H2039" s="38">
        <f t="shared" si="236"/>
        <v>1</v>
      </c>
      <c r="I2039" s="54">
        <f t="shared" si="242"/>
        <v>5</v>
      </c>
      <c r="J2039" s="14" t="str">
        <f t="shared" si="237"/>
        <v>NewYear</v>
      </c>
      <c r="K2039" s="16" t="str">
        <f t="shared" si="238"/>
        <v>3-6</v>
      </c>
      <c r="L2039" s="14" t="str">
        <f t="shared" si="239"/>
        <v>Romper Short | 3-6 | Cream</v>
      </c>
      <c r="M2039" s="16" t="s">
        <v>3609</v>
      </c>
    </row>
    <row r="2040" spans="1:13" ht="25" customHeight="1" x14ac:dyDescent="0.45">
      <c r="A2040" s="18">
        <v>46051</v>
      </c>
      <c r="B2040" s="19" t="s">
        <v>2171</v>
      </c>
      <c r="C2040" s="23" t="s">
        <v>81</v>
      </c>
      <c r="D2040" s="53" t="str">
        <f t="shared" si="241"/>
        <v>Dusty Pink</v>
      </c>
      <c r="E2040" s="21" t="s">
        <v>1849</v>
      </c>
      <c r="F2040" s="23" t="s">
        <v>7</v>
      </c>
      <c r="G2040" s="4" t="str">
        <f t="shared" si="240"/>
        <v>Romper Short</v>
      </c>
      <c r="H2040" s="38">
        <f t="shared" ref="H2040:H2103" si="243">MONTH(A2040)</f>
        <v>1</v>
      </c>
      <c r="I2040" s="54">
        <f t="shared" si="242"/>
        <v>5</v>
      </c>
      <c r="J2040" s="14" t="str">
        <f t="shared" ref="J2040:J2103" si="244">IF(H2040=1,"NewYear",
IF(H2040=2,"Valentine",
IF(OR(H2040=3,H2040=4),"Easter",
IF(H2040=5,"MothersDay",
IF(H2040=6,"FathersDay",
IF(OR(H2040=7,H2040=8),"Summer",
IF(H2040=10,"Halloween",
IF(OR(H2040=11,H2040=12),"Christmas","Normal"))))))))</f>
        <v>NewYear</v>
      </c>
      <c r="K2040" s="16" t="str">
        <f t="shared" ref="K2040:K2103" si="245">TRIM(LEFT(E2040,FIND("(",E2040&amp;"(")-3))</f>
        <v>3-6</v>
      </c>
      <c r="L2040" s="14" t="str">
        <f t="shared" si="239"/>
        <v>Romper Short | 3-6 | Dusty Pink</v>
      </c>
      <c r="M2040" s="16" t="s">
        <v>3610</v>
      </c>
    </row>
    <row r="2041" spans="1:13" ht="25" customHeight="1" x14ac:dyDescent="0.45">
      <c r="A2041" s="18">
        <v>46052</v>
      </c>
      <c r="B2041" s="19" t="s">
        <v>2172</v>
      </c>
      <c r="C2041" s="23" t="s">
        <v>79</v>
      </c>
      <c r="D2041" s="53" t="str">
        <f t="shared" si="241"/>
        <v>White</v>
      </c>
      <c r="E2041" s="21" t="s">
        <v>1834</v>
      </c>
      <c r="F2041" s="23" t="s">
        <v>7</v>
      </c>
      <c r="G2041" s="4" t="str">
        <f t="shared" si="240"/>
        <v>Romper Short</v>
      </c>
      <c r="H2041" s="38">
        <f t="shared" si="243"/>
        <v>1</v>
      </c>
      <c r="I2041" s="54">
        <f t="shared" si="242"/>
        <v>5</v>
      </c>
      <c r="J2041" s="14" t="str">
        <f t="shared" si="244"/>
        <v>NewYear</v>
      </c>
      <c r="K2041" s="16" t="str">
        <f t="shared" si="245"/>
        <v>0-3</v>
      </c>
      <c r="L2041" s="14" t="str">
        <f t="shared" si="239"/>
        <v>Romper Short | 0-3 | White</v>
      </c>
      <c r="M2041" s="16" t="s">
        <v>3610</v>
      </c>
    </row>
    <row r="2042" spans="1:13" ht="25" customHeight="1" x14ac:dyDescent="0.45">
      <c r="A2042" s="18">
        <v>46053</v>
      </c>
      <c r="B2042" s="19" t="s">
        <v>2173</v>
      </c>
      <c r="C2042" s="23" t="s">
        <v>74</v>
      </c>
      <c r="D2042" s="53" t="str">
        <f t="shared" si="241"/>
        <v>Watermelon</v>
      </c>
      <c r="E2042" s="21" t="s">
        <v>1831</v>
      </c>
      <c r="F2042" s="23" t="s">
        <v>7</v>
      </c>
      <c r="G2042" s="4" t="str">
        <f t="shared" si="240"/>
        <v>Romper Longer</v>
      </c>
      <c r="H2042" s="38">
        <f t="shared" si="243"/>
        <v>1</v>
      </c>
      <c r="I2042" s="54">
        <f t="shared" si="242"/>
        <v>5</v>
      </c>
      <c r="J2042" s="14" t="str">
        <f t="shared" si="244"/>
        <v>NewYear</v>
      </c>
      <c r="K2042" s="16" t="str">
        <f t="shared" si="245"/>
        <v>0-3</v>
      </c>
      <c r="L2042" s="14" t="str">
        <f t="shared" si="239"/>
        <v>Romper Longer | 0-3 | Watermelon</v>
      </c>
      <c r="M2042" s="16" t="s">
        <v>3610</v>
      </c>
    </row>
    <row r="2043" spans="1:13" ht="25" customHeight="1" x14ac:dyDescent="0.45">
      <c r="A2043" s="18">
        <v>46054</v>
      </c>
      <c r="B2043" s="19" t="s">
        <v>2174</v>
      </c>
      <c r="C2043" s="23" t="s">
        <v>79</v>
      </c>
      <c r="D2043" s="53" t="str">
        <f t="shared" si="241"/>
        <v>White</v>
      </c>
      <c r="E2043" s="21" t="s">
        <v>1831</v>
      </c>
      <c r="F2043" s="23" t="s">
        <v>7</v>
      </c>
      <c r="G2043" s="4" t="str">
        <f t="shared" si="240"/>
        <v>Romper Longer</v>
      </c>
      <c r="H2043" s="38">
        <f t="shared" si="243"/>
        <v>2</v>
      </c>
      <c r="I2043" s="54">
        <f t="shared" si="242"/>
        <v>6</v>
      </c>
      <c r="J2043" s="14" t="str">
        <f t="shared" si="244"/>
        <v>Valentine</v>
      </c>
      <c r="K2043" s="16" t="str">
        <f t="shared" si="245"/>
        <v>0-3</v>
      </c>
      <c r="L2043" s="14" t="str">
        <f t="shared" si="239"/>
        <v>Romper Longer | 0-3 | White</v>
      </c>
      <c r="M2043" s="16" t="s">
        <v>3610</v>
      </c>
    </row>
    <row r="2044" spans="1:13" ht="25" customHeight="1" x14ac:dyDescent="0.45">
      <c r="A2044" s="18">
        <v>46055</v>
      </c>
      <c r="B2044" s="19" t="s">
        <v>2175</v>
      </c>
      <c r="C2044" s="23" t="s">
        <v>9</v>
      </c>
      <c r="D2044" s="53" t="str">
        <f t="shared" si="241"/>
        <v>Cream</v>
      </c>
      <c r="E2044" s="21" t="s">
        <v>1831</v>
      </c>
      <c r="F2044" s="23" t="s">
        <v>7</v>
      </c>
      <c r="G2044" s="4" t="str">
        <f t="shared" si="240"/>
        <v>Romper Longer</v>
      </c>
      <c r="H2044" s="38">
        <f t="shared" si="243"/>
        <v>2</v>
      </c>
      <c r="I2044" s="54">
        <f t="shared" si="242"/>
        <v>6</v>
      </c>
      <c r="J2044" s="14" t="str">
        <f t="shared" si="244"/>
        <v>Valentine</v>
      </c>
      <c r="K2044" s="16" t="str">
        <f t="shared" si="245"/>
        <v>0-3</v>
      </c>
      <c r="L2044" s="14" t="str">
        <f t="shared" si="239"/>
        <v>Romper Longer | 0-3 | Cream</v>
      </c>
      <c r="M2044" s="16" t="s">
        <v>3609</v>
      </c>
    </row>
    <row r="2045" spans="1:13" ht="25" customHeight="1" x14ac:dyDescent="0.45">
      <c r="A2045" s="18">
        <v>46056</v>
      </c>
      <c r="B2045" s="19" t="s">
        <v>2176</v>
      </c>
      <c r="C2045" s="23" t="s">
        <v>9</v>
      </c>
      <c r="D2045" s="53" t="str">
        <f t="shared" si="241"/>
        <v>Cream</v>
      </c>
      <c r="E2045" s="21" t="s">
        <v>1831</v>
      </c>
      <c r="F2045" s="23" t="s">
        <v>7</v>
      </c>
      <c r="G2045" s="4" t="str">
        <f t="shared" si="240"/>
        <v>Romper Longer</v>
      </c>
      <c r="H2045" s="38">
        <f t="shared" si="243"/>
        <v>2</v>
      </c>
      <c r="I2045" s="54">
        <f t="shared" si="242"/>
        <v>6</v>
      </c>
      <c r="J2045" s="14" t="str">
        <f t="shared" si="244"/>
        <v>Valentine</v>
      </c>
      <c r="K2045" s="16" t="str">
        <f t="shared" si="245"/>
        <v>0-3</v>
      </c>
      <c r="L2045" s="14" t="str">
        <f t="shared" si="239"/>
        <v>Romper Longer | 0-3 | Cream</v>
      </c>
      <c r="M2045" s="16" t="s">
        <v>3609</v>
      </c>
    </row>
    <row r="2046" spans="1:13" ht="25" customHeight="1" x14ac:dyDescent="0.45">
      <c r="A2046" s="18">
        <v>46057</v>
      </c>
      <c r="B2046" s="19" t="s">
        <v>2177</v>
      </c>
      <c r="C2046" s="23" t="s">
        <v>74</v>
      </c>
      <c r="D2046" s="53" t="str">
        <f t="shared" si="241"/>
        <v>Watermelon</v>
      </c>
      <c r="E2046" s="21" t="s">
        <v>1841</v>
      </c>
      <c r="F2046" s="23" t="s">
        <v>7</v>
      </c>
      <c r="G2046" s="4" t="str">
        <f t="shared" si="240"/>
        <v>Romper Longer</v>
      </c>
      <c r="H2046" s="38">
        <f t="shared" si="243"/>
        <v>2</v>
      </c>
      <c r="I2046" s="54">
        <f t="shared" si="242"/>
        <v>6</v>
      </c>
      <c r="J2046" s="14" t="str">
        <f t="shared" si="244"/>
        <v>Valentine</v>
      </c>
      <c r="K2046" s="16" t="str">
        <f t="shared" si="245"/>
        <v>6-12</v>
      </c>
      <c r="L2046" s="14" t="str">
        <f t="shared" si="239"/>
        <v>Romper Longer | 6-12 | Watermelon</v>
      </c>
      <c r="M2046" s="16" t="s">
        <v>3610</v>
      </c>
    </row>
    <row r="2047" spans="1:13" ht="25" customHeight="1" x14ac:dyDescent="0.45">
      <c r="A2047" s="18">
        <v>46058</v>
      </c>
      <c r="B2047" s="19" t="s">
        <v>2178</v>
      </c>
      <c r="C2047" s="23" t="s">
        <v>76</v>
      </c>
      <c r="D2047" s="53" t="str">
        <f t="shared" si="241"/>
        <v>Caldet Blue</v>
      </c>
      <c r="E2047" s="21" t="s">
        <v>1841</v>
      </c>
      <c r="F2047" s="23" t="s">
        <v>7</v>
      </c>
      <c r="G2047" s="4" t="str">
        <f t="shared" si="240"/>
        <v>Romper Longer</v>
      </c>
      <c r="H2047" s="38">
        <f t="shared" si="243"/>
        <v>2</v>
      </c>
      <c r="I2047" s="54">
        <f t="shared" si="242"/>
        <v>6</v>
      </c>
      <c r="J2047" s="14" t="str">
        <f t="shared" si="244"/>
        <v>Valentine</v>
      </c>
      <c r="K2047" s="16" t="str">
        <f t="shared" si="245"/>
        <v>6-12</v>
      </c>
      <c r="L2047" s="14" t="str">
        <f t="shared" si="239"/>
        <v>Romper Longer | 6-12 | Caldet Blue</v>
      </c>
      <c r="M2047" s="16" t="s">
        <v>3610</v>
      </c>
    </row>
    <row r="2048" spans="1:13" ht="25" customHeight="1" x14ac:dyDescent="0.45">
      <c r="A2048" s="18">
        <v>46059</v>
      </c>
      <c r="B2048" s="19" t="s">
        <v>2179</v>
      </c>
      <c r="C2048" s="23" t="s">
        <v>110</v>
      </c>
      <c r="D2048" s="53" t="str">
        <f t="shared" si="241"/>
        <v>Sage Green</v>
      </c>
      <c r="E2048" s="21" t="s">
        <v>1831</v>
      </c>
      <c r="F2048" s="23" t="s">
        <v>7</v>
      </c>
      <c r="G2048" s="4" t="str">
        <f t="shared" si="240"/>
        <v>Romper Longer</v>
      </c>
      <c r="H2048" s="38">
        <f t="shared" si="243"/>
        <v>2</v>
      </c>
      <c r="I2048" s="54">
        <f t="shared" si="242"/>
        <v>6</v>
      </c>
      <c r="J2048" s="14" t="str">
        <f t="shared" si="244"/>
        <v>Valentine</v>
      </c>
      <c r="K2048" s="16" t="str">
        <f t="shared" si="245"/>
        <v>0-3</v>
      </c>
      <c r="L2048" s="14" t="str">
        <f t="shared" si="239"/>
        <v>Romper Longer | 0-3 | Sage Green</v>
      </c>
      <c r="M2048" s="16" t="s">
        <v>3611</v>
      </c>
    </row>
    <row r="2049" spans="1:13" ht="25" customHeight="1" x14ac:dyDescent="0.45">
      <c r="A2049" s="18">
        <v>46060</v>
      </c>
      <c r="B2049" s="19" t="s">
        <v>2180</v>
      </c>
      <c r="C2049" s="23" t="s">
        <v>9</v>
      </c>
      <c r="D2049" s="53" t="str">
        <f t="shared" si="241"/>
        <v>Cream</v>
      </c>
      <c r="E2049" s="21" t="s">
        <v>1828</v>
      </c>
      <c r="F2049" s="23" t="s">
        <v>7</v>
      </c>
      <c r="G2049" s="4" t="str">
        <f t="shared" si="240"/>
        <v>Romper Longer</v>
      </c>
      <c r="H2049" s="38">
        <f t="shared" si="243"/>
        <v>2</v>
      </c>
      <c r="I2049" s="54">
        <f t="shared" si="242"/>
        <v>6</v>
      </c>
      <c r="J2049" s="14" t="str">
        <f t="shared" si="244"/>
        <v>Valentine</v>
      </c>
      <c r="K2049" s="16" t="str">
        <f t="shared" si="245"/>
        <v>3-6</v>
      </c>
      <c r="L2049" s="14" t="str">
        <f t="shared" si="239"/>
        <v>Romper Longer | 3-6 | Cream</v>
      </c>
      <c r="M2049" s="16" t="s">
        <v>3609</v>
      </c>
    </row>
    <row r="2050" spans="1:13" ht="25" customHeight="1" x14ac:dyDescent="0.45">
      <c r="A2050" s="18">
        <v>46061</v>
      </c>
      <c r="B2050" s="19" t="s">
        <v>2181</v>
      </c>
      <c r="C2050" s="23" t="s">
        <v>9</v>
      </c>
      <c r="D2050" s="53" t="str">
        <f t="shared" si="241"/>
        <v>Cream</v>
      </c>
      <c r="E2050" s="21" t="s">
        <v>1841</v>
      </c>
      <c r="F2050" s="23" t="s">
        <v>7</v>
      </c>
      <c r="G2050" s="4" t="str">
        <f t="shared" si="240"/>
        <v>Romper Longer</v>
      </c>
      <c r="H2050" s="38">
        <f t="shared" si="243"/>
        <v>2</v>
      </c>
      <c r="I2050" s="54">
        <f t="shared" si="242"/>
        <v>7</v>
      </c>
      <c r="J2050" s="14" t="str">
        <f t="shared" si="244"/>
        <v>Valentine</v>
      </c>
      <c r="K2050" s="16" t="str">
        <f t="shared" si="245"/>
        <v>6-12</v>
      </c>
      <c r="L2050" s="14" t="str">
        <f t="shared" ref="L2050:L2113" si="246">TRIM(G2050)&amp;" | "&amp;TRIM(K2050)&amp;" | "&amp;PROPER(TRIM(D2050))</f>
        <v>Romper Longer | 6-12 | Cream</v>
      </c>
      <c r="M2050" s="16" t="s">
        <v>3611</v>
      </c>
    </row>
    <row r="2051" spans="1:13" ht="25" customHeight="1" x14ac:dyDescent="0.45">
      <c r="A2051" s="18">
        <v>46062</v>
      </c>
      <c r="B2051" s="19" t="s">
        <v>2182</v>
      </c>
      <c r="C2051" s="23" t="s">
        <v>9</v>
      </c>
      <c r="D2051" s="53" t="str">
        <f t="shared" si="241"/>
        <v>Cream</v>
      </c>
      <c r="E2051" s="21" t="s">
        <v>1831</v>
      </c>
      <c r="F2051" s="23" t="s">
        <v>7</v>
      </c>
      <c r="G2051" s="4" t="str">
        <f t="shared" si="240"/>
        <v>Romper Longer</v>
      </c>
      <c r="H2051" s="38">
        <f t="shared" si="243"/>
        <v>2</v>
      </c>
      <c r="I2051" s="54">
        <f t="shared" si="242"/>
        <v>7</v>
      </c>
      <c r="J2051" s="14" t="str">
        <f t="shared" si="244"/>
        <v>Valentine</v>
      </c>
      <c r="K2051" s="16" t="str">
        <f t="shared" si="245"/>
        <v>0-3</v>
      </c>
      <c r="L2051" s="14" t="str">
        <f t="shared" si="246"/>
        <v>Romper Longer | 0-3 | Cream</v>
      </c>
      <c r="M2051" s="16" t="s">
        <v>3609</v>
      </c>
    </row>
    <row r="2052" spans="1:13" ht="25" customHeight="1" x14ac:dyDescent="0.45">
      <c r="A2052" s="18">
        <v>46063</v>
      </c>
      <c r="B2052" s="19" t="s">
        <v>2183</v>
      </c>
      <c r="C2052" s="23" t="s">
        <v>76</v>
      </c>
      <c r="D2052" s="53" t="str">
        <f t="shared" si="241"/>
        <v>Caldet Blue</v>
      </c>
      <c r="E2052" s="21" t="s">
        <v>1828</v>
      </c>
      <c r="F2052" s="23" t="s">
        <v>7</v>
      </c>
      <c r="G2052" s="4" t="str">
        <f t="shared" si="240"/>
        <v>Romper Longer</v>
      </c>
      <c r="H2052" s="38">
        <f t="shared" si="243"/>
        <v>2</v>
      </c>
      <c r="I2052" s="54">
        <f t="shared" si="242"/>
        <v>7</v>
      </c>
      <c r="J2052" s="14" t="str">
        <f t="shared" si="244"/>
        <v>Valentine</v>
      </c>
      <c r="K2052" s="16" t="str">
        <f t="shared" si="245"/>
        <v>3-6</v>
      </c>
      <c r="L2052" s="14" t="str">
        <f t="shared" si="246"/>
        <v>Romper Longer | 3-6 | Caldet Blue</v>
      </c>
      <c r="M2052" s="16" t="s">
        <v>3610</v>
      </c>
    </row>
    <row r="2053" spans="1:13" ht="25" customHeight="1" x14ac:dyDescent="0.45">
      <c r="A2053" s="18">
        <v>46064</v>
      </c>
      <c r="B2053" s="19" t="s">
        <v>2184</v>
      </c>
      <c r="C2053" s="23" t="s">
        <v>9</v>
      </c>
      <c r="D2053" s="53" t="str">
        <f t="shared" si="241"/>
        <v>Cream</v>
      </c>
      <c r="E2053" s="21" t="s">
        <v>1849</v>
      </c>
      <c r="F2053" s="23" t="s">
        <v>7</v>
      </c>
      <c r="G2053" s="4" t="str">
        <f t="shared" si="240"/>
        <v>Romper Short</v>
      </c>
      <c r="H2053" s="38">
        <f t="shared" si="243"/>
        <v>2</v>
      </c>
      <c r="I2053" s="54">
        <f t="shared" si="242"/>
        <v>7</v>
      </c>
      <c r="J2053" s="14" t="str">
        <f t="shared" si="244"/>
        <v>Valentine</v>
      </c>
      <c r="K2053" s="16" t="str">
        <f t="shared" si="245"/>
        <v>3-6</v>
      </c>
      <c r="L2053" s="14" t="str">
        <f t="shared" si="246"/>
        <v>Romper Short | 3-6 | Cream</v>
      </c>
      <c r="M2053" s="16" t="s">
        <v>3609</v>
      </c>
    </row>
    <row r="2054" spans="1:13" ht="25" customHeight="1" x14ac:dyDescent="0.45">
      <c r="A2054" s="32">
        <v>45972</v>
      </c>
      <c r="B2054" s="19" t="s">
        <v>2185</v>
      </c>
      <c r="C2054" s="23" t="s">
        <v>224</v>
      </c>
      <c r="D2054" s="53" t="str">
        <f t="shared" si="241"/>
        <v>Salmon</v>
      </c>
      <c r="E2054" s="21" t="s">
        <v>1841</v>
      </c>
      <c r="F2054" s="23" t="s">
        <v>7</v>
      </c>
      <c r="G2054" s="4" t="str">
        <f t="shared" si="240"/>
        <v>Romper Longer</v>
      </c>
      <c r="H2054" s="38">
        <f t="shared" si="243"/>
        <v>11</v>
      </c>
      <c r="I2054" s="54">
        <f t="shared" si="242"/>
        <v>46</v>
      </c>
      <c r="J2054" s="14" t="str">
        <f t="shared" si="244"/>
        <v>Christmas</v>
      </c>
      <c r="K2054" s="16" t="str">
        <f t="shared" si="245"/>
        <v>6-12</v>
      </c>
      <c r="L2054" s="14" t="str">
        <f t="shared" si="246"/>
        <v>Romper Longer | 6-12 | Salmon</v>
      </c>
      <c r="M2054" s="16" t="s">
        <v>3610</v>
      </c>
    </row>
    <row r="2055" spans="1:13" ht="25" customHeight="1" x14ac:dyDescent="0.45">
      <c r="A2055" s="32">
        <v>45973</v>
      </c>
      <c r="B2055" s="19" t="s">
        <v>2186</v>
      </c>
      <c r="C2055" s="23" t="s">
        <v>9</v>
      </c>
      <c r="D2055" s="53" t="str">
        <f t="shared" si="241"/>
        <v>Cream</v>
      </c>
      <c r="E2055" s="21" t="s">
        <v>1828</v>
      </c>
      <c r="F2055" s="23" t="s">
        <v>7</v>
      </c>
      <c r="G2055" s="4" t="str">
        <f t="shared" si="240"/>
        <v>Romper Longer</v>
      </c>
      <c r="H2055" s="38">
        <f t="shared" si="243"/>
        <v>11</v>
      </c>
      <c r="I2055" s="54">
        <f t="shared" si="242"/>
        <v>46</v>
      </c>
      <c r="J2055" s="14" t="str">
        <f t="shared" si="244"/>
        <v>Christmas</v>
      </c>
      <c r="K2055" s="16" t="str">
        <f t="shared" si="245"/>
        <v>3-6</v>
      </c>
      <c r="L2055" s="14" t="str">
        <f t="shared" si="246"/>
        <v>Romper Longer | 3-6 | Cream</v>
      </c>
      <c r="M2055" s="16" t="s">
        <v>3609</v>
      </c>
    </row>
    <row r="2056" spans="1:13" ht="25" customHeight="1" x14ac:dyDescent="0.45">
      <c r="A2056" s="32">
        <v>45974</v>
      </c>
      <c r="B2056" s="19" t="s">
        <v>2187</v>
      </c>
      <c r="C2056" s="23" t="s">
        <v>71</v>
      </c>
      <c r="D2056" s="53" t="str">
        <f t="shared" si="241"/>
        <v>Coffee</v>
      </c>
      <c r="E2056" s="21" t="s">
        <v>1831</v>
      </c>
      <c r="F2056" s="23" t="s">
        <v>7</v>
      </c>
      <c r="G2056" s="4" t="str">
        <f t="shared" si="240"/>
        <v>Romper Longer</v>
      </c>
      <c r="H2056" s="38">
        <f t="shared" si="243"/>
        <v>11</v>
      </c>
      <c r="I2056" s="54">
        <f t="shared" si="242"/>
        <v>46</v>
      </c>
      <c r="J2056" s="14" t="str">
        <f t="shared" si="244"/>
        <v>Christmas</v>
      </c>
      <c r="K2056" s="16" t="str">
        <f t="shared" si="245"/>
        <v>0-3</v>
      </c>
      <c r="L2056" s="14" t="str">
        <f t="shared" si="246"/>
        <v>Romper Longer | 0-3 | Coffee</v>
      </c>
      <c r="M2056" s="16" t="s">
        <v>3610</v>
      </c>
    </row>
    <row r="2057" spans="1:13" ht="25" customHeight="1" x14ac:dyDescent="0.45">
      <c r="A2057" s="32">
        <v>45975</v>
      </c>
      <c r="B2057" s="19" t="s">
        <v>2188</v>
      </c>
      <c r="C2057" s="23" t="s">
        <v>110</v>
      </c>
      <c r="D2057" s="53" t="str">
        <f t="shared" si="241"/>
        <v>Sage Green</v>
      </c>
      <c r="E2057" s="21" t="s">
        <v>1550</v>
      </c>
      <c r="F2057" s="23" t="s">
        <v>7</v>
      </c>
      <c r="G2057" s="4" t="str">
        <f t="shared" si="240"/>
        <v>Romper Longer</v>
      </c>
      <c r="H2057" s="38">
        <f t="shared" si="243"/>
        <v>11</v>
      </c>
      <c r="I2057" s="54">
        <f t="shared" si="242"/>
        <v>46</v>
      </c>
      <c r="J2057" s="14" t="str">
        <f t="shared" si="244"/>
        <v>Christmas</v>
      </c>
      <c r="K2057" s="16" t="str">
        <f t="shared" si="245"/>
        <v>12-18</v>
      </c>
      <c r="L2057" s="14" t="str">
        <f t="shared" si="246"/>
        <v>Romper Longer | 12-18 | Sage Green</v>
      </c>
      <c r="M2057" s="16" t="s">
        <v>3610</v>
      </c>
    </row>
    <row r="2058" spans="1:13" ht="25" customHeight="1" x14ac:dyDescent="0.45">
      <c r="A2058" s="32">
        <v>45976</v>
      </c>
      <c r="B2058" s="19" t="s">
        <v>2189</v>
      </c>
      <c r="C2058" s="23" t="s">
        <v>9</v>
      </c>
      <c r="D2058" s="53" t="str">
        <f t="shared" si="241"/>
        <v>Cream</v>
      </c>
      <c r="E2058" s="21" t="s">
        <v>1831</v>
      </c>
      <c r="F2058" s="23" t="s">
        <v>7</v>
      </c>
      <c r="G2058" s="4" t="str">
        <f t="shared" si="240"/>
        <v>Romper Longer</v>
      </c>
      <c r="H2058" s="38">
        <f t="shared" si="243"/>
        <v>11</v>
      </c>
      <c r="I2058" s="54">
        <f t="shared" si="242"/>
        <v>46</v>
      </c>
      <c r="J2058" s="14" t="str">
        <f t="shared" si="244"/>
        <v>Christmas</v>
      </c>
      <c r="K2058" s="16" t="str">
        <f t="shared" si="245"/>
        <v>0-3</v>
      </c>
      <c r="L2058" s="14" t="str">
        <f t="shared" si="246"/>
        <v>Romper Longer | 0-3 | Cream</v>
      </c>
      <c r="M2058" s="16" t="s">
        <v>3609</v>
      </c>
    </row>
    <row r="2059" spans="1:13" ht="25" customHeight="1" x14ac:dyDescent="0.45">
      <c r="A2059" s="32">
        <v>45977</v>
      </c>
      <c r="B2059" s="19" t="s">
        <v>2190</v>
      </c>
      <c r="C2059" s="23" t="s">
        <v>79</v>
      </c>
      <c r="D2059" s="53" t="str">
        <f t="shared" si="241"/>
        <v>White</v>
      </c>
      <c r="E2059" s="21" t="s">
        <v>1834</v>
      </c>
      <c r="F2059" s="23" t="s">
        <v>7</v>
      </c>
      <c r="G2059" s="4" t="str">
        <f t="shared" si="240"/>
        <v>Romper Short</v>
      </c>
      <c r="H2059" s="38">
        <f t="shared" si="243"/>
        <v>11</v>
      </c>
      <c r="I2059" s="54">
        <f t="shared" si="242"/>
        <v>47</v>
      </c>
      <c r="J2059" s="14" t="str">
        <f t="shared" si="244"/>
        <v>Christmas</v>
      </c>
      <c r="K2059" s="16" t="str">
        <f t="shared" si="245"/>
        <v>0-3</v>
      </c>
      <c r="L2059" s="14" t="str">
        <f t="shared" si="246"/>
        <v>Romper Short | 0-3 | White</v>
      </c>
      <c r="M2059" s="16" t="s">
        <v>3610</v>
      </c>
    </row>
    <row r="2060" spans="1:13" ht="25" customHeight="1" x14ac:dyDescent="0.45">
      <c r="A2060" s="32">
        <v>45978</v>
      </c>
      <c r="B2060" s="19" t="s">
        <v>2191</v>
      </c>
      <c r="C2060" s="23" t="s">
        <v>9</v>
      </c>
      <c r="D2060" s="53" t="str">
        <f t="shared" si="241"/>
        <v>Cream</v>
      </c>
      <c r="E2060" s="21" t="s">
        <v>1834</v>
      </c>
      <c r="F2060" s="23" t="s">
        <v>7</v>
      </c>
      <c r="G2060" s="4" t="str">
        <f t="shared" si="240"/>
        <v>Romper Short</v>
      </c>
      <c r="H2060" s="38">
        <f t="shared" si="243"/>
        <v>11</v>
      </c>
      <c r="I2060" s="54">
        <f t="shared" si="242"/>
        <v>47</v>
      </c>
      <c r="J2060" s="14" t="str">
        <f t="shared" si="244"/>
        <v>Christmas</v>
      </c>
      <c r="K2060" s="16" t="str">
        <f t="shared" si="245"/>
        <v>0-3</v>
      </c>
      <c r="L2060" s="14" t="str">
        <f t="shared" si="246"/>
        <v>Romper Short | 0-3 | Cream</v>
      </c>
      <c r="M2060" s="16" t="s">
        <v>3609</v>
      </c>
    </row>
    <row r="2061" spans="1:13" ht="25" customHeight="1" x14ac:dyDescent="0.45">
      <c r="A2061" s="32">
        <v>45979</v>
      </c>
      <c r="B2061" s="19" t="s">
        <v>2192</v>
      </c>
      <c r="C2061" s="23" t="s">
        <v>9</v>
      </c>
      <c r="D2061" s="53" t="str">
        <f t="shared" si="241"/>
        <v>Cream</v>
      </c>
      <c r="E2061" s="21" t="s">
        <v>1838</v>
      </c>
      <c r="F2061" s="17" t="s">
        <v>7</v>
      </c>
      <c r="G2061" s="4" t="str">
        <f t="shared" si="240"/>
        <v>Romper Short</v>
      </c>
      <c r="H2061" s="38">
        <f t="shared" si="243"/>
        <v>11</v>
      </c>
      <c r="I2061" s="54">
        <f t="shared" si="242"/>
        <v>47</v>
      </c>
      <c r="J2061" s="14" t="str">
        <f t="shared" si="244"/>
        <v>Christmas</v>
      </c>
      <c r="K2061" s="16" t="str">
        <f t="shared" si="245"/>
        <v>12-18</v>
      </c>
      <c r="L2061" s="14" t="str">
        <f t="shared" si="246"/>
        <v>Romper Short | 12-18 | Cream</v>
      </c>
      <c r="M2061" s="16" t="s">
        <v>3610</v>
      </c>
    </row>
    <row r="2062" spans="1:13" ht="25" customHeight="1" x14ac:dyDescent="0.45">
      <c r="A2062" s="32">
        <v>45980</v>
      </c>
      <c r="B2062" s="19" t="s">
        <v>2193</v>
      </c>
      <c r="C2062" s="23" t="s">
        <v>9</v>
      </c>
      <c r="D2062" s="53" t="str">
        <f t="shared" si="241"/>
        <v>Cream</v>
      </c>
      <c r="E2062" s="21" t="s">
        <v>1834</v>
      </c>
      <c r="F2062" s="17" t="s">
        <v>7</v>
      </c>
      <c r="G2062" s="4" t="str">
        <f t="shared" si="240"/>
        <v>Romper Short</v>
      </c>
      <c r="H2062" s="38">
        <f t="shared" si="243"/>
        <v>11</v>
      </c>
      <c r="I2062" s="54">
        <f t="shared" si="242"/>
        <v>47</v>
      </c>
      <c r="J2062" s="14" t="str">
        <f t="shared" si="244"/>
        <v>Christmas</v>
      </c>
      <c r="K2062" s="16" t="str">
        <f t="shared" si="245"/>
        <v>0-3</v>
      </c>
      <c r="L2062" s="14" t="str">
        <f t="shared" si="246"/>
        <v>Romper Short | 0-3 | Cream</v>
      </c>
      <c r="M2062" s="16" t="s">
        <v>3609</v>
      </c>
    </row>
    <row r="2063" spans="1:13" ht="25" customHeight="1" x14ac:dyDescent="0.45">
      <c r="A2063" s="32">
        <v>45981</v>
      </c>
      <c r="B2063" s="19" t="s">
        <v>2194</v>
      </c>
      <c r="C2063" s="23" t="s">
        <v>407</v>
      </c>
      <c r="D2063" s="53" t="str">
        <f t="shared" si="241"/>
        <v>Texas Orange</v>
      </c>
      <c r="E2063" s="21" t="s">
        <v>1550</v>
      </c>
      <c r="F2063" s="23" t="s">
        <v>7</v>
      </c>
      <c r="G2063" s="4" t="str">
        <f t="shared" ref="G2063:G2126" si="247">IF(ISNUMBER(SEARCH("LONG",E2063)),"Romper Longer",IF(ISNUMBER(SEARCH("SHORT",E2063)),"Romper Short","Bodysuit"))</f>
        <v>Romper Longer</v>
      </c>
      <c r="H2063" s="38">
        <f t="shared" si="243"/>
        <v>11</v>
      </c>
      <c r="I2063" s="54">
        <f t="shared" si="242"/>
        <v>47</v>
      </c>
      <c r="J2063" s="14" t="str">
        <f t="shared" si="244"/>
        <v>Christmas</v>
      </c>
      <c r="K2063" s="16" t="str">
        <f t="shared" si="245"/>
        <v>12-18</v>
      </c>
      <c r="L2063" s="14" t="str">
        <f t="shared" si="246"/>
        <v>Romper Longer | 12-18 | Texas Orange</v>
      </c>
      <c r="M2063" s="16" t="s">
        <v>3610</v>
      </c>
    </row>
    <row r="2064" spans="1:13" ht="25" customHeight="1" x14ac:dyDescent="0.45">
      <c r="A2064" s="32">
        <v>45982</v>
      </c>
      <c r="B2064" s="19" t="s">
        <v>2195</v>
      </c>
      <c r="C2064" s="23" t="s">
        <v>9</v>
      </c>
      <c r="D2064" s="53" t="str">
        <f t="shared" si="241"/>
        <v>Cream</v>
      </c>
      <c r="E2064" s="21" t="s">
        <v>1849</v>
      </c>
      <c r="F2064" s="23" t="s">
        <v>7</v>
      </c>
      <c r="G2064" s="4" t="str">
        <f t="shared" si="247"/>
        <v>Romper Short</v>
      </c>
      <c r="H2064" s="38">
        <f t="shared" si="243"/>
        <v>11</v>
      </c>
      <c r="I2064" s="54">
        <f t="shared" si="242"/>
        <v>47</v>
      </c>
      <c r="J2064" s="14" t="str">
        <f t="shared" si="244"/>
        <v>Christmas</v>
      </c>
      <c r="K2064" s="16" t="str">
        <f t="shared" si="245"/>
        <v>3-6</v>
      </c>
      <c r="L2064" s="14" t="str">
        <f t="shared" si="246"/>
        <v>Romper Short | 3-6 | Cream</v>
      </c>
      <c r="M2064" s="16" t="s">
        <v>3609</v>
      </c>
    </row>
    <row r="2065" spans="1:13" ht="25" customHeight="1" x14ac:dyDescent="0.45">
      <c r="A2065" s="32">
        <v>45983</v>
      </c>
      <c r="B2065" s="19" t="s">
        <v>2196</v>
      </c>
      <c r="C2065" s="23" t="s">
        <v>224</v>
      </c>
      <c r="D2065" s="53" t="str">
        <f t="shared" si="241"/>
        <v>Salmon</v>
      </c>
      <c r="E2065" s="21" t="s">
        <v>1828</v>
      </c>
      <c r="F2065" s="23" t="s">
        <v>7</v>
      </c>
      <c r="G2065" s="4" t="str">
        <f t="shared" si="247"/>
        <v>Romper Longer</v>
      </c>
      <c r="H2065" s="38">
        <f t="shared" si="243"/>
        <v>11</v>
      </c>
      <c r="I2065" s="54">
        <f t="shared" si="242"/>
        <v>47</v>
      </c>
      <c r="J2065" s="14" t="str">
        <f t="shared" si="244"/>
        <v>Christmas</v>
      </c>
      <c r="K2065" s="16" t="str">
        <f t="shared" si="245"/>
        <v>3-6</v>
      </c>
      <c r="L2065" s="14" t="str">
        <f t="shared" si="246"/>
        <v>Romper Longer | 3-6 | Salmon</v>
      </c>
      <c r="M2065" s="16" t="s">
        <v>3610</v>
      </c>
    </row>
    <row r="2066" spans="1:13" ht="25" customHeight="1" x14ac:dyDescent="0.45">
      <c r="A2066" s="32">
        <v>45984</v>
      </c>
      <c r="B2066" s="19" t="s">
        <v>2197</v>
      </c>
      <c r="C2066" s="23" t="s">
        <v>9</v>
      </c>
      <c r="D2066" s="53" t="str">
        <f t="shared" si="241"/>
        <v>Cream</v>
      </c>
      <c r="E2066" s="21" t="s">
        <v>1841</v>
      </c>
      <c r="F2066" s="23" t="s">
        <v>7</v>
      </c>
      <c r="G2066" s="4" t="str">
        <f t="shared" si="247"/>
        <v>Romper Longer</v>
      </c>
      <c r="H2066" s="38">
        <f t="shared" si="243"/>
        <v>11</v>
      </c>
      <c r="I2066" s="54">
        <f t="shared" si="242"/>
        <v>48</v>
      </c>
      <c r="J2066" s="14" t="str">
        <f t="shared" si="244"/>
        <v>Christmas</v>
      </c>
      <c r="K2066" s="16" t="str">
        <f t="shared" si="245"/>
        <v>6-12</v>
      </c>
      <c r="L2066" s="14" t="str">
        <f t="shared" si="246"/>
        <v>Romper Longer | 6-12 | Cream</v>
      </c>
      <c r="M2066" s="16" t="s">
        <v>3611</v>
      </c>
    </row>
    <row r="2067" spans="1:13" ht="25" customHeight="1" x14ac:dyDescent="0.45">
      <c r="A2067" s="32">
        <v>45985</v>
      </c>
      <c r="B2067" s="19" t="s">
        <v>2198</v>
      </c>
      <c r="C2067" s="23" t="s">
        <v>79</v>
      </c>
      <c r="D2067" s="53" t="str">
        <f t="shared" ref="D2067:D2130" si="248">PROPER(C2067)</f>
        <v>White</v>
      </c>
      <c r="E2067" s="21" t="s">
        <v>1834</v>
      </c>
      <c r="F2067" s="23" t="s">
        <v>7</v>
      </c>
      <c r="G2067" s="4" t="str">
        <f t="shared" si="247"/>
        <v>Romper Short</v>
      </c>
      <c r="H2067" s="38">
        <f t="shared" si="243"/>
        <v>11</v>
      </c>
      <c r="I2067" s="54">
        <f t="shared" si="242"/>
        <v>48</v>
      </c>
      <c r="J2067" s="14" t="str">
        <f t="shared" si="244"/>
        <v>Christmas</v>
      </c>
      <c r="K2067" s="16" t="str">
        <f t="shared" si="245"/>
        <v>0-3</v>
      </c>
      <c r="L2067" s="14" t="str">
        <f t="shared" si="246"/>
        <v>Romper Short | 0-3 | White</v>
      </c>
      <c r="M2067" s="16" t="s">
        <v>3610</v>
      </c>
    </row>
    <row r="2068" spans="1:13" ht="25" customHeight="1" x14ac:dyDescent="0.45">
      <c r="A2068" s="32">
        <v>45986</v>
      </c>
      <c r="B2068" s="19" t="s">
        <v>2199</v>
      </c>
      <c r="C2068" s="23" t="s">
        <v>74</v>
      </c>
      <c r="D2068" s="53" t="str">
        <f t="shared" si="248"/>
        <v>Watermelon</v>
      </c>
      <c r="E2068" s="21" t="s">
        <v>1831</v>
      </c>
      <c r="F2068" s="23" t="s">
        <v>7</v>
      </c>
      <c r="G2068" s="4" t="str">
        <f t="shared" si="247"/>
        <v>Romper Longer</v>
      </c>
      <c r="H2068" s="38">
        <f t="shared" si="243"/>
        <v>11</v>
      </c>
      <c r="I2068" s="54">
        <f t="shared" si="242"/>
        <v>48</v>
      </c>
      <c r="J2068" s="14" t="str">
        <f t="shared" si="244"/>
        <v>Christmas</v>
      </c>
      <c r="K2068" s="16" t="str">
        <f t="shared" si="245"/>
        <v>0-3</v>
      </c>
      <c r="L2068" s="14" t="str">
        <f t="shared" si="246"/>
        <v>Romper Longer | 0-3 | Watermelon</v>
      </c>
      <c r="M2068" s="16" t="s">
        <v>3610</v>
      </c>
    </row>
    <row r="2069" spans="1:13" ht="25" customHeight="1" x14ac:dyDescent="0.45">
      <c r="A2069" s="32">
        <v>45987</v>
      </c>
      <c r="B2069" s="19" t="s">
        <v>2200</v>
      </c>
      <c r="C2069" s="23" t="s">
        <v>110</v>
      </c>
      <c r="D2069" s="53" t="str">
        <f t="shared" si="248"/>
        <v>Sage Green</v>
      </c>
      <c r="E2069" s="21" t="s">
        <v>1831</v>
      </c>
      <c r="F2069" s="23" t="s">
        <v>7</v>
      </c>
      <c r="G2069" s="4" t="str">
        <f t="shared" si="247"/>
        <v>Romper Longer</v>
      </c>
      <c r="H2069" s="38">
        <f t="shared" si="243"/>
        <v>11</v>
      </c>
      <c r="I2069" s="54">
        <f t="shared" si="242"/>
        <v>48</v>
      </c>
      <c r="J2069" s="14" t="str">
        <f t="shared" si="244"/>
        <v>Christmas</v>
      </c>
      <c r="K2069" s="16" t="str">
        <f t="shared" si="245"/>
        <v>0-3</v>
      </c>
      <c r="L2069" s="14" t="str">
        <f t="shared" si="246"/>
        <v>Romper Longer | 0-3 | Sage Green</v>
      </c>
      <c r="M2069" s="16" t="s">
        <v>3611</v>
      </c>
    </row>
    <row r="2070" spans="1:13" ht="25" customHeight="1" x14ac:dyDescent="0.45">
      <c r="A2070" s="32">
        <v>45988</v>
      </c>
      <c r="B2070" s="19" t="s">
        <v>2201</v>
      </c>
      <c r="C2070" s="23" t="s">
        <v>76</v>
      </c>
      <c r="D2070" s="53" t="str">
        <f t="shared" si="248"/>
        <v>Caldet Blue</v>
      </c>
      <c r="E2070" s="21" t="s">
        <v>1834</v>
      </c>
      <c r="F2070" s="23" t="s">
        <v>7</v>
      </c>
      <c r="G2070" s="4" t="str">
        <f t="shared" si="247"/>
        <v>Romper Short</v>
      </c>
      <c r="H2070" s="38">
        <f t="shared" si="243"/>
        <v>11</v>
      </c>
      <c r="I2070" s="54">
        <f t="shared" si="242"/>
        <v>48</v>
      </c>
      <c r="J2070" s="14" t="str">
        <f t="shared" si="244"/>
        <v>Christmas</v>
      </c>
      <c r="K2070" s="16" t="str">
        <f t="shared" si="245"/>
        <v>0-3</v>
      </c>
      <c r="L2070" s="14" t="str">
        <f t="shared" si="246"/>
        <v>Romper Short | 0-3 | Caldet Blue</v>
      </c>
      <c r="M2070" s="16" t="s">
        <v>3610</v>
      </c>
    </row>
    <row r="2071" spans="1:13" ht="25" customHeight="1" x14ac:dyDescent="0.45">
      <c r="A2071" s="32">
        <v>45989</v>
      </c>
      <c r="B2071" s="19" t="s">
        <v>2202</v>
      </c>
      <c r="C2071" s="23" t="s">
        <v>9</v>
      </c>
      <c r="D2071" s="53" t="str">
        <f t="shared" si="248"/>
        <v>Cream</v>
      </c>
      <c r="E2071" s="21" t="s">
        <v>1828</v>
      </c>
      <c r="F2071" s="23" t="s">
        <v>7</v>
      </c>
      <c r="G2071" s="4" t="str">
        <f t="shared" si="247"/>
        <v>Romper Longer</v>
      </c>
      <c r="H2071" s="38">
        <f t="shared" si="243"/>
        <v>11</v>
      </c>
      <c r="I2071" s="54">
        <f t="shared" si="242"/>
        <v>48</v>
      </c>
      <c r="J2071" s="14" t="str">
        <f t="shared" si="244"/>
        <v>Christmas</v>
      </c>
      <c r="K2071" s="16" t="str">
        <f t="shared" si="245"/>
        <v>3-6</v>
      </c>
      <c r="L2071" s="14" t="str">
        <f t="shared" si="246"/>
        <v>Romper Longer | 3-6 | Cream</v>
      </c>
      <c r="M2071" s="16" t="s">
        <v>3609</v>
      </c>
    </row>
    <row r="2072" spans="1:13" ht="25" customHeight="1" x14ac:dyDescent="0.45">
      <c r="A2072" s="32">
        <v>45990</v>
      </c>
      <c r="B2072" s="19" t="s">
        <v>2203</v>
      </c>
      <c r="C2072" s="23" t="s">
        <v>74</v>
      </c>
      <c r="D2072" s="53" t="str">
        <f t="shared" si="248"/>
        <v>Watermelon</v>
      </c>
      <c r="E2072" s="21" t="s">
        <v>1828</v>
      </c>
      <c r="F2072" s="23" t="s">
        <v>7</v>
      </c>
      <c r="G2072" s="4" t="str">
        <f t="shared" si="247"/>
        <v>Romper Longer</v>
      </c>
      <c r="H2072" s="38">
        <f t="shared" si="243"/>
        <v>11</v>
      </c>
      <c r="I2072" s="54">
        <f t="shared" si="242"/>
        <v>48</v>
      </c>
      <c r="J2072" s="14" t="str">
        <f t="shared" si="244"/>
        <v>Christmas</v>
      </c>
      <c r="K2072" s="16" t="str">
        <f t="shared" si="245"/>
        <v>3-6</v>
      </c>
      <c r="L2072" s="14" t="str">
        <f t="shared" si="246"/>
        <v>Romper Longer | 3-6 | Watermelon</v>
      </c>
      <c r="M2072" s="16" t="s">
        <v>3610</v>
      </c>
    </row>
    <row r="2073" spans="1:13" ht="25" customHeight="1" x14ac:dyDescent="0.45">
      <c r="A2073" s="32">
        <v>45991</v>
      </c>
      <c r="B2073" s="19" t="s">
        <v>2204</v>
      </c>
      <c r="C2073" s="23" t="s">
        <v>9</v>
      </c>
      <c r="D2073" s="53" t="str">
        <f t="shared" si="248"/>
        <v>Cream</v>
      </c>
      <c r="E2073" s="21" t="s">
        <v>1831</v>
      </c>
      <c r="F2073" s="23" t="s">
        <v>7</v>
      </c>
      <c r="G2073" s="4" t="str">
        <f t="shared" si="247"/>
        <v>Romper Longer</v>
      </c>
      <c r="H2073" s="38">
        <f t="shared" si="243"/>
        <v>11</v>
      </c>
      <c r="I2073" s="54">
        <f t="shared" si="242"/>
        <v>49</v>
      </c>
      <c r="J2073" s="14" t="str">
        <f t="shared" si="244"/>
        <v>Christmas</v>
      </c>
      <c r="K2073" s="16" t="str">
        <f t="shared" si="245"/>
        <v>0-3</v>
      </c>
      <c r="L2073" s="14" t="str">
        <f t="shared" si="246"/>
        <v>Romper Longer | 0-3 | Cream</v>
      </c>
      <c r="M2073" s="16" t="s">
        <v>3609</v>
      </c>
    </row>
    <row r="2074" spans="1:13" ht="25" customHeight="1" x14ac:dyDescent="0.45">
      <c r="A2074" s="32">
        <v>45992</v>
      </c>
      <c r="B2074" s="19" t="s">
        <v>2205</v>
      </c>
      <c r="C2074" s="23" t="s">
        <v>9</v>
      </c>
      <c r="D2074" s="53" t="str">
        <f t="shared" si="248"/>
        <v>Cream</v>
      </c>
      <c r="E2074" s="21" t="s">
        <v>1831</v>
      </c>
      <c r="F2074" s="23" t="s">
        <v>7</v>
      </c>
      <c r="G2074" s="4" t="str">
        <f t="shared" si="247"/>
        <v>Romper Longer</v>
      </c>
      <c r="H2074" s="38">
        <f t="shared" si="243"/>
        <v>12</v>
      </c>
      <c r="I2074" s="54">
        <f t="shared" si="242"/>
        <v>49</v>
      </c>
      <c r="J2074" s="14" t="str">
        <f t="shared" si="244"/>
        <v>Christmas</v>
      </c>
      <c r="K2074" s="16" t="str">
        <f t="shared" si="245"/>
        <v>0-3</v>
      </c>
      <c r="L2074" s="14" t="str">
        <f t="shared" si="246"/>
        <v>Romper Longer | 0-3 | Cream</v>
      </c>
      <c r="M2074" s="16" t="s">
        <v>3609</v>
      </c>
    </row>
    <row r="2075" spans="1:13" ht="25" customHeight="1" x14ac:dyDescent="0.45">
      <c r="A2075" s="32">
        <v>45993</v>
      </c>
      <c r="B2075" s="19" t="s">
        <v>2206</v>
      </c>
      <c r="C2075" s="23" t="s">
        <v>9</v>
      </c>
      <c r="D2075" s="53" t="str">
        <f t="shared" si="248"/>
        <v>Cream</v>
      </c>
      <c r="E2075" s="21" t="s">
        <v>1849</v>
      </c>
      <c r="F2075" s="23" t="s">
        <v>7</v>
      </c>
      <c r="G2075" s="4" t="str">
        <f t="shared" si="247"/>
        <v>Romper Short</v>
      </c>
      <c r="H2075" s="38">
        <f t="shared" si="243"/>
        <v>12</v>
      </c>
      <c r="I2075" s="54">
        <f t="shared" si="242"/>
        <v>49</v>
      </c>
      <c r="J2075" s="14" t="str">
        <f t="shared" si="244"/>
        <v>Christmas</v>
      </c>
      <c r="K2075" s="16" t="str">
        <f t="shared" si="245"/>
        <v>3-6</v>
      </c>
      <c r="L2075" s="14" t="str">
        <f t="shared" si="246"/>
        <v>Romper Short | 3-6 | Cream</v>
      </c>
      <c r="M2075" s="16" t="s">
        <v>3609</v>
      </c>
    </row>
    <row r="2076" spans="1:13" ht="25" customHeight="1" x14ac:dyDescent="0.45">
      <c r="A2076" s="32">
        <v>45994</v>
      </c>
      <c r="B2076" s="19" t="s">
        <v>2207</v>
      </c>
      <c r="C2076" s="23" t="s">
        <v>9</v>
      </c>
      <c r="D2076" s="53" t="str">
        <f t="shared" si="248"/>
        <v>Cream</v>
      </c>
      <c r="E2076" s="21" t="s">
        <v>1828</v>
      </c>
      <c r="F2076" s="21" t="s">
        <v>7</v>
      </c>
      <c r="G2076" s="4" t="str">
        <f t="shared" si="247"/>
        <v>Romper Longer</v>
      </c>
      <c r="H2076" s="38">
        <f t="shared" si="243"/>
        <v>12</v>
      </c>
      <c r="I2076" s="54">
        <f t="shared" si="242"/>
        <v>49</v>
      </c>
      <c r="J2076" s="14" t="str">
        <f t="shared" si="244"/>
        <v>Christmas</v>
      </c>
      <c r="K2076" s="16" t="str">
        <f t="shared" si="245"/>
        <v>3-6</v>
      </c>
      <c r="L2076" s="14" t="str">
        <f t="shared" si="246"/>
        <v>Romper Longer | 3-6 | Cream</v>
      </c>
      <c r="M2076" s="16" t="s">
        <v>3609</v>
      </c>
    </row>
    <row r="2077" spans="1:13" ht="25" customHeight="1" x14ac:dyDescent="0.45">
      <c r="A2077" s="32">
        <v>45995</v>
      </c>
      <c r="B2077" s="19" t="s">
        <v>2208</v>
      </c>
      <c r="C2077" s="23" t="s">
        <v>81</v>
      </c>
      <c r="D2077" s="53" t="str">
        <f t="shared" si="248"/>
        <v>Dusty Pink</v>
      </c>
      <c r="E2077" s="21" t="s">
        <v>1831</v>
      </c>
      <c r="F2077" s="21" t="s">
        <v>7</v>
      </c>
      <c r="G2077" s="4" t="str">
        <f t="shared" si="247"/>
        <v>Romper Longer</v>
      </c>
      <c r="H2077" s="38">
        <f t="shared" si="243"/>
        <v>12</v>
      </c>
      <c r="I2077" s="54">
        <f t="shared" si="242"/>
        <v>49</v>
      </c>
      <c r="J2077" s="14" t="str">
        <f t="shared" si="244"/>
        <v>Christmas</v>
      </c>
      <c r="K2077" s="16" t="str">
        <f t="shared" si="245"/>
        <v>0-3</v>
      </c>
      <c r="L2077" s="14" t="str">
        <f t="shared" si="246"/>
        <v>Romper Longer | 0-3 | Dusty Pink</v>
      </c>
      <c r="M2077" s="16" t="s">
        <v>3610</v>
      </c>
    </row>
    <row r="2078" spans="1:13" ht="25" customHeight="1" x14ac:dyDescent="0.45">
      <c r="A2078" s="32">
        <v>45996</v>
      </c>
      <c r="B2078" s="19" t="s">
        <v>2209</v>
      </c>
      <c r="C2078" s="23" t="s">
        <v>9</v>
      </c>
      <c r="D2078" s="53" t="str">
        <f t="shared" si="248"/>
        <v>Cream</v>
      </c>
      <c r="E2078" s="21" t="s">
        <v>1828</v>
      </c>
      <c r="F2078" s="21" t="s">
        <v>7</v>
      </c>
      <c r="G2078" s="4" t="str">
        <f t="shared" si="247"/>
        <v>Romper Longer</v>
      </c>
      <c r="H2078" s="38">
        <f t="shared" si="243"/>
        <v>12</v>
      </c>
      <c r="I2078" s="54">
        <f t="shared" si="242"/>
        <v>49</v>
      </c>
      <c r="J2078" s="14" t="str">
        <f t="shared" si="244"/>
        <v>Christmas</v>
      </c>
      <c r="K2078" s="16" t="str">
        <f t="shared" si="245"/>
        <v>3-6</v>
      </c>
      <c r="L2078" s="14" t="str">
        <f t="shared" si="246"/>
        <v>Romper Longer | 3-6 | Cream</v>
      </c>
      <c r="M2078" s="16" t="s">
        <v>3609</v>
      </c>
    </row>
    <row r="2079" spans="1:13" ht="25" customHeight="1" x14ac:dyDescent="0.45">
      <c r="A2079" s="32">
        <v>45997</v>
      </c>
      <c r="B2079" s="19" t="s">
        <v>2210</v>
      </c>
      <c r="C2079" s="23" t="s">
        <v>9</v>
      </c>
      <c r="D2079" s="53" t="str">
        <f t="shared" si="248"/>
        <v>Cream</v>
      </c>
      <c r="E2079" s="21" t="s">
        <v>1831</v>
      </c>
      <c r="F2079" s="21" t="s">
        <v>7</v>
      </c>
      <c r="G2079" s="4" t="str">
        <f t="shared" si="247"/>
        <v>Romper Longer</v>
      </c>
      <c r="H2079" s="38">
        <f t="shared" si="243"/>
        <v>12</v>
      </c>
      <c r="I2079" s="54">
        <f t="shared" si="242"/>
        <v>49</v>
      </c>
      <c r="J2079" s="14" t="str">
        <f t="shared" si="244"/>
        <v>Christmas</v>
      </c>
      <c r="K2079" s="16" t="str">
        <f t="shared" si="245"/>
        <v>0-3</v>
      </c>
      <c r="L2079" s="14" t="str">
        <f t="shared" si="246"/>
        <v>Romper Longer | 0-3 | Cream</v>
      </c>
      <c r="M2079" s="16" t="s">
        <v>3609</v>
      </c>
    </row>
    <row r="2080" spans="1:13" ht="25" customHeight="1" x14ac:dyDescent="0.45">
      <c r="A2080" s="32">
        <v>45998</v>
      </c>
      <c r="B2080" s="19" t="s">
        <v>2211</v>
      </c>
      <c r="C2080" s="23" t="s">
        <v>9</v>
      </c>
      <c r="D2080" s="53" t="str">
        <f t="shared" si="248"/>
        <v>Cream</v>
      </c>
      <c r="E2080" s="21" t="s">
        <v>1831</v>
      </c>
      <c r="F2080" s="21" t="s">
        <v>7</v>
      </c>
      <c r="G2080" s="4" t="str">
        <f t="shared" si="247"/>
        <v>Romper Longer</v>
      </c>
      <c r="H2080" s="38">
        <f t="shared" si="243"/>
        <v>12</v>
      </c>
      <c r="I2080" s="54">
        <f t="shared" si="242"/>
        <v>50</v>
      </c>
      <c r="J2080" s="14" t="str">
        <f t="shared" si="244"/>
        <v>Christmas</v>
      </c>
      <c r="K2080" s="16" t="str">
        <f t="shared" si="245"/>
        <v>0-3</v>
      </c>
      <c r="L2080" s="14" t="str">
        <f t="shared" si="246"/>
        <v>Romper Longer | 0-3 | Cream</v>
      </c>
      <c r="M2080" s="16" t="s">
        <v>3609</v>
      </c>
    </row>
    <row r="2081" spans="1:13" ht="25" customHeight="1" x14ac:dyDescent="0.45">
      <c r="A2081" s="32">
        <v>45999</v>
      </c>
      <c r="B2081" s="19" t="s">
        <v>2212</v>
      </c>
      <c r="C2081" s="23" t="s">
        <v>71</v>
      </c>
      <c r="D2081" s="53" t="str">
        <f t="shared" si="248"/>
        <v>Coffee</v>
      </c>
      <c r="E2081" s="21" t="s">
        <v>1420</v>
      </c>
      <c r="F2081" s="21" t="s">
        <v>7</v>
      </c>
      <c r="G2081" s="4" t="str">
        <f t="shared" si="247"/>
        <v>Romper Short</v>
      </c>
      <c r="H2081" s="38">
        <f t="shared" si="243"/>
        <v>12</v>
      </c>
      <c r="I2081" s="54">
        <f t="shared" si="242"/>
        <v>50</v>
      </c>
      <c r="J2081" s="14" t="str">
        <f t="shared" si="244"/>
        <v>Christmas</v>
      </c>
      <c r="K2081" s="16" t="str">
        <f t="shared" si="245"/>
        <v>6-12</v>
      </c>
      <c r="L2081" s="14" t="str">
        <f t="shared" si="246"/>
        <v>Romper Short | 6-12 | Coffee</v>
      </c>
      <c r="M2081" s="16" t="s">
        <v>3610</v>
      </c>
    </row>
    <row r="2082" spans="1:13" ht="25" customHeight="1" x14ac:dyDescent="0.45">
      <c r="A2082" s="32">
        <v>46000</v>
      </c>
      <c r="B2082" s="19" t="s">
        <v>2213</v>
      </c>
      <c r="C2082" s="23" t="s">
        <v>9</v>
      </c>
      <c r="D2082" s="53" t="str">
        <f t="shared" si="248"/>
        <v>Cream</v>
      </c>
      <c r="E2082" s="21" t="s">
        <v>1828</v>
      </c>
      <c r="F2082" s="21" t="s">
        <v>7</v>
      </c>
      <c r="G2082" s="4" t="str">
        <f t="shared" si="247"/>
        <v>Romper Longer</v>
      </c>
      <c r="H2082" s="38">
        <f t="shared" si="243"/>
        <v>12</v>
      </c>
      <c r="I2082" s="54">
        <f t="shared" si="242"/>
        <v>50</v>
      </c>
      <c r="J2082" s="14" t="str">
        <f t="shared" si="244"/>
        <v>Christmas</v>
      </c>
      <c r="K2082" s="16" t="str">
        <f t="shared" si="245"/>
        <v>3-6</v>
      </c>
      <c r="L2082" s="14" t="str">
        <f t="shared" si="246"/>
        <v>Romper Longer | 3-6 | Cream</v>
      </c>
      <c r="M2082" s="16" t="s">
        <v>3609</v>
      </c>
    </row>
    <row r="2083" spans="1:13" ht="25" customHeight="1" x14ac:dyDescent="0.45">
      <c r="A2083" s="32">
        <v>46001</v>
      </c>
      <c r="B2083" s="19" t="s">
        <v>2214</v>
      </c>
      <c r="C2083" s="23" t="s">
        <v>407</v>
      </c>
      <c r="D2083" s="53" t="str">
        <f t="shared" si="248"/>
        <v>Texas Orange</v>
      </c>
      <c r="E2083" s="21" t="s">
        <v>1828</v>
      </c>
      <c r="F2083" s="21" t="s">
        <v>7</v>
      </c>
      <c r="G2083" s="4" t="str">
        <f t="shared" si="247"/>
        <v>Romper Longer</v>
      </c>
      <c r="H2083" s="38">
        <f t="shared" si="243"/>
        <v>12</v>
      </c>
      <c r="I2083" s="54">
        <f t="shared" si="242"/>
        <v>50</v>
      </c>
      <c r="J2083" s="14" t="str">
        <f t="shared" si="244"/>
        <v>Christmas</v>
      </c>
      <c r="K2083" s="16" t="str">
        <f t="shared" si="245"/>
        <v>3-6</v>
      </c>
      <c r="L2083" s="14" t="str">
        <f t="shared" si="246"/>
        <v>Romper Longer | 3-6 | Texas Orange</v>
      </c>
      <c r="M2083" s="16" t="s">
        <v>3610</v>
      </c>
    </row>
    <row r="2084" spans="1:13" ht="25" customHeight="1" x14ac:dyDescent="0.45">
      <c r="A2084" s="32">
        <v>46002</v>
      </c>
      <c r="B2084" s="19" t="s">
        <v>2215</v>
      </c>
      <c r="C2084" s="23" t="s">
        <v>76</v>
      </c>
      <c r="D2084" s="53" t="str">
        <f t="shared" si="248"/>
        <v>Caldet Blue</v>
      </c>
      <c r="E2084" s="21" t="s">
        <v>1849</v>
      </c>
      <c r="F2084" s="21" t="s">
        <v>7</v>
      </c>
      <c r="G2084" s="4" t="str">
        <f t="shared" si="247"/>
        <v>Romper Short</v>
      </c>
      <c r="H2084" s="38">
        <f t="shared" si="243"/>
        <v>12</v>
      </c>
      <c r="I2084" s="54">
        <f t="shared" si="242"/>
        <v>50</v>
      </c>
      <c r="J2084" s="14" t="str">
        <f t="shared" si="244"/>
        <v>Christmas</v>
      </c>
      <c r="K2084" s="16" t="str">
        <f t="shared" si="245"/>
        <v>3-6</v>
      </c>
      <c r="L2084" s="14" t="str">
        <f t="shared" si="246"/>
        <v>Romper Short | 3-6 | Caldet Blue</v>
      </c>
      <c r="M2084" s="16" t="s">
        <v>3610</v>
      </c>
    </row>
    <row r="2085" spans="1:13" ht="25" customHeight="1" x14ac:dyDescent="0.45">
      <c r="A2085" s="32">
        <v>46003</v>
      </c>
      <c r="B2085" s="19" t="s">
        <v>2216</v>
      </c>
      <c r="C2085" s="23" t="s">
        <v>110</v>
      </c>
      <c r="D2085" s="53" t="str">
        <f t="shared" si="248"/>
        <v>Sage Green</v>
      </c>
      <c r="E2085" s="21" t="s">
        <v>1550</v>
      </c>
      <c r="F2085" s="21" t="s">
        <v>7</v>
      </c>
      <c r="G2085" s="4" t="str">
        <f t="shared" si="247"/>
        <v>Romper Longer</v>
      </c>
      <c r="H2085" s="38">
        <f t="shared" si="243"/>
        <v>12</v>
      </c>
      <c r="I2085" s="54">
        <f t="shared" si="242"/>
        <v>50</v>
      </c>
      <c r="J2085" s="14" t="str">
        <f t="shared" si="244"/>
        <v>Christmas</v>
      </c>
      <c r="K2085" s="16" t="str">
        <f t="shared" si="245"/>
        <v>12-18</v>
      </c>
      <c r="L2085" s="14" t="str">
        <f t="shared" si="246"/>
        <v>Romper Longer | 12-18 | Sage Green</v>
      </c>
      <c r="M2085" s="16" t="s">
        <v>3610</v>
      </c>
    </row>
    <row r="2086" spans="1:13" ht="25" customHeight="1" x14ac:dyDescent="0.45">
      <c r="A2086" s="32">
        <v>46004</v>
      </c>
      <c r="B2086" s="19" t="s">
        <v>2217</v>
      </c>
      <c r="C2086" s="23" t="s">
        <v>178</v>
      </c>
      <c r="D2086" s="53" t="str">
        <f t="shared" si="248"/>
        <v>Mauve Taupe</v>
      </c>
      <c r="E2086" s="21" t="s">
        <v>1828</v>
      </c>
      <c r="F2086" s="21" t="s">
        <v>7</v>
      </c>
      <c r="G2086" s="4" t="str">
        <f t="shared" si="247"/>
        <v>Romper Longer</v>
      </c>
      <c r="H2086" s="38">
        <f t="shared" si="243"/>
        <v>12</v>
      </c>
      <c r="I2086" s="54">
        <f t="shared" si="242"/>
        <v>50</v>
      </c>
      <c r="J2086" s="14" t="str">
        <f t="shared" si="244"/>
        <v>Christmas</v>
      </c>
      <c r="K2086" s="16" t="str">
        <f t="shared" si="245"/>
        <v>3-6</v>
      </c>
      <c r="L2086" s="14" t="str">
        <f t="shared" si="246"/>
        <v>Romper Longer | 3-6 | Mauve Taupe</v>
      </c>
      <c r="M2086" s="16" t="s">
        <v>3610</v>
      </c>
    </row>
    <row r="2087" spans="1:13" ht="25" customHeight="1" x14ac:dyDescent="0.45">
      <c r="A2087" s="32">
        <v>46005</v>
      </c>
      <c r="B2087" s="19" t="s">
        <v>2218</v>
      </c>
      <c r="C2087" s="23" t="s">
        <v>85</v>
      </c>
      <c r="D2087" s="53" t="str">
        <f t="shared" si="248"/>
        <v>Forest Green</v>
      </c>
      <c r="E2087" s="21" t="s">
        <v>1831</v>
      </c>
      <c r="F2087" s="21" t="s">
        <v>7</v>
      </c>
      <c r="G2087" s="4" t="str">
        <f t="shared" si="247"/>
        <v>Romper Longer</v>
      </c>
      <c r="H2087" s="38">
        <f t="shared" si="243"/>
        <v>12</v>
      </c>
      <c r="I2087" s="54">
        <f t="shared" si="242"/>
        <v>51</v>
      </c>
      <c r="J2087" s="14" t="str">
        <f t="shared" si="244"/>
        <v>Christmas</v>
      </c>
      <c r="K2087" s="16" t="str">
        <f t="shared" si="245"/>
        <v>0-3</v>
      </c>
      <c r="L2087" s="14" t="str">
        <f t="shared" si="246"/>
        <v>Romper Longer | 0-3 | Forest Green</v>
      </c>
      <c r="M2087" s="16" t="s">
        <v>3610</v>
      </c>
    </row>
    <row r="2088" spans="1:13" ht="25" customHeight="1" x14ac:dyDescent="0.45">
      <c r="A2088" s="32">
        <v>46006</v>
      </c>
      <c r="B2088" s="19" t="s">
        <v>2219</v>
      </c>
      <c r="C2088" s="23" t="s">
        <v>9</v>
      </c>
      <c r="D2088" s="53" t="str">
        <f t="shared" si="248"/>
        <v>Cream</v>
      </c>
      <c r="E2088" s="21" t="s">
        <v>1420</v>
      </c>
      <c r="F2088" s="21" t="s">
        <v>7</v>
      </c>
      <c r="G2088" s="4" t="str">
        <f t="shared" si="247"/>
        <v>Romper Short</v>
      </c>
      <c r="H2088" s="38">
        <f t="shared" si="243"/>
        <v>12</v>
      </c>
      <c r="I2088" s="54">
        <f t="shared" si="242"/>
        <v>51</v>
      </c>
      <c r="J2088" s="14" t="str">
        <f t="shared" si="244"/>
        <v>Christmas</v>
      </c>
      <c r="K2088" s="16" t="str">
        <f t="shared" si="245"/>
        <v>6-12</v>
      </c>
      <c r="L2088" s="14" t="str">
        <f t="shared" si="246"/>
        <v>Romper Short | 6-12 | Cream</v>
      </c>
      <c r="M2088" s="16" t="s">
        <v>3611</v>
      </c>
    </row>
    <row r="2089" spans="1:13" ht="25" customHeight="1" x14ac:dyDescent="0.45">
      <c r="A2089" s="32">
        <v>46007</v>
      </c>
      <c r="B2089" s="19" t="s">
        <v>2220</v>
      </c>
      <c r="C2089" s="23" t="s">
        <v>9</v>
      </c>
      <c r="D2089" s="53" t="str">
        <f t="shared" si="248"/>
        <v>Cream</v>
      </c>
      <c r="E2089" s="21" t="s">
        <v>1838</v>
      </c>
      <c r="F2089" s="21" t="s">
        <v>7</v>
      </c>
      <c r="G2089" s="4" t="str">
        <f t="shared" si="247"/>
        <v>Romper Short</v>
      </c>
      <c r="H2089" s="38">
        <f t="shared" si="243"/>
        <v>12</v>
      </c>
      <c r="I2089" s="54">
        <f t="shared" si="242"/>
        <v>51</v>
      </c>
      <c r="J2089" s="14" t="str">
        <f t="shared" si="244"/>
        <v>Christmas</v>
      </c>
      <c r="K2089" s="16" t="str">
        <f t="shared" si="245"/>
        <v>12-18</v>
      </c>
      <c r="L2089" s="14" t="str">
        <f t="shared" si="246"/>
        <v>Romper Short | 12-18 | Cream</v>
      </c>
      <c r="M2089" s="16" t="s">
        <v>3610</v>
      </c>
    </row>
    <row r="2090" spans="1:13" ht="25" customHeight="1" x14ac:dyDescent="0.45">
      <c r="A2090" s="32">
        <v>46008</v>
      </c>
      <c r="B2090" s="19" t="s">
        <v>2221</v>
      </c>
      <c r="C2090" s="23" t="s">
        <v>74</v>
      </c>
      <c r="D2090" s="53" t="str">
        <f t="shared" si="248"/>
        <v>Watermelon</v>
      </c>
      <c r="E2090" s="21" t="s">
        <v>1550</v>
      </c>
      <c r="F2090" s="21" t="s">
        <v>7</v>
      </c>
      <c r="G2090" s="4" t="str">
        <f t="shared" si="247"/>
        <v>Romper Longer</v>
      </c>
      <c r="H2090" s="38">
        <f t="shared" si="243"/>
        <v>12</v>
      </c>
      <c r="I2090" s="54">
        <f t="shared" si="242"/>
        <v>51</v>
      </c>
      <c r="J2090" s="14" t="str">
        <f t="shared" si="244"/>
        <v>Christmas</v>
      </c>
      <c r="K2090" s="16" t="str">
        <f t="shared" si="245"/>
        <v>12-18</v>
      </c>
      <c r="L2090" s="14" t="str">
        <f t="shared" si="246"/>
        <v>Romper Longer | 12-18 | Watermelon</v>
      </c>
      <c r="M2090" s="16" t="s">
        <v>3610</v>
      </c>
    </row>
    <row r="2091" spans="1:13" ht="25" customHeight="1" x14ac:dyDescent="0.45">
      <c r="A2091" s="32">
        <v>46009</v>
      </c>
      <c r="B2091" s="19" t="s">
        <v>2222</v>
      </c>
      <c r="C2091" s="23" t="s">
        <v>9</v>
      </c>
      <c r="D2091" s="53" t="str">
        <f t="shared" si="248"/>
        <v>Cream</v>
      </c>
      <c r="E2091" s="21" t="s">
        <v>1834</v>
      </c>
      <c r="F2091" s="21" t="s">
        <v>7</v>
      </c>
      <c r="G2091" s="4" t="str">
        <f t="shared" si="247"/>
        <v>Romper Short</v>
      </c>
      <c r="H2091" s="38">
        <f t="shared" si="243"/>
        <v>12</v>
      </c>
      <c r="I2091" s="54">
        <f t="shared" si="242"/>
        <v>51</v>
      </c>
      <c r="J2091" s="14" t="str">
        <f t="shared" si="244"/>
        <v>Christmas</v>
      </c>
      <c r="K2091" s="16" t="str">
        <f t="shared" si="245"/>
        <v>0-3</v>
      </c>
      <c r="L2091" s="14" t="str">
        <f t="shared" si="246"/>
        <v>Romper Short | 0-3 | Cream</v>
      </c>
      <c r="M2091" s="16" t="s">
        <v>3609</v>
      </c>
    </row>
    <row r="2092" spans="1:13" ht="25" customHeight="1" x14ac:dyDescent="0.45">
      <c r="A2092" s="32">
        <v>46010</v>
      </c>
      <c r="B2092" s="19" t="s">
        <v>2223</v>
      </c>
      <c r="C2092" s="23" t="s">
        <v>81</v>
      </c>
      <c r="D2092" s="53" t="str">
        <f t="shared" si="248"/>
        <v>Dusty Pink</v>
      </c>
      <c r="E2092" s="21" t="s">
        <v>1841</v>
      </c>
      <c r="F2092" s="21" t="s">
        <v>7</v>
      </c>
      <c r="G2092" s="4" t="str">
        <f t="shared" si="247"/>
        <v>Romper Longer</v>
      </c>
      <c r="H2092" s="38">
        <f t="shared" si="243"/>
        <v>12</v>
      </c>
      <c r="I2092" s="54">
        <f t="shared" si="242"/>
        <v>51</v>
      </c>
      <c r="J2092" s="14" t="str">
        <f t="shared" si="244"/>
        <v>Christmas</v>
      </c>
      <c r="K2092" s="16" t="str">
        <f t="shared" si="245"/>
        <v>6-12</v>
      </c>
      <c r="L2092" s="14" t="str">
        <f t="shared" si="246"/>
        <v>Romper Longer | 6-12 | Dusty Pink</v>
      </c>
      <c r="M2092" s="16" t="s">
        <v>3610</v>
      </c>
    </row>
    <row r="2093" spans="1:13" ht="25" customHeight="1" x14ac:dyDescent="0.45">
      <c r="A2093" s="32">
        <v>46011</v>
      </c>
      <c r="B2093" s="19" t="s">
        <v>2224</v>
      </c>
      <c r="C2093" s="23" t="s">
        <v>9</v>
      </c>
      <c r="D2093" s="53" t="str">
        <f t="shared" si="248"/>
        <v>Cream</v>
      </c>
      <c r="E2093" s="21" t="s">
        <v>1831</v>
      </c>
      <c r="F2093" s="21" t="s">
        <v>7</v>
      </c>
      <c r="G2093" s="4" t="str">
        <f t="shared" si="247"/>
        <v>Romper Longer</v>
      </c>
      <c r="H2093" s="38">
        <f t="shared" si="243"/>
        <v>12</v>
      </c>
      <c r="I2093" s="54">
        <f t="shared" si="242"/>
        <v>51</v>
      </c>
      <c r="J2093" s="14" t="str">
        <f t="shared" si="244"/>
        <v>Christmas</v>
      </c>
      <c r="K2093" s="16" t="str">
        <f t="shared" si="245"/>
        <v>0-3</v>
      </c>
      <c r="L2093" s="14" t="str">
        <f t="shared" si="246"/>
        <v>Romper Longer | 0-3 | Cream</v>
      </c>
      <c r="M2093" s="16" t="s">
        <v>3609</v>
      </c>
    </row>
    <row r="2094" spans="1:13" ht="25" customHeight="1" x14ac:dyDescent="0.45">
      <c r="A2094" s="32">
        <v>46012</v>
      </c>
      <c r="B2094" s="19" t="s">
        <v>2225</v>
      </c>
      <c r="C2094" s="23" t="s">
        <v>76</v>
      </c>
      <c r="D2094" s="53" t="str">
        <f t="shared" si="248"/>
        <v>Caldet Blue</v>
      </c>
      <c r="E2094" s="21" t="s">
        <v>1831</v>
      </c>
      <c r="F2094" s="21" t="s">
        <v>7</v>
      </c>
      <c r="G2094" s="4" t="str">
        <f t="shared" si="247"/>
        <v>Romper Longer</v>
      </c>
      <c r="H2094" s="38">
        <f t="shared" si="243"/>
        <v>12</v>
      </c>
      <c r="I2094" s="54">
        <f t="shared" ref="I2094:I2157" si="249">WEEKNUM(A2094)</f>
        <v>52</v>
      </c>
      <c r="J2094" s="14" t="str">
        <f t="shared" si="244"/>
        <v>Christmas</v>
      </c>
      <c r="K2094" s="16" t="str">
        <f t="shared" si="245"/>
        <v>0-3</v>
      </c>
      <c r="L2094" s="14" t="str">
        <f t="shared" si="246"/>
        <v>Romper Longer | 0-3 | Caldet Blue</v>
      </c>
      <c r="M2094" s="16" t="s">
        <v>3610</v>
      </c>
    </row>
    <row r="2095" spans="1:13" ht="25" customHeight="1" x14ac:dyDescent="0.45">
      <c r="A2095" s="32">
        <v>46013</v>
      </c>
      <c r="B2095" s="19" t="s">
        <v>2226</v>
      </c>
      <c r="C2095" s="23" t="s">
        <v>9</v>
      </c>
      <c r="D2095" s="53" t="str">
        <f t="shared" si="248"/>
        <v>Cream</v>
      </c>
      <c r="E2095" s="21" t="s">
        <v>1828</v>
      </c>
      <c r="F2095" s="21" t="s">
        <v>7</v>
      </c>
      <c r="G2095" s="4" t="str">
        <f t="shared" si="247"/>
        <v>Romper Longer</v>
      </c>
      <c r="H2095" s="38">
        <f t="shared" si="243"/>
        <v>12</v>
      </c>
      <c r="I2095" s="54">
        <f t="shared" si="249"/>
        <v>52</v>
      </c>
      <c r="J2095" s="14" t="str">
        <f t="shared" si="244"/>
        <v>Christmas</v>
      </c>
      <c r="K2095" s="16" t="str">
        <f t="shared" si="245"/>
        <v>3-6</v>
      </c>
      <c r="L2095" s="14" t="str">
        <f t="shared" si="246"/>
        <v>Romper Longer | 3-6 | Cream</v>
      </c>
      <c r="M2095" s="16" t="s">
        <v>3609</v>
      </c>
    </row>
    <row r="2096" spans="1:13" ht="25" customHeight="1" x14ac:dyDescent="0.45">
      <c r="A2096" s="32">
        <v>46014</v>
      </c>
      <c r="B2096" s="19" t="s">
        <v>2227</v>
      </c>
      <c r="C2096" s="23" t="s">
        <v>74</v>
      </c>
      <c r="D2096" s="53" t="str">
        <f t="shared" si="248"/>
        <v>Watermelon</v>
      </c>
      <c r="E2096" s="21" t="s">
        <v>1841</v>
      </c>
      <c r="F2096" s="21" t="s">
        <v>7</v>
      </c>
      <c r="G2096" s="4" t="str">
        <f t="shared" si="247"/>
        <v>Romper Longer</v>
      </c>
      <c r="H2096" s="38">
        <f t="shared" si="243"/>
        <v>12</v>
      </c>
      <c r="I2096" s="54">
        <f t="shared" si="249"/>
        <v>52</v>
      </c>
      <c r="J2096" s="14" t="str">
        <f t="shared" si="244"/>
        <v>Christmas</v>
      </c>
      <c r="K2096" s="16" t="str">
        <f t="shared" si="245"/>
        <v>6-12</v>
      </c>
      <c r="L2096" s="14" t="str">
        <f t="shared" si="246"/>
        <v>Romper Longer | 6-12 | Watermelon</v>
      </c>
      <c r="M2096" s="16" t="s">
        <v>3610</v>
      </c>
    </row>
    <row r="2097" spans="1:13" ht="25" customHeight="1" x14ac:dyDescent="0.45">
      <c r="A2097" s="32">
        <v>46015</v>
      </c>
      <c r="B2097" s="19" t="s">
        <v>2228</v>
      </c>
      <c r="C2097" s="23" t="s">
        <v>9</v>
      </c>
      <c r="D2097" s="53" t="str">
        <f t="shared" si="248"/>
        <v>Cream</v>
      </c>
      <c r="E2097" s="21" t="s">
        <v>1849</v>
      </c>
      <c r="F2097" s="21" t="s">
        <v>7</v>
      </c>
      <c r="G2097" s="4" t="str">
        <f t="shared" si="247"/>
        <v>Romper Short</v>
      </c>
      <c r="H2097" s="38">
        <f t="shared" si="243"/>
        <v>12</v>
      </c>
      <c r="I2097" s="54">
        <f t="shared" si="249"/>
        <v>52</v>
      </c>
      <c r="J2097" s="14" t="str">
        <f t="shared" si="244"/>
        <v>Christmas</v>
      </c>
      <c r="K2097" s="16" t="str">
        <f t="shared" si="245"/>
        <v>3-6</v>
      </c>
      <c r="L2097" s="14" t="str">
        <f t="shared" si="246"/>
        <v>Romper Short | 3-6 | Cream</v>
      </c>
      <c r="M2097" s="16" t="s">
        <v>3609</v>
      </c>
    </row>
    <row r="2098" spans="1:13" ht="25" customHeight="1" x14ac:dyDescent="0.45">
      <c r="A2098" s="32">
        <v>46016</v>
      </c>
      <c r="B2098" s="19" t="s">
        <v>2229</v>
      </c>
      <c r="C2098" s="23" t="s">
        <v>9</v>
      </c>
      <c r="D2098" s="53" t="str">
        <f t="shared" si="248"/>
        <v>Cream</v>
      </c>
      <c r="E2098" s="21" t="s">
        <v>1831</v>
      </c>
      <c r="F2098" s="21" t="s">
        <v>7</v>
      </c>
      <c r="G2098" s="4" t="str">
        <f t="shared" si="247"/>
        <v>Romper Longer</v>
      </c>
      <c r="H2098" s="38">
        <f t="shared" si="243"/>
        <v>12</v>
      </c>
      <c r="I2098" s="54">
        <f t="shared" si="249"/>
        <v>52</v>
      </c>
      <c r="J2098" s="14" t="str">
        <f t="shared" si="244"/>
        <v>Christmas</v>
      </c>
      <c r="K2098" s="16" t="str">
        <f t="shared" si="245"/>
        <v>0-3</v>
      </c>
      <c r="L2098" s="14" t="str">
        <f t="shared" si="246"/>
        <v>Romper Longer | 0-3 | Cream</v>
      </c>
      <c r="M2098" s="16" t="s">
        <v>3609</v>
      </c>
    </row>
    <row r="2099" spans="1:13" ht="25" customHeight="1" x14ac:dyDescent="0.45">
      <c r="A2099" s="32">
        <v>46017</v>
      </c>
      <c r="B2099" s="19" t="s">
        <v>2230</v>
      </c>
      <c r="C2099" s="23" t="s">
        <v>9</v>
      </c>
      <c r="D2099" s="53" t="str">
        <f t="shared" si="248"/>
        <v>Cream</v>
      </c>
      <c r="E2099" s="21" t="s">
        <v>1831</v>
      </c>
      <c r="F2099" s="21" t="s">
        <v>7</v>
      </c>
      <c r="G2099" s="4" t="str">
        <f t="shared" si="247"/>
        <v>Romper Longer</v>
      </c>
      <c r="H2099" s="38">
        <f t="shared" si="243"/>
        <v>12</v>
      </c>
      <c r="I2099" s="54">
        <f t="shared" si="249"/>
        <v>52</v>
      </c>
      <c r="J2099" s="14" t="str">
        <f t="shared" si="244"/>
        <v>Christmas</v>
      </c>
      <c r="K2099" s="16" t="str">
        <f t="shared" si="245"/>
        <v>0-3</v>
      </c>
      <c r="L2099" s="14" t="str">
        <f t="shared" si="246"/>
        <v>Romper Longer | 0-3 | Cream</v>
      </c>
      <c r="M2099" s="16" t="s">
        <v>3609</v>
      </c>
    </row>
    <row r="2100" spans="1:13" ht="25" customHeight="1" x14ac:dyDescent="0.45">
      <c r="A2100" s="32">
        <v>46018</v>
      </c>
      <c r="B2100" s="19" t="s">
        <v>2231</v>
      </c>
      <c r="C2100" s="23" t="s">
        <v>76</v>
      </c>
      <c r="D2100" s="53" t="str">
        <f t="shared" si="248"/>
        <v>Caldet Blue</v>
      </c>
      <c r="E2100" s="21" t="s">
        <v>1420</v>
      </c>
      <c r="F2100" s="21" t="s">
        <v>7</v>
      </c>
      <c r="G2100" s="4" t="str">
        <f t="shared" si="247"/>
        <v>Romper Short</v>
      </c>
      <c r="H2100" s="38">
        <f t="shared" si="243"/>
        <v>12</v>
      </c>
      <c r="I2100" s="54">
        <f t="shared" si="249"/>
        <v>52</v>
      </c>
      <c r="J2100" s="14" t="str">
        <f t="shared" si="244"/>
        <v>Christmas</v>
      </c>
      <c r="K2100" s="16" t="str">
        <f t="shared" si="245"/>
        <v>6-12</v>
      </c>
      <c r="L2100" s="14" t="str">
        <f t="shared" si="246"/>
        <v>Romper Short | 6-12 | Caldet Blue</v>
      </c>
      <c r="M2100" s="16" t="s">
        <v>3610</v>
      </c>
    </row>
    <row r="2101" spans="1:13" ht="25" customHeight="1" x14ac:dyDescent="0.45">
      <c r="A2101" s="32">
        <v>46019</v>
      </c>
      <c r="B2101" s="19" t="s">
        <v>2232</v>
      </c>
      <c r="C2101" s="23" t="s">
        <v>81</v>
      </c>
      <c r="D2101" s="53" t="str">
        <f t="shared" si="248"/>
        <v>Dusty Pink</v>
      </c>
      <c r="E2101" s="21" t="s">
        <v>1831</v>
      </c>
      <c r="F2101" s="21" t="s">
        <v>7</v>
      </c>
      <c r="G2101" s="4" t="str">
        <f t="shared" si="247"/>
        <v>Romper Longer</v>
      </c>
      <c r="H2101" s="38">
        <f t="shared" si="243"/>
        <v>12</v>
      </c>
      <c r="I2101" s="54">
        <f t="shared" si="249"/>
        <v>53</v>
      </c>
      <c r="J2101" s="14" t="str">
        <f t="shared" si="244"/>
        <v>Christmas</v>
      </c>
      <c r="K2101" s="16" t="str">
        <f t="shared" si="245"/>
        <v>0-3</v>
      </c>
      <c r="L2101" s="14" t="str">
        <f t="shared" si="246"/>
        <v>Romper Longer | 0-3 | Dusty Pink</v>
      </c>
      <c r="M2101" s="16" t="s">
        <v>3610</v>
      </c>
    </row>
    <row r="2102" spans="1:13" ht="25" customHeight="1" x14ac:dyDescent="0.45">
      <c r="A2102" s="32">
        <v>46020</v>
      </c>
      <c r="B2102" s="19" t="s">
        <v>2233</v>
      </c>
      <c r="C2102" s="23" t="s">
        <v>79</v>
      </c>
      <c r="D2102" s="53" t="str">
        <f t="shared" si="248"/>
        <v>White</v>
      </c>
      <c r="E2102" s="21" t="s">
        <v>1849</v>
      </c>
      <c r="F2102" s="21" t="s">
        <v>7</v>
      </c>
      <c r="G2102" s="4" t="str">
        <f t="shared" si="247"/>
        <v>Romper Short</v>
      </c>
      <c r="H2102" s="38">
        <f t="shared" si="243"/>
        <v>12</v>
      </c>
      <c r="I2102" s="54">
        <f t="shared" si="249"/>
        <v>53</v>
      </c>
      <c r="J2102" s="14" t="str">
        <f t="shared" si="244"/>
        <v>Christmas</v>
      </c>
      <c r="K2102" s="16" t="str">
        <f t="shared" si="245"/>
        <v>3-6</v>
      </c>
      <c r="L2102" s="14" t="str">
        <f t="shared" si="246"/>
        <v>Romper Short | 3-6 | White</v>
      </c>
      <c r="M2102" s="16" t="s">
        <v>3610</v>
      </c>
    </row>
    <row r="2103" spans="1:13" ht="25" customHeight="1" x14ac:dyDescent="0.45">
      <c r="A2103" s="32">
        <v>46021</v>
      </c>
      <c r="B2103" s="19" t="s">
        <v>2234</v>
      </c>
      <c r="C2103" s="23" t="s">
        <v>81</v>
      </c>
      <c r="D2103" s="53" t="str">
        <f t="shared" si="248"/>
        <v>Dusty Pink</v>
      </c>
      <c r="E2103" s="21" t="s">
        <v>1828</v>
      </c>
      <c r="F2103" s="21" t="s">
        <v>7</v>
      </c>
      <c r="G2103" s="4" t="str">
        <f t="shared" si="247"/>
        <v>Romper Longer</v>
      </c>
      <c r="H2103" s="38">
        <f t="shared" si="243"/>
        <v>12</v>
      </c>
      <c r="I2103" s="54">
        <f t="shared" si="249"/>
        <v>53</v>
      </c>
      <c r="J2103" s="14" t="str">
        <f t="shared" si="244"/>
        <v>Christmas</v>
      </c>
      <c r="K2103" s="16" t="str">
        <f t="shared" si="245"/>
        <v>3-6</v>
      </c>
      <c r="L2103" s="14" t="str">
        <f t="shared" si="246"/>
        <v>Romper Longer | 3-6 | Dusty Pink</v>
      </c>
      <c r="M2103" s="16" t="s">
        <v>3610</v>
      </c>
    </row>
    <row r="2104" spans="1:13" ht="25" customHeight="1" x14ac:dyDescent="0.45">
      <c r="A2104" s="32">
        <v>46022</v>
      </c>
      <c r="B2104" s="19" t="s">
        <v>2235</v>
      </c>
      <c r="C2104" s="23" t="s">
        <v>76</v>
      </c>
      <c r="D2104" s="53" t="str">
        <f t="shared" si="248"/>
        <v>Caldet Blue</v>
      </c>
      <c r="E2104" s="21" t="s">
        <v>1841</v>
      </c>
      <c r="F2104" s="21" t="s">
        <v>7</v>
      </c>
      <c r="G2104" s="4" t="str">
        <f t="shared" si="247"/>
        <v>Romper Longer</v>
      </c>
      <c r="H2104" s="38">
        <f t="shared" ref="H2104:H2167" si="250">MONTH(A2104)</f>
        <v>12</v>
      </c>
      <c r="I2104" s="54">
        <f t="shared" si="249"/>
        <v>53</v>
      </c>
      <c r="J2104" s="14" t="str">
        <f t="shared" ref="J2104:J2167" si="251">IF(H2104=1,"NewYear",
IF(H2104=2,"Valentine",
IF(OR(H2104=3,H2104=4),"Easter",
IF(H2104=5,"MothersDay",
IF(H2104=6,"FathersDay",
IF(OR(H2104=7,H2104=8),"Summer",
IF(H2104=10,"Halloween",
IF(OR(H2104=11,H2104=12),"Christmas","Normal"))))))))</f>
        <v>Christmas</v>
      </c>
      <c r="K2104" s="16" t="str">
        <f t="shared" ref="K2104:K2167" si="252">TRIM(LEFT(E2104,FIND("(",E2104&amp;"(")-3))</f>
        <v>6-12</v>
      </c>
      <c r="L2104" s="14" t="str">
        <f t="shared" si="246"/>
        <v>Romper Longer | 6-12 | Caldet Blue</v>
      </c>
      <c r="M2104" s="16" t="s">
        <v>3610</v>
      </c>
    </row>
    <row r="2105" spans="1:13" ht="25" customHeight="1" x14ac:dyDescent="0.45">
      <c r="A2105" s="32">
        <v>46023</v>
      </c>
      <c r="B2105" s="19" t="s">
        <v>2236</v>
      </c>
      <c r="C2105" s="23" t="s">
        <v>407</v>
      </c>
      <c r="D2105" s="53" t="str">
        <f t="shared" si="248"/>
        <v>Texas Orange</v>
      </c>
      <c r="E2105" s="21" t="s">
        <v>1831</v>
      </c>
      <c r="F2105" s="21" t="s">
        <v>7</v>
      </c>
      <c r="G2105" s="4" t="str">
        <f t="shared" si="247"/>
        <v>Romper Longer</v>
      </c>
      <c r="H2105" s="38">
        <f t="shared" si="250"/>
        <v>1</v>
      </c>
      <c r="I2105" s="54">
        <f t="shared" si="249"/>
        <v>1</v>
      </c>
      <c r="J2105" s="14" t="str">
        <f t="shared" si="251"/>
        <v>NewYear</v>
      </c>
      <c r="K2105" s="16" t="str">
        <f t="shared" si="252"/>
        <v>0-3</v>
      </c>
      <c r="L2105" s="14" t="str">
        <f t="shared" si="246"/>
        <v>Romper Longer | 0-3 | Texas Orange</v>
      </c>
      <c r="M2105" s="16" t="s">
        <v>3610</v>
      </c>
    </row>
    <row r="2106" spans="1:13" ht="25" customHeight="1" x14ac:dyDescent="0.45">
      <c r="A2106" s="32">
        <v>46024</v>
      </c>
      <c r="B2106" s="19" t="s">
        <v>2237</v>
      </c>
      <c r="C2106" s="23" t="s">
        <v>79</v>
      </c>
      <c r="D2106" s="53" t="str">
        <f t="shared" si="248"/>
        <v>White</v>
      </c>
      <c r="E2106" s="21" t="s">
        <v>1834</v>
      </c>
      <c r="F2106" s="21" t="s">
        <v>7</v>
      </c>
      <c r="G2106" s="4" t="str">
        <f t="shared" si="247"/>
        <v>Romper Short</v>
      </c>
      <c r="H2106" s="38">
        <f t="shared" si="250"/>
        <v>1</v>
      </c>
      <c r="I2106" s="54">
        <f t="shared" si="249"/>
        <v>1</v>
      </c>
      <c r="J2106" s="14" t="str">
        <f t="shared" si="251"/>
        <v>NewYear</v>
      </c>
      <c r="K2106" s="16" t="str">
        <f t="shared" si="252"/>
        <v>0-3</v>
      </c>
      <c r="L2106" s="14" t="str">
        <f t="shared" si="246"/>
        <v>Romper Short | 0-3 | White</v>
      </c>
      <c r="M2106" s="16" t="s">
        <v>3610</v>
      </c>
    </row>
    <row r="2107" spans="1:13" ht="25" customHeight="1" x14ac:dyDescent="0.45">
      <c r="A2107" s="32">
        <v>46025</v>
      </c>
      <c r="B2107" s="19" t="s">
        <v>2238</v>
      </c>
      <c r="C2107" s="23" t="s">
        <v>9</v>
      </c>
      <c r="D2107" s="53" t="str">
        <f t="shared" si="248"/>
        <v>Cream</v>
      </c>
      <c r="E2107" s="21" t="s">
        <v>1834</v>
      </c>
      <c r="F2107" s="21" t="s">
        <v>7</v>
      </c>
      <c r="G2107" s="4" t="str">
        <f t="shared" si="247"/>
        <v>Romper Short</v>
      </c>
      <c r="H2107" s="38">
        <f t="shared" si="250"/>
        <v>1</v>
      </c>
      <c r="I2107" s="54">
        <f t="shared" si="249"/>
        <v>1</v>
      </c>
      <c r="J2107" s="14" t="str">
        <f t="shared" si="251"/>
        <v>NewYear</v>
      </c>
      <c r="K2107" s="16" t="str">
        <f t="shared" si="252"/>
        <v>0-3</v>
      </c>
      <c r="L2107" s="14" t="str">
        <f t="shared" si="246"/>
        <v>Romper Short | 0-3 | Cream</v>
      </c>
      <c r="M2107" s="16" t="s">
        <v>3609</v>
      </c>
    </row>
    <row r="2108" spans="1:13" ht="25" customHeight="1" x14ac:dyDescent="0.45">
      <c r="A2108" s="32">
        <v>46026</v>
      </c>
      <c r="B2108" s="19" t="s">
        <v>2239</v>
      </c>
      <c r="C2108" s="23" t="s">
        <v>71</v>
      </c>
      <c r="D2108" s="53" t="str">
        <f t="shared" si="248"/>
        <v>Coffee</v>
      </c>
      <c r="E2108" s="21" t="s">
        <v>1828</v>
      </c>
      <c r="F2108" s="21" t="s">
        <v>7</v>
      </c>
      <c r="G2108" s="4" t="str">
        <f t="shared" si="247"/>
        <v>Romper Longer</v>
      </c>
      <c r="H2108" s="38">
        <f t="shared" si="250"/>
        <v>1</v>
      </c>
      <c r="I2108" s="54">
        <f t="shared" si="249"/>
        <v>2</v>
      </c>
      <c r="J2108" s="14" t="str">
        <f t="shared" si="251"/>
        <v>NewYear</v>
      </c>
      <c r="K2108" s="16" t="str">
        <f t="shared" si="252"/>
        <v>3-6</v>
      </c>
      <c r="L2108" s="14" t="str">
        <f t="shared" si="246"/>
        <v>Romper Longer | 3-6 | Coffee</v>
      </c>
      <c r="M2108" s="16" t="s">
        <v>3610</v>
      </c>
    </row>
    <row r="2109" spans="1:13" ht="25" customHeight="1" x14ac:dyDescent="0.45">
      <c r="A2109" s="32">
        <v>46027</v>
      </c>
      <c r="B2109" s="19" t="s">
        <v>2240</v>
      </c>
      <c r="C2109" s="23" t="s">
        <v>9</v>
      </c>
      <c r="D2109" s="53" t="str">
        <f t="shared" si="248"/>
        <v>Cream</v>
      </c>
      <c r="E2109" s="21" t="s">
        <v>1828</v>
      </c>
      <c r="F2109" s="21" t="s">
        <v>7</v>
      </c>
      <c r="G2109" s="4" t="str">
        <f t="shared" si="247"/>
        <v>Romper Longer</v>
      </c>
      <c r="H2109" s="38">
        <f t="shared" si="250"/>
        <v>1</v>
      </c>
      <c r="I2109" s="54">
        <f t="shared" si="249"/>
        <v>2</v>
      </c>
      <c r="J2109" s="14" t="str">
        <f t="shared" si="251"/>
        <v>NewYear</v>
      </c>
      <c r="K2109" s="16" t="str">
        <f t="shared" si="252"/>
        <v>3-6</v>
      </c>
      <c r="L2109" s="14" t="str">
        <f t="shared" si="246"/>
        <v>Romper Longer | 3-6 | Cream</v>
      </c>
      <c r="M2109" s="16" t="s">
        <v>3609</v>
      </c>
    </row>
    <row r="2110" spans="1:13" ht="25" customHeight="1" x14ac:dyDescent="0.45">
      <c r="A2110" s="32">
        <v>46028</v>
      </c>
      <c r="B2110" s="19" t="s">
        <v>2241</v>
      </c>
      <c r="C2110" s="23" t="s">
        <v>9</v>
      </c>
      <c r="D2110" s="53" t="str">
        <f t="shared" si="248"/>
        <v>Cream</v>
      </c>
      <c r="E2110" s="21" t="s">
        <v>1841</v>
      </c>
      <c r="F2110" s="21" t="s">
        <v>7</v>
      </c>
      <c r="G2110" s="4" t="str">
        <f t="shared" si="247"/>
        <v>Romper Longer</v>
      </c>
      <c r="H2110" s="38">
        <f t="shared" si="250"/>
        <v>1</v>
      </c>
      <c r="I2110" s="54">
        <f t="shared" si="249"/>
        <v>2</v>
      </c>
      <c r="J2110" s="14" t="str">
        <f t="shared" si="251"/>
        <v>NewYear</v>
      </c>
      <c r="K2110" s="16" t="str">
        <f t="shared" si="252"/>
        <v>6-12</v>
      </c>
      <c r="L2110" s="14" t="str">
        <f t="shared" si="246"/>
        <v>Romper Longer | 6-12 | Cream</v>
      </c>
      <c r="M2110" s="16" t="s">
        <v>3611</v>
      </c>
    </row>
    <row r="2111" spans="1:13" ht="25" customHeight="1" x14ac:dyDescent="0.45">
      <c r="A2111" s="32">
        <v>46029</v>
      </c>
      <c r="B2111" s="19" t="s">
        <v>2242</v>
      </c>
      <c r="C2111" s="23" t="s">
        <v>178</v>
      </c>
      <c r="D2111" s="53" t="str">
        <f t="shared" si="248"/>
        <v>Mauve Taupe</v>
      </c>
      <c r="E2111" s="21" t="s">
        <v>1550</v>
      </c>
      <c r="F2111" s="21" t="s">
        <v>7</v>
      </c>
      <c r="G2111" s="4" t="str">
        <f t="shared" si="247"/>
        <v>Romper Longer</v>
      </c>
      <c r="H2111" s="38">
        <f t="shared" si="250"/>
        <v>1</v>
      </c>
      <c r="I2111" s="54">
        <f t="shared" si="249"/>
        <v>2</v>
      </c>
      <c r="J2111" s="14" t="str">
        <f t="shared" si="251"/>
        <v>NewYear</v>
      </c>
      <c r="K2111" s="16" t="str">
        <f t="shared" si="252"/>
        <v>12-18</v>
      </c>
      <c r="L2111" s="14" t="str">
        <f t="shared" si="246"/>
        <v>Romper Longer | 12-18 | Mauve Taupe</v>
      </c>
      <c r="M2111" s="16" t="s">
        <v>3610</v>
      </c>
    </row>
    <row r="2112" spans="1:13" ht="25" customHeight="1" x14ac:dyDescent="0.45">
      <c r="A2112" s="32">
        <v>46030</v>
      </c>
      <c r="B2112" s="19" t="s">
        <v>2243</v>
      </c>
      <c r="C2112" s="23" t="s">
        <v>224</v>
      </c>
      <c r="D2112" s="53" t="str">
        <f t="shared" si="248"/>
        <v>Salmon</v>
      </c>
      <c r="E2112" s="21" t="s">
        <v>1828</v>
      </c>
      <c r="F2112" s="21" t="s">
        <v>7</v>
      </c>
      <c r="G2112" s="4" t="str">
        <f t="shared" si="247"/>
        <v>Romper Longer</v>
      </c>
      <c r="H2112" s="38">
        <f t="shared" si="250"/>
        <v>1</v>
      </c>
      <c r="I2112" s="54">
        <f t="shared" si="249"/>
        <v>2</v>
      </c>
      <c r="J2112" s="14" t="str">
        <f t="shared" si="251"/>
        <v>NewYear</v>
      </c>
      <c r="K2112" s="16" t="str">
        <f t="shared" si="252"/>
        <v>3-6</v>
      </c>
      <c r="L2112" s="14" t="str">
        <f t="shared" si="246"/>
        <v>Romper Longer | 3-6 | Salmon</v>
      </c>
      <c r="M2112" s="16" t="s">
        <v>3610</v>
      </c>
    </row>
    <row r="2113" spans="1:13" ht="25" customHeight="1" x14ac:dyDescent="0.45">
      <c r="A2113" s="32">
        <v>46031</v>
      </c>
      <c r="B2113" s="19" t="s">
        <v>2244</v>
      </c>
      <c r="C2113" s="23" t="s">
        <v>9</v>
      </c>
      <c r="D2113" s="53" t="str">
        <f t="shared" si="248"/>
        <v>Cream</v>
      </c>
      <c r="E2113" s="21" t="s">
        <v>1831</v>
      </c>
      <c r="F2113" s="21" t="s">
        <v>7</v>
      </c>
      <c r="G2113" s="4" t="str">
        <f t="shared" si="247"/>
        <v>Romper Longer</v>
      </c>
      <c r="H2113" s="38">
        <f t="shared" si="250"/>
        <v>1</v>
      </c>
      <c r="I2113" s="54">
        <f t="shared" si="249"/>
        <v>2</v>
      </c>
      <c r="J2113" s="14" t="str">
        <f t="shared" si="251"/>
        <v>NewYear</v>
      </c>
      <c r="K2113" s="16" t="str">
        <f t="shared" si="252"/>
        <v>0-3</v>
      </c>
      <c r="L2113" s="14" t="str">
        <f t="shared" si="246"/>
        <v>Romper Longer | 0-3 | Cream</v>
      </c>
      <c r="M2113" s="16" t="s">
        <v>3609</v>
      </c>
    </row>
    <row r="2114" spans="1:13" ht="25" customHeight="1" x14ac:dyDescent="0.45">
      <c r="A2114" s="32">
        <v>46032</v>
      </c>
      <c r="B2114" s="19" t="s">
        <v>2245</v>
      </c>
      <c r="C2114" s="23" t="s">
        <v>79</v>
      </c>
      <c r="D2114" s="53" t="str">
        <f t="shared" si="248"/>
        <v>White</v>
      </c>
      <c r="E2114" s="21" t="s">
        <v>1828</v>
      </c>
      <c r="F2114" s="21" t="s">
        <v>7</v>
      </c>
      <c r="G2114" s="4" t="str">
        <f t="shared" si="247"/>
        <v>Romper Longer</v>
      </c>
      <c r="H2114" s="38">
        <f t="shared" si="250"/>
        <v>1</v>
      </c>
      <c r="I2114" s="54">
        <f t="shared" si="249"/>
        <v>2</v>
      </c>
      <c r="J2114" s="14" t="str">
        <f t="shared" si="251"/>
        <v>NewYear</v>
      </c>
      <c r="K2114" s="16" t="str">
        <f t="shared" si="252"/>
        <v>3-6</v>
      </c>
      <c r="L2114" s="14" t="str">
        <f t="shared" ref="L2114:L2177" si="253">TRIM(G2114)&amp;" | "&amp;TRIM(K2114)&amp;" | "&amp;PROPER(TRIM(D2114))</f>
        <v>Romper Longer | 3-6 | White</v>
      </c>
      <c r="M2114" s="16" t="s">
        <v>3610</v>
      </c>
    </row>
    <row r="2115" spans="1:13" ht="25" customHeight="1" x14ac:dyDescent="0.45">
      <c r="A2115" s="32">
        <v>46033</v>
      </c>
      <c r="B2115" s="19" t="s">
        <v>2246</v>
      </c>
      <c r="C2115" s="23" t="s">
        <v>79</v>
      </c>
      <c r="D2115" s="53" t="str">
        <f t="shared" si="248"/>
        <v>White</v>
      </c>
      <c r="E2115" s="21" t="s">
        <v>1849</v>
      </c>
      <c r="F2115" s="21" t="s">
        <v>7</v>
      </c>
      <c r="G2115" s="4" t="str">
        <f t="shared" si="247"/>
        <v>Romper Short</v>
      </c>
      <c r="H2115" s="38">
        <f t="shared" si="250"/>
        <v>1</v>
      </c>
      <c r="I2115" s="54">
        <f t="shared" si="249"/>
        <v>3</v>
      </c>
      <c r="J2115" s="14" t="str">
        <f t="shared" si="251"/>
        <v>NewYear</v>
      </c>
      <c r="K2115" s="16" t="str">
        <f t="shared" si="252"/>
        <v>3-6</v>
      </c>
      <c r="L2115" s="14" t="str">
        <f t="shared" si="253"/>
        <v>Romper Short | 3-6 | White</v>
      </c>
      <c r="M2115" s="16" t="s">
        <v>3610</v>
      </c>
    </row>
    <row r="2116" spans="1:13" ht="25" customHeight="1" x14ac:dyDescent="0.45">
      <c r="A2116" s="32">
        <v>46034</v>
      </c>
      <c r="B2116" s="19" t="s">
        <v>2247</v>
      </c>
      <c r="C2116" s="23" t="s">
        <v>9</v>
      </c>
      <c r="D2116" s="53" t="str">
        <f t="shared" si="248"/>
        <v>Cream</v>
      </c>
      <c r="E2116" s="21" t="s">
        <v>1828</v>
      </c>
      <c r="F2116" s="21" t="s">
        <v>7</v>
      </c>
      <c r="G2116" s="4" t="str">
        <f t="shared" si="247"/>
        <v>Romper Longer</v>
      </c>
      <c r="H2116" s="38">
        <f t="shared" si="250"/>
        <v>1</v>
      </c>
      <c r="I2116" s="54">
        <f t="shared" si="249"/>
        <v>3</v>
      </c>
      <c r="J2116" s="14" t="str">
        <f t="shared" si="251"/>
        <v>NewYear</v>
      </c>
      <c r="K2116" s="16" t="str">
        <f t="shared" si="252"/>
        <v>3-6</v>
      </c>
      <c r="L2116" s="14" t="str">
        <f t="shared" si="253"/>
        <v>Romper Longer | 3-6 | Cream</v>
      </c>
      <c r="M2116" s="16" t="s">
        <v>3609</v>
      </c>
    </row>
    <row r="2117" spans="1:13" ht="25" customHeight="1" x14ac:dyDescent="0.45">
      <c r="A2117" s="32">
        <v>46035</v>
      </c>
      <c r="B2117" s="19" t="s">
        <v>2248</v>
      </c>
      <c r="C2117" s="23" t="s">
        <v>76</v>
      </c>
      <c r="D2117" s="53" t="str">
        <f t="shared" si="248"/>
        <v>Caldet Blue</v>
      </c>
      <c r="E2117" s="21" t="s">
        <v>1828</v>
      </c>
      <c r="F2117" s="21" t="s">
        <v>7</v>
      </c>
      <c r="G2117" s="4" t="str">
        <f t="shared" si="247"/>
        <v>Romper Longer</v>
      </c>
      <c r="H2117" s="38">
        <f t="shared" si="250"/>
        <v>1</v>
      </c>
      <c r="I2117" s="54">
        <f t="shared" si="249"/>
        <v>3</v>
      </c>
      <c r="J2117" s="14" t="str">
        <f t="shared" si="251"/>
        <v>NewYear</v>
      </c>
      <c r="K2117" s="16" t="str">
        <f t="shared" si="252"/>
        <v>3-6</v>
      </c>
      <c r="L2117" s="14" t="str">
        <f t="shared" si="253"/>
        <v>Romper Longer | 3-6 | Caldet Blue</v>
      </c>
      <c r="M2117" s="16" t="s">
        <v>3610</v>
      </c>
    </row>
    <row r="2118" spans="1:13" ht="25" customHeight="1" x14ac:dyDescent="0.45">
      <c r="A2118" s="32">
        <v>46036</v>
      </c>
      <c r="B2118" s="19" t="s">
        <v>2249</v>
      </c>
      <c r="C2118" s="23" t="s">
        <v>9</v>
      </c>
      <c r="D2118" s="53" t="str">
        <f t="shared" si="248"/>
        <v>Cream</v>
      </c>
      <c r="E2118" s="21" t="s">
        <v>1831</v>
      </c>
      <c r="F2118" s="21" t="s">
        <v>7</v>
      </c>
      <c r="G2118" s="4" t="str">
        <f t="shared" si="247"/>
        <v>Romper Longer</v>
      </c>
      <c r="H2118" s="38">
        <f t="shared" si="250"/>
        <v>1</v>
      </c>
      <c r="I2118" s="54">
        <f t="shared" si="249"/>
        <v>3</v>
      </c>
      <c r="J2118" s="14" t="str">
        <f t="shared" si="251"/>
        <v>NewYear</v>
      </c>
      <c r="K2118" s="16" t="str">
        <f t="shared" si="252"/>
        <v>0-3</v>
      </c>
      <c r="L2118" s="14" t="str">
        <f t="shared" si="253"/>
        <v>Romper Longer | 0-3 | Cream</v>
      </c>
      <c r="M2118" s="16" t="s">
        <v>3609</v>
      </c>
    </row>
    <row r="2119" spans="1:13" ht="25" customHeight="1" x14ac:dyDescent="0.45">
      <c r="A2119" s="32">
        <v>46037</v>
      </c>
      <c r="B2119" s="19" t="s">
        <v>2250</v>
      </c>
      <c r="C2119" s="23" t="s">
        <v>9</v>
      </c>
      <c r="D2119" s="53" t="str">
        <f t="shared" si="248"/>
        <v>Cream</v>
      </c>
      <c r="E2119" s="21" t="s">
        <v>1841</v>
      </c>
      <c r="F2119" s="21" t="s">
        <v>7</v>
      </c>
      <c r="G2119" s="4" t="str">
        <f t="shared" si="247"/>
        <v>Romper Longer</v>
      </c>
      <c r="H2119" s="38">
        <f t="shared" si="250"/>
        <v>1</v>
      </c>
      <c r="I2119" s="54">
        <f t="shared" si="249"/>
        <v>3</v>
      </c>
      <c r="J2119" s="14" t="str">
        <f t="shared" si="251"/>
        <v>NewYear</v>
      </c>
      <c r="K2119" s="16" t="str">
        <f t="shared" si="252"/>
        <v>6-12</v>
      </c>
      <c r="L2119" s="14" t="str">
        <f t="shared" si="253"/>
        <v>Romper Longer | 6-12 | Cream</v>
      </c>
      <c r="M2119" s="16" t="s">
        <v>3611</v>
      </c>
    </row>
    <row r="2120" spans="1:13" ht="25" customHeight="1" x14ac:dyDescent="0.45">
      <c r="A2120" s="32">
        <v>46038</v>
      </c>
      <c r="B2120" s="19" t="s">
        <v>2251</v>
      </c>
      <c r="C2120" s="23" t="s">
        <v>71</v>
      </c>
      <c r="D2120" s="53" t="str">
        <f t="shared" si="248"/>
        <v>Coffee</v>
      </c>
      <c r="E2120" s="21" t="s">
        <v>1828</v>
      </c>
      <c r="F2120" s="21" t="s">
        <v>7</v>
      </c>
      <c r="G2120" s="4" t="str">
        <f t="shared" si="247"/>
        <v>Romper Longer</v>
      </c>
      <c r="H2120" s="38">
        <f t="shared" si="250"/>
        <v>1</v>
      </c>
      <c r="I2120" s="54">
        <f t="shared" si="249"/>
        <v>3</v>
      </c>
      <c r="J2120" s="14" t="str">
        <f t="shared" si="251"/>
        <v>NewYear</v>
      </c>
      <c r="K2120" s="16" t="str">
        <f t="shared" si="252"/>
        <v>3-6</v>
      </c>
      <c r="L2120" s="14" t="str">
        <f t="shared" si="253"/>
        <v>Romper Longer | 3-6 | Coffee</v>
      </c>
      <c r="M2120" s="16" t="s">
        <v>3610</v>
      </c>
    </row>
    <row r="2121" spans="1:13" ht="25" customHeight="1" x14ac:dyDescent="0.45">
      <c r="A2121" s="32">
        <v>46039</v>
      </c>
      <c r="B2121" s="19" t="s">
        <v>2252</v>
      </c>
      <c r="C2121" s="23" t="s">
        <v>9</v>
      </c>
      <c r="D2121" s="53" t="str">
        <f t="shared" si="248"/>
        <v>Cream</v>
      </c>
      <c r="E2121" s="21" t="s">
        <v>1841</v>
      </c>
      <c r="F2121" s="21" t="s">
        <v>7</v>
      </c>
      <c r="G2121" s="4" t="str">
        <f t="shared" si="247"/>
        <v>Romper Longer</v>
      </c>
      <c r="H2121" s="38">
        <f t="shared" si="250"/>
        <v>1</v>
      </c>
      <c r="I2121" s="54">
        <f t="shared" si="249"/>
        <v>3</v>
      </c>
      <c r="J2121" s="14" t="str">
        <f t="shared" si="251"/>
        <v>NewYear</v>
      </c>
      <c r="K2121" s="16" t="str">
        <f t="shared" si="252"/>
        <v>6-12</v>
      </c>
      <c r="L2121" s="14" t="str">
        <f t="shared" si="253"/>
        <v>Romper Longer | 6-12 | Cream</v>
      </c>
      <c r="M2121" s="16" t="s">
        <v>3611</v>
      </c>
    </row>
    <row r="2122" spans="1:13" ht="25" customHeight="1" x14ac:dyDescent="0.45">
      <c r="A2122" s="32">
        <v>46040</v>
      </c>
      <c r="B2122" s="19" t="s">
        <v>2253</v>
      </c>
      <c r="C2122" s="23" t="s">
        <v>9</v>
      </c>
      <c r="D2122" s="53" t="str">
        <f t="shared" si="248"/>
        <v>Cream</v>
      </c>
      <c r="E2122" s="21" t="s">
        <v>1834</v>
      </c>
      <c r="F2122" s="21" t="s">
        <v>7</v>
      </c>
      <c r="G2122" s="4" t="str">
        <f t="shared" si="247"/>
        <v>Romper Short</v>
      </c>
      <c r="H2122" s="38">
        <f t="shared" si="250"/>
        <v>1</v>
      </c>
      <c r="I2122" s="54">
        <f t="shared" si="249"/>
        <v>4</v>
      </c>
      <c r="J2122" s="14" t="str">
        <f t="shared" si="251"/>
        <v>NewYear</v>
      </c>
      <c r="K2122" s="16" t="str">
        <f t="shared" si="252"/>
        <v>0-3</v>
      </c>
      <c r="L2122" s="14" t="str">
        <f t="shared" si="253"/>
        <v>Romper Short | 0-3 | Cream</v>
      </c>
      <c r="M2122" s="16" t="s">
        <v>3609</v>
      </c>
    </row>
    <row r="2123" spans="1:13" ht="25" customHeight="1" x14ac:dyDescent="0.45">
      <c r="A2123" s="32">
        <v>46041</v>
      </c>
      <c r="B2123" s="19" t="s">
        <v>2254</v>
      </c>
      <c r="C2123" s="23" t="s">
        <v>74</v>
      </c>
      <c r="D2123" s="53" t="str">
        <f t="shared" si="248"/>
        <v>Watermelon</v>
      </c>
      <c r="E2123" s="21" t="s">
        <v>1838</v>
      </c>
      <c r="F2123" s="21" t="s">
        <v>7</v>
      </c>
      <c r="G2123" s="4" t="str">
        <f t="shared" si="247"/>
        <v>Romper Short</v>
      </c>
      <c r="H2123" s="38">
        <f t="shared" si="250"/>
        <v>1</v>
      </c>
      <c r="I2123" s="54">
        <f t="shared" si="249"/>
        <v>4</v>
      </c>
      <c r="J2123" s="14" t="str">
        <f t="shared" si="251"/>
        <v>NewYear</v>
      </c>
      <c r="K2123" s="16" t="str">
        <f t="shared" si="252"/>
        <v>12-18</v>
      </c>
      <c r="L2123" s="14" t="str">
        <f t="shared" si="253"/>
        <v>Romper Short | 12-18 | Watermelon</v>
      </c>
      <c r="M2123" s="16" t="s">
        <v>3610</v>
      </c>
    </row>
    <row r="2124" spans="1:13" ht="25" customHeight="1" x14ac:dyDescent="0.45">
      <c r="A2124" s="32">
        <v>46042</v>
      </c>
      <c r="B2124" s="19" t="s">
        <v>2255</v>
      </c>
      <c r="C2124" s="23" t="s">
        <v>79</v>
      </c>
      <c r="D2124" s="53" t="str">
        <f t="shared" si="248"/>
        <v>White</v>
      </c>
      <c r="E2124" s="21" t="s">
        <v>1849</v>
      </c>
      <c r="F2124" s="21" t="s">
        <v>7</v>
      </c>
      <c r="G2124" s="4" t="str">
        <f t="shared" si="247"/>
        <v>Romper Short</v>
      </c>
      <c r="H2124" s="38">
        <f t="shared" si="250"/>
        <v>1</v>
      </c>
      <c r="I2124" s="54">
        <f t="shared" si="249"/>
        <v>4</v>
      </c>
      <c r="J2124" s="14" t="str">
        <f t="shared" si="251"/>
        <v>NewYear</v>
      </c>
      <c r="K2124" s="16" t="str">
        <f t="shared" si="252"/>
        <v>3-6</v>
      </c>
      <c r="L2124" s="14" t="str">
        <f t="shared" si="253"/>
        <v>Romper Short | 3-6 | White</v>
      </c>
      <c r="M2124" s="16" t="s">
        <v>3610</v>
      </c>
    </row>
    <row r="2125" spans="1:13" ht="25" customHeight="1" x14ac:dyDescent="0.45">
      <c r="A2125" s="32">
        <v>46043</v>
      </c>
      <c r="B2125" s="19" t="s">
        <v>2256</v>
      </c>
      <c r="C2125" s="23" t="s">
        <v>9</v>
      </c>
      <c r="D2125" s="53" t="str">
        <f t="shared" si="248"/>
        <v>Cream</v>
      </c>
      <c r="E2125" s="21" t="s">
        <v>1831</v>
      </c>
      <c r="F2125" s="21" t="s">
        <v>7</v>
      </c>
      <c r="G2125" s="4" t="str">
        <f t="shared" si="247"/>
        <v>Romper Longer</v>
      </c>
      <c r="H2125" s="38">
        <f t="shared" si="250"/>
        <v>1</v>
      </c>
      <c r="I2125" s="54">
        <f t="shared" si="249"/>
        <v>4</v>
      </c>
      <c r="J2125" s="14" t="str">
        <f t="shared" si="251"/>
        <v>NewYear</v>
      </c>
      <c r="K2125" s="16" t="str">
        <f t="shared" si="252"/>
        <v>0-3</v>
      </c>
      <c r="L2125" s="14" t="str">
        <f t="shared" si="253"/>
        <v>Romper Longer | 0-3 | Cream</v>
      </c>
      <c r="M2125" s="16" t="s">
        <v>3609</v>
      </c>
    </row>
    <row r="2126" spans="1:13" ht="25" customHeight="1" x14ac:dyDescent="0.45">
      <c r="A2126" s="32">
        <v>46044</v>
      </c>
      <c r="B2126" s="19" t="s">
        <v>2257</v>
      </c>
      <c r="C2126" s="23" t="s">
        <v>9</v>
      </c>
      <c r="D2126" s="53" t="str">
        <f t="shared" si="248"/>
        <v>Cream</v>
      </c>
      <c r="E2126" s="21" t="s">
        <v>1849</v>
      </c>
      <c r="F2126" s="21" t="s">
        <v>7</v>
      </c>
      <c r="G2126" s="4" t="str">
        <f t="shared" si="247"/>
        <v>Romper Short</v>
      </c>
      <c r="H2126" s="38">
        <f t="shared" si="250"/>
        <v>1</v>
      </c>
      <c r="I2126" s="54">
        <f t="shared" si="249"/>
        <v>4</v>
      </c>
      <c r="J2126" s="14" t="str">
        <f t="shared" si="251"/>
        <v>NewYear</v>
      </c>
      <c r="K2126" s="16" t="str">
        <f t="shared" si="252"/>
        <v>3-6</v>
      </c>
      <c r="L2126" s="14" t="str">
        <f t="shared" si="253"/>
        <v>Romper Short | 3-6 | Cream</v>
      </c>
      <c r="M2126" s="16" t="s">
        <v>3609</v>
      </c>
    </row>
    <row r="2127" spans="1:13" ht="25" customHeight="1" x14ac:dyDescent="0.45">
      <c r="A2127" s="32">
        <v>46045</v>
      </c>
      <c r="B2127" s="19" t="s">
        <v>2258</v>
      </c>
      <c r="C2127" s="23" t="s">
        <v>9</v>
      </c>
      <c r="D2127" s="53" t="str">
        <f t="shared" si="248"/>
        <v>Cream</v>
      </c>
      <c r="E2127" s="21" t="s">
        <v>1849</v>
      </c>
      <c r="F2127" s="21" t="s">
        <v>7</v>
      </c>
      <c r="G2127" s="4" t="str">
        <f t="shared" ref="G2127:G2190" si="254">IF(ISNUMBER(SEARCH("LONG",E2127)),"Romper Longer",IF(ISNUMBER(SEARCH("SHORT",E2127)),"Romper Short","Bodysuit"))</f>
        <v>Romper Short</v>
      </c>
      <c r="H2127" s="38">
        <f t="shared" si="250"/>
        <v>1</v>
      </c>
      <c r="I2127" s="54">
        <f t="shared" si="249"/>
        <v>4</v>
      </c>
      <c r="J2127" s="14" t="str">
        <f t="shared" si="251"/>
        <v>NewYear</v>
      </c>
      <c r="K2127" s="16" t="str">
        <f t="shared" si="252"/>
        <v>3-6</v>
      </c>
      <c r="L2127" s="14" t="str">
        <f t="shared" si="253"/>
        <v>Romper Short | 3-6 | Cream</v>
      </c>
      <c r="M2127" s="16" t="s">
        <v>3609</v>
      </c>
    </row>
    <row r="2128" spans="1:13" ht="25" customHeight="1" x14ac:dyDescent="0.45">
      <c r="A2128" s="32">
        <v>46046</v>
      </c>
      <c r="B2128" s="19" t="s">
        <v>2259</v>
      </c>
      <c r="C2128" s="23" t="s">
        <v>9</v>
      </c>
      <c r="D2128" s="53" t="str">
        <f t="shared" si="248"/>
        <v>Cream</v>
      </c>
      <c r="E2128" s="21" t="s">
        <v>1828</v>
      </c>
      <c r="F2128" s="21" t="s">
        <v>7</v>
      </c>
      <c r="G2128" s="4" t="str">
        <f t="shared" si="254"/>
        <v>Romper Longer</v>
      </c>
      <c r="H2128" s="38">
        <f t="shared" si="250"/>
        <v>1</v>
      </c>
      <c r="I2128" s="54">
        <f t="shared" si="249"/>
        <v>4</v>
      </c>
      <c r="J2128" s="14" t="str">
        <f t="shared" si="251"/>
        <v>NewYear</v>
      </c>
      <c r="K2128" s="16" t="str">
        <f t="shared" si="252"/>
        <v>3-6</v>
      </c>
      <c r="L2128" s="14" t="str">
        <f t="shared" si="253"/>
        <v>Romper Longer | 3-6 | Cream</v>
      </c>
      <c r="M2128" s="16" t="s">
        <v>3609</v>
      </c>
    </row>
    <row r="2129" spans="1:13" ht="25" customHeight="1" x14ac:dyDescent="0.45">
      <c r="A2129" s="32">
        <v>46047</v>
      </c>
      <c r="B2129" s="19" t="s">
        <v>2260</v>
      </c>
      <c r="C2129" s="23" t="s">
        <v>9</v>
      </c>
      <c r="D2129" s="53" t="str">
        <f t="shared" si="248"/>
        <v>Cream</v>
      </c>
      <c r="E2129" s="21" t="s">
        <v>1831</v>
      </c>
      <c r="F2129" s="21" t="s">
        <v>7</v>
      </c>
      <c r="G2129" s="4" t="str">
        <f t="shared" si="254"/>
        <v>Romper Longer</v>
      </c>
      <c r="H2129" s="38">
        <f t="shared" si="250"/>
        <v>1</v>
      </c>
      <c r="I2129" s="54">
        <f t="shared" si="249"/>
        <v>5</v>
      </c>
      <c r="J2129" s="14" t="str">
        <f t="shared" si="251"/>
        <v>NewYear</v>
      </c>
      <c r="K2129" s="16" t="str">
        <f t="shared" si="252"/>
        <v>0-3</v>
      </c>
      <c r="L2129" s="14" t="str">
        <f t="shared" si="253"/>
        <v>Romper Longer | 0-3 | Cream</v>
      </c>
      <c r="M2129" s="16" t="s">
        <v>3609</v>
      </c>
    </row>
    <row r="2130" spans="1:13" ht="25" customHeight="1" x14ac:dyDescent="0.45">
      <c r="A2130" s="32">
        <v>46048</v>
      </c>
      <c r="B2130" s="19" t="s">
        <v>2261</v>
      </c>
      <c r="C2130" s="23" t="s">
        <v>9</v>
      </c>
      <c r="D2130" s="53" t="str">
        <f t="shared" si="248"/>
        <v>Cream</v>
      </c>
      <c r="E2130" s="21" t="s">
        <v>1834</v>
      </c>
      <c r="F2130" s="21" t="s">
        <v>7</v>
      </c>
      <c r="G2130" s="4" t="str">
        <f t="shared" si="254"/>
        <v>Romper Short</v>
      </c>
      <c r="H2130" s="38">
        <f t="shared" si="250"/>
        <v>1</v>
      </c>
      <c r="I2130" s="54">
        <f t="shared" si="249"/>
        <v>5</v>
      </c>
      <c r="J2130" s="14" t="str">
        <f t="shared" si="251"/>
        <v>NewYear</v>
      </c>
      <c r="K2130" s="16" t="str">
        <f t="shared" si="252"/>
        <v>0-3</v>
      </c>
      <c r="L2130" s="14" t="str">
        <f t="shared" si="253"/>
        <v>Romper Short | 0-3 | Cream</v>
      </c>
      <c r="M2130" s="16" t="s">
        <v>3609</v>
      </c>
    </row>
    <row r="2131" spans="1:13" ht="25" customHeight="1" x14ac:dyDescent="0.45">
      <c r="A2131" s="32">
        <v>46049</v>
      </c>
      <c r="B2131" s="19" t="s">
        <v>2262</v>
      </c>
      <c r="C2131" s="23" t="s">
        <v>9</v>
      </c>
      <c r="D2131" s="53" t="str">
        <f t="shared" ref="D2131:D2194" si="255">PROPER(C2131)</f>
        <v>Cream</v>
      </c>
      <c r="E2131" s="21" t="s">
        <v>1831</v>
      </c>
      <c r="F2131" s="21" t="s">
        <v>7</v>
      </c>
      <c r="G2131" s="4" t="str">
        <f t="shared" si="254"/>
        <v>Romper Longer</v>
      </c>
      <c r="H2131" s="38">
        <f t="shared" si="250"/>
        <v>1</v>
      </c>
      <c r="I2131" s="54">
        <f t="shared" si="249"/>
        <v>5</v>
      </c>
      <c r="J2131" s="14" t="str">
        <f t="shared" si="251"/>
        <v>NewYear</v>
      </c>
      <c r="K2131" s="16" t="str">
        <f t="shared" si="252"/>
        <v>0-3</v>
      </c>
      <c r="L2131" s="14" t="str">
        <f t="shared" si="253"/>
        <v>Romper Longer | 0-3 | Cream</v>
      </c>
      <c r="M2131" s="16" t="s">
        <v>3609</v>
      </c>
    </row>
    <row r="2132" spans="1:13" ht="25" customHeight="1" x14ac:dyDescent="0.45">
      <c r="A2132" s="32">
        <v>46050</v>
      </c>
      <c r="B2132" s="19" t="s">
        <v>2263</v>
      </c>
      <c r="C2132" s="23" t="s">
        <v>74</v>
      </c>
      <c r="D2132" s="53" t="str">
        <f t="shared" si="255"/>
        <v>Watermelon</v>
      </c>
      <c r="E2132" s="21" t="s">
        <v>1828</v>
      </c>
      <c r="F2132" s="21" t="s">
        <v>7</v>
      </c>
      <c r="G2132" s="4" t="str">
        <f t="shared" si="254"/>
        <v>Romper Longer</v>
      </c>
      <c r="H2132" s="38">
        <f t="shared" si="250"/>
        <v>1</v>
      </c>
      <c r="I2132" s="54">
        <f t="shared" si="249"/>
        <v>5</v>
      </c>
      <c r="J2132" s="14" t="str">
        <f t="shared" si="251"/>
        <v>NewYear</v>
      </c>
      <c r="K2132" s="16" t="str">
        <f t="shared" si="252"/>
        <v>3-6</v>
      </c>
      <c r="L2132" s="14" t="str">
        <f t="shared" si="253"/>
        <v>Romper Longer | 3-6 | Watermelon</v>
      </c>
      <c r="M2132" s="16" t="s">
        <v>3610</v>
      </c>
    </row>
    <row r="2133" spans="1:13" ht="25" customHeight="1" x14ac:dyDescent="0.45">
      <c r="A2133" s="32">
        <v>46051</v>
      </c>
      <c r="B2133" s="19" t="s">
        <v>2264</v>
      </c>
      <c r="C2133" s="23" t="s">
        <v>178</v>
      </c>
      <c r="D2133" s="53" t="str">
        <f t="shared" si="255"/>
        <v>Mauve Taupe</v>
      </c>
      <c r="E2133" s="21" t="s">
        <v>1841</v>
      </c>
      <c r="F2133" s="21" t="s">
        <v>7</v>
      </c>
      <c r="G2133" s="4" t="str">
        <f t="shared" si="254"/>
        <v>Romper Longer</v>
      </c>
      <c r="H2133" s="38">
        <f t="shared" si="250"/>
        <v>1</v>
      </c>
      <c r="I2133" s="54">
        <f t="shared" si="249"/>
        <v>5</v>
      </c>
      <c r="J2133" s="14" t="str">
        <f t="shared" si="251"/>
        <v>NewYear</v>
      </c>
      <c r="K2133" s="16" t="str">
        <f t="shared" si="252"/>
        <v>6-12</v>
      </c>
      <c r="L2133" s="14" t="str">
        <f t="shared" si="253"/>
        <v>Romper Longer | 6-12 | Mauve Taupe</v>
      </c>
      <c r="M2133" s="16" t="s">
        <v>3610</v>
      </c>
    </row>
    <row r="2134" spans="1:13" ht="25" customHeight="1" x14ac:dyDescent="0.45">
      <c r="A2134" s="32">
        <v>46052</v>
      </c>
      <c r="B2134" s="19" t="s">
        <v>2265</v>
      </c>
      <c r="C2134" s="23" t="s">
        <v>85</v>
      </c>
      <c r="D2134" s="53" t="str">
        <f t="shared" si="255"/>
        <v>Forest Green</v>
      </c>
      <c r="E2134" s="21" t="s">
        <v>1420</v>
      </c>
      <c r="F2134" s="21" t="s">
        <v>7</v>
      </c>
      <c r="G2134" s="4" t="str">
        <f t="shared" si="254"/>
        <v>Romper Short</v>
      </c>
      <c r="H2134" s="38">
        <f t="shared" si="250"/>
        <v>1</v>
      </c>
      <c r="I2134" s="54">
        <f t="shared" si="249"/>
        <v>5</v>
      </c>
      <c r="J2134" s="14" t="str">
        <f t="shared" si="251"/>
        <v>NewYear</v>
      </c>
      <c r="K2134" s="16" t="str">
        <f t="shared" si="252"/>
        <v>6-12</v>
      </c>
      <c r="L2134" s="14" t="str">
        <f t="shared" si="253"/>
        <v>Romper Short | 6-12 | Forest Green</v>
      </c>
      <c r="M2134" s="16" t="s">
        <v>3610</v>
      </c>
    </row>
    <row r="2135" spans="1:13" ht="25" customHeight="1" x14ac:dyDescent="0.45">
      <c r="A2135" s="32">
        <v>46053</v>
      </c>
      <c r="B2135" s="19" t="s">
        <v>2266</v>
      </c>
      <c r="C2135" s="23" t="s">
        <v>9</v>
      </c>
      <c r="D2135" s="53" t="str">
        <f t="shared" si="255"/>
        <v>Cream</v>
      </c>
      <c r="E2135" s="21" t="s">
        <v>1370</v>
      </c>
      <c r="F2135" s="21" t="s">
        <v>7</v>
      </c>
      <c r="G2135" s="4" t="str">
        <f t="shared" si="254"/>
        <v>Romper Short</v>
      </c>
      <c r="H2135" s="38">
        <f t="shared" si="250"/>
        <v>1</v>
      </c>
      <c r="I2135" s="54">
        <f t="shared" si="249"/>
        <v>5</v>
      </c>
      <c r="J2135" s="14" t="str">
        <f t="shared" si="251"/>
        <v>NewYear</v>
      </c>
      <c r="K2135" s="16" t="str">
        <f t="shared" si="252"/>
        <v>18-24</v>
      </c>
      <c r="L2135" s="14" t="str">
        <f t="shared" si="253"/>
        <v>Romper Short | 18-24 | Cream</v>
      </c>
      <c r="M2135" s="16" t="s">
        <v>3610</v>
      </c>
    </row>
    <row r="2136" spans="1:13" ht="25" customHeight="1" x14ac:dyDescent="0.45">
      <c r="A2136" s="32">
        <v>46054</v>
      </c>
      <c r="B2136" s="19" t="s">
        <v>2267</v>
      </c>
      <c r="C2136" s="23" t="s">
        <v>9</v>
      </c>
      <c r="D2136" s="53" t="str">
        <f t="shared" si="255"/>
        <v>Cream</v>
      </c>
      <c r="E2136" s="21" t="s">
        <v>1831</v>
      </c>
      <c r="F2136" s="21" t="s">
        <v>7</v>
      </c>
      <c r="G2136" s="4" t="str">
        <f t="shared" si="254"/>
        <v>Romper Longer</v>
      </c>
      <c r="H2136" s="38">
        <f t="shared" si="250"/>
        <v>2</v>
      </c>
      <c r="I2136" s="54">
        <f t="shared" si="249"/>
        <v>6</v>
      </c>
      <c r="J2136" s="14" t="str">
        <f t="shared" si="251"/>
        <v>Valentine</v>
      </c>
      <c r="K2136" s="16" t="str">
        <f t="shared" si="252"/>
        <v>0-3</v>
      </c>
      <c r="L2136" s="14" t="str">
        <f t="shared" si="253"/>
        <v>Romper Longer | 0-3 | Cream</v>
      </c>
      <c r="M2136" s="16" t="s">
        <v>3609</v>
      </c>
    </row>
    <row r="2137" spans="1:13" ht="25" customHeight="1" x14ac:dyDescent="0.45">
      <c r="A2137" s="32">
        <v>46055</v>
      </c>
      <c r="B2137" s="19" t="s">
        <v>2268</v>
      </c>
      <c r="C2137" s="23" t="s">
        <v>9</v>
      </c>
      <c r="D2137" s="53" t="str">
        <f t="shared" si="255"/>
        <v>Cream</v>
      </c>
      <c r="E2137" s="21" t="s">
        <v>1834</v>
      </c>
      <c r="F2137" s="21" t="s">
        <v>7</v>
      </c>
      <c r="G2137" s="4" t="str">
        <f t="shared" si="254"/>
        <v>Romper Short</v>
      </c>
      <c r="H2137" s="38">
        <f t="shared" si="250"/>
        <v>2</v>
      </c>
      <c r="I2137" s="54">
        <f t="shared" si="249"/>
        <v>6</v>
      </c>
      <c r="J2137" s="14" t="str">
        <f t="shared" si="251"/>
        <v>Valentine</v>
      </c>
      <c r="K2137" s="16" t="str">
        <f t="shared" si="252"/>
        <v>0-3</v>
      </c>
      <c r="L2137" s="14" t="str">
        <f t="shared" si="253"/>
        <v>Romper Short | 0-3 | Cream</v>
      </c>
      <c r="M2137" s="16" t="s">
        <v>3609</v>
      </c>
    </row>
    <row r="2138" spans="1:13" ht="25" customHeight="1" x14ac:dyDescent="0.45">
      <c r="A2138" s="32">
        <v>46056</v>
      </c>
      <c r="B2138" s="19" t="s">
        <v>2269</v>
      </c>
      <c r="C2138" s="23" t="s">
        <v>81</v>
      </c>
      <c r="D2138" s="53" t="str">
        <f t="shared" si="255"/>
        <v>Dusty Pink</v>
      </c>
      <c r="E2138" s="21" t="s">
        <v>1841</v>
      </c>
      <c r="F2138" s="21" t="s">
        <v>7</v>
      </c>
      <c r="G2138" s="4" t="str">
        <f t="shared" si="254"/>
        <v>Romper Longer</v>
      </c>
      <c r="H2138" s="38">
        <f t="shared" si="250"/>
        <v>2</v>
      </c>
      <c r="I2138" s="54">
        <f t="shared" si="249"/>
        <v>6</v>
      </c>
      <c r="J2138" s="14" t="str">
        <f t="shared" si="251"/>
        <v>Valentine</v>
      </c>
      <c r="K2138" s="16" t="str">
        <f t="shared" si="252"/>
        <v>6-12</v>
      </c>
      <c r="L2138" s="14" t="str">
        <f t="shared" si="253"/>
        <v>Romper Longer | 6-12 | Dusty Pink</v>
      </c>
      <c r="M2138" s="16" t="s">
        <v>3610</v>
      </c>
    </row>
    <row r="2139" spans="1:13" ht="25" customHeight="1" x14ac:dyDescent="0.45">
      <c r="A2139" s="32">
        <v>46057</v>
      </c>
      <c r="B2139" s="19" t="s">
        <v>2270</v>
      </c>
      <c r="C2139" s="23" t="s">
        <v>9</v>
      </c>
      <c r="D2139" s="53" t="str">
        <f t="shared" si="255"/>
        <v>Cream</v>
      </c>
      <c r="E2139" s="21" t="s">
        <v>1849</v>
      </c>
      <c r="F2139" s="21" t="s">
        <v>7</v>
      </c>
      <c r="G2139" s="4" t="str">
        <f t="shared" si="254"/>
        <v>Romper Short</v>
      </c>
      <c r="H2139" s="38">
        <f t="shared" si="250"/>
        <v>2</v>
      </c>
      <c r="I2139" s="54">
        <f t="shared" si="249"/>
        <v>6</v>
      </c>
      <c r="J2139" s="14" t="str">
        <f t="shared" si="251"/>
        <v>Valentine</v>
      </c>
      <c r="K2139" s="16" t="str">
        <f t="shared" si="252"/>
        <v>3-6</v>
      </c>
      <c r="L2139" s="14" t="str">
        <f t="shared" si="253"/>
        <v>Romper Short | 3-6 | Cream</v>
      </c>
      <c r="M2139" s="16" t="s">
        <v>3609</v>
      </c>
    </row>
    <row r="2140" spans="1:13" ht="25" customHeight="1" x14ac:dyDescent="0.45">
      <c r="A2140" s="32">
        <v>46058</v>
      </c>
      <c r="B2140" s="19" t="s">
        <v>2271</v>
      </c>
      <c r="C2140" s="23" t="s">
        <v>9</v>
      </c>
      <c r="D2140" s="53" t="str">
        <f t="shared" si="255"/>
        <v>Cream</v>
      </c>
      <c r="E2140" s="21" t="s">
        <v>1834</v>
      </c>
      <c r="F2140" s="21" t="s">
        <v>7</v>
      </c>
      <c r="G2140" s="4" t="str">
        <f t="shared" si="254"/>
        <v>Romper Short</v>
      </c>
      <c r="H2140" s="38">
        <f t="shared" si="250"/>
        <v>2</v>
      </c>
      <c r="I2140" s="54">
        <f t="shared" si="249"/>
        <v>6</v>
      </c>
      <c r="J2140" s="14" t="str">
        <f t="shared" si="251"/>
        <v>Valentine</v>
      </c>
      <c r="K2140" s="16" t="str">
        <f t="shared" si="252"/>
        <v>0-3</v>
      </c>
      <c r="L2140" s="14" t="str">
        <f t="shared" si="253"/>
        <v>Romper Short | 0-3 | Cream</v>
      </c>
      <c r="M2140" s="16" t="s">
        <v>3609</v>
      </c>
    </row>
    <row r="2141" spans="1:13" ht="25" customHeight="1" x14ac:dyDescent="0.45">
      <c r="A2141" s="32">
        <v>46059</v>
      </c>
      <c r="B2141" s="19" t="s">
        <v>2272</v>
      </c>
      <c r="C2141" s="23" t="s">
        <v>9</v>
      </c>
      <c r="D2141" s="53" t="str">
        <f t="shared" si="255"/>
        <v>Cream</v>
      </c>
      <c r="E2141" s="21" t="s">
        <v>1828</v>
      </c>
      <c r="F2141" s="21" t="s">
        <v>7</v>
      </c>
      <c r="G2141" s="4" t="str">
        <f t="shared" si="254"/>
        <v>Romper Longer</v>
      </c>
      <c r="H2141" s="38">
        <f t="shared" si="250"/>
        <v>2</v>
      </c>
      <c r="I2141" s="54">
        <f t="shared" si="249"/>
        <v>6</v>
      </c>
      <c r="J2141" s="14" t="str">
        <f t="shared" si="251"/>
        <v>Valentine</v>
      </c>
      <c r="K2141" s="16" t="str">
        <f t="shared" si="252"/>
        <v>3-6</v>
      </c>
      <c r="L2141" s="14" t="str">
        <f t="shared" si="253"/>
        <v>Romper Longer | 3-6 | Cream</v>
      </c>
      <c r="M2141" s="16" t="s">
        <v>3609</v>
      </c>
    </row>
    <row r="2142" spans="1:13" ht="25" customHeight="1" x14ac:dyDescent="0.45">
      <c r="A2142" s="32">
        <v>46060</v>
      </c>
      <c r="B2142" s="19" t="s">
        <v>2273</v>
      </c>
      <c r="C2142" s="23" t="s">
        <v>71</v>
      </c>
      <c r="D2142" s="53" t="str">
        <f t="shared" si="255"/>
        <v>Coffee</v>
      </c>
      <c r="E2142" s="21" t="s">
        <v>1831</v>
      </c>
      <c r="F2142" s="21" t="s">
        <v>7</v>
      </c>
      <c r="G2142" s="4" t="str">
        <f t="shared" si="254"/>
        <v>Romper Longer</v>
      </c>
      <c r="H2142" s="38">
        <f t="shared" si="250"/>
        <v>2</v>
      </c>
      <c r="I2142" s="54">
        <f t="shared" si="249"/>
        <v>6</v>
      </c>
      <c r="J2142" s="14" t="str">
        <f t="shared" si="251"/>
        <v>Valentine</v>
      </c>
      <c r="K2142" s="16" t="str">
        <f t="shared" si="252"/>
        <v>0-3</v>
      </c>
      <c r="L2142" s="14" t="str">
        <f t="shared" si="253"/>
        <v>Romper Longer | 0-3 | Coffee</v>
      </c>
      <c r="M2142" s="16" t="s">
        <v>3610</v>
      </c>
    </row>
    <row r="2143" spans="1:13" ht="25" customHeight="1" x14ac:dyDescent="0.45">
      <c r="A2143" s="32">
        <v>46061</v>
      </c>
      <c r="B2143" s="19" t="s">
        <v>2274</v>
      </c>
      <c r="C2143" s="23" t="s">
        <v>76</v>
      </c>
      <c r="D2143" s="53" t="str">
        <f t="shared" si="255"/>
        <v>Caldet Blue</v>
      </c>
      <c r="E2143" s="21" t="s">
        <v>1831</v>
      </c>
      <c r="F2143" s="21" t="s">
        <v>7</v>
      </c>
      <c r="G2143" s="4" t="str">
        <f t="shared" si="254"/>
        <v>Romper Longer</v>
      </c>
      <c r="H2143" s="38">
        <f t="shared" si="250"/>
        <v>2</v>
      </c>
      <c r="I2143" s="54">
        <f t="shared" si="249"/>
        <v>7</v>
      </c>
      <c r="J2143" s="14" t="str">
        <f t="shared" si="251"/>
        <v>Valentine</v>
      </c>
      <c r="K2143" s="16" t="str">
        <f t="shared" si="252"/>
        <v>0-3</v>
      </c>
      <c r="L2143" s="14" t="str">
        <f t="shared" si="253"/>
        <v>Romper Longer | 0-3 | Caldet Blue</v>
      </c>
      <c r="M2143" s="16" t="s">
        <v>3610</v>
      </c>
    </row>
    <row r="2144" spans="1:13" ht="25" customHeight="1" x14ac:dyDescent="0.45">
      <c r="A2144" s="32">
        <v>46062</v>
      </c>
      <c r="B2144" s="19" t="s">
        <v>2275</v>
      </c>
      <c r="C2144" s="23" t="s">
        <v>9</v>
      </c>
      <c r="D2144" s="53" t="str">
        <f t="shared" si="255"/>
        <v>Cream</v>
      </c>
      <c r="E2144" s="21" t="s">
        <v>1828</v>
      </c>
      <c r="F2144" s="21" t="s">
        <v>7</v>
      </c>
      <c r="G2144" s="4" t="str">
        <f t="shared" si="254"/>
        <v>Romper Longer</v>
      </c>
      <c r="H2144" s="38">
        <f t="shared" si="250"/>
        <v>2</v>
      </c>
      <c r="I2144" s="54">
        <f t="shared" si="249"/>
        <v>7</v>
      </c>
      <c r="J2144" s="14" t="str">
        <f t="shared" si="251"/>
        <v>Valentine</v>
      </c>
      <c r="K2144" s="16" t="str">
        <f t="shared" si="252"/>
        <v>3-6</v>
      </c>
      <c r="L2144" s="14" t="str">
        <f t="shared" si="253"/>
        <v>Romper Longer | 3-6 | Cream</v>
      </c>
      <c r="M2144" s="16" t="s">
        <v>3609</v>
      </c>
    </row>
    <row r="2145" spans="1:13" ht="25" customHeight="1" x14ac:dyDescent="0.45">
      <c r="A2145" s="32">
        <v>46063</v>
      </c>
      <c r="B2145" s="19" t="s">
        <v>2276</v>
      </c>
      <c r="C2145" s="23" t="s">
        <v>81</v>
      </c>
      <c r="D2145" s="53" t="str">
        <f t="shared" si="255"/>
        <v>Dusty Pink</v>
      </c>
      <c r="E2145" s="21" t="s">
        <v>1841</v>
      </c>
      <c r="F2145" s="21" t="s">
        <v>7</v>
      </c>
      <c r="G2145" s="4" t="str">
        <f t="shared" si="254"/>
        <v>Romper Longer</v>
      </c>
      <c r="H2145" s="38">
        <f t="shared" si="250"/>
        <v>2</v>
      </c>
      <c r="I2145" s="54">
        <f t="shared" si="249"/>
        <v>7</v>
      </c>
      <c r="J2145" s="14" t="str">
        <f t="shared" si="251"/>
        <v>Valentine</v>
      </c>
      <c r="K2145" s="16" t="str">
        <f t="shared" si="252"/>
        <v>6-12</v>
      </c>
      <c r="L2145" s="14" t="str">
        <f t="shared" si="253"/>
        <v>Romper Longer | 6-12 | Dusty Pink</v>
      </c>
      <c r="M2145" s="16" t="s">
        <v>3610</v>
      </c>
    </row>
    <row r="2146" spans="1:13" ht="25" customHeight="1" x14ac:dyDescent="0.45">
      <c r="A2146" s="32">
        <v>46064</v>
      </c>
      <c r="B2146" s="19" t="s">
        <v>2277</v>
      </c>
      <c r="C2146" s="23" t="s">
        <v>224</v>
      </c>
      <c r="D2146" s="53" t="str">
        <f t="shared" si="255"/>
        <v>Salmon</v>
      </c>
      <c r="E2146" s="21" t="s">
        <v>1420</v>
      </c>
      <c r="F2146" s="21" t="s">
        <v>7</v>
      </c>
      <c r="G2146" s="4" t="str">
        <f t="shared" si="254"/>
        <v>Romper Short</v>
      </c>
      <c r="H2146" s="38">
        <f t="shared" si="250"/>
        <v>2</v>
      </c>
      <c r="I2146" s="54">
        <f t="shared" si="249"/>
        <v>7</v>
      </c>
      <c r="J2146" s="14" t="str">
        <f t="shared" si="251"/>
        <v>Valentine</v>
      </c>
      <c r="K2146" s="16" t="str">
        <f t="shared" si="252"/>
        <v>6-12</v>
      </c>
      <c r="L2146" s="14" t="str">
        <f t="shared" si="253"/>
        <v>Romper Short | 6-12 | Salmon</v>
      </c>
      <c r="M2146" s="16" t="s">
        <v>3610</v>
      </c>
    </row>
    <row r="2147" spans="1:13" ht="25" customHeight="1" x14ac:dyDescent="0.45">
      <c r="A2147" s="32">
        <v>46065</v>
      </c>
      <c r="B2147" s="19" t="s">
        <v>2278</v>
      </c>
      <c r="C2147" s="23" t="s">
        <v>9</v>
      </c>
      <c r="D2147" s="53" t="str">
        <f t="shared" si="255"/>
        <v>Cream</v>
      </c>
      <c r="E2147" s="21" t="s">
        <v>1831</v>
      </c>
      <c r="F2147" s="21" t="s">
        <v>7</v>
      </c>
      <c r="G2147" s="4" t="str">
        <f t="shared" si="254"/>
        <v>Romper Longer</v>
      </c>
      <c r="H2147" s="38">
        <f t="shared" si="250"/>
        <v>2</v>
      </c>
      <c r="I2147" s="54">
        <f t="shared" si="249"/>
        <v>7</v>
      </c>
      <c r="J2147" s="14" t="str">
        <f t="shared" si="251"/>
        <v>Valentine</v>
      </c>
      <c r="K2147" s="16" t="str">
        <f t="shared" si="252"/>
        <v>0-3</v>
      </c>
      <c r="L2147" s="14" t="str">
        <f t="shared" si="253"/>
        <v>Romper Longer | 0-3 | Cream</v>
      </c>
      <c r="M2147" s="16" t="s">
        <v>3609</v>
      </c>
    </row>
    <row r="2148" spans="1:13" ht="25" customHeight="1" x14ac:dyDescent="0.45">
      <c r="A2148" s="32">
        <v>46066</v>
      </c>
      <c r="B2148" s="19" t="s">
        <v>2279</v>
      </c>
      <c r="C2148" s="23" t="s">
        <v>9</v>
      </c>
      <c r="D2148" s="53" t="str">
        <f t="shared" si="255"/>
        <v>Cream</v>
      </c>
      <c r="E2148" s="21" t="s">
        <v>1420</v>
      </c>
      <c r="F2148" s="21" t="s">
        <v>7</v>
      </c>
      <c r="G2148" s="4" t="str">
        <f t="shared" si="254"/>
        <v>Romper Short</v>
      </c>
      <c r="H2148" s="38">
        <f t="shared" si="250"/>
        <v>2</v>
      </c>
      <c r="I2148" s="54">
        <f t="shared" si="249"/>
        <v>7</v>
      </c>
      <c r="J2148" s="14" t="str">
        <f t="shared" si="251"/>
        <v>Valentine</v>
      </c>
      <c r="K2148" s="16" t="str">
        <f t="shared" si="252"/>
        <v>6-12</v>
      </c>
      <c r="L2148" s="14" t="str">
        <f t="shared" si="253"/>
        <v>Romper Short | 6-12 | Cream</v>
      </c>
      <c r="M2148" s="16" t="s">
        <v>3611</v>
      </c>
    </row>
    <row r="2149" spans="1:13" ht="25" customHeight="1" x14ac:dyDescent="0.45">
      <c r="A2149" s="32">
        <v>46067</v>
      </c>
      <c r="B2149" s="19" t="s">
        <v>2280</v>
      </c>
      <c r="C2149" s="23" t="s">
        <v>110</v>
      </c>
      <c r="D2149" s="53" t="str">
        <f t="shared" si="255"/>
        <v>Sage Green</v>
      </c>
      <c r="E2149" s="21" t="s">
        <v>1831</v>
      </c>
      <c r="F2149" s="21" t="s">
        <v>7</v>
      </c>
      <c r="G2149" s="4" t="str">
        <f t="shared" si="254"/>
        <v>Romper Longer</v>
      </c>
      <c r="H2149" s="38">
        <f t="shared" si="250"/>
        <v>2</v>
      </c>
      <c r="I2149" s="54">
        <f t="shared" si="249"/>
        <v>7</v>
      </c>
      <c r="J2149" s="14" t="str">
        <f t="shared" si="251"/>
        <v>Valentine</v>
      </c>
      <c r="K2149" s="16" t="str">
        <f t="shared" si="252"/>
        <v>0-3</v>
      </c>
      <c r="L2149" s="14" t="str">
        <f t="shared" si="253"/>
        <v>Romper Longer | 0-3 | Sage Green</v>
      </c>
      <c r="M2149" s="16" t="s">
        <v>3611</v>
      </c>
    </row>
    <row r="2150" spans="1:13" ht="25" customHeight="1" x14ac:dyDescent="0.45">
      <c r="A2150" s="32">
        <v>46068</v>
      </c>
      <c r="B2150" s="19" t="s">
        <v>2281</v>
      </c>
      <c r="C2150" s="23" t="s">
        <v>79</v>
      </c>
      <c r="D2150" s="53" t="str">
        <f t="shared" si="255"/>
        <v>White</v>
      </c>
      <c r="E2150" s="21" t="s">
        <v>1550</v>
      </c>
      <c r="F2150" s="21" t="s">
        <v>7</v>
      </c>
      <c r="G2150" s="4" t="str">
        <f t="shared" si="254"/>
        <v>Romper Longer</v>
      </c>
      <c r="H2150" s="38">
        <f t="shared" si="250"/>
        <v>2</v>
      </c>
      <c r="I2150" s="54">
        <f t="shared" si="249"/>
        <v>8</v>
      </c>
      <c r="J2150" s="14" t="str">
        <f t="shared" si="251"/>
        <v>Valentine</v>
      </c>
      <c r="K2150" s="16" t="str">
        <f t="shared" si="252"/>
        <v>12-18</v>
      </c>
      <c r="L2150" s="14" t="str">
        <f t="shared" si="253"/>
        <v>Romper Longer | 12-18 | White</v>
      </c>
      <c r="M2150" s="16" t="s">
        <v>3610</v>
      </c>
    </row>
    <row r="2151" spans="1:13" ht="25" customHeight="1" x14ac:dyDescent="0.45">
      <c r="A2151" s="18">
        <v>46053</v>
      </c>
      <c r="B2151" s="19" t="s">
        <v>2282</v>
      </c>
      <c r="C2151" s="23" t="s">
        <v>9</v>
      </c>
      <c r="D2151" s="53" t="str">
        <f t="shared" si="255"/>
        <v>Cream</v>
      </c>
      <c r="E2151" s="21" t="s">
        <v>1834</v>
      </c>
      <c r="F2151" s="21" t="s">
        <v>7</v>
      </c>
      <c r="G2151" s="4" t="str">
        <f t="shared" si="254"/>
        <v>Romper Short</v>
      </c>
      <c r="H2151" s="38">
        <f t="shared" si="250"/>
        <v>1</v>
      </c>
      <c r="I2151" s="54">
        <f t="shared" si="249"/>
        <v>5</v>
      </c>
      <c r="J2151" s="14" t="str">
        <f t="shared" si="251"/>
        <v>NewYear</v>
      </c>
      <c r="K2151" s="16" t="str">
        <f t="shared" si="252"/>
        <v>0-3</v>
      </c>
      <c r="L2151" s="14" t="str">
        <f t="shared" si="253"/>
        <v>Romper Short | 0-3 | Cream</v>
      </c>
      <c r="M2151" s="16" t="s">
        <v>3609</v>
      </c>
    </row>
    <row r="2152" spans="1:13" ht="25" customHeight="1" x14ac:dyDescent="0.45">
      <c r="A2152" s="18">
        <v>46054</v>
      </c>
      <c r="B2152" s="19" t="s">
        <v>2283</v>
      </c>
      <c r="C2152" s="23" t="s">
        <v>79</v>
      </c>
      <c r="D2152" s="53" t="str">
        <f t="shared" si="255"/>
        <v>White</v>
      </c>
      <c r="E2152" s="21" t="s">
        <v>1831</v>
      </c>
      <c r="F2152" s="21" t="s">
        <v>7</v>
      </c>
      <c r="G2152" s="4" t="str">
        <f t="shared" si="254"/>
        <v>Romper Longer</v>
      </c>
      <c r="H2152" s="38">
        <f t="shared" si="250"/>
        <v>2</v>
      </c>
      <c r="I2152" s="54">
        <f t="shared" si="249"/>
        <v>6</v>
      </c>
      <c r="J2152" s="14" t="str">
        <f t="shared" si="251"/>
        <v>Valentine</v>
      </c>
      <c r="K2152" s="16" t="str">
        <f t="shared" si="252"/>
        <v>0-3</v>
      </c>
      <c r="L2152" s="14" t="str">
        <f t="shared" si="253"/>
        <v>Romper Longer | 0-3 | White</v>
      </c>
      <c r="M2152" s="16" t="s">
        <v>3610</v>
      </c>
    </row>
    <row r="2153" spans="1:13" ht="25" customHeight="1" x14ac:dyDescent="0.45">
      <c r="A2153" s="18">
        <v>46055</v>
      </c>
      <c r="B2153" s="19" t="s">
        <v>2284</v>
      </c>
      <c r="C2153" s="23" t="s">
        <v>76</v>
      </c>
      <c r="D2153" s="53" t="str">
        <f t="shared" si="255"/>
        <v>Caldet Blue</v>
      </c>
      <c r="E2153" s="21" t="s">
        <v>1420</v>
      </c>
      <c r="F2153" s="21" t="s">
        <v>7</v>
      </c>
      <c r="G2153" s="4" t="str">
        <f t="shared" si="254"/>
        <v>Romper Short</v>
      </c>
      <c r="H2153" s="38">
        <f t="shared" si="250"/>
        <v>2</v>
      </c>
      <c r="I2153" s="54">
        <f t="shared" si="249"/>
        <v>6</v>
      </c>
      <c r="J2153" s="14" t="str">
        <f t="shared" si="251"/>
        <v>Valentine</v>
      </c>
      <c r="K2153" s="16" t="str">
        <f t="shared" si="252"/>
        <v>6-12</v>
      </c>
      <c r="L2153" s="14" t="str">
        <f t="shared" si="253"/>
        <v>Romper Short | 6-12 | Caldet Blue</v>
      </c>
      <c r="M2153" s="16" t="s">
        <v>3610</v>
      </c>
    </row>
    <row r="2154" spans="1:13" ht="25" customHeight="1" x14ac:dyDescent="0.45">
      <c r="A2154" s="18">
        <v>46056</v>
      </c>
      <c r="B2154" s="19" t="s">
        <v>2285</v>
      </c>
      <c r="C2154" s="23" t="s">
        <v>9</v>
      </c>
      <c r="D2154" s="53" t="str">
        <f t="shared" si="255"/>
        <v>Cream</v>
      </c>
      <c r="E2154" s="21" t="s">
        <v>1550</v>
      </c>
      <c r="F2154" s="21" t="s">
        <v>7</v>
      </c>
      <c r="G2154" s="4" t="str">
        <f t="shared" si="254"/>
        <v>Romper Longer</v>
      </c>
      <c r="H2154" s="38">
        <f t="shared" si="250"/>
        <v>2</v>
      </c>
      <c r="I2154" s="54">
        <f t="shared" si="249"/>
        <v>6</v>
      </c>
      <c r="J2154" s="14" t="str">
        <f t="shared" si="251"/>
        <v>Valentine</v>
      </c>
      <c r="K2154" s="16" t="str">
        <f t="shared" si="252"/>
        <v>12-18</v>
      </c>
      <c r="L2154" s="14" t="str">
        <f t="shared" si="253"/>
        <v>Romper Longer | 12-18 | Cream</v>
      </c>
      <c r="M2154" s="16" t="s">
        <v>3610</v>
      </c>
    </row>
    <row r="2155" spans="1:13" ht="25" customHeight="1" x14ac:dyDescent="0.45">
      <c r="A2155" s="18">
        <v>46057</v>
      </c>
      <c r="B2155" s="19" t="s">
        <v>2286</v>
      </c>
      <c r="C2155" s="23" t="s">
        <v>9</v>
      </c>
      <c r="D2155" s="53" t="str">
        <f t="shared" si="255"/>
        <v>Cream</v>
      </c>
      <c r="E2155" s="21" t="s">
        <v>1828</v>
      </c>
      <c r="F2155" s="21" t="s">
        <v>7</v>
      </c>
      <c r="G2155" s="4" t="str">
        <f t="shared" si="254"/>
        <v>Romper Longer</v>
      </c>
      <c r="H2155" s="38">
        <f t="shared" si="250"/>
        <v>2</v>
      </c>
      <c r="I2155" s="54">
        <f t="shared" si="249"/>
        <v>6</v>
      </c>
      <c r="J2155" s="14" t="str">
        <f t="shared" si="251"/>
        <v>Valentine</v>
      </c>
      <c r="K2155" s="16" t="str">
        <f t="shared" si="252"/>
        <v>3-6</v>
      </c>
      <c r="L2155" s="14" t="str">
        <f t="shared" si="253"/>
        <v>Romper Longer | 3-6 | Cream</v>
      </c>
      <c r="M2155" s="16" t="s">
        <v>3609</v>
      </c>
    </row>
    <row r="2156" spans="1:13" ht="25" customHeight="1" x14ac:dyDescent="0.45">
      <c r="A2156" s="18">
        <v>45658</v>
      </c>
      <c r="B2156" s="19" t="s">
        <v>2287</v>
      </c>
      <c r="C2156" s="23" t="s">
        <v>9</v>
      </c>
      <c r="D2156" s="53" t="str">
        <f t="shared" si="255"/>
        <v>Cream</v>
      </c>
      <c r="E2156" s="21" t="s">
        <v>1849</v>
      </c>
      <c r="F2156" s="21" t="s">
        <v>7</v>
      </c>
      <c r="G2156" s="4" t="str">
        <f t="shared" si="254"/>
        <v>Romper Short</v>
      </c>
      <c r="H2156" s="38">
        <f t="shared" si="250"/>
        <v>1</v>
      </c>
      <c r="I2156" s="54">
        <f t="shared" si="249"/>
        <v>1</v>
      </c>
      <c r="J2156" s="14" t="str">
        <f t="shared" si="251"/>
        <v>NewYear</v>
      </c>
      <c r="K2156" s="16" t="str">
        <f t="shared" si="252"/>
        <v>3-6</v>
      </c>
      <c r="L2156" s="14" t="str">
        <f t="shared" si="253"/>
        <v>Romper Short | 3-6 | Cream</v>
      </c>
      <c r="M2156" s="16" t="s">
        <v>3609</v>
      </c>
    </row>
    <row r="2157" spans="1:13" ht="25" customHeight="1" x14ac:dyDescent="0.45">
      <c r="A2157" s="18">
        <v>45659</v>
      </c>
      <c r="B2157" s="19" t="s">
        <v>2288</v>
      </c>
      <c r="C2157" s="23" t="s">
        <v>110</v>
      </c>
      <c r="D2157" s="53" t="str">
        <f t="shared" si="255"/>
        <v>Sage Green</v>
      </c>
      <c r="E2157" s="21" t="s">
        <v>1828</v>
      </c>
      <c r="F2157" s="21" t="s">
        <v>7</v>
      </c>
      <c r="G2157" s="4" t="str">
        <f t="shared" si="254"/>
        <v>Romper Longer</v>
      </c>
      <c r="H2157" s="38">
        <f t="shared" si="250"/>
        <v>1</v>
      </c>
      <c r="I2157" s="54">
        <f t="shared" si="249"/>
        <v>1</v>
      </c>
      <c r="J2157" s="14" t="str">
        <f t="shared" si="251"/>
        <v>NewYear</v>
      </c>
      <c r="K2157" s="16" t="str">
        <f t="shared" si="252"/>
        <v>3-6</v>
      </c>
      <c r="L2157" s="14" t="str">
        <f t="shared" si="253"/>
        <v>Romper Longer | 3-6 | Sage Green</v>
      </c>
      <c r="M2157" s="16" t="s">
        <v>3611</v>
      </c>
    </row>
    <row r="2158" spans="1:13" ht="25" customHeight="1" x14ac:dyDescent="0.45">
      <c r="A2158" s="18">
        <v>45660</v>
      </c>
      <c r="B2158" s="19" t="s">
        <v>2289</v>
      </c>
      <c r="C2158" s="23" t="s">
        <v>9</v>
      </c>
      <c r="D2158" s="53" t="str">
        <f t="shared" si="255"/>
        <v>Cream</v>
      </c>
      <c r="E2158" s="21" t="s">
        <v>1420</v>
      </c>
      <c r="F2158" s="21" t="s">
        <v>7</v>
      </c>
      <c r="G2158" s="4" t="str">
        <f t="shared" si="254"/>
        <v>Romper Short</v>
      </c>
      <c r="H2158" s="38">
        <f t="shared" si="250"/>
        <v>1</v>
      </c>
      <c r="I2158" s="54">
        <f t="shared" ref="I2158:I2221" si="256">WEEKNUM(A2158)</f>
        <v>1</v>
      </c>
      <c r="J2158" s="14" t="str">
        <f t="shared" si="251"/>
        <v>NewYear</v>
      </c>
      <c r="K2158" s="16" t="str">
        <f t="shared" si="252"/>
        <v>6-12</v>
      </c>
      <c r="L2158" s="14" t="str">
        <f t="shared" si="253"/>
        <v>Romper Short | 6-12 | Cream</v>
      </c>
      <c r="M2158" s="16" t="s">
        <v>3611</v>
      </c>
    </row>
    <row r="2159" spans="1:13" ht="25" customHeight="1" x14ac:dyDescent="0.45">
      <c r="A2159" s="18">
        <v>45661</v>
      </c>
      <c r="B2159" s="19" t="s">
        <v>2290</v>
      </c>
      <c r="C2159" s="23" t="s">
        <v>9</v>
      </c>
      <c r="D2159" s="53" t="str">
        <f t="shared" si="255"/>
        <v>Cream</v>
      </c>
      <c r="E2159" s="21" t="s">
        <v>1834</v>
      </c>
      <c r="F2159" s="21" t="s">
        <v>7</v>
      </c>
      <c r="G2159" s="4" t="str">
        <f t="shared" si="254"/>
        <v>Romper Short</v>
      </c>
      <c r="H2159" s="38">
        <f t="shared" si="250"/>
        <v>1</v>
      </c>
      <c r="I2159" s="54">
        <f t="shared" si="256"/>
        <v>1</v>
      </c>
      <c r="J2159" s="14" t="str">
        <f t="shared" si="251"/>
        <v>NewYear</v>
      </c>
      <c r="K2159" s="16" t="str">
        <f t="shared" si="252"/>
        <v>0-3</v>
      </c>
      <c r="L2159" s="14" t="str">
        <f t="shared" si="253"/>
        <v>Romper Short | 0-3 | Cream</v>
      </c>
      <c r="M2159" s="16" t="s">
        <v>3609</v>
      </c>
    </row>
    <row r="2160" spans="1:13" ht="25" customHeight="1" x14ac:dyDescent="0.45">
      <c r="A2160" s="18">
        <v>45662</v>
      </c>
      <c r="B2160" s="19" t="s">
        <v>2291</v>
      </c>
      <c r="C2160" s="23" t="s">
        <v>9</v>
      </c>
      <c r="D2160" s="53" t="str">
        <f t="shared" si="255"/>
        <v>Cream</v>
      </c>
      <c r="E2160" s="21" t="s">
        <v>1828</v>
      </c>
      <c r="F2160" s="21" t="s">
        <v>7</v>
      </c>
      <c r="G2160" s="4" t="str">
        <f t="shared" si="254"/>
        <v>Romper Longer</v>
      </c>
      <c r="H2160" s="38">
        <f t="shared" si="250"/>
        <v>1</v>
      </c>
      <c r="I2160" s="54">
        <f t="shared" si="256"/>
        <v>2</v>
      </c>
      <c r="J2160" s="14" t="str">
        <f t="shared" si="251"/>
        <v>NewYear</v>
      </c>
      <c r="K2160" s="16" t="str">
        <f t="shared" si="252"/>
        <v>3-6</v>
      </c>
      <c r="L2160" s="14" t="str">
        <f t="shared" si="253"/>
        <v>Romper Longer | 3-6 | Cream</v>
      </c>
      <c r="M2160" s="16" t="s">
        <v>3609</v>
      </c>
    </row>
    <row r="2161" spans="1:13" ht="25" customHeight="1" x14ac:dyDescent="0.45">
      <c r="A2161" s="18">
        <v>45663</v>
      </c>
      <c r="B2161" s="19" t="s">
        <v>2292</v>
      </c>
      <c r="C2161" s="23" t="s">
        <v>74</v>
      </c>
      <c r="D2161" s="53" t="str">
        <f t="shared" si="255"/>
        <v>Watermelon</v>
      </c>
      <c r="E2161" s="21" t="s">
        <v>1849</v>
      </c>
      <c r="F2161" s="21" t="s">
        <v>7</v>
      </c>
      <c r="G2161" s="4" t="str">
        <f t="shared" si="254"/>
        <v>Romper Short</v>
      </c>
      <c r="H2161" s="38">
        <f t="shared" si="250"/>
        <v>1</v>
      </c>
      <c r="I2161" s="54">
        <f t="shared" si="256"/>
        <v>2</v>
      </c>
      <c r="J2161" s="14" t="str">
        <f t="shared" si="251"/>
        <v>NewYear</v>
      </c>
      <c r="K2161" s="16" t="str">
        <f t="shared" si="252"/>
        <v>3-6</v>
      </c>
      <c r="L2161" s="14" t="str">
        <f t="shared" si="253"/>
        <v>Romper Short | 3-6 | Watermelon</v>
      </c>
      <c r="M2161" s="16" t="s">
        <v>3610</v>
      </c>
    </row>
    <row r="2162" spans="1:13" ht="25" customHeight="1" x14ac:dyDescent="0.45">
      <c r="A2162" s="18">
        <v>45664</v>
      </c>
      <c r="B2162" s="19" t="s">
        <v>2293</v>
      </c>
      <c r="C2162" s="23" t="s">
        <v>81</v>
      </c>
      <c r="D2162" s="53" t="str">
        <f t="shared" si="255"/>
        <v>Dusty Pink</v>
      </c>
      <c r="E2162" s="21" t="s">
        <v>1828</v>
      </c>
      <c r="F2162" s="21" t="s">
        <v>7</v>
      </c>
      <c r="G2162" s="4" t="str">
        <f t="shared" si="254"/>
        <v>Romper Longer</v>
      </c>
      <c r="H2162" s="38">
        <f t="shared" si="250"/>
        <v>1</v>
      </c>
      <c r="I2162" s="54">
        <f t="shared" si="256"/>
        <v>2</v>
      </c>
      <c r="J2162" s="14" t="str">
        <f t="shared" si="251"/>
        <v>NewYear</v>
      </c>
      <c r="K2162" s="16" t="str">
        <f t="shared" si="252"/>
        <v>3-6</v>
      </c>
      <c r="L2162" s="14" t="str">
        <f t="shared" si="253"/>
        <v>Romper Longer | 3-6 | Dusty Pink</v>
      </c>
      <c r="M2162" s="16" t="s">
        <v>3610</v>
      </c>
    </row>
    <row r="2163" spans="1:13" ht="25" customHeight="1" x14ac:dyDescent="0.45">
      <c r="A2163" s="18">
        <v>45665</v>
      </c>
      <c r="B2163" s="19" t="s">
        <v>2294</v>
      </c>
      <c r="C2163" s="23" t="s">
        <v>178</v>
      </c>
      <c r="D2163" s="53" t="str">
        <f t="shared" si="255"/>
        <v>Mauve Taupe</v>
      </c>
      <c r="E2163" s="21" t="s">
        <v>1828</v>
      </c>
      <c r="F2163" s="21" t="s">
        <v>7</v>
      </c>
      <c r="G2163" s="4" t="str">
        <f t="shared" si="254"/>
        <v>Romper Longer</v>
      </c>
      <c r="H2163" s="38">
        <f t="shared" si="250"/>
        <v>1</v>
      </c>
      <c r="I2163" s="54">
        <f t="shared" si="256"/>
        <v>2</v>
      </c>
      <c r="J2163" s="14" t="str">
        <f t="shared" si="251"/>
        <v>NewYear</v>
      </c>
      <c r="K2163" s="16" t="str">
        <f t="shared" si="252"/>
        <v>3-6</v>
      </c>
      <c r="L2163" s="14" t="str">
        <f t="shared" si="253"/>
        <v>Romper Longer | 3-6 | Mauve Taupe</v>
      </c>
      <c r="M2163" s="16" t="s">
        <v>3610</v>
      </c>
    </row>
    <row r="2164" spans="1:13" ht="25" customHeight="1" x14ac:dyDescent="0.45">
      <c r="A2164" s="18">
        <v>45666</v>
      </c>
      <c r="B2164" s="19" t="s">
        <v>2295</v>
      </c>
      <c r="C2164" s="23" t="s">
        <v>110</v>
      </c>
      <c r="D2164" s="53" t="str">
        <f t="shared" si="255"/>
        <v>Sage Green</v>
      </c>
      <c r="E2164" s="21" t="s">
        <v>1831</v>
      </c>
      <c r="F2164" s="21" t="s">
        <v>7</v>
      </c>
      <c r="G2164" s="4" t="str">
        <f t="shared" si="254"/>
        <v>Romper Longer</v>
      </c>
      <c r="H2164" s="38">
        <f t="shared" si="250"/>
        <v>1</v>
      </c>
      <c r="I2164" s="54">
        <f t="shared" si="256"/>
        <v>2</v>
      </c>
      <c r="J2164" s="14" t="str">
        <f t="shared" si="251"/>
        <v>NewYear</v>
      </c>
      <c r="K2164" s="16" t="str">
        <f t="shared" si="252"/>
        <v>0-3</v>
      </c>
      <c r="L2164" s="14" t="str">
        <f t="shared" si="253"/>
        <v>Romper Longer | 0-3 | Sage Green</v>
      </c>
      <c r="M2164" s="16" t="s">
        <v>3611</v>
      </c>
    </row>
    <row r="2165" spans="1:13" ht="25" customHeight="1" x14ac:dyDescent="0.45">
      <c r="A2165" s="18">
        <v>45667</v>
      </c>
      <c r="B2165" s="19" t="s">
        <v>2296</v>
      </c>
      <c r="C2165" s="23" t="s">
        <v>9</v>
      </c>
      <c r="D2165" s="53" t="str">
        <f t="shared" si="255"/>
        <v>Cream</v>
      </c>
      <c r="E2165" s="21" t="s">
        <v>1831</v>
      </c>
      <c r="F2165" s="21" t="s">
        <v>7</v>
      </c>
      <c r="G2165" s="4" t="str">
        <f t="shared" si="254"/>
        <v>Romper Longer</v>
      </c>
      <c r="H2165" s="38">
        <f t="shared" si="250"/>
        <v>1</v>
      </c>
      <c r="I2165" s="54">
        <f t="shared" si="256"/>
        <v>2</v>
      </c>
      <c r="J2165" s="14" t="str">
        <f t="shared" si="251"/>
        <v>NewYear</v>
      </c>
      <c r="K2165" s="16" t="str">
        <f t="shared" si="252"/>
        <v>0-3</v>
      </c>
      <c r="L2165" s="14" t="str">
        <f t="shared" si="253"/>
        <v>Romper Longer | 0-3 | Cream</v>
      </c>
      <c r="M2165" s="16" t="s">
        <v>3609</v>
      </c>
    </row>
    <row r="2166" spans="1:13" ht="25" customHeight="1" x14ac:dyDescent="0.45">
      <c r="A2166" s="18">
        <v>45668</v>
      </c>
      <c r="B2166" s="19" t="s">
        <v>2297</v>
      </c>
      <c r="C2166" s="23" t="s">
        <v>79</v>
      </c>
      <c r="D2166" s="53" t="str">
        <f t="shared" si="255"/>
        <v>White</v>
      </c>
      <c r="E2166" s="21" t="s">
        <v>1849</v>
      </c>
      <c r="F2166" s="21" t="s">
        <v>7</v>
      </c>
      <c r="G2166" s="4" t="str">
        <f t="shared" si="254"/>
        <v>Romper Short</v>
      </c>
      <c r="H2166" s="38">
        <f t="shared" si="250"/>
        <v>1</v>
      </c>
      <c r="I2166" s="54">
        <f t="shared" si="256"/>
        <v>2</v>
      </c>
      <c r="J2166" s="14" t="str">
        <f t="shared" si="251"/>
        <v>NewYear</v>
      </c>
      <c r="K2166" s="16" t="str">
        <f t="shared" si="252"/>
        <v>3-6</v>
      </c>
      <c r="L2166" s="14" t="str">
        <f t="shared" si="253"/>
        <v>Romper Short | 3-6 | White</v>
      </c>
      <c r="M2166" s="16" t="s">
        <v>3610</v>
      </c>
    </row>
    <row r="2167" spans="1:13" ht="25" customHeight="1" x14ac:dyDescent="0.45">
      <c r="A2167" s="18">
        <v>45669</v>
      </c>
      <c r="B2167" s="19" t="s">
        <v>2298</v>
      </c>
      <c r="C2167" s="23" t="s">
        <v>71</v>
      </c>
      <c r="D2167" s="53" t="str">
        <f t="shared" si="255"/>
        <v>Coffee</v>
      </c>
      <c r="E2167" s="21" t="s">
        <v>1828</v>
      </c>
      <c r="F2167" s="21" t="s">
        <v>7</v>
      </c>
      <c r="G2167" s="4" t="str">
        <f t="shared" si="254"/>
        <v>Romper Longer</v>
      </c>
      <c r="H2167" s="38">
        <f t="shared" si="250"/>
        <v>1</v>
      </c>
      <c r="I2167" s="54">
        <f t="shared" si="256"/>
        <v>3</v>
      </c>
      <c r="J2167" s="14" t="str">
        <f t="shared" si="251"/>
        <v>NewYear</v>
      </c>
      <c r="K2167" s="16" t="str">
        <f t="shared" si="252"/>
        <v>3-6</v>
      </c>
      <c r="L2167" s="14" t="str">
        <f t="shared" si="253"/>
        <v>Romper Longer | 3-6 | Coffee</v>
      </c>
      <c r="M2167" s="16" t="s">
        <v>3610</v>
      </c>
    </row>
    <row r="2168" spans="1:13" ht="25" customHeight="1" x14ac:dyDescent="0.45">
      <c r="A2168" s="18">
        <v>45670</v>
      </c>
      <c r="B2168" s="19" t="s">
        <v>2299</v>
      </c>
      <c r="C2168" s="23" t="s">
        <v>9</v>
      </c>
      <c r="D2168" s="53" t="str">
        <f t="shared" si="255"/>
        <v>Cream</v>
      </c>
      <c r="E2168" s="21" t="s">
        <v>1849</v>
      </c>
      <c r="F2168" s="21" t="s">
        <v>7</v>
      </c>
      <c r="G2168" s="4" t="str">
        <f t="shared" si="254"/>
        <v>Romper Short</v>
      </c>
      <c r="H2168" s="38">
        <f t="shared" ref="H2168:H2231" si="257">MONTH(A2168)</f>
        <v>1</v>
      </c>
      <c r="I2168" s="54">
        <f t="shared" si="256"/>
        <v>3</v>
      </c>
      <c r="J2168" s="14" t="str">
        <f t="shared" ref="J2168:J2231" si="258">IF(H2168=1,"NewYear",
IF(H2168=2,"Valentine",
IF(OR(H2168=3,H2168=4),"Easter",
IF(H2168=5,"MothersDay",
IF(H2168=6,"FathersDay",
IF(OR(H2168=7,H2168=8),"Summer",
IF(H2168=10,"Halloween",
IF(OR(H2168=11,H2168=12),"Christmas","Normal"))))))))</f>
        <v>NewYear</v>
      </c>
      <c r="K2168" s="16" t="str">
        <f t="shared" ref="K2168:K2231" si="259">TRIM(LEFT(E2168,FIND("(",E2168&amp;"(")-3))</f>
        <v>3-6</v>
      </c>
      <c r="L2168" s="14" t="str">
        <f t="shared" si="253"/>
        <v>Romper Short | 3-6 | Cream</v>
      </c>
      <c r="M2168" s="16" t="s">
        <v>3609</v>
      </c>
    </row>
    <row r="2169" spans="1:13" ht="25" customHeight="1" x14ac:dyDescent="0.45">
      <c r="A2169" s="18">
        <v>45671</v>
      </c>
      <c r="B2169" s="19" t="s">
        <v>2300</v>
      </c>
      <c r="C2169" s="23" t="s">
        <v>74</v>
      </c>
      <c r="D2169" s="53" t="str">
        <f t="shared" si="255"/>
        <v>Watermelon</v>
      </c>
      <c r="E2169" s="21" t="s">
        <v>1550</v>
      </c>
      <c r="F2169" s="21" t="s">
        <v>7</v>
      </c>
      <c r="G2169" s="4" t="str">
        <f t="shared" si="254"/>
        <v>Romper Longer</v>
      </c>
      <c r="H2169" s="38">
        <f t="shared" si="257"/>
        <v>1</v>
      </c>
      <c r="I2169" s="54">
        <f t="shared" si="256"/>
        <v>3</v>
      </c>
      <c r="J2169" s="14" t="str">
        <f t="shared" si="258"/>
        <v>NewYear</v>
      </c>
      <c r="K2169" s="16" t="str">
        <f t="shared" si="259"/>
        <v>12-18</v>
      </c>
      <c r="L2169" s="14" t="str">
        <f t="shared" si="253"/>
        <v>Romper Longer | 12-18 | Watermelon</v>
      </c>
      <c r="M2169" s="16" t="s">
        <v>3610</v>
      </c>
    </row>
    <row r="2170" spans="1:13" ht="25" customHeight="1" x14ac:dyDescent="0.45">
      <c r="A2170" s="18">
        <v>45672</v>
      </c>
      <c r="B2170" s="19" t="s">
        <v>2301</v>
      </c>
      <c r="C2170" s="23" t="s">
        <v>79</v>
      </c>
      <c r="D2170" s="53" t="str">
        <f t="shared" si="255"/>
        <v>White</v>
      </c>
      <c r="E2170" s="21" t="s">
        <v>1841</v>
      </c>
      <c r="F2170" s="21" t="s">
        <v>7</v>
      </c>
      <c r="G2170" s="4" t="str">
        <f t="shared" si="254"/>
        <v>Romper Longer</v>
      </c>
      <c r="H2170" s="38">
        <f t="shared" si="257"/>
        <v>1</v>
      </c>
      <c r="I2170" s="54">
        <f t="shared" si="256"/>
        <v>3</v>
      </c>
      <c r="J2170" s="14" t="str">
        <f t="shared" si="258"/>
        <v>NewYear</v>
      </c>
      <c r="K2170" s="16" t="str">
        <f t="shared" si="259"/>
        <v>6-12</v>
      </c>
      <c r="L2170" s="14" t="str">
        <f t="shared" si="253"/>
        <v>Romper Longer | 6-12 | White</v>
      </c>
      <c r="M2170" s="16" t="s">
        <v>3610</v>
      </c>
    </row>
    <row r="2171" spans="1:13" ht="25" customHeight="1" x14ac:dyDescent="0.45">
      <c r="A2171" s="18">
        <v>45673</v>
      </c>
      <c r="B2171" s="19" t="s">
        <v>2302</v>
      </c>
      <c r="C2171" s="23" t="s">
        <v>110</v>
      </c>
      <c r="D2171" s="53" t="str">
        <f t="shared" si="255"/>
        <v>Sage Green</v>
      </c>
      <c r="E2171" s="21" t="s">
        <v>1841</v>
      </c>
      <c r="F2171" s="21" t="s">
        <v>7</v>
      </c>
      <c r="G2171" s="4" t="str">
        <f t="shared" si="254"/>
        <v>Romper Longer</v>
      </c>
      <c r="H2171" s="38">
        <f t="shared" si="257"/>
        <v>1</v>
      </c>
      <c r="I2171" s="54">
        <f t="shared" si="256"/>
        <v>3</v>
      </c>
      <c r="J2171" s="14" t="str">
        <f t="shared" si="258"/>
        <v>NewYear</v>
      </c>
      <c r="K2171" s="16" t="str">
        <f t="shared" si="259"/>
        <v>6-12</v>
      </c>
      <c r="L2171" s="14" t="str">
        <f t="shared" si="253"/>
        <v>Romper Longer | 6-12 | Sage Green</v>
      </c>
      <c r="M2171" s="16" t="s">
        <v>3610</v>
      </c>
    </row>
    <row r="2172" spans="1:13" ht="25" customHeight="1" x14ac:dyDescent="0.45">
      <c r="A2172" s="18">
        <v>45674</v>
      </c>
      <c r="B2172" s="19" t="s">
        <v>2303</v>
      </c>
      <c r="C2172" s="23" t="s">
        <v>9</v>
      </c>
      <c r="D2172" s="53" t="str">
        <f t="shared" si="255"/>
        <v>Cream</v>
      </c>
      <c r="E2172" s="21" t="s">
        <v>1831</v>
      </c>
      <c r="F2172" s="21" t="s">
        <v>7</v>
      </c>
      <c r="G2172" s="4" t="str">
        <f t="shared" si="254"/>
        <v>Romper Longer</v>
      </c>
      <c r="H2172" s="38">
        <f t="shared" si="257"/>
        <v>1</v>
      </c>
      <c r="I2172" s="54">
        <f t="shared" si="256"/>
        <v>3</v>
      </c>
      <c r="J2172" s="14" t="str">
        <f t="shared" si="258"/>
        <v>NewYear</v>
      </c>
      <c r="K2172" s="16" t="str">
        <f t="shared" si="259"/>
        <v>0-3</v>
      </c>
      <c r="L2172" s="14" t="str">
        <f t="shared" si="253"/>
        <v>Romper Longer | 0-3 | Cream</v>
      </c>
      <c r="M2172" s="16" t="s">
        <v>3609</v>
      </c>
    </row>
    <row r="2173" spans="1:13" ht="25" customHeight="1" x14ac:dyDescent="0.45">
      <c r="A2173" s="18">
        <v>45675</v>
      </c>
      <c r="B2173" s="19" t="s">
        <v>2304</v>
      </c>
      <c r="C2173" s="23" t="s">
        <v>9</v>
      </c>
      <c r="D2173" s="53" t="str">
        <f t="shared" si="255"/>
        <v>Cream</v>
      </c>
      <c r="E2173" s="21" t="s">
        <v>1447</v>
      </c>
      <c r="F2173" s="21" t="s">
        <v>7</v>
      </c>
      <c r="G2173" s="4" t="str">
        <f t="shared" si="254"/>
        <v>Romper Longer</v>
      </c>
      <c r="H2173" s="38">
        <f t="shared" si="257"/>
        <v>1</v>
      </c>
      <c r="I2173" s="54">
        <f t="shared" si="256"/>
        <v>3</v>
      </c>
      <c r="J2173" s="14" t="str">
        <f t="shared" si="258"/>
        <v>NewYear</v>
      </c>
      <c r="K2173" s="16" t="str">
        <f t="shared" si="259"/>
        <v>18-24</v>
      </c>
      <c r="L2173" s="14" t="str">
        <f t="shared" si="253"/>
        <v>Romper Longer | 18-24 | Cream</v>
      </c>
      <c r="M2173" s="16" t="s">
        <v>3610</v>
      </c>
    </row>
    <row r="2174" spans="1:13" ht="25" customHeight="1" x14ac:dyDescent="0.45">
      <c r="A2174" s="18">
        <v>45676</v>
      </c>
      <c r="B2174" s="19" t="s">
        <v>2305</v>
      </c>
      <c r="C2174" s="23" t="s">
        <v>9</v>
      </c>
      <c r="D2174" s="53" t="str">
        <f t="shared" si="255"/>
        <v>Cream</v>
      </c>
      <c r="E2174" s="21" t="s">
        <v>1841</v>
      </c>
      <c r="F2174" s="21" t="s">
        <v>7</v>
      </c>
      <c r="G2174" s="4" t="str">
        <f t="shared" si="254"/>
        <v>Romper Longer</v>
      </c>
      <c r="H2174" s="38">
        <f t="shared" si="257"/>
        <v>1</v>
      </c>
      <c r="I2174" s="54">
        <f t="shared" si="256"/>
        <v>4</v>
      </c>
      <c r="J2174" s="14" t="str">
        <f t="shared" si="258"/>
        <v>NewYear</v>
      </c>
      <c r="K2174" s="16" t="str">
        <f t="shared" si="259"/>
        <v>6-12</v>
      </c>
      <c r="L2174" s="14" t="str">
        <f t="shared" si="253"/>
        <v>Romper Longer | 6-12 | Cream</v>
      </c>
      <c r="M2174" s="16" t="s">
        <v>3611</v>
      </c>
    </row>
    <row r="2175" spans="1:13" ht="25" customHeight="1" x14ac:dyDescent="0.45">
      <c r="A2175" s="18">
        <v>45677</v>
      </c>
      <c r="B2175" s="19" t="s">
        <v>2306</v>
      </c>
      <c r="C2175" s="23" t="s">
        <v>9</v>
      </c>
      <c r="D2175" s="53" t="str">
        <f t="shared" si="255"/>
        <v>Cream</v>
      </c>
      <c r="E2175" s="21" t="s">
        <v>1831</v>
      </c>
      <c r="F2175" s="21" t="s">
        <v>7</v>
      </c>
      <c r="G2175" s="4" t="str">
        <f t="shared" si="254"/>
        <v>Romper Longer</v>
      </c>
      <c r="H2175" s="38">
        <f t="shared" si="257"/>
        <v>1</v>
      </c>
      <c r="I2175" s="54">
        <f t="shared" si="256"/>
        <v>4</v>
      </c>
      <c r="J2175" s="14" t="str">
        <f t="shared" si="258"/>
        <v>NewYear</v>
      </c>
      <c r="K2175" s="16" t="str">
        <f t="shared" si="259"/>
        <v>0-3</v>
      </c>
      <c r="L2175" s="14" t="str">
        <f t="shared" si="253"/>
        <v>Romper Longer | 0-3 | Cream</v>
      </c>
      <c r="M2175" s="16" t="s">
        <v>3609</v>
      </c>
    </row>
    <row r="2176" spans="1:13" ht="25" customHeight="1" x14ac:dyDescent="0.45">
      <c r="A2176" s="18">
        <v>45678</v>
      </c>
      <c r="B2176" s="19" t="s">
        <v>2307</v>
      </c>
      <c r="C2176" s="23" t="s">
        <v>9</v>
      </c>
      <c r="D2176" s="53" t="str">
        <f t="shared" si="255"/>
        <v>Cream</v>
      </c>
      <c r="E2176" s="21" t="s">
        <v>1831</v>
      </c>
      <c r="F2176" s="21" t="s">
        <v>7</v>
      </c>
      <c r="G2176" s="4" t="str">
        <f t="shared" si="254"/>
        <v>Romper Longer</v>
      </c>
      <c r="H2176" s="38">
        <f t="shared" si="257"/>
        <v>1</v>
      </c>
      <c r="I2176" s="54">
        <f t="shared" si="256"/>
        <v>4</v>
      </c>
      <c r="J2176" s="14" t="str">
        <f t="shared" si="258"/>
        <v>NewYear</v>
      </c>
      <c r="K2176" s="16" t="str">
        <f t="shared" si="259"/>
        <v>0-3</v>
      </c>
      <c r="L2176" s="14" t="str">
        <f t="shared" si="253"/>
        <v>Romper Longer | 0-3 | Cream</v>
      </c>
      <c r="M2176" s="16" t="s">
        <v>3609</v>
      </c>
    </row>
    <row r="2177" spans="1:13" ht="25" customHeight="1" x14ac:dyDescent="0.45">
      <c r="A2177" s="18">
        <v>45679</v>
      </c>
      <c r="B2177" s="19" t="s">
        <v>2308</v>
      </c>
      <c r="C2177" s="23" t="s">
        <v>79</v>
      </c>
      <c r="D2177" s="53" t="str">
        <f t="shared" si="255"/>
        <v>White</v>
      </c>
      <c r="E2177" s="21" t="s">
        <v>1370</v>
      </c>
      <c r="F2177" s="21" t="s">
        <v>7</v>
      </c>
      <c r="G2177" s="4" t="str">
        <f t="shared" si="254"/>
        <v>Romper Short</v>
      </c>
      <c r="H2177" s="38">
        <f t="shared" si="257"/>
        <v>1</v>
      </c>
      <c r="I2177" s="54">
        <f t="shared" si="256"/>
        <v>4</v>
      </c>
      <c r="J2177" s="14" t="str">
        <f t="shared" si="258"/>
        <v>NewYear</v>
      </c>
      <c r="K2177" s="16" t="str">
        <f t="shared" si="259"/>
        <v>18-24</v>
      </c>
      <c r="L2177" s="14" t="str">
        <f t="shared" si="253"/>
        <v>Romper Short | 18-24 | White</v>
      </c>
      <c r="M2177" s="16" t="s">
        <v>3610</v>
      </c>
    </row>
    <row r="2178" spans="1:13" ht="25" customHeight="1" x14ac:dyDescent="0.45">
      <c r="A2178" s="18">
        <v>45680</v>
      </c>
      <c r="B2178" s="19" t="s">
        <v>2309</v>
      </c>
      <c r="C2178" s="31" t="s">
        <v>483</v>
      </c>
      <c r="D2178" s="53" t="str">
        <f t="shared" si="255"/>
        <v>Forest Green</v>
      </c>
      <c r="E2178" s="21" t="s">
        <v>1831</v>
      </c>
      <c r="F2178" s="21" t="s">
        <v>7</v>
      </c>
      <c r="G2178" s="4" t="str">
        <f t="shared" si="254"/>
        <v>Romper Longer</v>
      </c>
      <c r="H2178" s="38">
        <f t="shared" si="257"/>
        <v>1</v>
      </c>
      <c r="I2178" s="54">
        <f t="shared" si="256"/>
        <v>4</v>
      </c>
      <c r="J2178" s="14" t="str">
        <f t="shared" si="258"/>
        <v>NewYear</v>
      </c>
      <c r="K2178" s="16" t="str">
        <f t="shared" si="259"/>
        <v>0-3</v>
      </c>
      <c r="L2178" s="14" t="str">
        <f t="shared" ref="L2178:L2241" si="260">TRIM(G2178)&amp;" | "&amp;TRIM(K2178)&amp;" | "&amp;PROPER(TRIM(D2178))</f>
        <v>Romper Longer | 0-3 | Forest Green</v>
      </c>
      <c r="M2178" s="16" t="s">
        <v>3610</v>
      </c>
    </row>
    <row r="2179" spans="1:13" ht="25" customHeight="1" x14ac:dyDescent="0.45">
      <c r="A2179" s="18">
        <v>45681</v>
      </c>
      <c r="B2179" s="19" t="s">
        <v>2310</v>
      </c>
      <c r="C2179" s="23" t="s">
        <v>9</v>
      </c>
      <c r="D2179" s="53" t="str">
        <f t="shared" si="255"/>
        <v>Cream</v>
      </c>
      <c r="E2179" s="21" t="s">
        <v>1831</v>
      </c>
      <c r="F2179" s="21" t="s">
        <v>7</v>
      </c>
      <c r="G2179" s="4" t="str">
        <f t="shared" si="254"/>
        <v>Romper Longer</v>
      </c>
      <c r="H2179" s="38">
        <f t="shared" si="257"/>
        <v>1</v>
      </c>
      <c r="I2179" s="54">
        <f t="shared" si="256"/>
        <v>4</v>
      </c>
      <c r="J2179" s="14" t="str">
        <f t="shared" si="258"/>
        <v>NewYear</v>
      </c>
      <c r="K2179" s="16" t="str">
        <f t="shared" si="259"/>
        <v>0-3</v>
      </c>
      <c r="L2179" s="14" t="str">
        <f t="shared" si="260"/>
        <v>Romper Longer | 0-3 | Cream</v>
      </c>
      <c r="M2179" s="16" t="s">
        <v>3609</v>
      </c>
    </row>
    <row r="2180" spans="1:13" ht="25" customHeight="1" x14ac:dyDescent="0.45">
      <c r="A2180" s="18">
        <v>45682</v>
      </c>
      <c r="B2180" s="19" t="s">
        <v>2311</v>
      </c>
      <c r="C2180" s="23" t="s">
        <v>9</v>
      </c>
      <c r="D2180" s="53" t="str">
        <f t="shared" si="255"/>
        <v>Cream</v>
      </c>
      <c r="E2180" s="21" t="s">
        <v>1849</v>
      </c>
      <c r="F2180" s="21" t="s">
        <v>7</v>
      </c>
      <c r="G2180" s="4" t="str">
        <f t="shared" si="254"/>
        <v>Romper Short</v>
      </c>
      <c r="H2180" s="38">
        <f t="shared" si="257"/>
        <v>1</v>
      </c>
      <c r="I2180" s="54">
        <f t="shared" si="256"/>
        <v>4</v>
      </c>
      <c r="J2180" s="14" t="str">
        <f t="shared" si="258"/>
        <v>NewYear</v>
      </c>
      <c r="K2180" s="16" t="str">
        <f t="shared" si="259"/>
        <v>3-6</v>
      </c>
      <c r="L2180" s="14" t="str">
        <f t="shared" si="260"/>
        <v>Romper Short | 3-6 | Cream</v>
      </c>
      <c r="M2180" s="16" t="s">
        <v>3609</v>
      </c>
    </row>
    <row r="2181" spans="1:13" ht="25" customHeight="1" x14ac:dyDescent="0.45">
      <c r="A2181" s="18">
        <v>45683</v>
      </c>
      <c r="B2181" s="19" t="s">
        <v>2312</v>
      </c>
      <c r="C2181" s="23" t="s">
        <v>81</v>
      </c>
      <c r="D2181" s="53" t="str">
        <f t="shared" si="255"/>
        <v>Dusty Pink</v>
      </c>
      <c r="E2181" s="21" t="s">
        <v>1831</v>
      </c>
      <c r="F2181" s="21" t="s">
        <v>7</v>
      </c>
      <c r="G2181" s="4" t="str">
        <f t="shared" si="254"/>
        <v>Romper Longer</v>
      </c>
      <c r="H2181" s="38">
        <f t="shared" si="257"/>
        <v>1</v>
      </c>
      <c r="I2181" s="54">
        <f t="shared" si="256"/>
        <v>5</v>
      </c>
      <c r="J2181" s="14" t="str">
        <f t="shared" si="258"/>
        <v>NewYear</v>
      </c>
      <c r="K2181" s="16" t="str">
        <f t="shared" si="259"/>
        <v>0-3</v>
      </c>
      <c r="L2181" s="14" t="str">
        <f t="shared" si="260"/>
        <v>Romper Longer | 0-3 | Dusty Pink</v>
      </c>
      <c r="M2181" s="16" t="s">
        <v>3610</v>
      </c>
    </row>
    <row r="2182" spans="1:13" ht="25" customHeight="1" x14ac:dyDescent="0.45">
      <c r="A2182" s="18">
        <v>45684</v>
      </c>
      <c r="B2182" s="19" t="s">
        <v>2313</v>
      </c>
      <c r="C2182" s="23" t="s">
        <v>9</v>
      </c>
      <c r="D2182" s="53" t="str">
        <f t="shared" si="255"/>
        <v>Cream</v>
      </c>
      <c r="E2182" s="21" t="s">
        <v>1831</v>
      </c>
      <c r="F2182" s="21" t="s">
        <v>7</v>
      </c>
      <c r="G2182" s="4" t="str">
        <f t="shared" si="254"/>
        <v>Romper Longer</v>
      </c>
      <c r="H2182" s="38">
        <f t="shared" si="257"/>
        <v>1</v>
      </c>
      <c r="I2182" s="54">
        <f t="shared" si="256"/>
        <v>5</v>
      </c>
      <c r="J2182" s="14" t="str">
        <f t="shared" si="258"/>
        <v>NewYear</v>
      </c>
      <c r="K2182" s="16" t="str">
        <f t="shared" si="259"/>
        <v>0-3</v>
      </c>
      <c r="L2182" s="14" t="str">
        <f t="shared" si="260"/>
        <v>Romper Longer | 0-3 | Cream</v>
      </c>
      <c r="M2182" s="16" t="s">
        <v>3609</v>
      </c>
    </row>
    <row r="2183" spans="1:13" ht="25" customHeight="1" x14ac:dyDescent="0.45">
      <c r="A2183" s="18">
        <v>45685</v>
      </c>
      <c r="B2183" s="19" t="s">
        <v>2314</v>
      </c>
      <c r="C2183" s="23" t="s">
        <v>76</v>
      </c>
      <c r="D2183" s="53" t="str">
        <f t="shared" si="255"/>
        <v>Caldet Blue</v>
      </c>
      <c r="E2183" s="21" t="s">
        <v>1831</v>
      </c>
      <c r="F2183" s="21" t="s">
        <v>7</v>
      </c>
      <c r="G2183" s="4" t="str">
        <f t="shared" si="254"/>
        <v>Romper Longer</v>
      </c>
      <c r="H2183" s="38">
        <f t="shared" si="257"/>
        <v>1</v>
      </c>
      <c r="I2183" s="54">
        <f t="shared" si="256"/>
        <v>5</v>
      </c>
      <c r="J2183" s="14" t="str">
        <f t="shared" si="258"/>
        <v>NewYear</v>
      </c>
      <c r="K2183" s="16" t="str">
        <f t="shared" si="259"/>
        <v>0-3</v>
      </c>
      <c r="L2183" s="14" t="str">
        <f t="shared" si="260"/>
        <v>Romper Longer | 0-3 | Caldet Blue</v>
      </c>
      <c r="M2183" s="16" t="s">
        <v>3610</v>
      </c>
    </row>
    <row r="2184" spans="1:13" ht="25" customHeight="1" x14ac:dyDescent="0.45">
      <c r="A2184" s="18">
        <v>45686</v>
      </c>
      <c r="B2184" s="19" t="s">
        <v>2315</v>
      </c>
      <c r="C2184" s="23" t="s">
        <v>9</v>
      </c>
      <c r="D2184" s="53" t="str">
        <f t="shared" si="255"/>
        <v>Cream</v>
      </c>
      <c r="E2184" s="21" t="s">
        <v>1447</v>
      </c>
      <c r="F2184" s="21" t="s">
        <v>7</v>
      </c>
      <c r="G2184" s="4" t="str">
        <f t="shared" si="254"/>
        <v>Romper Longer</v>
      </c>
      <c r="H2184" s="38">
        <f t="shared" si="257"/>
        <v>1</v>
      </c>
      <c r="I2184" s="54">
        <f t="shared" si="256"/>
        <v>5</v>
      </c>
      <c r="J2184" s="14" t="str">
        <f t="shared" si="258"/>
        <v>NewYear</v>
      </c>
      <c r="K2184" s="16" t="str">
        <f t="shared" si="259"/>
        <v>18-24</v>
      </c>
      <c r="L2184" s="14" t="str">
        <f t="shared" si="260"/>
        <v>Romper Longer | 18-24 | Cream</v>
      </c>
      <c r="M2184" s="16" t="s">
        <v>3610</v>
      </c>
    </row>
    <row r="2185" spans="1:13" ht="25" customHeight="1" x14ac:dyDescent="0.45">
      <c r="A2185" s="18">
        <v>45687</v>
      </c>
      <c r="B2185" s="19" t="s">
        <v>2316</v>
      </c>
      <c r="C2185" s="23" t="s">
        <v>76</v>
      </c>
      <c r="D2185" s="53" t="str">
        <f t="shared" si="255"/>
        <v>Caldet Blue</v>
      </c>
      <c r="E2185" s="21" t="s">
        <v>1420</v>
      </c>
      <c r="F2185" s="21" t="s">
        <v>7</v>
      </c>
      <c r="G2185" s="4" t="str">
        <f t="shared" si="254"/>
        <v>Romper Short</v>
      </c>
      <c r="H2185" s="38">
        <f t="shared" si="257"/>
        <v>1</v>
      </c>
      <c r="I2185" s="54">
        <f t="shared" si="256"/>
        <v>5</v>
      </c>
      <c r="J2185" s="14" t="str">
        <f t="shared" si="258"/>
        <v>NewYear</v>
      </c>
      <c r="K2185" s="16" t="str">
        <f t="shared" si="259"/>
        <v>6-12</v>
      </c>
      <c r="L2185" s="14" t="str">
        <f t="shared" si="260"/>
        <v>Romper Short | 6-12 | Caldet Blue</v>
      </c>
      <c r="M2185" s="16" t="s">
        <v>3610</v>
      </c>
    </row>
    <row r="2186" spans="1:13" ht="25" customHeight="1" x14ac:dyDescent="0.45">
      <c r="A2186" s="18">
        <v>45688</v>
      </c>
      <c r="B2186" s="19" t="s">
        <v>2239</v>
      </c>
      <c r="C2186" s="23" t="s">
        <v>71</v>
      </c>
      <c r="D2186" s="53" t="str">
        <f t="shared" si="255"/>
        <v>Coffee</v>
      </c>
      <c r="E2186" s="21" t="s">
        <v>1828</v>
      </c>
      <c r="F2186" s="21" t="s">
        <v>7</v>
      </c>
      <c r="G2186" s="4" t="str">
        <f t="shared" si="254"/>
        <v>Romper Longer</v>
      </c>
      <c r="H2186" s="38">
        <f t="shared" si="257"/>
        <v>1</v>
      </c>
      <c r="I2186" s="54">
        <f t="shared" si="256"/>
        <v>5</v>
      </c>
      <c r="J2186" s="14" t="str">
        <f t="shared" si="258"/>
        <v>NewYear</v>
      </c>
      <c r="K2186" s="16" t="str">
        <f t="shared" si="259"/>
        <v>3-6</v>
      </c>
      <c r="L2186" s="14" t="str">
        <f t="shared" si="260"/>
        <v>Romper Longer | 3-6 | Coffee</v>
      </c>
      <c r="M2186" s="16" t="s">
        <v>3610</v>
      </c>
    </row>
    <row r="2187" spans="1:13" ht="25" customHeight="1" x14ac:dyDescent="0.45">
      <c r="A2187" s="18">
        <v>45689</v>
      </c>
      <c r="B2187" s="19" t="s">
        <v>2317</v>
      </c>
      <c r="C2187" s="23" t="s">
        <v>85</v>
      </c>
      <c r="D2187" s="53" t="str">
        <f t="shared" si="255"/>
        <v>Forest Green</v>
      </c>
      <c r="E2187" s="21" t="s">
        <v>1831</v>
      </c>
      <c r="F2187" s="21" t="s">
        <v>7</v>
      </c>
      <c r="G2187" s="4" t="str">
        <f t="shared" si="254"/>
        <v>Romper Longer</v>
      </c>
      <c r="H2187" s="38">
        <f t="shared" si="257"/>
        <v>2</v>
      </c>
      <c r="I2187" s="54">
        <f t="shared" si="256"/>
        <v>5</v>
      </c>
      <c r="J2187" s="14" t="str">
        <f t="shared" si="258"/>
        <v>Valentine</v>
      </c>
      <c r="K2187" s="16" t="str">
        <f t="shared" si="259"/>
        <v>0-3</v>
      </c>
      <c r="L2187" s="14" t="str">
        <f t="shared" si="260"/>
        <v>Romper Longer | 0-3 | Forest Green</v>
      </c>
      <c r="M2187" s="16" t="s">
        <v>3610</v>
      </c>
    </row>
    <row r="2188" spans="1:13" ht="25" customHeight="1" x14ac:dyDescent="0.45">
      <c r="A2188" s="18">
        <v>45690</v>
      </c>
      <c r="B2188" s="19" t="s">
        <v>2318</v>
      </c>
      <c r="C2188" s="23" t="s">
        <v>407</v>
      </c>
      <c r="D2188" s="53" t="str">
        <f t="shared" si="255"/>
        <v>Texas Orange</v>
      </c>
      <c r="E2188" s="21" t="s">
        <v>1550</v>
      </c>
      <c r="F2188" s="21" t="s">
        <v>7</v>
      </c>
      <c r="G2188" s="4" t="str">
        <f t="shared" si="254"/>
        <v>Romper Longer</v>
      </c>
      <c r="H2188" s="38">
        <f t="shared" si="257"/>
        <v>2</v>
      </c>
      <c r="I2188" s="54">
        <f t="shared" si="256"/>
        <v>6</v>
      </c>
      <c r="J2188" s="14" t="str">
        <f t="shared" si="258"/>
        <v>Valentine</v>
      </c>
      <c r="K2188" s="16" t="str">
        <f t="shared" si="259"/>
        <v>12-18</v>
      </c>
      <c r="L2188" s="14" t="str">
        <f t="shared" si="260"/>
        <v>Romper Longer | 12-18 | Texas Orange</v>
      </c>
      <c r="M2188" s="16" t="s">
        <v>3610</v>
      </c>
    </row>
    <row r="2189" spans="1:13" ht="25" customHeight="1" x14ac:dyDescent="0.45">
      <c r="A2189" s="18">
        <v>45691</v>
      </c>
      <c r="B2189" s="19" t="s">
        <v>2319</v>
      </c>
      <c r="C2189" s="23" t="s">
        <v>9</v>
      </c>
      <c r="D2189" s="53" t="str">
        <f t="shared" si="255"/>
        <v>Cream</v>
      </c>
      <c r="E2189" s="21" t="s">
        <v>1831</v>
      </c>
      <c r="F2189" s="21" t="s">
        <v>7</v>
      </c>
      <c r="G2189" s="4" t="str">
        <f t="shared" si="254"/>
        <v>Romper Longer</v>
      </c>
      <c r="H2189" s="38">
        <f t="shared" si="257"/>
        <v>2</v>
      </c>
      <c r="I2189" s="54">
        <f t="shared" si="256"/>
        <v>6</v>
      </c>
      <c r="J2189" s="14" t="str">
        <f t="shared" si="258"/>
        <v>Valentine</v>
      </c>
      <c r="K2189" s="16" t="str">
        <f t="shared" si="259"/>
        <v>0-3</v>
      </c>
      <c r="L2189" s="14" t="str">
        <f t="shared" si="260"/>
        <v>Romper Longer | 0-3 | Cream</v>
      </c>
      <c r="M2189" s="16" t="s">
        <v>3609</v>
      </c>
    </row>
    <row r="2190" spans="1:13" ht="25" customHeight="1" x14ac:dyDescent="0.45">
      <c r="A2190" s="18">
        <v>45692</v>
      </c>
      <c r="B2190" s="19" t="s">
        <v>2320</v>
      </c>
      <c r="C2190" s="23" t="s">
        <v>9</v>
      </c>
      <c r="D2190" s="53" t="str">
        <f t="shared" si="255"/>
        <v>Cream</v>
      </c>
      <c r="E2190" s="21" t="s">
        <v>1841</v>
      </c>
      <c r="F2190" s="21" t="s">
        <v>7</v>
      </c>
      <c r="G2190" s="4" t="str">
        <f t="shared" si="254"/>
        <v>Romper Longer</v>
      </c>
      <c r="H2190" s="38">
        <f t="shared" si="257"/>
        <v>2</v>
      </c>
      <c r="I2190" s="54">
        <f t="shared" si="256"/>
        <v>6</v>
      </c>
      <c r="J2190" s="14" t="str">
        <f t="shared" si="258"/>
        <v>Valentine</v>
      </c>
      <c r="K2190" s="16" t="str">
        <f t="shared" si="259"/>
        <v>6-12</v>
      </c>
      <c r="L2190" s="14" t="str">
        <f t="shared" si="260"/>
        <v>Romper Longer | 6-12 | Cream</v>
      </c>
      <c r="M2190" s="16" t="s">
        <v>3611</v>
      </c>
    </row>
    <row r="2191" spans="1:13" ht="25" customHeight="1" x14ac:dyDescent="0.45">
      <c r="A2191" s="18">
        <v>45693</v>
      </c>
      <c r="B2191" s="19" t="s">
        <v>2321</v>
      </c>
      <c r="C2191" s="23" t="s">
        <v>9</v>
      </c>
      <c r="D2191" s="53" t="str">
        <f t="shared" si="255"/>
        <v>Cream</v>
      </c>
      <c r="E2191" s="21" t="s">
        <v>1849</v>
      </c>
      <c r="F2191" s="21" t="s">
        <v>7</v>
      </c>
      <c r="G2191" s="4" t="str">
        <f t="shared" ref="G2191:G2254" si="261">IF(ISNUMBER(SEARCH("LONG",E2191)),"Romper Longer",IF(ISNUMBER(SEARCH("SHORT",E2191)),"Romper Short","Bodysuit"))</f>
        <v>Romper Short</v>
      </c>
      <c r="H2191" s="38">
        <f t="shared" si="257"/>
        <v>2</v>
      </c>
      <c r="I2191" s="54">
        <f t="shared" si="256"/>
        <v>6</v>
      </c>
      <c r="J2191" s="14" t="str">
        <f t="shared" si="258"/>
        <v>Valentine</v>
      </c>
      <c r="K2191" s="16" t="str">
        <f t="shared" si="259"/>
        <v>3-6</v>
      </c>
      <c r="L2191" s="14" t="str">
        <f t="shared" si="260"/>
        <v>Romper Short | 3-6 | Cream</v>
      </c>
      <c r="M2191" s="16" t="s">
        <v>3609</v>
      </c>
    </row>
    <row r="2192" spans="1:13" ht="25" customHeight="1" x14ac:dyDescent="0.45">
      <c r="A2192" s="18">
        <v>45694</v>
      </c>
      <c r="B2192" s="19" t="s">
        <v>2322</v>
      </c>
      <c r="C2192" s="23" t="s">
        <v>79</v>
      </c>
      <c r="D2192" s="53" t="str">
        <f t="shared" si="255"/>
        <v>White</v>
      </c>
      <c r="E2192" s="21" t="s">
        <v>1834</v>
      </c>
      <c r="F2192" s="21" t="s">
        <v>7</v>
      </c>
      <c r="G2192" s="4" t="str">
        <f t="shared" si="261"/>
        <v>Romper Short</v>
      </c>
      <c r="H2192" s="38">
        <f t="shared" si="257"/>
        <v>2</v>
      </c>
      <c r="I2192" s="54">
        <f t="shared" si="256"/>
        <v>6</v>
      </c>
      <c r="J2192" s="14" t="str">
        <f t="shared" si="258"/>
        <v>Valentine</v>
      </c>
      <c r="K2192" s="16" t="str">
        <f t="shared" si="259"/>
        <v>0-3</v>
      </c>
      <c r="L2192" s="14" t="str">
        <f t="shared" si="260"/>
        <v>Romper Short | 0-3 | White</v>
      </c>
      <c r="M2192" s="16" t="s">
        <v>3610</v>
      </c>
    </row>
    <row r="2193" spans="1:13" ht="25" customHeight="1" x14ac:dyDescent="0.45">
      <c r="A2193" s="18">
        <v>45695</v>
      </c>
      <c r="B2193" s="19" t="s">
        <v>2323</v>
      </c>
      <c r="C2193" s="23" t="s">
        <v>9</v>
      </c>
      <c r="D2193" s="53" t="str">
        <f t="shared" si="255"/>
        <v>Cream</v>
      </c>
      <c r="E2193" s="21" t="s">
        <v>1828</v>
      </c>
      <c r="F2193" s="21" t="s">
        <v>7</v>
      </c>
      <c r="G2193" s="4" t="str">
        <f t="shared" si="261"/>
        <v>Romper Longer</v>
      </c>
      <c r="H2193" s="38">
        <f t="shared" si="257"/>
        <v>2</v>
      </c>
      <c r="I2193" s="54">
        <f t="shared" si="256"/>
        <v>6</v>
      </c>
      <c r="J2193" s="14" t="str">
        <f t="shared" si="258"/>
        <v>Valentine</v>
      </c>
      <c r="K2193" s="16" t="str">
        <f t="shared" si="259"/>
        <v>3-6</v>
      </c>
      <c r="L2193" s="14" t="str">
        <f t="shared" si="260"/>
        <v>Romper Longer | 3-6 | Cream</v>
      </c>
      <c r="M2193" s="16" t="s">
        <v>3609</v>
      </c>
    </row>
    <row r="2194" spans="1:13" ht="25" customHeight="1" x14ac:dyDescent="0.45">
      <c r="A2194" s="18">
        <v>45696</v>
      </c>
      <c r="B2194" s="19" t="s">
        <v>2272</v>
      </c>
      <c r="C2194" s="23" t="s">
        <v>76</v>
      </c>
      <c r="D2194" s="53" t="str">
        <f t="shared" si="255"/>
        <v>Caldet Blue</v>
      </c>
      <c r="E2194" s="21" t="s">
        <v>1828</v>
      </c>
      <c r="F2194" s="21" t="s">
        <v>7</v>
      </c>
      <c r="G2194" s="4" t="str">
        <f t="shared" si="261"/>
        <v>Romper Longer</v>
      </c>
      <c r="H2194" s="38">
        <f t="shared" si="257"/>
        <v>2</v>
      </c>
      <c r="I2194" s="54">
        <f t="shared" si="256"/>
        <v>6</v>
      </c>
      <c r="J2194" s="14" t="str">
        <f t="shared" si="258"/>
        <v>Valentine</v>
      </c>
      <c r="K2194" s="16" t="str">
        <f t="shared" si="259"/>
        <v>3-6</v>
      </c>
      <c r="L2194" s="14" t="str">
        <f t="shared" si="260"/>
        <v>Romper Longer | 3-6 | Caldet Blue</v>
      </c>
      <c r="M2194" s="16" t="s">
        <v>3610</v>
      </c>
    </row>
    <row r="2195" spans="1:13" ht="25" customHeight="1" x14ac:dyDescent="0.45">
      <c r="A2195" s="18">
        <v>45697</v>
      </c>
      <c r="B2195" s="19" t="s">
        <v>2324</v>
      </c>
      <c r="C2195" s="23" t="s">
        <v>110</v>
      </c>
      <c r="D2195" s="53" t="str">
        <f t="shared" ref="D2195:D2258" si="262">PROPER(C2195)</f>
        <v>Sage Green</v>
      </c>
      <c r="E2195" s="21" t="s">
        <v>1831</v>
      </c>
      <c r="F2195" s="21" t="s">
        <v>7</v>
      </c>
      <c r="G2195" s="4" t="str">
        <f t="shared" si="261"/>
        <v>Romper Longer</v>
      </c>
      <c r="H2195" s="38">
        <f t="shared" si="257"/>
        <v>2</v>
      </c>
      <c r="I2195" s="54">
        <f t="shared" si="256"/>
        <v>7</v>
      </c>
      <c r="J2195" s="14" t="str">
        <f t="shared" si="258"/>
        <v>Valentine</v>
      </c>
      <c r="K2195" s="16" t="str">
        <f t="shared" si="259"/>
        <v>0-3</v>
      </c>
      <c r="L2195" s="14" t="str">
        <f t="shared" si="260"/>
        <v>Romper Longer | 0-3 | Sage Green</v>
      </c>
      <c r="M2195" s="16" t="s">
        <v>3611</v>
      </c>
    </row>
    <row r="2196" spans="1:13" ht="25" customHeight="1" x14ac:dyDescent="0.45">
      <c r="A2196" s="18">
        <v>45698</v>
      </c>
      <c r="B2196" s="19" t="s">
        <v>2325</v>
      </c>
      <c r="C2196" s="23" t="s">
        <v>9</v>
      </c>
      <c r="D2196" s="53" t="str">
        <f t="shared" si="262"/>
        <v>Cream</v>
      </c>
      <c r="E2196" s="21" t="s">
        <v>1831</v>
      </c>
      <c r="F2196" s="21" t="s">
        <v>7</v>
      </c>
      <c r="G2196" s="4" t="str">
        <f t="shared" si="261"/>
        <v>Romper Longer</v>
      </c>
      <c r="H2196" s="38">
        <f t="shared" si="257"/>
        <v>2</v>
      </c>
      <c r="I2196" s="54">
        <f t="shared" si="256"/>
        <v>7</v>
      </c>
      <c r="J2196" s="14" t="str">
        <f t="shared" si="258"/>
        <v>Valentine</v>
      </c>
      <c r="K2196" s="16" t="str">
        <f t="shared" si="259"/>
        <v>0-3</v>
      </c>
      <c r="L2196" s="14" t="str">
        <f t="shared" si="260"/>
        <v>Romper Longer | 0-3 | Cream</v>
      </c>
      <c r="M2196" s="16" t="s">
        <v>3609</v>
      </c>
    </row>
    <row r="2197" spans="1:13" ht="25" customHeight="1" x14ac:dyDescent="0.45">
      <c r="A2197" s="18">
        <v>45699</v>
      </c>
      <c r="B2197" s="19" t="s">
        <v>2326</v>
      </c>
      <c r="C2197" s="23" t="s">
        <v>76</v>
      </c>
      <c r="D2197" s="53" t="str">
        <f t="shared" si="262"/>
        <v>Caldet Blue</v>
      </c>
      <c r="E2197" s="21" t="s">
        <v>1841</v>
      </c>
      <c r="F2197" s="21" t="s">
        <v>7</v>
      </c>
      <c r="G2197" s="4" t="str">
        <f t="shared" si="261"/>
        <v>Romper Longer</v>
      </c>
      <c r="H2197" s="38">
        <f t="shared" si="257"/>
        <v>2</v>
      </c>
      <c r="I2197" s="54">
        <f t="shared" si="256"/>
        <v>7</v>
      </c>
      <c r="J2197" s="14" t="str">
        <f t="shared" si="258"/>
        <v>Valentine</v>
      </c>
      <c r="K2197" s="16" t="str">
        <f t="shared" si="259"/>
        <v>6-12</v>
      </c>
      <c r="L2197" s="14" t="str">
        <f t="shared" si="260"/>
        <v>Romper Longer | 6-12 | Caldet Blue</v>
      </c>
      <c r="M2197" s="16" t="s">
        <v>3610</v>
      </c>
    </row>
    <row r="2198" spans="1:13" ht="25" customHeight="1" x14ac:dyDescent="0.45">
      <c r="A2198" s="18">
        <v>45700</v>
      </c>
      <c r="B2198" s="19" t="s">
        <v>2327</v>
      </c>
      <c r="C2198" s="23" t="s">
        <v>9</v>
      </c>
      <c r="D2198" s="53" t="str">
        <f t="shared" si="262"/>
        <v>Cream</v>
      </c>
      <c r="E2198" s="21" t="s">
        <v>1828</v>
      </c>
      <c r="F2198" s="21" t="s">
        <v>7</v>
      </c>
      <c r="G2198" s="4" t="str">
        <f t="shared" si="261"/>
        <v>Romper Longer</v>
      </c>
      <c r="H2198" s="38">
        <f t="shared" si="257"/>
        <v>2</v>
      </c>
      <c r="I2198" s="54">
        <f t="shared" si="256"/>
        <v>7</v>
      </c>
      <c r="J2198" s="14" t="str">
        <f t="shared" si="258"/>
        <v>Valentine</v>
      </c>
      <c r="K2198" s="16" t="str">
        <f t="shared" si="259"/>
        <v>3-6</v>
      </c>
      <c r="L2198" s="14" t="str">
        <f t="shared" si="260"/>
        <v>Romper Longer | 3-6 | Cream</v>
      </c>
      <c r="M2198" s="16" t="s">
        <v>3609</v>
      </c>
    </row>
    <row r="2199" spans="1:13" ht="25" customHeight="1" x14ac:dyDescent="0.45">
      <c r="A2199" s="18">
        <v>45701</v>
      </c>
      <c r="B2199" s="19" t="s">
        <v>2328</v>
      </c>
      <c r="C2199" s="23" t="s">
        <v>9</v>
      </c>
      <c r="D2199" s="53" t="str">
        <f t="shared" si="262"/>
        <v>Cream</v>
      </c>
      <c r="E2199" s="21" t="s">
        <v>1849</v>
      </c>
      <c r="F2199" s="21" t="s">
        <v>7</v>
      </c>
      <c r="G2199" s="4" t="str">
        <f t="shared" si="261"/>
        <v>Romper Short</v>
      </c>
      <c r="H2199" s="38">
        <f t="shared" si="257"/>
        <v>2</v>
      </c>
      <c r="I2199" s="54">
        <f t="shared" si="256"/>
        <v>7</v>
      </c>
      <c r="J2199" s="14" t="str">
        <f t="shared" si="258"/>
        <v>Valentine</v>
      </c>
      <c r="K2199" s="16" t="str">
        <f t="shared" si="259"/>
        <v>3-6</v>
      </c>
      <c r="L2199" s="14" t="str">
        <f t="shared" si="260"/>
        <v>Romper Short | 3-6 | Cream</v>
      </c>
      <c r="M2199" s="16" t="s">
        <v>3609</v>
      </c>
    </row>
    <row r="2200" spans="1:13" ht="25" customHeight="1" x14ac:dyDescent="0.45">
      <c r="A2200" s="18">
        <v>45702</v>
      </c>
      <c r="B2200" s="19" t="s">
        <v>2329</v>
      </c>
      <c r="C2200" s="23" t="s">
        <v>76</v>
      </c>
      <c r="D2200" s="53" t="str">
        <f t="shared" si="262"/>
        <v>Caldet Blue</v>
      </c>
      <c r="E2200" s="21" t="s">
        <v>1841</v>
      </c>
      <c r="F2200" s="21" t="s">
        <v>7</v>
      </c>
      <c r="G2200" s="4" t="str">
        <f t="shared" si="261"/>
        <v>Romper Longer</v>
      </c>
      <c r="H2200" s="38">
        <f t="shared" si="257"/>
        <v>2</v>
      </c>
      <c r="I2200" s="54">
        <f t="shared" si="256"/>
        <v>7</v>
      </c>
      <c r="J2200" s="14" t="str">
        <f t="shared" si="258"/>
        <v>Valentine</v>
      </c>
      <c r="K2200" s="16" t="str">
        <f t="shared" si="259"/>
        <v>6-12</v>
      </c>
      <c r="L2200" s="14" t="str">
        <f t="shared" si="260"/>
        <v>Romper Longer | 6-12 | Caldet Blue</v>
      </c>
      <c r="M2200" s="16" t="s">
        <v>3610</v>
      </c>
    </row>
    <row r="2201" spans="1:13" ht="25" customHeight="1" x14ac:dyDescent="0.45">
      <c r="A2201" s="18">
        <v>45703</v>
      </c>
      <c r="B2201" s="19" t="s">
        <v>2330</v>
      </c>
      <c r="C2201" s="23" t="s">
        <v>9</v>
      </c>
      <c r="D2201" s="53" t="str">
        <f t="shared" si="262"/>
        <v>Cream</v>
      </c>
      <c r="E2201" s="21" t="s">
        <v>1828</v>
      </c>
      <c r="F2201" s="21" t="s">
        <v>7</v>
      </c>
      <c r="G2201" s="4" t="str">
        <f t="shared" si="261"/>
        <v>Romper Longer</v>
      </c>
      <c r="H2201" s="38">
        <f t="shared" si="257"/>
        <v>2</v>
      </c>
      <c r="I2201" s="54">
        <f t="shared" si="256"/>
        <v>7</v>
      </c>
      <c r="J2201" s="14" t="str">
        <f t="shared" si="258"/>
        <v>Valentine</v>
      </c>
      <c r="K2201" s="16" t="str">
        <f t="shared" si="259"/>
        <v>3-6</v>
      </c>
      <c r="L2201" s="14" t="str">
        <f t="shared" si="260"/>
        <v>Romper Longer | 3-6 | Cream</v>
      </c>
      <c r="M2201" s="16" t="s">
        <v>3609</v>
      </c>
    </row>
    <row r="2202" spans="1:13" ht="25" customHeight="1" x14ac:dyDescent="0.45">
      <c r="A2202" s="18">
        <v>45704</v>
      </c>
      <c r="B2202" s="19" t="s">
        <v>2331</v>
      </c>
      <c r="C2202" s="23" t="s">
        <v>9</v>
      </c>
      <c r="D2202" s="53" t="str">
        <f t="shared" si="262"/>
        <v>Cream</v>
      </c>
      <c r="E2202" s="21" t="s">
        <v>1447</v>
      </c>
      <c r="F2202" s="21" t="s">
        <v>7</v>
      </c>
      <c r="G2202" s="4" t="str">
        <f t="shared" si="261"/>
        <v>Romper Longer</v>
      </c>
      <c r="H2202" s="38">
        <f t="shared" si="257"/>
        <v>2</v>
      </c>
      <c r="I2202" s="54">
        <f t="shared" si="256"/>
        <v>8</v>
      </c>
      <c r="J2202" s="14" t="str">
        <f t="shared" si="258"/>
        <v>Valentine</v>
      </c>
      <c r="K2202" s="16" t="str">
        <f t="shared" si="259"/>
        <v>18-24</v>
      </c>
      <c r="L2202" s="14" t="str">
        <f t="shared" si="260"/>
        <v>Romper Longer | 18-24 | Cream</v>
      </c>
      <c r="M2202" s="16" t="s">
        <v>3610</v>
      </c>
    </row>
    <row r="2203" spans="1:13" ht="25" customHeight="1" x14ac:dyDescent="0.45">
      <c r="A2203" s="18">
        <v>45705</v>
      </c>
      <c r="B2203" s="19" t="s">
        <v>2332</v>
      </c>
      <c r="C2203" s="23" t="s">
        <v>9</v>
      </c>
      <c r="D2203" s="53" t="str">
        <f t="shared" si="262"/>
        <v>Cream</v>
      </c>
      <c r="E2203" s="21" t="s">
        <v>1849</v>
      </c>
      <c r="F2203" s="21" t="s">
        <v>7</v>
      </c>
      <c r="G2203" s="4" t="str">
        <f t="shared" si="261"/>
        <v>Romper Short</v>
      </c>
      <c r="H2203" s="38">
        <f t="shared" si="257"/>
        <v>2</v>
      </c>
      <c r="I2203" s="54">
        <f t="shared" si="256"/>
        <v>8</v>
      </c>
      <c r="J2203" s="14" t="str">
        <f t="shared" si="258"/>
        <v>Valentine</v>
      </c>
      <c r="K2203" s="16" t="str">
        <f t="shared" si="259"/>
        <v>3-6</v>
      </c>
      <c r="L2203" s="14" t="str">
        <f t="shared" si="260"/>
        <v>Romper Short | 3-6 | Cream</v>
      </c>
      <c r="M2203" s="16" t="s">
        <v>3609</v>
      </c>
    </row>
    <row r="2204" spans="1:13" ht="25" customHeight="1" x14ac:dyDescent="0.45">
      <c r="A2204" s="18">
        <v>45706</v>
      </c>
      <c r="B2204" s="19" t="s">
        <v>2333</v>
      </c>
      <c r="C2204" s="23" t="s">
        <v>9</v>
      </c>
      <c r="D2204" s="53" t="str">
        <f t="shared" si="262"/>
        <v>Cream</v>
      </c>
      <c r="E2204" s="21" t="s">
        <v>1550</v>
      </c>
      <c r="F2204" s="21" t="s">
        <v>7</v>
      </c>
      <c r="G2204" s="4" t="str">
        <f t="shared" si="261"/>
        <v>Romper Longer</v>
      </c>
      <c r="H2204" s="38">
        <f t="shared" si="257"/>
        <v>2</v>
      </c>
      <c r="I2204" s="54">
        <f t="shared" si="256"/>
        <v>8</v>
      </c>
      <c r="J2204" s="14" t="str">
        <f t="shared" si="258"/>
        <v>Valentine</v>
      </c>
      <c r="K2204" s="16" t="str">
        <f t="shared" si="259"/>
        <v>12-18</v>
      </c>
      <c r="L2204" s="14" t="str">
        <f t="shared" si="260"/>
        <v>Romper Longer | 12-18 | Cream</v>
      </c>
      <c r="M2204" s="16" t="s">
        <v>3610</v>
      </c>
    </row>
    <row r="2205" spans="1:13" ht="25" customHeight="1" x14ac:dyDescent="0.45">
      <c r="A2205" s="18">
        <v>45707</v>
      </c>
      <c r="B2205" s="19" t="s">
        <v>2334</v>
      </c>
      <c r="C2205" s="23" t="s">
        <v>110</v>
      </c>
      <c r="D2205" s="53" t="str">
        <f t="shared" si="262"/>
        <v>Sage Green</v>
      </c>
      <c r="E2205" s="21" t="s">
        <v>1838</v>
      </c>
      <c r="F2205" s="21" t="s">
        <v>7</v>
      </c>
      <c r="G2205" s="4" t="str">
        <f t="shared" si="261"/>
        <v>Romper Short</v>
      </c>
      <c r="H2205" s="38">
        <f t="shared" si="257"/>
        <v>2</v>
      </c>
      <c r="I2205" s="54">
        <f t="shared" si="256"/>
        <v>8</v>
      </c>
      <c r="J2205" s="14" t="str">
        <f t="shared" si="258"/>
        <v>Valentine</v>
      </c>
      <c r="K2205" s="16" t="str">
        <f t="shared" si="259"/>
        <v>12-18</v>
      </c>
      <c r="L2205" s="14" t="str">
        <f t="shared" si="260"/>
        <v>Romper Short | 12-18 | Sage Green</v>
      </c>
      <c r="M2205" s="16" t="s">
        <v>3610</v>
      </c>
    </row>
    <row r="2206" spans="1:13" ht="25" customHeight="1" x14ac:dyDescent="0.45">
      <c r="A2206" s="18">
        <v>45708</v>
      </c>
      <c r="B2206" s="19" t="s">
        <v>2335</v>
      </c>
      <c r="C2206" s="23" t="s">
        <v>9</v>
      </c>
      <c r="D2206" s="53" t="str">
        <f t="shared" si="262"/>
        <v>Cream</v>
      </c>
      <c r="E2206" s="21" t="s">
        <v>1828</v>
      </c>
      <c r="F2206" s="21" t="s">
        <v>7</v>
      </c>
      <c r="G2206" s="4" t="str">
        <f t="shared" si="261"/>
        <v>Romper Longer</v>
      </c>
      <c r="H2206" s="38">
        <f t="shared" si="257"/>
        <v>2</v>
      </c>
      <c r="I2206" s="54">
        <f t="shared" si="256"/>
        <v>8</v>
      </c>
      <c r="J2206" s="14" t="str">
        <f t="shared" si="258"/>
        <v>Valentine</v>
      </c>
      <c r="K2206" s="16" t="str">
        <f t="shared" si="259"/>
        <v>3-6</v>
      </c>
      <c r="L2206" s="14" t="str">
        <f t="shared" si="260"/>
        <v>Romper Longer | 3-6 | Cream</v>
      </c>
      <c r="M2206" s="16" t="s">
        <v>3609</v>
      </c>
    </row>
    <row r="2207" spans="1:13" ht="25" customHeight="1" x14ac:dyDescent="0.45">
      <c r="A2207" s="18">
        <v>45709</v>
      </c>
      <c r="B2207" s="19" t="s">
        <v>2336</v>
      </c>
      <c r="C2207" s="23" t="s">
        <v>9</v>
      </c>
      <c r="D2207" s="53" t="str">
        <f t="shared" si="262"/>
        <v>Cream</v>
      </c>
      <c r="E2207" s="21" t="s">
        <v>1834</v>
      </c>
      <c r="F2207" s="21" t="s">
        <v>7</v>
      </c>
      <c r="G2207" s="4" t="str">
        <f t="shared" si="261"/>
        <v>Romper Short</v>
      </c>
      <c r="H2207" s="38">
        <f t="shared" si="257"/>
        <v>2</v>
      </c>
      <c r="I2207" s="54">
        <f t="shared" si="256"/>
        <v>8</v>
      </c>
      <c r="J2207" s="14" t="str">
        <f t="shared" si="258"/>
        <v>Valentine</v>
      </c>
      <c r="K2207" s="16" t="str">
        <f t="shared" si="259"/>
        <v>0-3</v>
      </c>
      <c r="L2207" s="14" t="str">
        <f t="shared" si="260"/>
        <v>Romper Short | 0-3 | Cream</v>
      </c>
      <c r="M2207" s="16" t="s">
        <v>3609</v>
      </c>
    </row>
    <row r="2208" spans="1:13" ht="25" customHeight="1" x14ac:dyDescent="0.45">
      <c r="A2208" s="18">
        <v>45710</v>
      </c>
      <c r="B2208" s="19" t="s">
        <v>2337</v>
      </c>
      <c r="C2208" s="23" t="s">
        <v>9</v>
      </c>
      <c r="D2208" s="53" t="str">
        <f t="shared" si="262"/>
        <v>Cream</v>
      </c>
      <c r="E2208" s="21" t="s">
        <v>1831</v>
      </c>
      <c r="F2208" s="21" t="s">
        <v>7</v>
      </c>
      <c r="G2208" s="4" t="str">
        <f t="shared" si="261"/>
        <v>Romper Longer</v>
      </c>
      <c r="H2208" s="38">
        <f t="shared" si="257"/>
        <v>2</v>
      </c>
      <c r="I2208" s="54">
        <f t="shared" si="256"/>
        <v>8</v>
      </c>
      <c r="J2208" s="14" t="str">
        <f t="shared" si="258"/>
        <v>Valentine</v>
      </c>
      <c r="K2208" s="16" t="str">
        <f t="shared" si="259"/>
        <v>0-3</v>
      </c>
      <c r="L2208" s="14" t="str">
        <f t="shared" si="260"/>
        <v>Romper Longer | 0-3 | Cream</v>
      </c>
      <c r="M2208" s="16" t="s">
        <v>3609</v>
      </c>
    </row>
    <row r="2209" spans="1:13" ht="25" customHeight="1" x14ac:dyDescent="0.45">
      <c r="A2209" s="18">
        <v>45711</v>
      </c>
      <c r="B2209" s="19" t="s">
        <v>2338</v>
      </c>
      <c r="C2209" s="23" t="s">
        <v>9</v>
      </c>
      <c r="D2209" s="53" t="str">
        <f t="shared" si="262"/>
        <v>Cream</v>
      </c>
      <c r="E2209" s="21" t="s">
        <v>1828</v>
      </c>
      <c r="F2209" s="21" t="s">
        <v>7</v>
      </c>
      <c r="G2209" s="4" t="str">
        <f t="shared" si="261"/>
        <v>Romper Longer</v>
      </c>
      <c r="H2209" s="38">
        <f t="shared" si="257"/>
        <v>2</v>
      </c>
      <c r="I2209" s="54">
        <f t="shared" si="256"/>
        <v>9</v>
      </c>
      <c r="J2209" s="14" t="str">
        <f t="shared" si="258"/>
        <v>Valentine</v>
      </c>
      <c r="K2209" s="16" t="str">
        <f t="shared" si="259"/>
        <v>3-6</v>
      </c>
      <c r="L2209" s="14" t="str">
        <f t="shared" si="260"/>
        <v>Romper Longer | 3-6 | Cream</v>
      </c>
      <c r="M2209" s="16" t="s">
        <v>3609</v>
      </c>
    </row>
    <row r="2210" spans="1:13" ht="25" customHeight="1" x14ac:dyDescent="0.45">
      <c r="A2210" s="18">
        <v>45712</v>
      </c>
      <c r="B2210" s="19" t="s">
        <v>2339</v>
      </c>
      <c r="C2210" s="23" t="s">
        <v>110</v>
      </c>
      <c r="D2210" s="53" t="str">
        <f t="shared" si="262"/>
        <v>Sage Green</v>
      </c>
      <c r="E2210" s="21" t="s">
        <v>1420</v>
      </c>
      <c r="F2210" s="21" t="s">
        <v>7</v>
      </c>
      <c r="G2210" s="4" t="str">
        <f t="shared" si="261"/>
        <v>Romper Short</v>
      </c>
      <c r="H2210" s="38">
        <f t="shared" si="257"/>
        <v>2</v>
      </c>
      <c r="I2210" s="54">
        <f t="shared" si="256"/>
        <v>9</v>
      </c>
      <c r="J2210" s="14" t="str">
        <f t="shared" si="258"/>
        <v>Valentine</v>
      </c>
      <c r="K2210" s="16" t="str">
        <f t="shared" si="259"/>
        <v>6-12</v>
      </c>
      <c r="L2210" s="14" t="str">
        <f t="shared" si="260"/>
        <v>Romper Short | 6-12 | Sage Green</v>
      </c>
      <c r="M2210" s="16" t="s">
        <v>3610</v>
      </c>
    </row>
    <row r="2211" spans="1:13" ht="25" customHeight="1" x14ac:dyDescent="0.45">
      <c r="A2211" s="18">
        <v>45713</v>
      </c>
      <c r="B2211" s="19" t="s">
        <v>2340</v>
      </c>
      <c r="C2211" s="23" t="s">
        <v>9</v>
      </c>
      <c r="D2211" s="53" t="str">
        <f t="shared" si="262"/>
        <v>Cream</v>
      </c>
      <c r="E2211" s="21" t="s">
        <v>1834</v>
      </c>
      <c r="F2211" s="21" t="s">
        <v>7</v>
      </c>
      <c r="G2211" s="4" t="str">
        <f t="shared" si="261"/>
        <v>Romper Short</v>
      </c>
      <c r="H2211" s="38">
        <f t="shared" si="257"/>
        <v>2</v>
      </c>
      <c r="I2211" s="54">
        <f t="shared" si="256"/>
        <v>9</v>
      </c>
      <c r="J2211" s="14" t="str">
        <f t="shared" si="258"/>
        <v>Valentine</v>
      </c>
      <c r="K2211" s="16" t="str">
        <f t="shared" si="259"/>
        <v>0-3</v>
      </c>
      <c r="L2211" s="14" t="str">
        <f t="shared" si="260"/>
        <v>Romper Short | 0-3 | Cream</v>
      </c>
      <c r="M2211" s="16" t="s">
        <v>3609</v>
      </c>
    </row>
    <row r="2212" spans="1:13" ht="25" customHeight="1" x14ac:dyDescent="0.45">
      <c r="A2212" s="18">
        <v>45714</v>
      </c>
      <c r="B2212" s="19" t="s">
        <v>2341</v>
      </c>
      <c r="C2212" s="23" t="s">
        <v>76</v>
      </c>
      <c r="D2212" s="53" t="str">
        <f t="shared" si="262"/>
        <v>Caldet Blue</v>
      </c>
      <c r="E2212" s="21" t="s">
        <v>1831</v>
      </c>
      <c r="F2212" s="21" t="s">
        <v>7</v>
      </c>
      <c r="G2212" s="4" t="str">
        <f t="shared" si="261"/>
        <v>Romper Longer</v>
      </c>
      <c r="H2212" s="38">
        <f t="shared" si="257"/>
        <v>2</v>
      </c>
      <c r="I2212" s="54">
        <f t="shared" si="256"/>
        <v>9</v>
      </c>
      <c r="J2212" s="14" t="str">
        <f t="shared" si="258"/>
        <v>Valentine</v>
      </c>
      <c r="K2212" s="16" t="str">
        <f t="shared" si="259"/>
        <v>0-3</v>
      </c>
      <c r="L2212" s="14" t="str">
        <f t="shared" si="260"/>
        <v>Romper Longer | 0-3 | Caldet Blue</v>
      </c>
      <c r="M2212" s="16" t="s">
        <v>3610</v>
      </c>
    </row>
    <row r="2213" spans="1:13" ht="25" customHeight="1" x14ac:dyDescent="0.45">
      <c r="A2213" s="18">
        <v>45715</v>
      </c>
      <c r="B2213" s="19" t="s">
        <v>2342</v>
      </c>
      <c r="C2213" s="23" t="s">
        <v>9</v>
      </c>
      <c r="D2213" s="53" t="str">
        <f t="shared" si="262"/>
        <v>Cream</v>
      </c>
      <c r="E2213" s="21" t="s">
        <v>1849</v>
      </c>
      <c r="F2213" s="21" t="s">
        <v>7</v>
      </c>
      <c r="G2213" s="4" t="str">
        <f t="shared" si="261"/>
        <v>Romper Short</v>
      </c>
      <c r="H2213" s="38">
        <f t="shared" si="257"/>
        <v>2</v>
      </c>
      <c r="I2213" s="54">
        <f t="shared" si="256"/>
        <v>9</v>
      </c>
      <c r="J2213" s="14" t="str">
        <f t="shared" si="258"/>
        <v>Valentine</v>
      </c>
      <c r="K2213" s="16" t="str">
        <f t="shared" si="259"/>
        <v>3-6</v>
      </c>
      <c r="L2213" s="14" t="str">
        <f t="shared" si="260"/>
        <v>Romper Short | 3-6 | Cream</v>
      </c>
      <c r="M2213" s="16" t="s">
        <v>3609</v>
      </c>
    </row>
    <row r="2214" spans="1:13" ht="25" customHeight="1" x14ac:dyDescent="0.45">
      <c r="A2214" s="18">
        <v>45716</v>
      </c>
      <c r="B2214" s="19" t="s">
        <v>2343</v>
      </c>
      <c r="C2214" s="23" t="s">
        <v>9</v>
      </c>
      <c r="D2214" s="53" t="str">
        <f t="shared" si="262"/>
        <v>Cream</v>
      </c>
      <c r="E2214" s="21" t="s">
        <v>1831</v>
      </c>
      <c r="F2214" s="21" t="s">
        <v>7</v>
      </c>
      <c r="G2214" s="4" t="str">
        <f t="shared" si="261"/>
        <v>Romper Longer</v>
      </c>
      <c r="H2214" s="38">
        <f t="shared" si="257"/>
        <v>2</v>
      </c>
      <c r="I2214" s="54">
        <f t="shared" si="256"/>
        <v>9</v>
      </c>
      <c r="J2214" s="14" t="str">
        <f t="shared" si="258"/>
        <v>Valentine</v>
      </c>
      <c r="K2214" s="16" t="str">
        <f t="shared" si="259"/>
        <v>0-3</v>
      </c>
      <c r="L2214" s="14" t="str">
        <f t="shared" si="260"/>
        <v>Romper Longer | 0-3 | Cream</v>
      </c>
      <c r="M2214" s="16" t="s">
        <v>3609</v>
      </c>
    </row>
    <row r="2215" spans="1:13" ht="25" customHeight="1" x14ac:dyDescent="0.45">
      <c r="A2215" s="18">
        <v>45717</v>
      </c>
      <c r="B2215" s="19" t="s">
        <v>2344</v>
      </c>
      <c r="C2215" s="23" t="s">
        <v>79</v>
      </c>
      <c r="D2215" s="53" t="str">
        <f t="shared" si="262"/>
        <v>White</v>
      </c>
      <c r="E2215" s="21" t="s">
        <v>1828</v>
      </c>
      <c r="F2215" s="21" t="s">
        <v>7</v>
      </c>
      <c r="G2215" s="4" t="str">
        <f t="shared" si="261"/>
        <v>Romper Longer</v>
      </c>
      <c r="H2215" s="38">
        <f t="shared" si="257"/>
        <v>3</v>
      </c>
      <c r="I2215" s="54">
        <f t="shared" si="256"/>
        <v>9</v>
      </c>
      <c r="J2215" s="14" t="str">
        <f t="shared" si="258"/>
        <v>Easter</v>
      </c>
      <c r="K2215" s="16" t="str">
        <f t="shared" si="259"/>
        <v>3-6</v>
      </c>
      <c r="L2215" s="14" t="str">
        <f t="shared" si="260"/>
        <v>Romper Longer | 3-6 | White</v>
      </c>
      <c r="M2215" s="16" t="s">
        <v>3610</v>
      </c>
    </row>
    <row r="2216" spans="1:13" ht="25" customHeight="1" x14ac:dyDescent="0.45">
      <c r="A2216" s="18">
        <v>45718</v>
      </c>
      <c r="B2216" s="19" t="s">
        <v>2345</v>
      </c>
      <c r="C2216" s="23" t="s">
        <v>9</v>
      </c>
      <c r="D2216" s="53" t="str">
        <f t="shared" si="262"/>
        <v>Cream</v>
      </c>
      <c r="E2216" s="21" t="s">
        <v>1831</v>
      </c>
      <c r="F2216" s="21" t="s">
        <v>7</v>
      </c>
      <c r="G2216" s="4" t="str">
        <f t="shared" si="261"/>
        <v>Romper Longer</v>
      </c>
      <c r="H2216" s="38">
        <f t="shared" si="257"/>
        <v>3</v>
      </c>
      <c r="I2216" s="54">
        <f t="shared" si="256"/>
        <v>10</v>
      </c>
      <c r="J2216" s="14" t="str">
        <f t="shared" si="258"/>
        <v>Easter</v>
      </c>
      <c r="K2216" s="16" t="str">
        <f t="shared" si="259"/>
        <v>0-3</v>
      </c>
      <c r="L2216" s="14" t="str">
        <f t="shared" si="260"/>
        <v>Romper Longer | 0-3 | Cream</v>
      </c>
      <c r="M2216" s="16" t="s">
        <v>3609</v>
      </c>
    </row>
    <row r="2217" spans="1:13" ht="25" customHeight="1" x14ac:dyDescent="0.45">
      <c r="A2217" s="18">
        <v>45719</v>
      </c>
      <c r="B2217" s="19" t="s">
        <v>2346</v>
      </c>
      <c r="C2217" s="23" t="s">
        <v>110</v>
      </c>
      <c r="D2217" s="53" t="str">
        <f t="shared" si="262"/>
        <v>Sage Green</v>
      </c>
      <c r="E2217" s="21" t="s">
        <v>1834</v>
      </c>
      <c r="F2217" s="21" t="s">
        <v>7</v>
      </c>
      <c r="G2217" s="4" t="str">
        <f t="shared" si="261"/>
        <v>Romper Short</v>
      </c>
      <c r="H2217" s="38">
        <f t="shared" si="257"/>
        <v>3</v>
      </c>
      <c r="I2217" s="54">
        <f t="shared" si="256"/>
        <v>10</v>
      </c>
      <c r="J2217" s="14" t="str">
        <f t="shared" si="258"/>
        <v>Easter</v>
      </c>
      <c r="K2217" s="16" t="str">
        <f t="shared" si="259"/>
        <v>0-3</v>
      </c>
      <c r="L2217" s="14" t="str">
        <f t="shared" si="260"/>
        <v>Romper Short | 0-3 | Sage Green</v>
      </c>
      <c r="M2217" s="16" t="s">
        <v>3610</v>
      </c>
    </row>
    <row r="2218" spans="1:13" ht="25" customHeight="1" x14ac:dyDescent="0.45">
      <c r="A2218" s="18">
        <v>45720</v>
      </c>
      <c r="B2218" s="19" t="s">
        <v>2347</v>
      </c>
      <c r="C2218" s="23" t="s">
        <v>79</v>
      </c>
      <c r="D2218" s="53" t="str">
        <f t="shared" si="262"/>
        <v>White</v>
      </c>
      <c r="E2218" s="21" t="s">
        <v>1828</v>
      </c>
      <c r="F2218" s="21" t="s">
        <v>7</v>
      </c>
      <c r="G2218" s="4" t="str">
        <f t="shared" si="261"/>
        <v>Romper Longer</v>
      </c>
      <c r="H2218" s="38">
        <f t="shared" si="257"/>
        <v>3</v>
      </c>
      <c r="I2218" s="54">
        <f t="shared" si="256"/>
        <v>10</v>
      </c>
      <c r="J2218" s="14" t="str">
        <f t="shared" si="258"/>
        <v>Easter</v>
      </c>
      <c r="K2218" s="16" t="str">
        <f t="shared" si="259"/>
        <v>3-6</v>
      </c>
      <c r="L2218" s="14" t="str">
        <f t="shared" si="260"/>
        <v>Romper Longer | 3-6 | White</v>
      </c>
      <c r="M2218" s="16" t="s">
        <v>3610</v>
      </c>
    </row>
    <row r="2219" spans="1:13" ht="25" customHeight="1" x14ac:dyDescent="0.45">
      <c r="A2219" s="18">
        <v>45721</v>
      </c>
      <c r="B2219" s="19" t="s">
        <v>2348</v>
      </c>
      <c r="C2219" s="23" t="s">
        <v>85</v>
      </c>
      <c r="D2219" s="53" t="str">
        <f t="shared" si="262"/>
        <v>Forest Green</v>
      </c>
      <c r="E2219" s="21" t="s">
        <v>1834</v>
      </c>
      <c r="F2219" s="21" t="s">
        <v>7</v>
      </c>
      <c r="G2219" s="4" t="str">
        <f t="shared" si="261"/>
        <v>Romper Short</v>
      </c>
      <c r="H2219" s="38">
        <f t="shared" si="257"/>
        <v>3</v>
      </c>
      <c r="I2219" s="54">
        <f t="shared" si="256"/>
        <v>10</v>
      </c>
      <c r="J2219" s="14" t="str">
        <f t="shared" si="258"/>
        <v>Easter</v>
      </c>
      <c r="K2219" s="16" t="str">
        <f t="shared" si="259"/>
        <v>0-3</v>
      </c>
      <c r="L2219" s="14" t="str">
        <f t="shared" si="260"/>
        <v>Romper Short | 0-3 | Forest Green</v>
      </c>
      <c r="M2219" s="16" t="s">
        <v>3610</v>
      </c>
    </row>
    <row r="2220" spans="1:13" ht="25" customHeight="1" x14ac:dyDescent="0.45">
      <c r="A2220" s="18">
        <v>45722</v>
      </c>
      <c r="B2220" s="19" t="s">
        <v>2349</v>
      </c>
      <c r="C2220" s="23" t="s">
        <v>110</v>
      </c>
      <c r="D2220" s="53" t="str">
        <f t="shared" si="262"/>
        <v>Sage Green</v>
      </c>
      <c r="E2220" s="21" t="s">
        <v>1420</v>
      </c>
      <c r="F2220" s="21" t="s">
        <v>7</v>
      </c>
      <c r="G2220" s="4" t="str">
        <f t="shared" si="261"/>
        <v>Romper Short</v>
      </c>
      <c r="H2220" s="38">
        <f t="shared" si="257"/>
        <v>3</v>
      </c>
      <c r="I2220" s="54">
        <f t="shared" si="256"/>
        <v>10</v>
      </c>
      <c r="J2220" s="14" t="str">
        <f t="shared" si="258"/>
        <v>Easter</v>
      </c>
      <c r="K2220" s="16" t="str">
        <f t="shared" si="259"/>
        <v>6-12</v>
      </c>
      <c r="L2220" s="14" t="str">
        <f t="shared" si="260"/>
        <v>Romper Short | 6-12 | Sage Green</v>
      </c>
      <c r="M2220" s="16" t="s">
        <v>3610</v>
      </c>
    </row>
    <row r="2221" spans="1:13" ht="25" customHeight="1" x14ac:dyDescent="0.45">
      <c r="A2221" s="18">
        <v>45723</v>
      </c>
      <c r="B2221" s="19" t="s">
        <v>2350</v>
      </c>
      <c r="C2221" s="23" t="s">
        <v>9</v>
      </c>
      <c r="D2221" s="53" t="str">
        <f t="shared" si="262"/>
        <v>Cream</v>
      </c>
      <c r="E2221" s="21" t="s">
        <v>1828</v>
      </c>
      <c r="F2221" s="21" t="s">
        <v>7</v>
      </c>
      <c r="G2221" s="4" t="str">
        <f t="shared" si="261"/>
        <v>Romper Longer</v>
      </c>
      <c r="H2221" s="38">
        <f t="shared" si="257"/>
        <v>3</v>
      </c>
      <c r="I2221" s="54">
        <f t="shared" si="256"/>
        <v>10</v>
      </c>
      <c r="J2221" s="14" t="str">
        <f t="shared" si="258"/>
        <v>Easter</v>
      </c>
      <c r="K2221" s="16" t="str">
        <f t="shared" si="259"/>
        <v>3-6</v>
      </c>
      <c r="L2221" s="14" t="str">
        <f t="shared" si="260"/>
        <v>Romper Longer | 3-6 | Cream</v>
      </c>
      <c r="M2221" s="16" t="s">
        <v>3609</v>
      </c>
    </row>
    <row r="2222" spans="1:13" ht="25" customHeight="1" x14ac:dyDescent="0.45">
      <c r="A2222" s="18">
        <v>45724</v>
      </c>
      <c r="B2222" s="19" t="s">
        <v>2351</v>
      </c>
      <c r="C2222" s="23" t="s">
        <v>9</v>
      </c>
      <c r="D2222" s="53" t="str">
        <f t="shared" si="262"/>
        <v>Cream</v>
      </c>
      <c r="E2222" s="21" t="s">
        <v>1831</v>
      </c>
      <c r="F2222" s="21" t="s">
        <v>7</v>
      </c>
      <c r="G2222" s="4" t="str">
        <f t="shared" si="261"/>
        <v>Romper Longer</v>
      </c>
      <c r="H2222" s="38">
        <f t="shared" si="257"/>
        <v>3</v>
      </c>
      <c r="I2222" s="54">
        <f t="shared" ref="I2222:I2285" si="263">WEEKNUM(A2222)</f>
        <v>10</v>
      </c>
      <c r="J2222" s="14" t="str">
        <f t="shared" si="258"/>
        <v>Easter</v>
      </c>
      <c r="K2222" s="16" t="str">
        <f t="shared" si="259"/>
        <v>0-3</v>
      </c>
      <c r="L2222" s="14" t="str">
        <f t="shared" si="260"/>
        <v>Romper Longer | 0-3 | Cream</v>
      </c>
      <c r="M2222" s="16" t="s">
        <v>3609</v>
      </c>
    </row>
    <row r="2223" spans="1:13" ht="25" customHeight="1" x14ac:dyDescent="0.45">
      <c r="A2223" s="18">
        <v>45725</v>
      </c>
      <c r="B2223" s="19" t="s">
        <v>2352</v>
      </c>
      <c r="C2223" s="23" t="s">
        <v>9</v>
      </c>
      <c r="D2223" s="53" t="str">
        <f t="shared" si="262"/>
        <v>Cream</v>
      </c>
      <c r="E2223" s="21" t="s">
        <v>1831</v>
      </c>
      <c r="F2223" s="21" t="s">
        <v>7</v>
      </c>
      <c r="G2223" s="4" t="str">
        <f t="shared" si="261"/>
        <v>Romper Longer</v>
      </c>
      <c r="H2223" s="38">
        <f t="shared" si="257"/>
        <v>3</v>
      </c>
      <c r="I2223" s="54">
        <f t="shared" si="263"/>
        <v>11</v>
      </c>
      <c r="J2223" s="14" t="str">
        <f t="shared" si="258"/>
        <v>Easter</v>
      </c>
      <c r="K2223" s="16" t="str">
        <f t="shared" si="259"/>
        <v>0-3</v>
      </c>
      <c r="L2223" s="14" t="str">
        <f t="shared" si="260"/>
        <v>Romper Longer | 0-3 | Cream</v>
      </c>
      <c r="M2223" s="16" t="s">
        <v>3609</v>
      </c>
    </row>
    <row r="2224" spans="1:13" ht="25" customHeight="1" x14ac:dyDescent="0.45">
      <c r="A2224" s="18">
        <v>45726</v>
      </c>
      <c r="B2224" s="19" t="s">
        <v>2353</v>
      </c>
      <c r="C2224" s="23" t="s">
        <v>9</v>
      </c>
      <c r="D2224" s="53" t="str">
        <f t="shared" si="262"/>
        <v>Cream</v>
      </c>
      <c r="E2224" s="21" t="s">
        <v>1420</v>
      </c>
      <c r="F2224" s="21" t="s">
        <v>7</v>
      </c>
      <c r="G2224" s="4" t="str">
        <f t="shared" si="261"/>
        <v>Romper Short</v>
      </c>
      <c r="H2224" s="38">
        <f t="shared" si="257"/>
        <v>3</v>
      </c>
      <c r="I2224" s="54">
        <f t="shared" si="263"/>
        <v>11</v>
      </c>
      <c r="J2224" s="14" t="str">
        <f t="shared" si="258"/>
        <v>Easter</v>
      </c>
      <c r="K2224" s="16" t="str">
        <f t="shared" si="259"/>
        <v>6-12</v>
      </c>
      <c r="L2224" s="14" t="str">
        <f t="shared" si="260"/>
        <v>Romper Short | 6-12 | Cream</v>
      </c>
      <c r="M2224" s="16" t="s">
        <v>3611</v>
      </c>
    </row>
    <row r="2225" spans="1:13" ht="25" customHeight="1" x14ac:dyDescent="0.45">
      <c r="A2225" s="18">
        <v>45727</v>
      </c>
      <c r="B2225" s="19" t="s">
        <v>2354</v>
      </c>
      <c r="C2225" s="23" t="s">
        <v>79</v>
      </c>
      <c r="D2225" s="53" t="str">
        <f t="shared" si="262"/>
        <v>White</v>
      </c>
      <c r="E2225" s="21" t="s">
        <v>1841</v>
      </c>
      <c r="F2225" s="21" t="s">
        <v>7</v>
      </c>
      <c r="G2225" s="4" t="str">
        <f t="shared" si="261"/>
        <v>Romper Longer</v>
      </c>
      <c r="H2225" s="38">
        <f t="shared" si="257"/>
        <v>3</v>
      </c>
      <c r="I2225" s="54">
        <f t="shared" si="263"/>
        <v>11</v>
      </c>
      <c r="J2225" s="14" t="str">
        <f t="shared" si="258"/>
        <v>Easter</v>
      </c>
      <c r="K2225" s="16" t="str">
        <f t="shared" si="259"/>
        <v>6-12</v>
      </c>
      <c r="L2225" s="14" t="str">
        <f t="shared" si="260"/>
        <v>Romper Longer | 6-12 | White</v>
      </c>
      <c r="M2225" s="16" t="s">
        <v>3610</v>
      </c>
    </row>
    <row r="2226" spans="1:13" ht="25" customHeight="1" x14ac:dyDescent="0.45">
      <c r="A2226" s="18">
        <v>45728</v>
      </c>
      <c r="B2226" s="19" t="s">
        <v>2355</v>
      </c>
      <c r="C2226" s="23" t="s">
        <v>76</v>
      </c>
      <c r="D2226" s="53" t="str">
        <f t="shared" si="262"/>
        <v>Caldet Blue</v>
      </c>
      <c r="E2226" s="21" t="s">
        <v>1828</v>
      </c>
      <c r="F2226" s="21" t="s">
        <v>7</v>
      </c>
      <c r="G2226" s="4" t="str">
        <f t="shared" si="261"/>
        <v>Romper Longer</v>
      </c>
      <c r="H2226" s="38">
        <f t="shared" si="257"/>
        <v>3</v>
      </c>
      <c r="I2226" s="54">
        <f t="shared" si="263"/>
        <v>11</v>
      </c>
      <c r="J2226" s="14" t="str">
        <f t="shared" si="258"/>
        <v>Easter</v>
      </c>
      <c r="K2226" s="16" t="str">
        <f t="shared" si="259"/>
        <v>3-6</v>
      </c>
      <c r="L2226" s="14" t="str">
        <f t="shared" si="260"/>
        <v>Romper Longer | 3-6 | Caldet Blue</v>
      </c>
      <c r="M2226" s="16" t="s">
        <v>3610</v>
      </c>
    </row>
    <row r="2227" spans="1:13" ht="25" customHeight="1" x14ac:dyDescent="0.45">
      <c r="A2227" s="18">
        <v>45729</v>
      </c>
      <c r="B2227" s="19" t="s">
        <v>2356</v>
      </c>
      <c r="C2227" s="23" t="s">
        <v>74</v>
      </c>
      <c r="D2227" s="53" t="str">
        <f t="shared" si="262"/>
        <v>Watermelon</v>
      </c>
      <c r="E2227" s="21" t="s">
        <v>1550</v>
      </c>
      <c r="F2227" s="21" t="s">
        <v>7</v>
      </c>
      <c r="G2227" s="4" t="str">
        <f t="shared" si="261"/>
        <v>Romper Longer</v>
      </c>
      <c r="H2227" s="38">
        <f t="shared" si="257"/>
        <v>3</v>
      </c>
      <c r="I2227" s="54">
        <f t="shared" si="263"/>
        <v>11</v>
      </c>
      <c r="J2227" s="14" t="str">
        <f t="shared" si="258"/>
        <v>Easter</v>
      </c>
      <c r="K2227" s="16" t="str">
        <f t="shared" si="259"/>
        <v>12-18</v>
      </c>
      <c r="L2227" s="14" t="str">
        <f t="shared" si="260"/>
        <v>Romper Longer | 12-18 | Watermelon</v>
      </c>
      <c r="M2227" s="16" t="s">
        <v>3610</v>
      </c>
    </row>
    <row r="2228" spans="1:13" ht="25" customHeight="1" x14ac:dyDescent="0.45">
      <c r="A2228" s="18">
        <v>45730</v>
      </c>
      <c r="B2228" s="19" t="s">
        <v>2357</v>
      </c>
      <c r="C2228" s="23" t="s">
        <v>79</v>
      </c>
      <c r="D2228" s="53" t="str">
        <f t="shared" si="262"/>
        <v>White</v>
      </c>
      <c r="E2228" s="21" t="s">
        <v>1828</v>
      </c>
      <c r="F2228" s="21" t="s">
        <v>7</v>
      </c>
      <c r="G2228" s="4" t="str">
        <f t="shared" si="261"/>
        <v>Romper Longer</v>
      </c>
      <c r="H2228" s="38">
        <f t="shared" si="257"/>
        <v>3</v>
      </c>
      <c r="I2228" s="54">
        <f t="shared" si="263"/>
        <v>11</v>
      </c>
      <c r="J2228" s="14" t="str">
        <f t="shared" si="258"/>
        <v>Easter</v>
      </c>
      <c r="K2228" s="16" t="str">
        <f t="shared" si="259"/>
        <v>3-6</v>
      </c>
      <c r="L2228" s="14" t="str">
        <f t="shared" si="260"/>
        <v>Romper Longer | 3-6 | White</v>
      </c>
      <c r="M2228" s="16" t="s">
        <v>3610</v>
      </c>
    </row>
    <row r="2229" spans="1:13" ht="25" customHeight="1" x14ac:dyDescent="0.45">
      <c r="A2229" s="18">
        <v>45731</v>
      </c>
      <c r="B2229" s="19" t="s">
        <v>2358</v>
      </c>
      <c r="C2229" s="23" t="s">
        <v>79</v>
      </c>
      <c r="D2229" s="53" t="str">
        <f t="shared" si="262"/>
        <v>White</v>
      </c>
      <c r="E2229" s="21" t="s">
        <v>1828</v>
      </c>
      <c r="F2229" s="21" t="s">
        <v>7</v>
      </c>
      <c r="G2229" s="4" t="str">
        <f t="shared" si="261"/>
        <v>Romper Longer</v>
      </c>
      <c r="H2229" s="38">
        <f t="shared" si="257"/>
        <v>3</v>
      </c>
      <c r="I2229" s="54">
        <f t="shared" si="263"/>
        <v>11</v>
      </c>
      <c r="J2229" s="14" t="str">
        <f t="shared" si="258"/>
        <v>Easter</v>
      </c>
      <c r="K2229" s="16" t="str">
        <f t="shared" si="259"/>
        <v>3-6</v>
      </c>
      <c r="L2229" s="14" t="str">
        <f t="shared" si="260"/>
        <v>Romper Longer | 3-6 | White</v>
      </c>
      <c r="M2229" s="16" t="s">
        <v>3610</v>
      </c>
    </row>
    <row r="2230" spans="1:13" ht="25" customHeight="1" x14ac:dyDescent="0.45">
      <c r="A2230" s="18">
        <v>45732</v>
      </c>
      <c r="B2230" s="19" t="s">
        <v>2359</v>
      </c>
      <c r="C2230" s="23" t="s">
        <v>76</v>
      </c>
      <c r="D2230" s="53" t="str">
        <f t="shared" si="262"/>
        <v>Caldet Blue</v>
      </c>
      <c r="E2230" s="21" t="s">
        <v>1550</v>
      </c>
      <c r="F2230" s="21" t="s">
        <v>7</v>
      </c>
      <c r="G2230" s="4" t="str">
        <f t="shared" si="261"/>
        <v>Romper Longer</v>
      </c>
      <c r="H2230" s="38">
        <f t="shared" si="257"/>
        <v>3</v>
      </c>
      <c r="I2230" s="54">
        <f t="shared" si="263"/>
        <v>12</v>
      </c>
      <c r="J2230" s="14" t="str">
        <f t="shared" si="258"/>
        <v>Easter</v>
      </c>
      <c r="K2230" s="16" t="str">
        <f t="shared" si="259"/>
        <v>12-18</v>
      </c>
      <c r="L2230" s="14" t="str">
        <f t="shared" si="260"/>
        <v>Romper Longer | 12-18 | Caldet Blue</v>
      </c>
      <c r="M2230" s="16" t="s">
        <v>3610</v>
      </c>
    </row>
    <row r="2231" spans="1:13" ht="25" customHeight="1" x14ac:dyDescent="0.45">
      <c r="A2231" s="18">
        <v>45733</v>
      </c>
      <c r="B2231" s="19" t="s">
        <v>2360</v>
      </c>
      <c r="C2231" s="23" t="s">
        <v>9</v>
      </c>
      <c r="D2231" s="53" t="str">
        <f t="shared" si="262"/>
        <v>Cream</v>
      </c>
      <c r="E2231" s="21" t="s">
        <v>1849</v>
      </c>
      <c r="F2231" s="21" t="s">
        <v>7</v>
      </c>
      <c r="G2231" s="4" t="str">
        <f t="shared" si="261"/>
        <v>Romper Short</v>
      </c>
      <c r="H2231" s="38">
        <f t="shared" si="257"/>
        <v>3</v>
      </c>
      <c r="I2231" s="54">
        <f t="shared" si="263"/>
        <v>12</v>
      </c>
      <c r="J2231" s="14" t="str">
        <f t="shared" si="258"/>
        <v>Easter</v>
      </c>
      <c r="K2231" s="16" t="str">
        <f t="shared" si="259"/>
        <v>3-6</v>
      </c>
      <c r="L2231" s="14" t="str">
        <f t="shared" si="260"/>
        <v>Romper Short | 3-6 | Cream</v>
      </c>
      <c r="M2231" s="16" t="s">
        <v>3609</v>
      </c>
    </row>
    <row r="2232" spans="1:13" ht="25" customHeight="1" x14ac:dyDescent="0.45">
      <c r="A2232" s="18">
        <v>45734</v>
      </c>
      <c r="B2232" s="19" t="s">
        <v>2361</v>
      </c>
      <c r="C2232" s="23" t="s">
        <v>9</v>
      </c>
      <c r="D2232" s="53" t="str">
        <f t="shared" si="262"/>
        <v>Cream</v>
      </c>
      <c r="E2232" s="21" t="s">
        <v>1828</v>
      </c>
      <c r="F2232" s="21" t="s">
        <v>7</v>
      </c>
      <c r="G2232" s="4" t="str">
        <f t="shared" si="261"/>
        <v>Romper Longer</v>
      </c>
      <c r="H2232" s="38">
        <f t="shared" ref="H2232:H2295" si="264">MONTH(A2232)</f>
        <v>3</v>
      </c>
      <c r="I2232" s="54">
        <f t="shared" si="263"/>
        <v>12</v>
      </c>
      <c r="J2232" s="14" t="str">
        <f t="shared" ref="J2232:J2295" si="265">IF(H2232=1,"NewYear",
IF(H2232=2,"Valentine",
IF(OR(H2232=3,H2232=4),"Easter",
IF(H2232=5,"MothersDay",
IF(H2232=6,"FathersDay",
IF(OR(H2232=7,H2232=8),"Summer",
IF(H2232=10,"Halloween",
IF(OR(H2232=11,H2232=12),"Christmas","Normal"))))))))</f>
        <v>Easter</v>
      </c>
      <c r="K2232" s="16" t="str">
        <f t="shared" ref="K2232:K2295" si="266">TRIM(LEFT(E2232,FIND("(",E2232&amp;"(")-3))</f>
        <v>3-6</v>
      </c>
      <c r="L2232" s="14" t="str">
        <f t="shared" si="260"/>
        <v>Romper Longer | 3-6 | Cream</v>
      </c>
      <c r="M2232" s="16" t="s">
        <v>3609</v>
      </c>
    </row>
    <row r="2233" spans="1:13" ht="25" customHeight="1" x14ac:dyDescent="0.45">
      <c r="A2233" s="18">
        <v>45735</v>
      </c>
      <c r="B2233" s="19" t="s">
        <v>2362</v>
      </c>
      <c r="C2233" s="23" t="s">
        <v>76</v>
      </c>
      <c r="D2233" s="53" t="str">
        <f t="shared" si="262"/>
        <v>Caldet Blue</v>
      </c>
      <c r="E2233" s="21" t="s">
        <v>1828</v>
      </c>
      <c r="F2233" s="21" t="s">
        <v>7</v>
      </c>
      <c r="G2233" s="4" t="str">
        <f t="shared" si="261"/>
        <v>Romper Longer</v>
      </c>
      <c r="H2233" s="38">
        <f t="shared" si="264"/>
        <v>3</v>
      </c>
      <c r="I2233" s="54">
        <f t="shared" si="263"/>
        <v>12</v>
      </c>
      <c r="J2233" s="14" t="str">
        <f t="shared" si="265"/>
        <v>Easter</v>
      </c>
      <c r="K2233" s="16" t="str">
        <f t="shared" si="266"/>
        <v>3-6</v>
      </c>
      <c r="L2233" s="14" t="str">
        <f t="shared" si="260"/>
        <v>Romper Longer | 3-6 | Caldet Blue</v>
      </c>
      <c r="M2233" s="16" t="s">
        <v>3610</v>
      </c>
    </row>
    <row r="2234" spans="1:13" ht="25" customHeight="1" x14ac:dyDescent="0.45">
      <c r="A2234" s="18">
        <v>45736</v>
      </c>
      <c r="B2234" s="19" t="s">
        <v>2363</v>
      </c>
      <c r="C2234" s="23" t="s">
        <v>110</v>
      </c>
      <c r="D2234" s="53" t="str">
        <f t="shared" si="262"/>
        <v>Sage Green</v>
      </c>
      <c r="E2234" s="21" t="s">
        <v>1849</v>
      </c>
      <c r="F2234" s="21" t="s">
        <v>7</v>
      </c>
      <c r="G2234" s="4" t="str">
        <f t="shared" si="261"/>
        <v>Romper Short</v>
      </c>
      <c r="H2234" s="38">
        <f t="shared" si="264"/>
        <v>3</v>
      </c>
      <c r="I2234" s="54">
        <f t="shared" si="263"/>
        <v>12</v>
      </c>
      <c r="J2234" s="14" t="str">
        <f t="shared" si="265"/>
        <v>Easter</v>
      </c>
      <c r="K2234" s="16" t="str">
        <f t="shared" si="266"/>
        <v>3-6</v>
      </c>
      <c r="L2234" s="14" t="str">
        <f t="shared" si="260"/>
        <v>Romper Short | 3-6 | Sage Green</v>
      </c>
      <c r="M2234" s="16" t="s">
        <v>3611</v>
      </c>
    </row>
    <row r="2235" spans="1:13" ht="25" customHeight="1" x14ac:dyDescent="0.45">
      <c r="A2235" s="18">
        <v>45737</v>
      </c>
      <c r="B2235" s="19" t="s">
        <v>2364</v>
      </c>
      <c r="C2235" s="23" t="s">
        <v>110</v>
      </c>
      <c r="D2235" s="53" t="str">
        <f t="shared" si="262"/>
        <v>Sage Green</v>
      </c>
      <c r="E2235" s="21" t="s">
        <v>1841</v>
      </c>
      <c r="F2235" s="21" t="s">
        <v>7</v>
      </c>
      <c r="G2235" s="4" t="str">
        <f t="shared" si="261"/>
        <v>Romper Longer</v>
      </c>
      <c r="H2235" s="38">
        <f t="shared" si="264"/>
        <v>3</v>
      </c>
      <c r="I2235" s="54">
        <f t="shared" si="263"/>
        <v>12</v>
      </c>
      <c r="J2235" s="14" t="str">
        <f t="shared" si="265"/>
        <v>Easter</v>
      </c>
      <c r="K2235" s="16" t="str">
        <f t="shared" si="266"/>
        <v>6-12</v>
      </c>
      <c r="L2235" s="14" t="str">
        <f t="shared" si="260"/>
        <v>Romper Longer | 6-12 | Sage Green</v>
      </c>
      <c r="M2235" s="16" t="s">
        <v>3610</v>
      </c>
    </row>
    <row r="2236" spans="1:13" ht="25" customHeight="1" x14ac:dyDescent="0.45">
      <c r="A2236" s="18">
        <v>45738</v>
      </c>
      <c r="B2236" s="19" t="s">
        <v>2365</v>
      </c>
      <c r="C2236" s="23" t="s">
        <v>9</v>
      </c>
      <c r="D2236" s="53" t="str">
        <f t="shared" si="262"/>
        <v>Cream</v>
      </c>
      <c r="E2236" s="21" t="s">
        <v>1834</v>
      </c>
      <c r="F2236" s="21" t="s">
        <v>7</v>
      </c>
      <c r="G2236" s="4" t="str">
        <f t="shared" si="261"/>
        <v>Romper Short</v>
      </c>
      <c r="H2236" s="38">
        <f t="shared" si="264"/>
        <v>3</v>
      </c>
      <c r="I2236" s="54">
        <f t="shared" si="263"/>
        <v>12</v>
      </c>
      <c r="J2236" s="14" t="str">
        <f t="shared" si="265"/>
        <v>Easter</v>
      </c>
      <c r="K2236" s="16" t="str">
        <f t="shared" si="266"/>
        <v>0-3</v>
      </c>
      <c r="L2236" s="14" t="str">
        <f t="shared" si="260"/>
        <v>Romper Short | 0-3 | Cream</v>
      </c>
      <c r="M2236" s="16" t="s">
        <v>3609</v>
      </c>
    </row>
    <row r="2237" spans="1:13" ht="25" customHeight="1" x14ac:dyDescent="0.45">
      <c r="A2237" s="18">
        <v>45739</v>
      </c>
      <c r="B2237" s="23"/>
      <c r="C2237" s="23" t="s">
        <v>71</v>
      </c>
      <c r="D2237" s="53" t="str">
        <f t="shared" si="262"/>
        <v>Coffee</v>
      </c>
      <c r="E2237" s="21" t="s">
        <v>1849</v>
      </c>
      <c r="F2237" s="21" t="s">
        <v>7</v>
      </c>
      <c r="G2237" s="4" t="str">
        <f t="shared" si="261"/>
        <v>Romper Short</v>
      </c>
      <c r="H2237" s="38">
        <f t="shared" si="264"/>
        <v>3</v>
      </c>
      <c r="I2237" s="54">
        <f t="shared" si="263"/>
        <v>13</v>
      </c>
      <c r="J2237" s="14" t="str">
        <f t="shared" si="265"/>
        <v>Easter</v>
      </c>
      <c r="K2237" s="16" t="str">
        <f t="shared" si="266"/>
        <v>3-6</v>
      </c>
      <c r="L2237" s="14" t="str">
        <f t="shared" si="260"/>
        <v>Romper Short | 3-6 | Coffee</v>
      </c>
      <c r="M2237" s="16" t="s">
        <v>3610</v>
      </c>
    </row>
    <row r="2238" spans="1:13" ht="25" customHeight="1" x14ac:dyDescent="0.45">
      <c r="A2238" s="18">
        <v>45740</v>
      </c>
      <c r="B2238" s="19" t="s">
        <v>2366</v>
      </c>
      <c r="C2238" s="23" t="s">
        <v>9</v>
      </c>
      <c r="D2238" s="53" t="str">
        <f t="shared" si="262"/>
        <v>Cream</v>
      </c>
      <c r="E2238" s="21" t="s">
        <v>1849</v>
      </c>
      <c r="F2238" s="21" t="s">
        <v>7</v>
      </c>
      <c r="G2238" s="4" t="str">
        <f t="shared" si="261"/>
        <v>Romper Short</v>
      </c>
      <c r="H2238" s="38">
        <f t="shared" si="264"/>
        <v>3</v>
      </c>
      <c r="I2238" s="54">
        <f t="shared" si="263"/>
        <v>13</v>
      </c>
      <c r="J2238" s="14" t="str">
        <f t="shared" si="265"/>
        <v>Easter</v>
      </c>
      <c r="K2238" s="16" t="str">
        <f t="shared" si="266"/>
        <v>3-6</v>
      </c>
      <c r="L2238" s="14" t="str">
        <f t="shared" si="260"/>
        <v>Romper Short | 3-6 | Cream</v>
      </c>
      <c r="M2238" s="16" t="s">
        <v>3609</v>
      </c>
    </row>
    <row r="2239" spans="1:13" ht="25" customHeight="1" x14ac:dyDescent="0.45">
      <c r="A2239" s="18">
        <v>45741</v>
      </c>
      <c r="B2239" s="19" t="s">
        <v>2367</v>
      </c>
      <c r="C2239" s="23" t="s">
        <v>9</v>
      </c>
      <c r="D2239" s="53" t="str">
        <f t="shared" si="262"/>
        <v>Cream</v>
      </c>
      <c r="E2239" s="21" t="s">
        <v>1841</v>
      </c>
      <c r="F2239" s="21" t="s">
        <v>7</v>
      </c>
      <c r="G2239" s="4" t="str">
        <f t="shared" si="261"/>
        <v>Romper Longer</v>
      </c>
      <c r="H2239" s="38">
        <f t="shared" si="264"/>
        <v>3</v>
      </c>
      <c r="I2239" s="54">
        <f t="shared" si="263"/>
        <v>13</v>
      </c>
      <c r="J2239" s="14" t="str">
        <f t="shared" si="265"/>
        <v>Easter</v>
      </c>
      <c r="K2239" s="16" t="str">
        <f t="shared" si="266"/>
        <v>6-12</v>
      </c>
      <c r="L2239" s="14" t="str">
        <f t="shared" si="260"/>
        <v>Romper Longer | 6-12 | Cream</v>
      </c>
      <c r="M2239" s="16" t="s">
        <v>3611</v>
      </c>
    </row>
    <row r="2240" spans="1:13" ht="25" customHeight="1" x14ac:dyDescent="0.45">
      <c r="A2240" s="18">
        <v>45742</v>
      </c>
      <c r="B2240" s="19" t="s">
        <v>2368</v>
      </c>
      <c r="C2240" s="23" t="s">
        <v>74</v>
      </c>
      <c r="D2240" s="53" t="str">
        <f t="shared" si="262"/>
        <v>Watermelon</v>
      </c>
      <c r="E2240" s="21" t="s">
        <v>1841</v>
      </c>
      <c r="F2240" s="21" t="s">
        <v>7</v>
      </c>
      <c r="G2240" s="4" t="str">
        <f t="shared" si="261"/>
        <v>Romper Longer</v>
      </c>
      <c r="H2240" s="38">
        <f t="shared" si="264"/>
        <v>3</v>
      </c>
      <c r="I2240" s="54">
        <f t="shared" si="263"/>
        <v>13</v>
      </c>
      <c r="J2240" s="14" t="str">
        <f t="shared" si="265"/>
        <v>Easter</v>
      </c>
      <c r="K2240" s="16" t="str">
        <f t="shared" si="266"/>
        <v>6-12</v>
      </c>
      <c r="L2240" s="14" t="str">
        <f t="shared" si="260"/>
        <v>Romper Longer | 6-12 | Watermelon</v>
      </c>
      <c r="M2240" s="16" t="s">
        <v>3610</v>
      </c>
    </row>
    <row r="2241" spans="1:13" ht="25" customHeight="1" x14ac:dyDescent="0.45">
      <c r="A2241" s="18">
        <v>45743</v>
      </c>
      <c r="B2241" s="19" t="s">
        <v>2369</v>
      </c>
      <c r="C2241" s="23" t="s">
        <v>9</v>
      </c>
      <c r="D2241" s="53" t="str">
        <f t="shared" si="262"/>
        <v>Cream</v>
      </c>
      <c r="E2241" s="21" t="s">
        <v>1831</v>
      </c>
      <c r="F2241" s="21" t="s">
        <v>7</v>
      </c>
      <c r="G2241" s="4" t="str">
        <f t="shared" si="261"/>
        <v>Romper Longer</v>
      </c>
      <c r="H2241" s="38">
        <f t="shared" si="264"/>
        <v>3</v>
      </c>
      <c r="I2241" s="54">
        <f t="shared" si="263"/>
        <v>13</v>
      </c>
      <c r="J2241" s="14" t="str">
        <f t="shared" si="265"/>
        <v>Easter</v>
      </c>
      <c r="K2241" s="16" t="str">
        <f t="shared" si="266"/>
        <v>0-3</v>
      </c>
      <c r="L2241" s="14" t="str">
        <f t="shared" si="260"/>
        <v>Romper Longer | 0-3 | Cream</v>
      </c>
      <c r="M2241" s="16" t="s">
        <v>3609</v>
      </c>
    </row>
    <row r="2242" spans="1:13" ht="25" customHeight="1" x14ac:dyDescent="0.45">
      <c r="A2242" s="18">
        <v>45744</v>
      </c>
      <c r="B2242" s="19" t="s">
        <v>2370</v>
      </c>
      <c r="C2242" s="23" t="s">
        <v>9</v>
      </c>
      <c r="D2242" s="53" t="str">
        <f t="shared" si="262"/>
        <v>Cream</v>
      </c>
      <c r="E2242" s="21" t="s">
        <v>1828</v>
      </c>
      <c r="F2242" s="21" t="s">
        <v>7</v>
      </c>
      <c r="G2242" s="4" t="str">
        <f t="shared" si="261"/>
        <v>Romper Longer</v>
      </c>
      <c r="H2242" s="38">
        <f t="shared" si="264"/>
        <v>3</v>
      </c>
      <c r="I2242" s="54">
        <f t="shared" si="263"/>
        <v>13</v>
      </c>
      <c r="J2242" s="14" t="str">
        <f t="shared" si="265"/>
        <v>Easter</v>
      </c>
      <c r="K2242" s="16" t="str">
        <f t="shared" si="266"/>
        <v>3-6</v>
      </c>
      <c r="L2242" s="14" t="str">
        <f t="shared" ref="L2242:L2305" si="267">TRIM(G2242)&amp;" | "&amp;TRIM(K2242)&amp;" | "&amp;PROPER(TRIM(D2242))</f>
        <v>Romper Longer | 3-6 | Cream</v>
      </c>
      <c r="M2242" s="16" t="s">
        <v>3609</v>
      </c>
    </row>
    <row r="2243" spans="1:13" ht="25" customHeight="1" x14ac:dyDescent="0.45">
      <c r="A2243" s="18">
        <v>45745</v>
      </c>
      <c r="B2243" s="19" t="s">
        <v>2371</v>
      </c>
      <c r="C2243" s="23" t="s">
        <v>9</v>
      </c>
      <c r="D2243" s="53" t="str">
        <f t="shared" si="262"/>
        <v>Cream</v>
      </c>
      <c r="E2243" s="21" t="s">
        <v>1831</v>
      </c>
      <c r="F2243" s="21" t="s">
        <v>7</v>
      </c>
      <c r="G2243" s="4" t="str">
        <f t="shared" si="261"/>
        <v>Romper Longer</v>
      </c>
      <c r="H2243" s="38">
        <f t="shared" si="264"/>
        <v>3</v>
      </c>
      <c r="I2243" s="54">
        <f t="shared" si="263"/>
        <v>13</v>
      </c>
      <c r="J2243" s="14" t="str">
        <f t="shared" si="265"/>
        <v>Easter</v>
      </c>
      <c r="K2243" s="16" t="str">
        <f t="shared" si="266"/>
        <v>0-3</v>
      </c>
      <c r="L2243" s="14" t="str">
        <f t="shared" si="267"/>
        <v>Romper Longer | 0-3 | Cream</v>
      </c>
      <c r="M2243" s="16" t="s">
        <v>3609</v>
      </c>
    </row>
    <row r="2244" spans="1:13" ht="25" customHeight="1" x14ac:dyDescent="0.45">
      <c r="A2244" s="18">
        <v>45746</v>
      </c>
      <c r="B2244" s="19" t="s">
        <v>2372</v>
      </c>
      <c r="C2244" s="23" t="s">
        <v>407</v>
      </c>
      <c r="D2244" s="53" t="str">
        <f t="shared" si="262"/>
        <v>Texas Orange</v>
      </c>
      <c r="E2244" s="21" t="s">
        <v>1828</v>
      </c>
      <c r="F2244" s="21" t="s">
        <v>7</v>
      </c>
      <c r="G2244" s="4" t="str">
        <f t="shared" si="261"/>
        <v>Romper Longer</v>
      </c>
      <c r="H2244" s="38">
        <f t="shared" si="264"/>
        <v>3</v>
      </c>
      <c r="I2244" s="54">
        <f t="shared" si="263"/>
        <v>14</v>
      </c>
      <c r="J2244" s="14" t="str">
        <f t="shared" si="265"/>
        <v>Easter</v>
      </c>
      <c r="K2244" s="16" t="str">
        <f t="shared" si="266"/>
        <v>3-6</v>
      </c>
      <c r="L2244" s="14" t="str">
        <f t="shared" si="267"/>
        <v>Romper Longer | 3-6 | Texas Orange</v>
      </c>
      <c r="M2244" s="16" t="s">
        <v>3610</v>
      </c>
    </row>
    <row r="2245" spans="1:13" ht="25" customHeight="1" x14ac:dyDescent="0.45">
      <c r="A2245" s="18">
        <v>45747</v>
      </c>
      <c r="B2245" s="19" t="s">
        <v>2373</v>
      </c>
      <c r="C2245" s="23" t="s">
        <v>9</v>
      </c>
      <c r="D2245" s="53" t="str">
        <f t="shared" si="262"/>
        <v>Cream</v>
      </c>
      <c r="E2245" s="21" t="s">
        <v>1550</v>
      </c>
      <c r="F2245" s="21" t="s">
        <v>7</v>
      </c>
      <c r="G2245" s="4" t="str">
        <f t="shared" si="261"/>
        <v>Romper Longer</v>
      </c>
      <c r="H2245" s="38">
        <f t="shared" si="264"/>
        <v>3</v>
      </c>
      <c r="I2245" s="54">
        <f t="shared" si="263"/>
        <v>14</v>
      </c>
      <c r="J2245" s="14" t="str">
        <f t="shared" si="265"/>
        <v>Easter</v>
      </c>
      <c r="K2245" s="16" t="str">
        <f t="shared" si="266"/>
        <v>12-18</v>
      </c>
      <c r="L2245" s="14" t="str">
        <f t="shared" si="267"/>
        <v>Romper Longer | 12-18 | Cream</v>
      </c>
      <c r="M2245" s="16" t="s">
        <v>3610</v>
      </c>
    </row>
    <row r="2246" spans="1:13" ht="25" customHeight="1" x14ac:dyDescent="0.45">
      <c r="A2246" s="18">
        <v>45748</v>
      </c>
      <c r="B2246" s="19" t="s">
        <v>2374</v>
      </c>
      <c r="C2246" s="23" t="s">
        <v>79</v>
      </c>
      <c r="D2246" s="53" t="str">
        <f t="shared" si="262"/>
        <v>White</v>
      </c>
      <c r="E2246" s="21" t="s">
        <v>1831</v>
      </c>
      <c r="F2246" s="21" t="s">
        <v>7</v>
      </c>
      <c r="G2246" s="4" t="str">
        <f t="shared" si="261"/>
        <v>Romper Longer</v>
      </c>
      <c r="H2246" s="38">
        <f t="shared" si="264"/>
        <v>4</v>
      </c>
      <c r="I2246" s="54">
        <f t="shared" si="263"/>
        <v>14</v>
      </c>
      <c r="J2246" s="14" t="str">
        <f t="shared" si="265"/>
        <v>Easter</v>
      </c>
      <c r="K2246" s="16" t="str">
        <f t="shared" si="266"/>
        <v>0-3</v>
      </c>
      <c r="L2246" s="14" t="str">
        <f t="shared" si="267"/>
        <v>Romper Longer | 0-3 | White</v>
      </c>
      <c r="M2246" s="16" t="s">
        <v>3610</v>
      </c>
    </row>
    <row r="2247" spans="1:13" ht="25" customHeight="1" x14ac:dyDescent="0.45">
      <c r="A2247" s="18">
        <v>45749</v>
      </c>
      <c r="B2247" s="19" t="s">
        <v>2375</v>
      </c>
      <c r="C2247" s="23" t="s">
        <v>9</v>
      </c>
      <c r="D2247" s="53" t="str">
        <f t="shared" si="262"/>
        <v>Cream</v>
      </c>
      <c r="E2247" s="21" t="s">
        <v>1831</v>
      </c>
      <c r="F2247" s="21" t="s">
        <v>7</v>
      </c>
      <c r="G2247" s="4" t="str">
        <f t="shared" si="261"/>
        <v>Romper Longer</v>
      </c>
      <c r="H2247" s="38">
        <f t="shared" si="264"/>
        <v>4</v>
      </c>
      <c r="I2247" s="54">
        <f t="shared" si="263"/>
        <v>14</v>
      </c>
      <c r="J2247" s="14" t="str">
        <f t="shared" si="265"/>
        <v>Easter</v>
      </c>
      <c r="K2247" s="16" t="str">
        <f t="shared" si="266"/>
        <v>0-3</v>
      </c>
      <c r="L2247" s="14" t="str">
        <f t="shared" si="267"/>
        <v>Romper Longer | 0-3 | Cream</v>
      </c>
      <c r="M2247" s="16" t="s">
        <v>3609</v>
      </c>
    </row>
    <row r="2248" spans="1:13" ht="25" customHeight="1" x14ac:dyDescent="0.45">
      <c r="A2248" s="18">
        <v>45750</v>
      </c>
      <c r="B2248" s="19" t="s">
        <v>2376</v>
      </c>
      <c r="C2248" s="23" t="s">
        <v>9</v>
      </c>
      <c r="D2248" s="53" t="str">
        <f t="shared" si="262"/>
        <v>Cream</v>
      </c>
      <c r="E2248" s="21" t="s">
        <v>1828</v>
      </c>
      <c r="F2248" s="21" t="s">
        <v>7</v>
      </c>
      <c r="G2248" s="4" t="str">
        <f t="shared" si="261"/>
        <v>Romper Longer</v>
      </c>
      <c r="H2248" s="38">
        <f t="shared" si="264"/>
        <v>4</v>
      </c>
      <c r="I2248" s="54">
        <f t="shared" si="263"/>
        <v>14</v>
      </c>
      <c r="J2248" s="14" t="str">
        <f t="shared" si="265"/>
        <v>Easter</v>
      </c>
      <c r="K2248" s="16" t="str">
        <f t="shared" si="266"/>
        <v>3-6</v>
      </c>
      <c r="L2248" s="14" t="str">
        <f t="shared" si="267"/>
        <v>Romper Longer | 3-6 | Cream</v>
      </c>
      <c r="M2248" s="16" t="s">
        <v>3609</v>
      </c>
    </row>
    <row r="2249" spans="1:13" ht="25" customHeight="1" x14ac:dyDescent="0.45">
      <c r="A2249" s="18">
        <v>45751</v>
      </c>
      <c r="B2249" s="19" t="s">
        <v>2377</v>
      </c>
      <c r="C2249" s="23" t="s">
        <v>407</v>
      </c>
      <c r="D2249" s="53" t="str">
        <f t="shared" si="262"/>
        <v>Texas Orange</v>
      </c>
      <c r="E2249" s="21" t="s">
        <v>1828</v>
      </c>
      <c r="F2249" s="21" t="s">
        <v>7</v>
      </c>
      <c r="G2249" s="4" t="str">
        <f t="shared" si="261"/>
        <v>Romper Longer</v>
      </c>
      <c r="H2249" s="38">
        <f t="shared" si="264"/>
        <v>4</v>
      </c>
      <c r="I2249" s="54">
        <f t="shared" si="263"/>
        <v>14</v>
      </c>
      <c r="J2249" s="14" t="str">
        <f t="shared" si="265"/>
        <v>Easter</v>
      </c>
      <c r="K2249" s="16" t="str">
        <f t="shared" si="266"/>
        <v>3-6</v>
      </c>
      <c r="L2249" s="14" t="str">
        <f t="shared" si="267"/>
        <v>Romper Longer | 3-6 | Texas Orange</v>
      </c>
      <c r="M2249" s="16" t="s">
        <v>3610</v>
      </c>
    </row>
    <row r="2250" spans="1:13" ht="25" customHeight="1" x14ac:dyDescent="0.45">
      <c r="A2250" s="18">
        <v>45752</v>
      </c>
      <c r="B2250" s="19" t="s">
        <v>2378</v>
      </c>
      <c r="C2250" s="23" t="s">
        <v>110</v>
      </c>
      <c r="D2250" s="53" t="str">
        <f t="shared" si="262"/>
        <v>Sage Green</v>
      </c>
      <c r="E2250" s="21" t="s">
        <v>1828</v>
      </c>
      <c r="F2250" s="21" t="s">
        <v>7</v>
      </c>
      <c r="G2250" s="4" t="str">
        <f t="shared" si="261"/>
        <v>Romper Longer</v>
      </c>
      <c r="H2250" s="38">
        <f t="shared" si="264"/>
        <v>4</v>
      </c>
      <c r="I2250" s="54">
        <f t="shared" si="263"/>
        <v>14</v>
      </c>
      <c r="J2250" s="14" t="str">
        <f t="shared" si="265"/>
        <v>Easter</v>
      </c>
      <c r="K2250" s="16" t="str">
        <f t="shared" si="266"/>
        <v>3-6</v>
      </c>
      <c r="L2250" s="14" t="str">
        <f t="shared" si="267"/>
        <v>Romper Longer | 3-6 | Sage Green</v>
      </c>
      <c r="M2250" s="16" t="s">
        <v>3611</v>
      </c>
    </row>
    <row r="2251" spans="1:13" ht="25" customHeight="1" x14ac:dyDescent="0.45">
      <c r="A2251" s="18">
        <v>45753</v>
      </c>
      <c r="B2251" s="19" t="s">
        <v>2379</v>
      </c>
      <c r="C2251" s="23" t="s">
        <v>9</v>
      </c>
      <c r="D2251" s="53" t="str">
        <f t="shared" si="262"/>
        <v>Cream</v>
      </c>
      <c r="E2251" s="21" t="s">
        <v>1831</v>
      </c>
      <c r="F2251" s="21" t="s">
        <v>7</v>
      </c>
      <c r="G2251" s="4" t="str">
        <f t="shared" si="261"/>
        <v>Romper Longer</v>
      </c>
      <c r="H2251" s="38">
        <f t="shared" si="264"/>
        <v>4</v>
      </c>
      <c r="I2251" s="54">
        <f t="shared" si="263"/>
        <v>15</v>
      </c>
      <c r="J2251" s="14" t="str">
        <f t="shared" si="265"/>
        <v>Easter</v>
      </c>
      <c r="K2251" s="16" t="str">
        <f t="shared" si="266"/>
        <v>0-3</v>
      </c>
      <c r="L2251" s="14" t="str">
        <f t="shared" si="267"/>
        <v>Romper Longer | 0-3 | Cream</v>
      </c>
      <c r="M2251" s="16" t="s">
        <v>3609</v>
      </c>
    </row>
    <row r="2252" spans="1:13" ht="25" customHeight="1" x14ac:dyDescent="0.45">
      <c r="A2252" s="18">
        <v>45754</v>
      </c>
      <c r="B2252" s="19" t="s">
        <v>2380</v>
      </c>
      <c r="C2252" s="23" t="s">
        <v>85</v>
      </c>
      <c r="D2252" s="53" t="str">
        <f t="shared" si="262"/>
        <v>Forest Green</v>
      </c>
      <c r="E2252" s="21" t="s">
        <v>1831</v>
      </c>
      <c r="F2252" s="21" t="s">
        <v>7</v>
      </c>
      <c r="G2252" s="4" t="str">
        <f t="shared" si="261"/>
        <v>Romper Longer</v>
      </c>
      <c r="H2252" s="38">
        <f t="shared" si="264"/>
        <v>4</v>
      </c>
      <c r="I2252" s="54">
        <f t="shared" si="263"/>
        <v>15</v>
      </c>
      <c r="J2252" s="14" t="str">
        <f t="shared" si="265"/>
        <v>Easter</v>
      </c>
      <c r="K2252" s="16" t="str">
        <f t="shared" si="266"/>
        <v>0-3</v>
      </c>
      <c r="L2252" s="14" t="str">
        <f t="shared" si="267"/>
        <v>Romper Longer | 0-3 | Forest Green</v>
      </c>
      <c r="M2252" s="16" t="s">
        <v>3610</v>
      </c>
    </row>
    <row r="2253" spans="1:13" ht="25" customHeight="1" x14ac:dyDescent="0.45">
      <c r="A2253" s="18">
        <v>45755</v>
      </c>
      <c r="B2253" s="19" t="s">
        <v>2381</v>
      </c>
      <c r="C2253" s="23" t="s">
        <v>110</v>
      </c>
      <c r="D2253" s="53" t="str">
        <f t="shared" si="262"/>
        <v>Sage Green</v>
      </c>
      <c r="E2253" s="21" t="s">
        <v>1831</v>
      </c>
      <c r="F2253" s="21" t="s">
        <v>7</v>
      </c>
      <c r="G2253" s="4" t="str">
        <f t="shared" si="261"/>
        <v>Romper Longer</v>
      </c>
      <c r="H2253" s="38">
        <f t="shared" si="264"/>
        <v>4</v>
      </c>
      <c r="I2253" s="54">
        <f t="shared" si="263"/>
        <v>15</v>
      </c>
      <c r="J2253" s="14" t="str">
        <f t="shared" si="265"/>
        <v>Easter</v>
      </c>
      <c r="K2253" s="16" t="str">
        <f t="shared" si="266"/>
        <v>0-3</v>
      </c>
      <c r="L2253" s="14" t="str">
        <f t="shared" si="267"/>
        <v>Romper Longer | 0-3 | Sage Green</v>
      </c>
      <c r="M2253" s="16" t="s">
        <v>3611</v>
      </c>
    </row>
    <row r="2254" spans="1:13" ht="25" customHeight="1" x14ac:dyDescent="0.45">
      <c r="A2254" s="18">
        <v>45756</v>
      </c>
      <c r="B2254" s="19" t="s">
        <v>2382</v>
      </c>
      <c r="C2254" s="23" t="s">
        <v>9</v>
      </c>
      <c r="D2254" s="53" t="str">
        <f t="shared" si="262"/>
        <v>Cream</v>
      </c>
      <c r="E2254" s="21" t="s">
        <v>1834</v>
      </c>
      <c r="F2254" s="21" t="s">
        <v>7</v>
      </c>
      <c r="G2254" s="4" t="str">
        <f t="shared" si="261"/>
        <v>Romper Short</v>
      </c>
      <c r="H2254" s="38">
        <f t="shared" si="264"/>
        <v>4</v>
      </c>
      <c r="I2254" s="54">
        <f t="shared" si="263"/>
        <v>15</v>
      </c>
      <c r="J2254" s="14" t="str">
        <f t="shared" si="265"/>
        <v>Easter</v>
      </c>
      <c r="K2254" s="16" t="str">
        <f t="shared" si="266"/>
        <v>0-3</v>
      </c>
      <c r="L2254" s="14" t="str">
        <f t="shared" si="267"/>
        <v>Romper Short | 0-3 | Cream</v>
      </c>
      <c r="M2254" s="16" t="s">
        <v>3609</v>
      </c>
    </row>
    <row r="2255" spans="1:13" ht="25" customHeight="1" x14ac:dyDescent="0.45">
      <c r="A2255" s="18">
        <v>45757</v>
      </c>
      <c r="B2255" s="19" t="s">
        <v>2383</v>
      </c>
      <c r="C2255" s="23" t="s">
        <v>9</v>
      </c>
      <c r="D2255" s="53" t="str">
        <f t="shared" si="262"/>
        <v>Cream</v>
      </c>
      <c r="E2255" s="21" t="s">
        <v>1834</v>
      </c>
      <c r="F2255" s="21" t="s">
        <v>7</v>
      </c>
      <c r="G2255" s="4" t="str">
        <f t="shared" ref="G2255:G2318" si="268">IF(ISNUMBER(SEARCH("LONG",E2255)),"Romper Longer",IF(ISNUMBER(SEARCH("SHORT",E2255)),"Romper Short","Bodysuit"))</f>
        <v>Romper Short</v>
      </c>
      <c r="H2255" s="38">
        <f t="shared" si="264"/>
        <v>4</v>
      </c>
      <c r="I2255" s="54">
        <f t="shared" si="263"/>
        <v>15</v>
      </c>
      <c r="J2255" s="14" t="str">
        <f t="shared" si="265"/>
        <v>Easter</v>
      </c>
      <c r="K2255" s="16" t="str">
        <f t="shared" si="266"/>
        <v>0-3</v>
      </c>
      <c r="L2255" s="14" t="str">
        <f t="shared" si="267"/>
        <v>Romper Short | 0-3 | Cream</v>
      </c>
      <c r="M2255" s="16" t="s">
        <v>3609</v>
      </c>
    </row>
    <row r="2256" spans="1:13" ht="25" customHeight="1" x14ac:dyDescent="0.45">
      <c r="A2256" s="18">
        <v>45758</v>
      </c>
      <c r="B2256" s="19" t="s">
        <v>2384</v>
      </c>
      <c r="C2256" s="23" t="s">
        <v>81</v>
      </c>
      <c r="D2256" s="53" t="str">
        <f t="shared" si="262"/>
        <v>Dusty Pink</v>
      </c>
      <c r="E2256" s="21" t="s">
        <v>1849</v>
      </c>
      <c r="F2256" s="21" t="s">
        <v>7</v>
      </c>
      <c r="G2256" s="4" t="str">
        <f t="shared" si="268"/>
        <v>Romper Short</v>
      </c>
      <c r="H2256" s="38">
        <f t="shared" si="264"/>
        <v>4</v>
      </c>
      <c r="I2256" s="54">
        <f t="shared" si="263"/>
        <v>15</v>
      </c>
      <c r="J2256" s="14" t="str">
        <f t="shared" si="265"/>
        <v>Easter</v>
      </c>
      <c r="K2256" s="16" t="str">
        <f t="shared" si="266"/>
        <v>3-6</v>
      </c>
      <c r="L2256" s="14" t="str">
        <f t="shared" si="267"/>
        <v>Romper Short | 3-6 | Dusty Pink</v>
      </c>
      <c r="M2256" s="16" t="s">
        <v>3610</v>
      </c>
    </row>
    <row r="2257" spans="1:13" ht="25" customHeight="1" x14ac:dyDescent="0.45">
      <c r="A2257" s="18">
        <v>45759</v>
      </c>
      <c r="B2257" s="19" t="s">
        <v>2385</v>
      </c>
      <c r="C2257" s="23" t="s">
        <v>178</v>
      </c>
      <c r="D2257" s="53" t="str">
        <f t="shared" si="262"/>
        <v>Mauve Taupe</v>
      </c>
      <c r="E2257" s="21" t="s">
        <v>1831</v>
      </c>
      <c r="F2257" s="21" t="s">
        <v>7</v>
      </c>
      <c r="G2257" s="4" t="str">
        <f t="shared" si="268"/>
        <v>Romper Longer</v>
      </c>
      <c r="H2257" s="38">
        <f t="shared" si="264"/>
        <v>4</v>
      </c>
      <c r="I2257" s="54">
        <f t="shared" si="263"/>
        <v>15</v>
      </c>
      <c r="J2257" s="14" t="str">
        <f t="shared" si="265"/>
        <v>Easter</v>
      </c>
      <c r="K2257" s="16" t="str">
        <f t="shared" si="266"/>
        <v>0-3</v>
      </c>
      <c r="L2257" s="14" t="str">
        <f t="shared" si="267"/>
        <v>Romper Longer | 0-3 | Mauve Taupe</v>
      </c>
      <c r="M2257" s="16" t="s">
        <v>3610</v>
      </c>
    </row>
    <row r="2258" spans="1:13" ht="25" customHeight="1" x14ac:dyDescent="0.45">
      <c r="A2258" s="18">
        <v>45760</v>
      </c>
      <c r="B2258" s="19" t="s">
        <v>2386</v>
      </c>
      <c r="C2258" s="23" t="s">
        <v>81</v>
      </c>
      <c r="D2258" s="53" t="str">
        <f t="shared" si="262"/>
        <v>Dusty Pink</v>
      </c>
      <c r="E2258" s="21" t="s">
        <v>1828</v>
      </c>
      <c r="F2258" s="21" t="s">
        <v>7</v>
      </c>
      <c r="G2258" s="4" t="str">
        <f t="shared" si="268"/>
        <v>Romper Longer</v>
      </c>
      <c r="H2258" s="38">
        <f t="shared" si="264"/>
        <v>4</v>
      </c>
      <c r="I2258" s="54">
        <f t="shared" si="263"/>
        <v>16</v>
      </c>
      <c r="J2258" s="14" t="str">
        <f t="shared" si="265"/>
        <v>Easter</v>
      </c>
      <c r="K2258" s="16" t="str">
        <f t="shared" si="266"/>
        <v>3-6</v>
      </c>
      <c r="L2258" s="14" t="str">
        <f t="shared" si="267"/>
        <v>Romper Longer | 3-6 | Dusty Pink</v>
      </c>
      <c r="M2258" s="16" t="s">
        <v>3610</v>
      </c>
    </row>
    <row r="2259" spans="1:13" ht="25" customHeight="1" x14ac:dyDescent="0.45">
      <c r="A2259" s="18">
        <v>45761</v>
      </c>
      <c r="B2259" s="19" t="s">
        <v>2387</v>
      </c>
      <c r="C2259" s="23" t="s">
        <v>9</v>
      </c>
      <c r="D2259" s="53" t="str">
        <f t="shared" ref="D2259:D2322" si="269">PROPER(C2259)</f>
        <v>Cream</v>
      </c>
      <c r="E2259" s="21" t="s">
        <v>1831</v>
      </c>
      <c r="F2259" s="21" t="s">
        <v>7</v>
      </c>
      <c r="G2259" s="4" t="str">
        <f t="shared" si="268"/>
        <v>Romper Longer</v>
      </c>
      <c r="H2259" s="38">
        <f t="shared" si="264"/>
        <v>4</v>
      </c>
      <c r="I2259" s="54">
        <f t="shared" si="263"/>
        <v>16</v>
      </c>
      <c r="J2259" s="14" t="str">
        <f t="shared" si="265"/>
        <v>Easter</v>
      </c>
      <c r="K2259" s="16" t="str">
        <f t="shared" si="266"/>
        <v>0-3</v>
      </c>
      <c r="L2259" s="14" t="str">
        <f t="shared" si="267"/>
        <v>Romper Longer | 0-3 | Cream</v>
      </c>
      <c r="M2259" s="16" t="s">
        <v>3609</v>
      </c>
    </row>
    <row r="2260" spans="1:13" ht="25" customHeight="1" x14ac:dyDescent="0.45">
      <c r="A2260" s="18">
        <v>45762</v>
      </c>
      <c r="B2260" s="19" t="s">
        <v>2388</v>
      </c>
      <c r="C2260" s="23" t="s">
        <v>76</v>
      </c>
      <c r="D2260" s="53" t="str">
        <f t="shared" si="269"/>
        <v>Caldet Blue</v>
      </c>
      <c r="E2260" s="21" t="s">
        <v>1849</v>
      </c>
      <c r="F2260" s="21" t="s">
        <v>7</v>
      </c>
      <c r="G2260" s="4" t="str">
        <f t="shared" si="268"/>
        <v>Romper Short</v>
      </c>
      <c r="H2260" s="38">
        <f t="shared" si="264"/>
        <v>4</v>
      </c>
      <c r="I2260" s="54">
        <f t="shared" si="263"/>
        <v>16</v>
      </c>
      <c r="J2260" s="14" t="str">
        <f t="shared" si="265"/>
        <v>Easter</v>
      </c>
      <c r="K2260" s="16" t="str">
        <f t="shared" si="266"/>
        <v>3-6</v>
      </c>
      <c r="L2260" s="14" t="str">
        <f t="shared" si="267"/>
        <v>Romper Short | 3-6 | Caldet Blue</v>
      </c>
      <c r="M2260" s="16" t="s">
        <v>3610</v>
      </c>
    </row>
    <row r="2261" spans="1:13" ht="25" customHeight="1" x14ac:dyDescent="0.45">
      <c r="A2261" s="18">
        <v>45763</v>
      </c>
      <c r="B2261" s="19" t="s">
        <v>2389</v>
      </c>
      <c r="C2261" s="23" t="s">
        <v>9</v>
      </c>
      <c r="D2261" s="53" t="str">
        <f t="shared" si="269"/>
        <v>Cream</v>
      </c>
      <c r="E2261" s="21" t="s">
        <v>1838</v>
      </c>
      <c r="F2261" s="21" t="s">
        <v>7</v>
      </c>
      <c r="G2261" s="4" t="str">
        <f t="shared" si="268"/>
        <v>Romper Short</v>
      </c>
      <c r="H2261" s="38">
        <f t="shared" si="264"/>
        <v>4</v>
      </c>
      <c r="I2261" s="54">
        <f t="shared" si="263"/>
        <v>16</v>
      </c>
      <c r="J2261" s="14" t="str">
        <f t="shared" si="265"/>
        <v>Easter</v>
      </c>
      <c r="K2261" s="16" t="str">
        <f t="shared" si="266"/>
        <v>12-18</v>
      </c>
      <c r="L2261" s="14" t="str">
        <f t="shared" si="267"/>
        <v>Romper Short | 12-18 | Cream</v>
      </c>
      <c r="M2261" s="16" t="s">
        <v>3610</v>
      </c>
    </row>
    <row r="2262" spans="1:13" ht="25" customHeight="1" x14ac:dyDescent="0.45">
      <c r="A2262" s="18">
        <v>45764</v>
      </c>
      <c r="B2262" s="19" t="s">
        <v>2390</v>
      </c>
      <c r="C2262" s="23" t="s">
        <v>71</v>
      </c>
      <c r="D2262" s="53" t="str">
        <f t="shared" si="269"/>
        <v>Coffee</v>
      </c>
      <c r="E2262" s="21" t="s">
        <v>1828</v>
      </c>
      <c r="F2262" s="21" t="s">
        <v>7</v>
      </c>
      <c r="G2262" s="4" t="str">
        <f t="shared" si="268"/>
        <v>Romper Longer</v>
      </c>
      <c r="H2262" s="38">
        <f t="shared" si="264"/>
        <v>4</v>
      </c>
      <c r="I2262" s="54">
        <f t="shared" si="263"/>
        <v>16</v>
      </c>
      <c r="J2262" s="14" t="str">
        <f t="shared" si="265"/>
        <v>Easter</v>
      </c>
      <c r="K2262" s="16" t="str">
        <f t="shared" si="266"/>
        <v>3-6</v>
      </c>
      <c r="L2262" s="14" t="str">
        <f t="shared" si="267"/>
        <v>Romper Longer | 3-6 | Coffee</v>
      </c>
      <c r="M2262" s="16" t="s">
        <v>3610</v>
      </c>
    </row>
    <row r="2263" spans="1:13" ht="25" customHeight="1" x14ac:dyDescent="0.45">
      <c r="A2263" s="18">
        <v>45765</v>
      </c>
      <c r="B2263" s="19" t="s">
        <v>2391</v>
      </c>
      <c r="C2263" s="23" t="s">
        <v>110</v>
      </c>
      <c r="D2263" s="53" t="str">
        <f t="shared" si="269"/>
        <v>Sage Green</v>
      </c>
      <c r="E2263" s="21" t="s">
        <v>1828</v>
      </c>
      <c r="F2263" s="21" t="s">
        <v>7</v>
      </c>
      <c r="G2263" s="4" t="str">
        <f t="shared" si="268"/>
        <v>Romper Longer</v>
      </c>
      <c r="H2263" s="38">
        <f t="shared" si="264"/>
        <v>4</v>
      </c>
      <c r="I2263" s="54">
        <f t="shared" si="263"/>
        <v>16</v>
      </c>
      <c r="J2263" s="14" t="str">
        <f t="shared" si="265"/>
        <v>Easter</v>
      </c>
      <c r="K2263" s="16" t="str">
        <f t="shared" si="266"/>
        <v>3-6</v>
      </c>
      <c r="L2263" s="14" t="str">
        <f t="shared" si="267"/>
        <v>Romper Longer | 3-6 | Sage Green</v>
      </c>
      <c r="M2263" s="16" t="s">
        <v>3611</v>
      </c>
    </row>
    <row r="2264" spans="1:13" ht="25" customHeight="1" x14ac:dyDescent="0.45">
      <c r="A2264" s="18">
        <v>45766</v>
      </c>
      <c r="B2264" s="19" t="s">
        <v>2392</v>
      </c>
      <c r="C2264" s="23" t="s">
        <v>9</v>
      </c>
      <c r="D2264" s="53" t="str">
        <f t="shared" si="269"/>
        <v>Cream</v>
      </c>
      <c r="E2264" s="21" t="s">
        <v>1828</v>
      </c>
      <c r="F2264" s="21" t="s">
        <v>7</v>
      </c>
      <c r="G2264" s="4" t="str">
        <f t="shared" si="268"/>
        <v>Romper Longer</v>
      </c>
      <c r="H2264" s="38">
        <f t="shared" si="264"/>
        <v>4</v>
      </c>
      <c r="I2264" s="54">
        <f t="shared" si="263"/>
        <v>16</v>
      </c>
      <c r="J2264" s="14" t="str">
        <f t="shared" si="265"/>
        <v>Easter</v>
      </c>
      <c r="K2264" s="16" t="str">
        <f t="shared" si="266"/>
        <v>3-6</v>
      </c>
      <c r="L2264" s="14" t="str">
        <f t="shared" si="267"/>
        <v>Romper Longer | 3-6 | Cream</v>
      </c>
      <c r="M2264" s="16" t="s">
        <v>3609</v>
      </c>
    </row>
    <row r="2265" spans="1:13" ht="25" customHeight="1" x14ac:dyDescent="0.45">
      <c r="A2265" s="18">
        <v>45767</v>
      </c>
      <c r="B2265" s="19" t="s">
        <v>2393</v>
      </c>
      <c r="C2265" s="23" t="s">
        <v>9</v>
      </c>
      <c r="D2265" s="53" t="str">
        <f t="shared" si="269"/>
        <v>Cream</v>
      </c>
      <c r="E2265" s="21" t="s">
        <v>1550</v>
      </c>
      <c r="F2265" s="21" t="s">
        <v>7</v>
      </c>
      <c r="G2265" s="4" t="str">
        <f t="shared" si="268"/>
        <v>Romper Longer</v>
      </c>
      <c r="H2265" s="38">
        <f t="shared" si="264"/>
        <v>4</v>
      </c>
      <c r="I2265" s="54">
        <f t="shared" si="263"/>
        <v>17</v>
      </c>
      <c r="J2265" s="14" t="str">
        <f t="shared" si="265"/>
        <v>Easter</v>
      </c>
      <c r="K2265" s="16" t="str">
        <f t="shared" si="266"/>
        <v>12-18</v>
      </c>
      <c r="L2265" s="14" t="str">
        <f t="shared" si="267"/>
        <v>Romper Longer | 12-18 | Cream</v>
      </c>
      <c r="M2265" s="16" t="s">
        <v>3610</v>
      </c>
    </row>
    <row r="2266" spans="1:13" ht="25" customHeight="1" x14ac:dyDescent="0.45">
      <c r="A2266" s="18">
        <v>45768</v>
      </c>
      <c r="B2266" s="19" t="s">
        <v>2394</v>
      </c>
      <c r="C2266" s="23" t="s">
        <v>76</v>
      </c>
      <c r="D2266" s="53" t="str">
        <f t="shared" si="269"/>
        <v>Caldet Blue</v>
      </c>
      <c r="E2266" s="21" t="s">
        <v>1831</v>
      </c>
      <c r="F2266" s="21" t="s">
        <v>7</v>
      </c>
      <c r="G2266" s="4" t="str">
        <f t="shared" si="268"/>
        <v>Romper Longer</v>
      </c>
      <c r="H2266" s="38">
        <f t="shared" si="264"/>
        <v>4</v>
      </c>
      <c r="I2266" s="54">
        <f t="shared" si="263"/>
        <v>17</v>
      </c>
      <c r="J2266" s="14" t="str">
        <f t="shared" si="265"/>
        <v>Easter</v>
      </c>
      <c r="K2266" s="16" t="str">
        <f t="shared" si="266"/>
        <v>0-3</v>
      </c>
      <c r="L2266" s="14" t="str">
        <f t="shared" si="267"/>
        <v>Romper Longer | 0-3 | Caldet Blue</v>
      </c>
      <c r="M2266" s="16" t="s">
        <v>3610</v>
      </c>
    </row>
    <row r="2267" spans="1:13" ht="25" customHeight="1" x14ac:dyDescent="0.45">
      <c r="A2267" s="18">
        <v>45769</v>
      </c>
      <c r="B2267" s="19" t="s">
        <v>2395</v>
      </c>
      <c r="C2267" s="23" t="s">
        <v>71</v>
      </c>
      <c r="D2267" s="53" t="str">
        <f t="shared" si="269"/>
        <v>Coffee</v>
      </c>
      <c r="E2267" s="21" t="s">
        <v>1828</v>
      </c>
      <c r="F2267" s="21" t="s">
        <v>7</v>
      </c>
      <c r="G2267" s="4" t="str">
        <f t="shared" si="268"/>
        <v>Romper Longer</v>
      </c>
      <c r="H2267" s="38">
        <f t="shared" si="264"/>
        <v>4</v>
      </c>
      <c r="I2267" s="54">
        <f t="shared" si="263"/>
        <v>17</v>
      </c>
      <c r="J2267" s="14" t="str">
        <f t="shared" si="265"/>
        <v>Easter</v>
      </c>
      <c r="K2267" s="16" t="str">
        <f t="shared" si="266"/>
        <v>3-6</v>
      </c>
      <c r="L2267" s="14" t="str">
        <f t="shared" si="267"/>
        <v>Romper Longer | 3-6 | Coffee</v>
      </c>
      <c r="M2267" s="16" t="s">
        <v>3610</v>
      </c>
    </row>
    <row r="2268" spans="1:13" ht="25" customHeight="1" x14ac:dyDescent="0.45">
      <c r="A2268" s="18">
        <v>45770</v>
      </c>
      <c r="B2268" s="19" t="s">
        <v>2396</v>
      </c>
      <c r="C2268" s="23" t="s">
        <v>110</v>
      </c>
      <c r="D2268" s="53" t="str">
        <f t="shared" si="269"/>
        <v>Sage Green</v>
      </c>
      <c r="E2268" s="21" t="s">
        <v>1831</v>
      </c>
      <c r="F2268" s="21" t="s">
        <v>7</v>
      </c>
      <c r="G2268" s="4" t="str">
        <f t="shared" si="268"/>
        <v>Romper Longer</v>
      </c>
      <c r="H2268" s="38">
        <f t="shared" si="264"/>
        <v>4</v>
      </c>
      <c r="I2268" s="54">
        <f t="shared" si="263"/>
        <v>17</v>
      </c>
      <c r="J2268" s="14" t="str">
        <f t="shared" si="265"/>
        <v>Easter</v>
      </c>
      <c r="K2268" s="16" t="str">
        <f t="shared" si="266"/>
        <v>0-3</v>
      </c>
      <c r="L2268" s="14" t="str">
        <f t="shared" si="267"/>
        <v>Romper Longer | 0-3 | Sage Green</v>
      </c>
      <c r="M2268" s="16" t="s">
        <v>3611</v>
      </c>
    </row>
    <row r="2269" spans="1:13" ht="25" customHeight="1" x14ac:dyDescent="0.45">
      <c r="A2269" s="18">
        <v>45771</v>
      </c>
      <c r="B2269" s="19" t="s">
        <v>2397</v>
      </c>
      <c r="C2269" s="23" t="s">
        <v>9</v>
      </c>
      <c r="D2269" s="53" t="str">
        <f t="shared" si="269"/>
        <v>Cream</v>
      </c>
      <c r="E2269" s="21" t="s">
        <v>1828</v>
      </c>
      <c r="F2269" s="21" t="s">
        <v>7</v>
      </c>
      <c r="G2269" s="4" t="str">
        <f t="shared" si="268"/>
        <v>Romper Longer</v>
      </c>
      <c r="H2269" s="38">
        <f t="shared" si="264"/>
        <v>4</v>
      </c>
      <c r="I2269" s="54">
        <f t="shared" si="263"/>
        <v>17</v>
      </c>
      <c r="J2269" s="14" t="str">
        <f t="shared" si="265"/>
        <v>Easter</v>
      </c>
      <c r="K2269" s="16" t="str">
        <f t="shared" si="266"/>
        <v>3-6</v>
      </c>
      <c r="L2269" s="14" t="str">
        <f t="shared" si="267"/>
        <v>Romper Longer | 3-6 | Cream</v>
      </c>
      <c r="M2269" s="16" t="s">
        <v>3609</v>
      </c>
    </row>
    <row r="2270" spans="1:13" ht="25" customHeight="1" x14ac:dyDescent="0.45">
      <c r="A2270" s="18">
        <v>45772</v>
      </c>
      <c r="B2270" s="19" t="s">
        <v>2398</v>
      </c>
      <c r="C2270" s="23" t="s">
        <v>79</v>
      </c>
      <c r="D2270" s="53" t="str">
        <f t="shared" si="269"/>
        <v>White</v>
      </c>
      <c r="E2270" s="21" t="s">
        <v>1849</v>
      </c>
      <c r="F2270" s="21" t="s">
        <v>7</v>
      </c>
      <c r="G2270" s="4" t="str">
        <f t="shared" si="268"/>
        <v>Romper Short</v>
      </c>
      <c r="H2270" s="38">
        <f t="shared" si="264"/>
        <v>4</v>
      </c>
      <c r="I2270" s="54">
        <f t="shared" si="263"/>
        <v>17</v>
      </c>
      <c r="J2270" s="14" t="str">
        <f t="shared" si="265"/>
        <v>Easter</v>
      </c>
      <c r="K2270" s="16" t="str">
        <f t="shared" si="266"/>
        <v>3-6</v>
      </c>
      <c r="L2270" s="14" t="str">
        <f t="shared" si="267"/>
        <v>Romper Short | 3-6 | White</v>
      </c>
      <c r="M2270" s="16" t="s">
        <v>3610</v>
      </c>
    </row>
    <row r="2271" spans="1:13" ht="25" customHeight="1" x14ac:dyDescent="0.45">
      <c r="A2271" s="18">
        <v>45773</v>
      </c>
      <c r="B2271" s="19" t="s">
        <v>2399</v>
      </c>
      <c r="C2271" s="23" t="s">
        <v>9</v>
      </c>
      <c r="D2271" s="53" t="str">
        <f t="shared" si="269"/>
        <v>Cream</v>
      </c>
      <c r="E2271" s="21" t="s">
        <v>1841</v>
      </c>
      <c r="F2271" s="21" t="s">
        <v>7</v>
      </c>
      <c r="G2271" s="4" t="str">
        <f t="shared" si="268"/>
        <v>Romper Longer</v>
      </c>
      <c r="H2271" s="38">
        <f t="shared" si="264"/>
        <v>4</v>
      </c>
      <c r="I2271" s="54">
        <f t="shared" si="263"/>
        <v>17</v>
      </c>
      <c r="J2271" s="14" t="str">
        <f t="shared" si="265"/>
        <v>Easter</v>
      </c>
      <c r="K2271" s="16" t="str">
        <f t="shared" si="266"/>
        <v>6-12</v>
      </c>
      <c r="L2271" s="14" t="str">
        <f t="shared" si="267"/>
        <v>Romper Longer | 6-12 | Cream</v>
      </c>
      <c r="M2271" s="16" t="s">
        <v>3611</v>
      </c>
    </row>
    <row r="2272" spans="1:13" ht="25" customHeight="1" x14ac:dyDescent="0.45">
      <c r="A2272" s="18">
        <v>45774</v>
      </c>
      <c r="B2272" s="19" t="s">
        <v>2400</v>
      </c>
      <c r="C2272" s="23" t="s">
        <v>9</v>
      </c>
      <c r="D2272" s="53" t="str">
        <f t="shared" si="269"/>
        <v>Cream</v>
      </c>
      <c r="E2272" s="21" t="s">
        <v>1841</v>
      </c>
      <c r="F2272" s="21" t="s">
        <v>7</v>
      </c>
      <c r="G2272" s="4" t="str">
        <f t="shared" si="268"/>
        <v>Romper Longer</v>
      </c>
      <c r="H2272" s="38">
        <f t="shared" si="264"/>
        <v>4</v>
      </c>
      <c r="I2272" s="54">
        <f t="shared" si="263"/>
        <v>18</v>
      </c>
      <c r="J2272" s="14" t="str">
        <f t="shared" si="265"/>
        <v>Easter</v>
      </c>
      <c r="K2272" s="16" t="str">
        <f t="shared" si="266"/>
        <v>6-12</v>
      </c>
      <c r="L2272" s="14" t="str">
        <f t="shared" si="267"/>
        <v>Romper Longer | 6-12 | Cream</v>
      </c>
      <c r="M2272" s="16" t="s">
        <v>3611</v>
      </c>
    </row>
    <row r="2273" spans="1:13" ht="25" customHeight="1" x14ac:dyDescent="0.45">
      <c r="A2273" s="18">
        <v>45775</v>
      </c>
      <c r="B2273" s="19" t="s">
        <v>2401</v>
      </c>
      <c r="C2273" s="23" t="s">
        <v>9</v>
      </c>
      <c r="D2273" s="53" t="str">
        <f t="shared" si="269"/>
        <v>Cream</v>
      </c>
      <c r="E2273" s="21" t="s">
        <v>1828</v>
      </c>
      <c r="F2273" s="21" t="s">
        <v>7</v>
      </c>
      <c r="G2273" s="4" t="str">
        <f t="shared" si="268"/>
        <v>Romper Longer</v>
      </c>
      <c r="H2273" s="38">
        <f t="shared" si="264"/>
        <v>4</v>
      </c>
      <c r="I2273" s="54">
        <f t="shared" si="263"/>
        <v>18</v>
      </c>
      <c r="J2273" s="14" t="str">
        <f t="shared" si="265"/>
        <v>Easter</v>
      </c>
      <c r="K2273" s="16" t="str">
        <f t="shared" si="266"/>
        <v>3-6</v>
      </c>
      <c r="L2273" s="14" t="str">
        <f t="shared" si="267"/>
        <v>Romper Longer | 3-6 | Cream</v>
      </c>
      <c r="M2273" s="16" t="s">
        <v>3609</v>
      </c>
    </row>
    <row r="2274" spans="1:13" ht="25" customHeight="1" x14ac:dyDescent="0.45">
      <c r="A2274" s="18">
        <v>45776</v>
      </c>
      <c r="B2274" s="19" t="s">
        <v>2402</v>
      </c>
      <c r="C2274" s="23" t="s">
        <v>81</v>
      </c>
      <c r="D2274" s="53" t="str">
        <f t="shared" si="269"/>
        <v>Dusty Pink</v>
      </c>
      <c r="E2274" s="21" t="s">
        <v>1831</v>
      </c>
      <c r="F2274" s="21" t="s">
        <v>7</v>
      </c>
      <c r="G2274" s="4" t="str">
        <f t="shared" si="268"/>
        <v>Romper Longer</v>
      </c>
      <c r="H2274" s="38">
        <f t="shared" si="264"/>
        <v>4</v>
      </c>
      <c r="I2274" s="54">
        <f t="shared" si="263"/>
        <v>18</v>
      </c>
      <c r="J2274" s="14" t="str">
        <f t="shared" si="265"/>
        <v>Easter</v>
      </c>
      <c r="K2274" s="16" t="str">
        <f t="shared" si="266"/>
        <v>0-3</v>
      </c>
      <c r="L2274" s="14" t="str">
        <f t="shared" si="267"/>
        <v>Romper Longer | 0-3 | Dusty Pink</v>
      </c>
      <c r="M2274" s="16" t="s">
        <v>3610</v>
      </c>
    </row>
    <row r="2275" spans="1:13" ht="25" customHeight="1" x14ac:dyDescent="0.45">
      <c r="A2275" s="18">
        <v>45777</v>
      </c>
      <c r="B2275" s="19" t="s">
        <v>2403</v>
      </c>
      <c r="C2275" s="23" t="s">
        <v>85</v>
      </c>
      <c r="D2275" s="53" t="str">
        <f t="shared" si="269"/>
        <v>Forest Green</v>
      </c>
      <c r="E2275" s="21" t="s">
        <v>1550</v>
      </c>
      <c r="F2275" s="21" t="s">
        <v>7</v>
      </c>
      <c r="G2275" s="4" t="str">
        <f t="shared" si="268"/>
        <v>Romper Longer</v>
      </c>
      <c r="H2275" s="38">
        <f t="shared" si="264"/>
        <v>4</v>
      </c>
      <c r="I2275" s="54">
        <f t="shared" si="263"/>
        <v>18</v>
      </c>
      <c r="J2275" s="14" t="str">
        <f t="shared" si="265"/>
        <v>Easter</v>
      </c>
      <c r="K2275" s="16" t="str">
        <f t="shared" si="266"/>
        <v>12-18</v>
      </c>
      <c r="L2275" s="14" t="str">
        <f t="shared" si="267"/>
        <v>Romper Longer | 12-18 | Forest Green</v>
      </c>
      <c r="M2275" s="16" t="s">
        <v>3610</v>
      </c>
    </row>
    <row r="2276" spans="1:13" ht="25" customHeight="1" x14ac:dyDescent="0.45">
      <c r="A2276" s="18">
        <v>45778</v>
      </c>
      <c r="B2276" s="19" t="s">
        <v>2404</v>
      </c>
      <c r="C2276" s="23" t="s">
        <v>76</v>
      </c>
      <c r="D2276" s="53" t="str">
        <f t="shared" si="269"/>
        <v>Caldet Blue</v>
      </c>
      <c r="E2276" s="21" t="s">
        <v>1841</v>
      </c>
      <c r="F2276" s="21" t="s">
        <v>7</v>
      </c>
      <c r="G2276" s="4" t="str">
        <f t="shared" si="268"/>
        <v>Romper Longer</v>
      </c>
      <c r="H2276" s="38">
        <f t="shared" si="264"/>
        <v>5</v>
      </c>
      <c r="I2276" s="54">
        <f t="shared" si="263"/>
        <v>18</v>
      </c>
      <c r="J2276" s="14" t="str">
        <f t="shared" si="265"/>
        <v>MothersDay</v>
      </c>
      <c r="K2276" s="16" t="str">
        <f t="shared" si="266"/>
        <v>6-12</v>
      </c>
      <c r="L2276" s="14" t="str">
        <f t="shared" si="267"/>
        <v>Romper Longer | 6-12 | Caldet Blue</v>
      </c>
      <c r="M2276" s="16" t="s">
        <v>3610</v>
      </c>
    </row>
    <row r="2277" spans="1:13" ht="25" customHeight="1" x14ac:dyDescent="0.45">
      <c r="A2277" s="18">
        <v>45779</v>
      </c>
      <c r="B2277" s="19" t="s">
        <v>2405</v>
      </c>
      <c r="C2277" s="23" t="s">
        <v>81</v>
      </c>
      <c r="D2277" s="53" t="str">
        <f t="shared" si="269"/>
        <v>Dusty Pink</v>
      </c>
      <c r="E2277" s="21" t="s">
        <v>1838</v>
      </c>
      <c r="F2277" s="21" t="s">
        <v>7</v>
      </c>
      <c r="G2277" s="4" t="str">
        <f t="shared" si="268"/>
        <v>Romper Short</v>
      </c>
      <c r="H2277" s="38">
        <f t="shared" si="264"/>
        <v>5</v>
      </c>
      <c r="I2277" s="54">
        <f t="shared" si="263"/>
        <v>18</v>
      </c>
      <c r="J2277" s="14" t="str">
        <f t="shared" si="265"/>
        <v>MothersDay</v>
      </c>
      <c r="K2277" s="16" t="str">
        <f t="shared" si="266"/>
        <v>12-18</v>
      </c>
      <c r="L2277" s="14" t="str">
        <f t="shared" si="267"/>
        <v>Romper Short | 12-18 | Dusty Pink</v>
      </c>
      <c r="M2277" s="16" t="s">
        <v>3610</v>
      </c>
    </row>
    <row r="2278" spans="1:13" ht="25" customHeight="1" x14ac:dyDescent="0.45">
      <c r="A2278" s="18">
        <v>45780</v>
      </c>
      <c r="B2278" s="19" t="s">
        <v>2406</v>
      </c>
      <c r="C2278" s="23" t="s">
        <v>85</v>
      </c>
      <c r="D2278" s="53" t="str">
        <f t="shared" si="269"/>
        <v>Forest Green</v>
      </c>
      <c r="E2278" s="21" t="s">
        <v>1370</v>
      </c>
      <c r="F2278" s="21" t="s">
        <v>7</v>
      </c>
      <c r="G2278" s="4" t="str">
        <f t="shared" si="268"/>
        <v>Romper Short</v>
      </c>
      <c r="H2278" s="38">
        <f t="shared" si="264"/>
        <v>5</v>
      </c>
      <c r="I2278" s="54">
        <f t="shared" si="263"/>
        <v>18</v>
      </c>
      <c r="J2278" s="14" t="str">
        <f t="shared" si="265"/>
        <v>MothersDay</v>
      </c>
      <c r="K2278" s="16" t="str">
        <f t="shared" si="266"/>
        <v>18-24</v>
      </c>
      <c r="L2278" s="14" t="str">
        <f t="shared" si="267"/>
        <v>Romper Short | 18-24 | Forest Green</v>
      </c>
      <c r="M2278" s="16" t="s">
        <v>3610</v>
      </c>
    </row>
    <row r="2279" spans="1:13" ht="25" customHeight="1" x14ac:dyDescent="0.45">
      <c r="A2279" s="18">
        <v>45781</v>
      </c>
      <c r="B2279" s="19" t="s">
        <v>2407</v>
      </c>
      <c r="C2279" s="23" t="s">
        <v>110</v>
      </c>
      <c r="D2279" s="53" t="str">
        <f t="shared" si="269"/>
        <v>Sage Green</v>
      </c>
      <c r="E2279" s="21" t="s">
        <v>1828</v>
      </c>
      <c r="F2279" s="21" t="s">
        <v>7</v>
      </c>
      <c r="G2279" s="4" t="str">
        <f t="shared" si="268"/>
        <v>Romper Longer</v>
      </c>
      <c r="H2279" s="38">
        <f t="shared" si="264"/>
        <v>5</v>
      </c>
      <c r="I2279" s="54">
        <f t="shared" si="263"/>
        <v>19</v>
      </c>
      <c r="J2279" s="14" t="str">
        <f t="shared" si="265"/>
        <v>MothersDay</v>
      </c>
      <c r="K2279" s="16" t="str">
        <f t="shared" si="266"/>
        <v>3-6</v>
      </c>
      <c r="L2279" s="14" t="str">
        <f t="shared" si="267"/>
        <v>Romper Longer | 3-6 | Sage Green</v>
      </c>
      <c r="M2279" s="16" t="s">
        <v>3611</v>
      </c>
    </row>
    <row r="2280" spans="1:13" ht="25" customHeight="1" x14ac:dyDescent="0.45">
      <c r="A2280" s="18">
        <v>45782</v>
      </c>
      <c r="B2280" s="19" t="s">
        <v>2408</v>
      </c>
      <c r="C2280" s="23" t="s">
        <v>178</v>
      </c>
      <c r="D2280" s="53" t="str">
        <f t="shared" si="269"/>
        <v>Mauve Taupe</v>
      </c>
      <c r="E2280" s="21" t="s">
        <v>1831</v>
      </c>
      <c r="F2280" s="21" t="s">
        <v>7</v>
      </c>
      <c r="G2280" s="4" t="str">
        <f t="shared" si="268"/>
        <v>Romper Longer</v>
      </c>
      <c r="H2280" s="38">
        <f t="shared" si="264"/>
        <v>5</v>
      </c>
      <c r="I2280" s="54">
        <f t="shared" si="263"/>
        <v>19</v>
      </c>
      <c r="J2280" s="14" t="str">
        <f t="shared" si="265"/>
        <v>MothersDay</v>
      </c>
      <c r="K2280" s="16" t="str">
        <f t="shared" si="266"/>
        <v>0-3</v>
      </c>
      <c r="L2280" s="14" t="str">
        <f t="shared" si="267"/>
        <v>Romper Longer | 0-3 | Mauve Taupe</v>
      </c>
      <c r="M2280" s="16" t="s">
        <v>3610</v>
      </c>
    </row>
    <row r="2281" spans="1:13" ht="25" customHeight="1" x14ac:dyDescent="0.45">
      <c r="A2281" s="18">
        <v>45783</v>
      </c>
      <c r="B2281" s="19" t="s">
        <v>2409</v>
      </c>
      <c r="C2281" s="23" t="s">
        <v>81</v>
      </c>
      <c r="D2281" s="53" t="str">
        <f t="shared" si="269"/>
        <v>Dusty Pink</v>
      </c>
      <c r="E2281" s="21" t="s">
        <v>1550</v>
      </c>
      <c r="F2281" s="21" t="s">
        <v>7</v>
      </c>
      <c r="G2281" s="4" t="str">
        <f t="shared" si="268"/>
        <v>Romper Longer</v>
      </c>
      <c r="H2281" s="38">
        <f t="shared" si="264"/>
        <v>5</v>
      </c>
      <c r="I2281" s="54">
        <f t="shared" si="263"/>
        <v>19</v>
      </c>
      <c r="J2281" s="14" t="str">
        <f t="shared" si="265"/>
        <v>MothersDay</v>
      </c>
      <c r="K2281" s="16" t="str">
        <f t="shared" si="266"/>
        <v>12-18</v>
      </c>
      <c r="L2281" s="14" t="str">
        <f t="shared" si="267"/>
        <v>Romper Longer | 12-18 | Dusty Pink</v>
      </c>
      <c r="M2281" s="16" t="s">
        <v>3610</v>
      </c>
    </row>
    <row r="2282" spans="1:13" ht="25" customHeight="1" x14ac:dyDescent="0.45">
      <c r="A2282" s="18">
        <v>45784</v>
      </c>
      <c r="B2282" s="19" t="s">
        <v>2410</v>
      </c>
      <c r="C2282" s="23" t="s">
        <v>9</v>
      </c>
      <c r="D2282" s="53" t="str">
        <f t="shared" si="269"/>
        <v>Cream</v>
      </c>
      <c r="E2282" s="21" t="s">
        <v>1831</v>
      </c>
      <c r="F2282" s="21" t="s">
        <v>7</v>
      </c>
      <c r="G2282" s="4" t="str">
        <f t="shared" si="268"/>
        <v>Romper Longer</v>
      </c>
      <c r="H2282" s="38">
        <f t="shared" si="264"/>
        <v>5</v>
      </c>
      <c r="I2282" s="54">
        <f t="shared" si="263"/>
        <v>19</v>
      </c>
      <c r="J2282" s="14" t="str">
        <f t="shared" si="265"/>
        <v>MothersDay</v>
      </c>
      <c r="K2282" s="16" t="str">
        <f t="shared" si="266"/>
        <v>0-3</v>
      </c>
      <c r="L2282" s="14" t="str">
        <f t="shared" si="267"/>
        <v>Romper Longer | 0-3 | Cream</v>
      </c>
      <c r="M2282" s="16" t="s">
        <v>3609</v>
      </c>
    </row>
    <row r="2283" spans="1:13" ht="25" customHeight="1" x14ac:dyDescent="0.45">
      <c r="A2283" s="18">
        <v>45785</v>
      </c>
      <c r="B2283" s="19" t="s">
        <v>2411</v>
      </c>
      <c r="C2283" s="23" t="s">
        <v>9</v>
      </c>
      <c r="D2283" s="53" t="str">
        <f t="shared" si="269"/>
        <v>Cream</v>
      </c>
      <c r="E2283" s="21" t="s">
        <v>1831</v>
      </c>
      <c r="F2283" s="21" t="s">
        <v>7</v>
      </c>
      <c r="G2283" s="4" t="str">
        <f t="shared" si="268"/>
        <v>Romper Longer</v>
      </c>
      <c r="H2283" s="38">
        <f t="shared" si="264"/>
        <v>5</v>
      </c>
      <c r="I2283" s="54">
        <f t="shared" si="263"/>
        <v>19</v>
      </c>
      <c r="J2283" s="14" t="str">
        <f t="shared" si="265"/>
        <v>MothersDay</v>
      </c>
      <c r="K2283" s="16" t="str">
        <f t="shared" si="266"/>
        <v>0-3</v>
      </c>
      <c r="L2283" s="14" t="str">
        <f t="shared" si="267"/>
        <v>Romper Longer | 0-3 | Cream</v>
      </c>
      <c r="M2283" s="16" t="s">
        <v>3609</v>
      </c>
    </row>
    <row r="2284" spans="1:13" ht="25" customHeight="1" x14ac:dyDescent="0.45">
      <c r="A2284" s="18">
        <v>45786</v>
      </c>
      <c r="B2284" s="19" t="s">
        <v>2412</v>
      </c>
      <c r="C2284" s="23" t="s">
        <v>9</v>
      </c>
      <c r="D2284" s="53" t="str">
        <f t="shared" si="269"/>
        <v>Cream</v>
      </c>
      <c r="E2284" s="21" t="s">
        <v>1828</v>
      </c>
      <c r="F2284" s="21" t="s">
        <v>7</v>
      </c>
      <c r="G2284" s="4" t="str">
        <f t="shared" si="268"/>
        <v>Romper Longer</v>
      </c>
      <c r="H2284" s="38">
        <f t="shared" si="264"/>
        <v>5</v>
      </c>
      <c r="I2284" s="54">
        <f t="shared" si="263"/>
        <v>19</v>
      </c>
      <c r="J2284" s="14" t="str">
        <f t="shared" si="265"/>
        <v>MothersDay</v>
      </c>
      <c r="K2284" s="16" t="str">
        <f t="shared" si="266"/>
        <v>3-6</v>
      </c>
      <c r="L2284" s="14" t="str">
        <f t="shared" si="267"/>
        <v>Romper Longer | 3-6 | Cream</v>
      </c>
      <c r="M2284" s="16" t="s">
        <v>3609</v>
      </c>
    </row>
    <row r="2285" spans="1:13" ht="25" customHeight="1" x14ac:dyDescent="0.45">
      <c r="A2285" s="18">
        <v>45787</v>
      </c>
      <c r="B2285" s="19" t="s">
        <v>2413</v>
      </c>
      <c r="C2285" s="23" t="s">
        <v>9</v>
      </c>
      <c r="D2285" s="53" t="str">
        <f t="shared" si="269"/>
        <v>Cream</v>
      </c>
      <c r="E2285" s="21" t="s">
        <v>1828</v>
      </c>
      <c r="F2285" s="21" t="s">
        <v>7</v>
      </c>
      <c r="G2285" s="4" t="str">
        <f t="shared" si="268"/>
        <v>Romper Longer</v>
      </c>
      <c r="H2285" s="38">
        <f t="shared" si="264"/>
        <v>5</v>
      </c>
      <c r="I2285" s="54">
        <f t="shared" si="263"/>
        <v>19</v>
      </c>
      <c r="J2285" s="14" t="str">
        <f t="shared" si="265"/>
        <v>MothersDay</v>
      </c>
      <c r="K2285" s="16" t="str">
        <f t="shared" si="266"/>
        <v>3-6</v>
      </c>
      <c r="L2285" s="14" t="str">
        <f t="shared" si="267"/>
        <v>Romper Longer | 3-6 | Cream</v>
      </c>
      <c r="M2285" s="16" t="s">
        <v>3609</v>
      </c>
    </row>
    <row r="2286" spans="1:13" ht="25" customHeight="1" x14ac:dyDescent="0.45">
      <c r="A2286" s="18">
        <v>45788</v>
      </c>
      <c r="B2286" s="19" t="s">
        <v>2414</v>
      </c>
      <c r="C2286" s="23" t="s">
        <v>79</v>
      </c>
      <c r="D2286" s="53" t="str">
        <f t="shared" si="269"/>
        <v>White</v>
      </c>
      <c r="E2286" s="21" t="s">
        <v>1828</v>
      </c>
      <c r="F2286" s="21" t="s">
        <v>7</v>
      </c>
      <c r="G2286" s="4" t="str">
        <f t="shared" si="268"/>
        <v>Romper Longer</v>
      </c>
      <c r="H2286" s="38">
        <f t="shared" si="264"/>
        <v>5</v>
      </c>
      <c r="I2286" s="54">
        <f t="shared" ref="I2286:I2349" si="270">WEEKNUM(A2286)</f>
        <v>20</v>
      </c>
      <c r="J2286" s="14" t="str">
        <f t="shared" si="265"/>
        <v>MothersDay</v>
      </c>
      <c r="K2286" s="16" t="str">
        <f t="shared" si="266"/>
        <v>3-6</v>
      </c>
      <c r="L2286" s="14" t="str">
        <f t="shared" si="267"/>
        <v>Romper Longer | 3-6 | White</v>
      </c>
      <c r="M2286" s="16" t="s">
        <v>3610</v>
      </c>
    </row>
    <row r="2287" spans="1:13" ht="25" customHeight="1" x14ac:dyDescent="0.45">
      <c r="A2287" s="18">
        <v>45789</v>
      </c>
      <c r="B2287" s="19" t="s">
        <v>2415</v>
      </c>
      <c r="C2287" s="23" t="s">
        <v>9</v>
      </c>
      <c r="D2287" s="53" t="str">
        <f t="shared" si="269"/>
        <v>Cream</v>
      </c>
      <c r="E2287" s="21" t="s">
        <v>1831</v>
      </c>
      <c r="F2287" s="21" t="s">
        <v>7</v>
      </c>
      <c r="G2287" s="4" t="str">
        <f t="shared" si="268"/>
        <v>Romper Longer</v>
      </c>
      <c r="H2287" s="38">
        <f t="shared" si="264"/>
        <v>5</v>
      </c>
      <c r="I2287" s="54">
        <f t="shared" si="270"/>
        <v>20</v>
      </c>
      <c r="J2287" s="14" t="str">
        <f t="shared" si="265"/>
        <v>MothersDay</v>
      </c>
      <c r="K2287" s="16" t="str">
        <f t="shared" si="266"/>
        <v>0-3</v>
      </c>
      <c r="L2287" s="14" t="str">
        <f t="shared" si="267"/>
        <v>Romper Longer | 0-3 | Cream</v>
      </c>
      <c r="M2287" s="16" t="s">
        <v>3609</v>
      </c>
    </row>
    <row r="2288" spans="1:13" ht="25" customHeight="1" x14ac:dyDescent="0.45">
      <c r="A2288" s="18">
        <v>45790</v>
      </c>
      <c r="B2288" s="19" t="s">
        <v>2416</v>
      </c>
      <c r="C2288" s="23" t="s">
        <v>9</v>
      </c>
      <c r="D2288" s="53" t="str">
        <f t="shared" si="269"/>
        <v>Cream</v>
      </c>
      <c r="E2288" s="21" t="s">
        <v>1849</v>
      </c>
      <c r="F2288" s="21" t="s">
        <v>7</v>
      </c>
      <c r="G2288" s="4" t="str">
        <f t="shared" si="268"/>
        <v>Romper Short</v>
      </c>
      <c r="H2288" s="38">
        <f t="shared" si="264"/>
        <v>5</v>
      </c>
      <c r="I2288" s="54">
        <f t="shared" si="270"/>
        <v>20</v>
      </c>
      <c r="J2288" s="14" t="str">
        <f t="shared" si="265"/>
        <v>MothersDay</v>
      </c>
      <c r="K2288" s="16" t="str">
        <f t="shared" si="266"/>
        <v>3-6</v>
      </c>
      <c r="L2288" s="14" t="str">
        <f t="shared" si="267"/>
        <v>Romper Short | 3-6 | Cream</v>
      </c>
      <c r="M2288" s="16" t="s">
        <v>3609</v>
      </c>
    </row>
    <row r="2289" spans="1:13" ht="25" customHeight="1" x14ac:dyDescent="0.45">
      <c r="A2289" s="18">
        <v>45791</v>
      </c>
      <c r="B2289" s="19" t="s">
        <v>2417</v>
      </c>
      <c r="C2289" s="23" t="s">
        <v>407</v>
      </c>
      <c r="D2289" s="53" t="str">
        <f t="shared" si="269"/>
        <v>Texas Orange</v>
      </c>
      <c r="E2289" s="21" t="s">
        <v>1834</v>
      </c>
      <c r="F2289" s="21" t="s">
        <v>7</v>
      </c>
      <c r="G2289" s="4" t="str">
        <f t="shared" si="268"/>
        <v>Romper Short</v>
      </c>
      <c r="H2289" s="38">
        <f t="shared" si="264"/>
        <v>5</v>
      </c>
      <c r="I2289" s="54">
        <f t="shared" si="270"/>
        <v>20</v>
      </c>
      <c r="J2289" s="14" t="str">
        <f t="shared" si="265"/>
        <v>MothersDay</v>
      </c>
      <c r="K2289" s="16" t="str">
        <f t="shared" si="266"/>
        <v>0-3</v>
      </c>
      <c r="L2289" s="14" t="str">
        <f t="shared" si="267"/>
        <v>Romper Short | 0-3 | Texas Orange</v>
      </c>
      <c r="M2289" s="16" t="s">
        <v>3610</v>
      </c>
    </row>
    <row r="2290" spans="1:13" ht="25" customHeight="1" x14ac:dyDescent="0.45">
      <c r="A2290" s="18">
        <v>45792</v>
      </c>
      <c r="B2290" s="19" t="s">
        <v>2418</v>
      </c>
      <c r="C2290" s="23" t="s">
        <v>79</v>
      </c>
      <c r="D2290" s="53" t="str">
        <f t="shared" si="269"/>
        <v>White</v>
      </c>
      <c r="E2290" s="21" t="s">
        <v>1831</v>
      </c>
      <c r="F2290" s="21" t="s">
        <v>7</v>
      </c>
      <c r="G2290" s="4" t="str">
        <f t="shared" si="268"/>
        <v>Romper Longer</v>
      </c>
      <c r="H2290" s="38">
        <f t="shared" si="264"/>
        <v>5</v>
      </c>
      <c r="I2290" s="54">
        <f t="shared" si="270"/>
        <v>20</v>
      </c>
      <c r="J2290" s="14" t="str">
        <f t="shared" si="265"/>
        <v>MothersDay</v>
      </c>
      <c r="K2290" s="16" t="str">
        <f t="shared" si="266"/>
        <v>0-3</v>
      </c>
      <c r="L2290" s="14" t="str">
        <f t="shared" si="267"/>
        <v>Romper Longer | 0-3 | White</v>
      </c>
      <c r="M2290" s="16" t="s">
        <v>3610</v>
      </c>
    </row>
    <row r="2291" spans="1:13" ht="25" customHeight="1" x14ac:dyDescent="0.45">
      <c r="A2291" s="18">
        <v>45793</v>
      </c>
      <c r="B2291" s="19" t="s">
        <v>2419</v>
      </c>
      <c r="C2291" s="23" t="s">
        <v>407</v>
      </c>
      <c r="D2291" s="53" t="str">
        <f t="shared" si="269"/>
        <v>Texas Orange</v>
      </c>
      <c r="E2291" s="21" t="s">
        <v>1828</v>
      </c>
      <c r="F2291" s="21" t="s">
        <v>7</v>
      </c>
      <c r="G2291" s="4" t="str">
        <f t="shared" si="268"/>
        <v>Romper Longer</v>
      </c>
      <c r="H2291" s="38">
        <f t="shared" si="264"/>
        <v>5</v>
      </c>
      <c r="I2291" s="54">
        <f t="shared" si="270"/>
        <v>20</v>
      </c>
      <c r="J2291" s="14" t="str">
        <f t="shared" si="265"/>
        <v>MothersDay</v>
      </c>
      <c r="K2291" s="16" t="str">
        <f t="shared" si="266"/>
        <v>3-6</v>
      </c>
      <c r="L2291" s="14" t="str">
        <f t="shared" si="267"/>
        <v>Romper Longer | 3-6 | Texas Orange</v>
      </c>
      <c r="M2291" s="16" t="s">
        <v>3610</v>
      </c>
    </row>
    <row r="2292" spans="1:13" ht="25" customHeight="1" x14ac:dyDescent="0.45">
      <c r="A2292" s="18">
        <v>45794</v>
      </c>
      <c r="B2292" s="19" t="s">
        <v>2420</v>
      </c>
      <c r="C2292" s="23" t="s">
        <v>9</v>
      </c>
      <c r="D2292" s="53" t="str">
        <f t="shared" si="269"/>
        <v>Cream</v>
      </c>
      <c r="E2292" s="21" t="s">
        <v>1831</v>
      </c>
      <c r="F2292" s="21" t="s">
        <v>7</v>
      </c>
      <c r="G2292" s="4" t="str">
        <f t="shared" si="268"/>
        <v>Romper Longer</v>
      </c>
      <c r="H2292" s="38">
        <f t="shared" si="264"/>
        <v>5</v>
      </c>
      <c r="I2292" s="54">
        <f t="shared" si="270"/>
        <v>20</v>
      </c>
      <c r="J2292" s="14" t="str">
        <f t="shared" si="265"/>
        <v>MothersDay</v>
      </c>
      <c r="K2292" s="16" t="str">
        <f t="shared" si="266"/>
        <v>0-3</v>
      </c>
      <c r="L2292" s="14" t="str">
        <f t="shared" si="267"/>
        <v>Romper Longer | 0-3 | Cream</v>
      </c>
      <c r="M2292" s="16" t="s">
        <v>3609</v>
      </c>
    </row>
    <row r="2293" spans="1:13" ht="25" customHeight="1" x14ac:dyDescent="0.45">
      <c r="A2293" s="18">
        <v>45795</v>
      </c>
      <c r="B2293" s="19" t="s">
        <v>2421</v>
      </c>
      <c r="C2293" s="23" t="s">
        <v>9</v>
      </c>
      <c r="D2293" s="53" t="str">
        <f t="shared" si="269"/>
        <v>Cream</v>
      </c>
      <c r="E2293" s="21" t="s">
        <v>1550</v>
      </c>
      <c r="F2293" s="21" t="s">
        <v>7</v>
      </c>
      <c r="G2293" s="4" t="str">
        <f t="shared" si="268"/>
        <v>Romper Longer</v>
      </c>
      <c r="H2293" s="38">
        <f t="shared" si="264"/>
        <v>5</v>
      </c>
      <c r="I2293" s="54">
        <f t="shared" si="270"/>
        <v>21</v>
      </c>
      <c r="J2293" s="14" t="str">
        <f t="shared" si="265"/>
        <v>MothersDay</v>
      </c>
      <c r="K2293" s="16" t="str">
        <f t="shared" si="266"/>
        <v>12-18</v>
      </c>
      <c r="L2293" s="14" t="str">
        <f t="shared" si="267"/>
        <v>Romper Longer | 12-18 | Cream</v>
      </c>
      <c r="M2293" s="16" t="s">
        <v>3610</v>
      </c>
    </row>
    <row r="2294" spans="1:13" ht="25" customHeight="1" x14ac:dyDescent="0.45">
      <c r="A2294" s="18">
        <v>45796</v>
      </c>
      <c r="B2294" s="19" t="s">
        <v>2422</v>
      </c>
      <c r="C2294" s="23" t="s">
        <v>9</v>
      </c>
      <c r="D2294" s="53" t="str">
        <f t="shared" si="269"/>
        <v>Cream</v>
      </c>
      <c r="E2294" s="21" t="s">
        <v>1841</v>
      </c>
      <c r="F2294" s="21" t="s">
        <v>7</v>
      </c>
      <c r="G2294" s="4" t="str">
        <f t="shared" si="268"/>
        <v>Romper Longer</v>
      </c>
      <c r="H2294" s="38">
        <f t="shared" si="264"/>
        <v>5</v>
      </c>
      <c r="I2294" s="54">
        <f t="shared" si="270"/>
        <v>21</v>
      </c>
      <c r="J2294" s="14" t="str">
        <f t="shared" si="265"/>
        <v>MothersDay</v>
      </c>
      <c r="K2294" s="16" t="str">
        <f t="shared" si="266"/>
        <v>6-12</v>
      </c>
      <c r="L2294" s="14" t="str">
        <f t="shared" si="267"/>
        <v>Romper Longer | 6-12 | Cream</v>
      </c>
      <c r="M2294" s="16" t="s">
        <v>3611</v>
      </c>
    </row>
    <row r="2295" spans="1:13" ht="25" customHeight="1" x14ac:dyDescent="0.45">
      <c r="A2295" s="18">
        <v>45797</v>
      </c>
      <c r="B2295" s="19" t="s">
        <v>2423</v>
      </c>
      <c r="C2295" s="23" t="s">
        <v>9</v>
      </c>
      <c r="D2295" s="53" t="str">
        <f t="shared" si="269"/>
        <v>Cream</v>
      </c>
      <c r="E2295" s="21" t="s">
        <v>1828</v>
      </c>
      <c r="F2295" s="21" t="s">
        <v>7</v>
      </c>
      <c r="G2295" s="4" t="str">
        <f t="shared" si="268"/>
        <v>Romper Longer</v>
      </c>
      <c r="H2295" s="38">
        <f t="shared" si="264"/>
        <v>5</v>
      </c>
      <c r="I2295" s="54">
        <f t="shared" si="270"/>
        <v>21</v>
      </c>
      <c r="J2295" s="14" t="str">
        <f t="shared" si="265"/>
        <v>MothersDay</v>
      </c>
      <c r="K2295" s="16" t="str">
        <f t="shared" si="266"/>
        <v>3-6</v>
      </c>
      <c r="L2295" s="14" t="str">
        <f t="shared" si="267"/>
        <v>Romper Longer | 3-6 | Cream</v>
      </c>
      <c r="M2295" s="16" t="s">
        <v>3609</v>
      </c>
    </row>
    <row r="2296" spans="1:13" ht="25" customHeight="1" x14ac:dyDescent="0.45">
      <c r="A2296" s="18">
        <v>45798</v>
      </c>
      <c r="B2296" s="19" t="s">
        <v>2424</v>
      </c>
      <c r="C2296" s="23" t="s">
        <v>9</v>
      </c>
      <c r="D2296" s="53" t="str">
        <f t="shared" si="269"/>
        <v>Cream</v>
      </c>
      <c r="E2296" s="21" t="s">
        <v>1841</v>
      </c>
      <c r="F2296" s="21" t="s">
        <v>7</v>
      </c>
      <c r="G2296" s="4" t="str">
        <f t="shared" si="268"/>
        <v>Romper Longer</v>
      </c>
      <c r="H2296" s="38">
        <f t="shared" ref="H2296:H2359" si="271">MONTH(A2296)</f>
        <v>5</v>
      </c>
      <c r="I2296" s="54">
        <f t="shared" si="270"/>
        <v>21</v>
      </c>
      <c r="J2296" s="14" t="str">
        <f t="shared" ref="J2296:J2359" si="272">IF(H2296=1,"NewYear",
IF(H2296=2,"Valentine",
IF(OR(H2296=3,H2296=4),"Easter",
IF(H2296=5,"MothersDay",
IF(H2296=6,"FathersDay",
IF(OR(H2296=7,H2296=8),"Summer",
IF(H2296=10,"Halloween",
IF(OR(H2296=11,H2296=12),"Christmas","Normal"))))))))</f>
        <v>MothersDay</v>
      </c>
      <c r="K2296" s="16" t="str">
        <f t="shared" ref="K2296:K2359" si="273">TRIM(LEFT(E2296,FIND("(",E2296&amp;"(")-3))</f>
        <v>6-12</v>
      </c>
      <c r="L2296" s="14" t="str">
        <f t="shared" si="267"/>
        <v>Romper Longer | 6-12 | Cream</v>
      </c>
      <c r="M2296" s="16" t="s">
        <v>3611</v>
      </c>
    </row>
    <row r="2297" spans="1:13" ht="25" customHeight="1" x14ac:dyDescent="0.45">
      <c r="A2297" s="18">
        <v>45799</v>
      </c>
      <c r="B2297" s="19" t="s">
        <v>2425</v>
      </c>
      <c r="C2297" s="23" t="s">
        <v>9</v>
      </c>
      <c r="D2297" s="53" t="str">
        <f t="shared" si="269"/>
        <v>Cream</v>
      </c>
      <c r="E2297" s="21" t="s">
        <v>1849</v>
      </c>
      <c r="F2297" s="21" t="s">
        <v>7</v>
      </c>
      <c r="G2297" s="4" t="str">
        <f t="shared" si="268"/>
        <v>Romper Short</v>
      </c>
      <c r="H2297" s="38">
        <f t="shared" si="271"/>
        <v>5</v>
      </c>
      <c r="I2297" s="54">
        <f t="shared" si="270"/>
        <v>21</v>
      </c>
      <c r="J2297" s="14" t="str">
        <f t="shared" si="272"/>
        <v>MothersDay</v>
      </c>
      <c r="K2297" s="16" t="str">
        <f t="shared" si="273"/>
        <v>3-6</v>
      </c>
      <c r="L2297" s="14" t="str">
        <f t="shared" si="267"/>
        <v>Romper Short | 3-6 | Cream</v>
      </c>
      <c r="M2297" s="16" t="s">
        <v>3609</v>
      </c>
    </row>
    <row r="2298" spans="1:13" ht="25" customHeight="1" x14ac:dyDescent="0.45">
      <c r="A2298" s="18">
        <v>45800</v>
      </c>
      <c r="B2298" s="19" t="s">
        <v>2426</v>
      </c>
      <c r="C2298" s="23" t="s">
        <v>9</v>
      </c>
      <c r="D2298" s="53" t="str">
        <f t="shared" si="269"/>
        <v>Cream</v>
      </c>
      <c r="E2298" s="21" t="s">
        <v>1834</v>
      </c>
      <c r="F2298" s="21" t="s">
        <v>7</v>
      </c>
      <c r="G2298" s="4" t="str">
        <f t="shared" si="268"/>
        <v>Romper Short</v>
      </c>
      <c r="H2298" s="38">
        <f t="shared" si="271"/>
        <v>5</v>
      </c>
      <c r="I2298" s="54">
        <f t="shared" si="270"/>
        <v>21</v>
      </c>
      <c r="J2298" s="14" t="str">
        <f t="shared" si="272"/>
        <v>MothersDay</v>
      </c>
      <c r="K2298" s="16" t="str">
        <f t="shared" si="273"/>
        <v>0-3</v>
      </c>
      <c r="L2298" s="14" t="str">
        <f t="shared" si="267"/>
        <v>Romper Short | 0-3 | Cream</v>
      </c>
      <c r="M2298" s="16" t="s">
        <v>3609</v>
      </c>
    </row>
    <row r="2299" spans="1:13" ht="25" customHeight="1" x14ac:dyDescent="0.45">
      <c r="A2299" s="18">
        <v>45801</v>
      </c>
      <c r="B2299" s="19" t="s">
        <v>2427</v>
      </c>
      <c r="C2299" s="23" t="s">
        <v>9</v>
      </c>
      <c r="D2299" s="53" t="str">
        <f t="shared" si="269"/>
        <v>Cream</v>
      </c>
      <c r="E2299" s="21" t="s">
        <v>1831</v>
      </c>
      <c r="F2299" s="21" t="s">
        <v>7</v>
      </c>
      <c r="G2299" s="4" t="str">
        <f t="shared" si="268"/>
        <v>Romper Longer</v>
      </c>
      <c r="H2299" s="38">
        <f t="shared" si="271"/>
        <v>5</v>
      </c>
      <c r="I2299" s="54">
        <f t="shared" si="270"/>
        <v>21</v>
      </c>
      <c r="J2299" s="14" t="str">
        <f t="shared" si="272"/>
        <v>MothersDay</v>
      </c>
      <c r="K2299" s="16" t="str">
        <f t="shared" si="273"/>
        <v>0-3</v>
      </c>
      <c r="L2299" s="14" t="str">
        <f t="shared" si="267"/>
        <v>Romper Longer | 0-3 | Cream</v>
      </c>
      <c r="M2299" s="16" t="s">
        <v>3609</v>
      </c>
    </row>
    <row r="2300" spans="1:13" ht="25" customHeight="1" x14ac:dyDescent="0.45">
      <c r="A2300" s="18">
        <v>45802</v>
      </c>
      <c r="B2300" s="19" t="s">
        <v>2428</v>
      </c>
      <c r="C2300" s="23" t="s">
        <v>110</v>
      </c>
      <c r="D2300" s="53" t="str">
        <f t="shared" si="269"/>
        <v>Sage Green</v>
      </c>
      <c r="E2300" s="21" t="s">
        <v>1849</v>
      </c>
      <c r="F2300" s="21" t="s">
        <v>7</v>
      </c>
      <c r="G2300" s="4" t="str">
        <f t="shared" si="268"/>
        <v>Romper Short</v>
      </c>
      <c r="H2300" s="38">
        <f t="shared" si="271"/>
        <v>5</v>
      </c>
      <c r="I2300" s="54">
        <f t="shared" si="270"/>
        <v>22</v>
      </c>
      <c r="J2300" s="14" t="str">
        <f t="shared" si="272"/>
        <v>MothersDay</v>
      </c>
      <c r="K2300" s="16" t="str">
        <f t="shared" si="273"/>
        <v>3-6</v>
      </c>
      <c r="L2300" s="14" t="str">
        <f t="shared" si="267"/>
        <v>Romper Short | 3-6 | Sage Green</v>
      </c>
      <c r="M2300" s="16" t="s">
        <v>3611</v>
      </c>
    </row>
    <row r="2301" spans="1:13" ht="25" customHeight="1" x14ac:dyDescent="0.45">
      <c r="A2301" s="18">
        <v>45803</v>
      </c>
      <c r="B2301" s="19" t="s">
        <v>2429</v>
      </c>
      <c r="C2301" s="23" t="s">
        <v>9</v>
      </c>
      <c r="D2301" s="53" t="str">
        <f t="shared" si="269"/>
        <v>Cream</v>
      </c>
      <c r="E2301" s="21" t="s">
        <v>1420</v>
      </c>
      <c r="F2301" s="21" t="s">
        <v>7</v>
      </c>
      <c r="G2301" s="4" t="str">
        <f t="shared" si="268"/>
        <v>Romper Short</v>
      </c>
      <c r="H2301" s="38">
        <f t="shared" si="271"/>
        <v>5</v>
      </c>
      <c r="I2301" s="54">
        <f t="shared" si="270"/>
        <v>22</v>
      </c>
      <c r="J2301" s="14" t="str">
        <f t="shared" si="272"/>
        <v>MothersDay</v>
      </c>
      <c r="K2301" s="16" t="str">
        <f t="shared" si="273"/>
        <v>6-12</v>
      </c>
      <c r="L2301" s="14" t="str">
        <f t="shared" si="267"/>
        <v>Romper Short | 6-12 | Cream</v>
      </c>
      <c r="M2301" s="16" t="s">
        <v>3611</v>
      </c>
    </row>
    <row r="2302" spans="1:13" ht="25" customHeight="1" x14ac:dyDescent="0.45">
      <c r="A2302" s="18">
        <v>45804</v>
      </c>
      <c r="B2302" s="19" t="s">
        <v>2430</v>
      </c>
      <c r="C2302" s="23" t="s">
        <v>9</v>
      </c>
      <c r="D2302" s="53" t="str">
        <f t="shared" si="269"/>
        <v>Cream</v>
      </c>
      <c r="E2302" s="21" t="s">
        <v>1841</v>
      </c>
      <c r="F2302" s="21" t="s">
        <v>7</v>
      </c>
      <c r="G2302" s="4" t="str">
        <f t="shared" si="268"/>
        <v>Romper Longer</v>
      </c>
      <c r="H2302" s="38">
        <f t="shared" si="271"/>
        <v>5</v>
      </c>
      <c r="I2302" s="54">
        <f t="shared" si="270"/>
        <v>22</v>
      </c>
      <c r="J2302" s="14" t="str">
        <f t="shared" si="272"/>
        <v>MothersDay</v>
      </c>
      <c r="K2302" s="16" t="str">
        <f t="shared" si="273"/>
        <v>6-12</v>
      </c>
      <c r="L2302" s="14" t="str">
        <f t="shared" si="267"/>
        <v>Romper Longer | 6-12 | Cream</v>
      </c>
      <c r="M2302" s="16" t="s">
        <v>3611</v>
      </c>
    </row>
    <row r="2303" spans="1:13" ht="25" customHeight="1" x14ac:dyDescent="0.45">
      <c r="A2303" s="18">
        <v>45805</v>
      </c>
      <c r="B2303" s="19" t="s">
        <v>2431</v>
      </c>
      <c r="C2303" s="23" t="s">
        <v>9</v>
      </c>
      <c r="D2303" s="53" t="str">
        <f t="shared" si="269"/>
        <v>Cream</v>
      </c>
      <c r="E2303" s="21" t="s">
        <v>1831</v>
      </c>
      <c r="F2303" s="21" t="s">
        <v>7</v>
      </c>
      <c r="G2303" s="4" t="str">
        <f t="shared" si="268"/>
        <v>Romper Longer</v>
      </c>
      <c r="H2303" s="38">
        <f t="shared" si="271"/>
        <v>5</v>
      </c>
      <c r="I2303" s="54">
        <f t="shared" si="270"/>
        <v>22</v>
      </c>
      <c r="J2303" s="14" t="str">
        <f t="shared" si="272"/>
        <v>MothersDay</v>
      </c>
      <c r="K2303" s="16" t="str">
        <f t="shared" si="273"/>
        <v>0-3</v>
      </c>
      <c r="L2303" s="14" t="str">
        <f t="shared" si="267"/>
        <v>Romper Longer | 0-3 | Cream</v>
      </c>
      <c r="M2303" s="16" t="s">
        <v>3609</v>
      </c>
    </row>
    <row r="2304" spans="1:13" ht="25" customHeight="1" x14ac:dyDescent="0.45">
      <c r="A2304" s="18">
        <v>45806</v>
      </c>
      <c r="B2304" s="19" t="s">
        <v>2432</v>
      </c>
      <c r="C2304" s="23" t="s">
        <v>9</v>
      </c>
      <c r="D2304" s="53" t="str">
        <f t="shared" si="269"/>
        <v>Cream</v>
      </c>
      <c r="E2304" s="21" t="s">
        <v>1828</v>
      </c>
      <c r="F2304" s="21" t="s">
        <v>7</v>
      </c>
      <c r="G2304" s="4" t="str">
        <f t="shared" si="268"/>
        <v>Romper Longer</v>
      </c>
      <c r="H2304" s="38">
        <f t="shared" si="271"/>
        <v>5</v>
      </c>
      <c r="I2304" s="54">
        <f t="shared" si="270"/>
        <v>22</v>
      </c>
      <c r="J2304" s="14" t="str">
        <f t="shared" si="272"/>
        <v>MothersDay</v>
      </c>
      <c r="K2304" s="16" t="str">
        <f t="shared" si="273"/>
        <v>3-6</v>
      </c>
      <c r="L2304" s="14" t="str">
        <f t="shared" si="267"/>
        <v>Romper Longer | 3-6 | Cream</v>
      </c>
      <c r="M2304" s="16" t="s">
        <v>3609</v>
      </c>
    </row>
    <row r="2305" spans="1:13" ht="25" customHeight="1" x14ac:dyDescent="0.45">
      <c r="A2305" s="18">
        <v>45807</v>
      </c>
      <c r="B2305" s="19" t="s">
        <v>2433</v>
      </c>
      <c r="C2305" s="23" t="s">
        <v>9</v>
      </c>
      <c r="D2305" s="53" t="str">
        <f t="shared" si="269"/>
        <v>Cream</v>
      </c>
      <c r="E2305" s="21" t="s">
        <v>1828</v>
      </c>
      <c r="F2305" s="21" t="s">
        <v>7</v>
      </c>
      <c r="G2305" s="4" t="str">
        <f t="shared" si="268"/>
        <v>Romper Longer</v>
      </c>
      <c r="H2305" s="38">
        <f t="shared" si="271"/>
        <v>5</v>
      </c>
      <c r="I2305" s="54">
        <f t="shared" si="270"/>
        <v>22</v>
      </c>
      <c r="J2305" s="14" t="str">
        <f t="shared" si="272"/>
        <v>MothersDay</v>
      </c>
      <c r="K2305" s="16" t="str">
        <f t="shared" si="273"/>
        <v>3-6</v>
      </c>
      <c r="L2305" s="14" t="str">
        <f t="shared" si="267"/>
        <v>Romper Longer | 3-6 | Cream</v>
      </c>
      <c r="M2305" s="16" t="s">
        <v>3609</v>
      </c>
    </row>
    <row r="2306" spans="1:13" ht="25" customHeight="1" x14ac:dyDescent="0.45">
      <c r="A2306" s="18">
        <v>45808</v>
      </c>
      <c r="B2306" s="19" t="s">
        <v>2434</v>
      </c>
      <c r="C2306" s="23" t="s">
        <v>9</v>
      </c>
      <c r="D2306" s="53" t="str">
        <f t="shared" si="269"/>
        <v>Cream</v>
      </c>
      <c r="E2306" s="21" t="s">
        <v>1834</v>
      </c>
      <c r="F2306" s="21" t="s">
        <v>7</v>
      </c>
      <c r="G2306" s="4" t="str">
        <f t="shared" si="268"/>
        <v>Romper Short</v>
      </c>
      <c r="H2306" s="38">
        <f t="shared" si="271"/>
        <v>5</v>
      </c>
      <c r="I2306" s="54">
        <f t="shared" si="270"/>
        <v>22</v>
      </c>
      <c r="J2306" s="14" t="str">
        <f t="shared" si="272"/>
        <v>MothersDay</v>
      </c>
      <c r="K2306" s="16" t="str">
        <f t="shared" si="273"/>
        <v>0-3</v>
      </c>
      <c r="L2306" s="14" t="str">
        <f t="shared" ref="L2306:L2369" si="274">TRIM(G2306)&amp;" | "&amp;TRIM(K2306)&amp;" | "&amp;PROPER(TRIM(D2306))</f>
        <v>Romper Short | 0-3 | Cream</v>
      </c>
      <c r="M2306" s="16" t="s">
        <v>3609</v>
      </c>
    </row>
    <row r="2307" spans="1:13" ht="25" customHeight="1" x14ac:dyDescent="0.45">
      <c r="A2307" s="18">
        <v>45809</v>
      </c>
      <c r="B2307" s="19" t="s">
        <v>2435</v>
      </c>
      <c r="C2307" s="23" t="s">
        <v>76</v>
      </c>
      <c r="D2307" s="53" t="str">
        <f t="shared" si="269"/>
        <v>Caldet Blue</v>
      </c>
      <c r="E2307" s="21" t="s">
        <v>1831</v>
      </c>
      <c r="F2307" s="21" t="s">
        <v>7</v>
      </c>
      <c r="G2307" s="4" t="str">
        <f t="shared" si="268"/>
        <v>Romper Longer</v>
      </c>
      <c r="H2307" s="38">
        <f t="shared" si="271"/>
        <v>6</v>
      </c>
      <c r="I2307" s="54">
        <f t="shared" si="270"/>
        <v>23</v>
      </c>
      <c r="J2307" s="14" t="str">
        <f t="shared" si="272"/>
        <v>FathersDay</v>
      </c>
      <c r="K2307" s="16" t="str">
        <f t="shared" si="273"/>
        <v>0-3</v>
      </c>
      <c r="L2307" s="14" t="str">
        <f t="shared" si="274"/>
        <v>Romper Longer | 0-3 | Caldet Blue</v>
      </c>
      <c r="M2307" s="16" t="s">
        <v>3610</v>
      </c>
    </row>
    <row r="2308" spans="1:13" ht="25" customHeight="1" x14ac:dyDescent="0.45">
      <c r="A2308" s="18">
        <v>45810</v>
      </c>
      <c r="B2308" s="19" t="s">
        <v>2436</v>
      </c>
      <c r="C2308" s="23" t="s">
        <v>110</v>
      </c>
      <c r="D2308" s="53" t="str">
        <f t="shared" si="269"/>
        <v>Sage Green</v>
      </c>
      <c r="E2308" s="21" t="s">
        <v>1420</v>
      </c>
      <c r="F2308" s="21" t="s">
        <v>7</v>
      </c>
      <c r="G2308" s="4" t="str">
        <f t="shared" si="268"/>
        <v>Romper Short</v>
      </c>
      <c r="H2308" s="38">
        <f t="shared" si="271"/>
        <v>6</v>
      </c>
      <c r="I2308" s="54">
        <f t="shared" si="270"/>
        <v>23</v>
      </c>
      <c r="J2308" s="14" t="str">
        <f t="shared" si="272"/>
        <v>FathersDay</v>
      </c>
      <c r="K2308" s="16" t="str">
        <f t="shared" si="273"/>
        <v>6-12</v>
      </c>
      <c r="L2308" s="14" t="str">
        <f t="shared" si="274"/>
        <v>Romper Short | 6-12 | Sage Green</v>
      </c>
      <c r="M2308" s="16" t="s">
        <v>3610</v>
      </c>
    </row>
    <row r="2309" spans="1:13" ht="25" customHeight="1" x14ac:dyDescent="0.45">
      <c r="A2309" s="18">
        <v>45811</v>
      </c>
      <c r="B2309" s="19" t="s">
        <v>2437</v>
      </c>
      <c r="C2309" s="23" t="s">
        <v>74</v>
      </c>
      <c r="D2309" s="53" t="str">
        <f t="shared" si="269"/>
        <v>Watermelon</v>
      </c>
      <c r="E2309" s="21" t="s">
        <v>1550</v>
      </c>
      <c r="F2309" s="21" t="s">
        <v>7</v>
      </c>
      <c r="G2309" s="4" t="str">
        <f t="shared" si="268"/>
        <v>Romper Longer</v>
      </c>
      <c r="H2309" s="38">
        <f t="shared" si="271"/>
        <v>6</v>
      </c>
      <c r="I2309" s="54">
        <f t="shared" si="270"/>
        <v>23</v>
      </c>
      <c r="J2309" s="14" t="str">
        <f t="shared" si="272"/>
        <v>FathersDay</v>
      </c>
      <c r="K2309" s="16" t="str">
        <f t="shared" si="273"/>
        <v>12-18</v>
      </c>
      <c r="L2309" s="14" t="str">
        <f t="shared" si="274"/>
        <v>Romper Longer | 12-18 | Watermelon</v>
      </c>
      <c r="M2309" s="16" t="s">
        <v>3610</v>
      </c>
    </row>
    <row r="2310" spans="1:13" ht="25" customHeight="1" x14ac:dyDescent="0.45">
      <c r="A2310" s="18">
        <v>45812</v>
      </c>
      <c r="B2310" s="19" t="s">
        <v>2438</v>
      </c>
      <c r="C2310" s="23" t="s">
        <v>9</v>
      </c>
      <c r="D2310" s="53" t="str">
        <f t="shared" si="269"/>
        <v>Cream</v>
      </c>
      <c r="E2310" s="21" t="s">
        <v>1831</v>
      </c>
      <c r="F2310" s="21" t="s">
        <v>7</v>
      </c>
      <c r="G2310" s="4" t="str">
        <f t="shared" si="268"/>
        <v>Romper Longer</v>
      </c>
      <c r="H2310" s="38">
        <f t="shared" si="271"/>
        <v>6</v>
      </c>
      <c r="I2310" s="54">
        <f t="shared" si="270"/>
        <v>23</v>
      </c>
      <c r="J2310" s="14" t="str">
        <f t="shared" si="272"/>
        <v>FathersDay</v>
      </c>
      <c r="K2310" s="16" t="str">
        <f t="shared" si="273"/>
        <v>0-3</v>
      </c>
      <c r="L2310" s="14" t="str">
        <f t="shared" si="274"/>
        <v>Romper Longer | 0-3 | Cream</v>
      </c>
      <c r="M2310" s="16" t="s">
        <v>3609</v>
      </c>
    </row>
    <row r="2311" spans="1:13" ht="25" customHeight="1" x14ac:dyDescent="0.45">
      <c r="A2311" s="18">
        <v>45813</v>
      </c>
      <c r="B2311" s="19" t="s">
        <v>2439</v>
      </c>
      <c r="C2311" s="23" t="s">
        <v>110</v>
      </c>
      <c r="D2311" s="53" t="str">
        <f t="shared" si="269"/>
        <v>Sage Green</v>
      </c>
      <c r="E2311" s="21" t="s">
        <v>1420</v>
      </c>
      <c r="F2311" s="21" t="s">
        <v>7</v>
      </c>
      <c r="G2311" s="4" t="str">
        <f t="shared" si="268"/>
        <v>Romper Short</v>
      </c>
      <c r="H2311" s="38">
        <f t="shared" si="271"/>
        <v>6</v>
      </c>
      <c r="I2311" s="54">
        <f t="shared" si="270"/>
        <v>23</v>
      </c>
      <c r="J2311" s="14" t="str">
        <f t="shared" si="272"/>
        <v>FathersDay</v>
      </c>
      <c r="K2311" s="16" t="str">
        <f t="shared" si="273"/>
        <v>6-12</v>
      </c>
      <c r="L2311" s="14" t="str">
        <f t="shared" si="274"/>
        <v>Romper Short | 6-12 | Sage Green</v>
      </c>
      <c r="M2311" s="16" t="s">
        <v>3610</v>
      </c>
    </row>
    <row r="2312" spans="1:13" ht="25" customHeight="1" x14ac:dyDescent="0.45">
      <c r="A2312" s="18">
        <v>45814</v>
      </c>
      <c r="B2312" s="19" t="s">
        <v>2440</v>
      </c>
      <c r="C2312" s="23" t="s">
        <v>9</v>
      </c>
      <c r="D2312" s="53" t="str">
        <f t="shared" si="269"/>
        <v>Cream</v>
      </c>
      <c r="E2312" s="21" t="s">
        <v>1831</v>
      </c>
      <c r="F2312" s="21" t="s">
        <v>7</v>
      </c>
      <c r="G2312" s="4" t="str">
        <f t="shared" si="268"/>
        <v>Romper Longer</v>
      </c>
      <c r="H2312" s="38">
        <f t="shared" si="271"/>
        <v>6</v>
      </c>
      <c r="I2312" s="54">
        <f t="shared" si="270"/>
        <v>23</v>
      </c>
      <c r="J2312" s="14" t="str">
        <f t="shared" si="272"/>
        <v>FathersDay</v>
      </c>
      <c r="K2312" s="16" t="str">
        <f t="shared" si="273"/>
        <v>0-3</v>
      </c>
      <c r="L2312" s="14" t="str">
        <f t="shared" si="274"/>
        <v>Romper Longer | 0-3 | Cream</v>
      </c>
      <c r="M2312" s="16" t="s">
        <v>3609</v>
      </c>
    </row>
    <row r="2313" spans="1:13" ht="25" customHeight="1" x14ac:dyDescent="0.45">
      <c r="A2313" s="18">
        <v>45815</v>
      </c>
      <c r="B2313" s="19" t="s">
        <v>2441</v>
      </c>
      <c r="C2313" s="23" t="s">
        <v>76</v>
      </c>
      <c r="D2313" s="53" t="str">
        <f t="shared" si="269"/>
        <v>Caldet Blue</v>
      </c>
      <c r="E2313" s="21" t="s">
        <v>1420</v>
      </c>
      <c r="F2313" s="21" t="s">
        <v>7</v>
      </c>
      <c r="G2313" s="4" t="str">
        <f t="shared" si="268"/>
        <v>Romper Short</v>
      </c>
      <c r="H2313" s="38">
        <f t="shared" si="271"/>
        <v>6</v>
      </c>
      <c r="I2313" s="54">
        <f t="shared" si="270"/>
        <v>23</v>
      </c>
      <c r="J2313" s="14" t="str">
        <f t="shared" si="272"/>
        <v>FathersDay</v>
      </c>
      <c r="K2313" s="16" t="str">
        <f t="shared" si="273"/>
        <v>6-12</v>
      </c>
      <c r="L2313" s="14" t="str">
        <f t="shared" si="274"/>
        <v>Romper Short | 6-12 | Caldet Blue</v>
      </c>
      <c r="M2313" s="16" t="s">
        <v>3610</v>
      </c>
    </row>
    <row r="2314" spans="1:13" ht="25" customHeight="1" x14ac:dyDescent="0.45">
      <c r="A2314" s="18">
        <v>45816</v>
      </c>
      <c r="B2314" s="19" t="s">
        <v>2442</v>
      </c>
      <c r="C2314" s="23" t="s">
        <v>79</v>
      </c>
      <c r="D2314" s="53" t="str">
        <f t="shared" si="269"/>
        <v>White</v>
      </c>
      <c r="E2314" s="21" t="s">
        <v>1828</v>
      </c>
      <c r="F2314" s="21" t="s">
        <v>7</v>
      </c>
      <c r="G2314" s="4" t="str">
        <f t="shared" si="268"/>
        <v>Romper Longer</v>
      </c>
      <c r="H2314" s="38">
        <f t="shared" si="271"/>
        <v>6</v>
      </c>
      <c r="I2314" s="54">
        <f t="shared" si="270"/>
        <v>24</v>
      </c>
      <c r="J2314" s="14" t="str">
        <f t="shared" si="272"/>
        <v>FathersDay</v>
      </c>
      <c r="K2314" s="16" t="str">
        <f t="shared" si="273"/>
        <v>3-6</v>
      </c>
      <c r="L2314" s="14" t="str">
        <f t="shared" si="274"/>
        <v>Romper Longer | 3-6 | White</v>
      </c>
      <c r="M2314" s="16" t="s">
        <v>3610</v>
      </c>
    </row>
    <row r="2315" spans="1:13" ht="25" customHeight="1" x14ac:dyDescent="0.45">
      <c r="A2315" s="18">
        <v>45817</v>
      </c>
      <c r="B2315" s="19" t="s">
        <v>2443</v>
      </c>
      <c r="C2315" s="23" t="s">
        <v>81</v>
      </c>
      <c r="D2315" s="53" t="str">
        <f t="shared" si="269"/>
        <v>Dusty Pink</v>
      </c>
      <c r="E2315" s="21" t="s">
        <v>1831</v>
      </c>
      <c r="F2315" s="21" t="s">
        <v>7</v>
      </c>
      <c r="G2315" s="4" t="str">
        <f t="shared" si="268"/>
        <v>Romper Longer</v>
      </c>
      <c r="H2315" s="38">
        <f t="shared" si="271"/>
        <v>6</v>
      </c>
      <c r="I2315" s="54">
        <f t="shared" si="270"/>
        <v>24</v>
      </c>
      <c r="J2315" s="14" t="str">
        <f t="shared" si="272"/>
        <v>FathersDay</v>
      </c>
      <c r="K2315" s="16" t="str">
        <f t="shared" si="273"/>
        <v>0-3</v>
      </c>
      <c r="L2315" s="14" t="str">
        <f t="shared" si="274"/>
        <v>Romper Longer | 0-3 | Dusty Pink</v>
      </c>
      <c r="M2315" s="16" t="s">
        <v>3610</v>
      </c>
    </row>
    <row r="2316" spans="1:13" ht="25" customHeight="1" x14ac:dyDescent="0.45">
      <c r="A2316" s="18">
        <v>45818</v>
      </c>
      <c r="B2316" s="19" t="s">
        <v>2444</v>
      </c>
      <c r="C2316" s="23" t="s">
        <v>76</v>
      </c>
      <c r="D2316" s="53" t="str">
        <f t="shared" si="269"/>
        <v>Caldet Blue</v>
      </c>
      <c r="E2316" s="21" t="s">
        <v>1828</v>
      </c>
      <c r="F2316" s="21" t="s">
        <v>7</v>
      </c>
      <c r="G2316" s="4" t="str">
        <f t="shared" si="268"/>
        <v>Romper Longer</v>
      </c>
      <c r="H2316" s="38">
        <f t="shared" si="271"/>
        <v>6</v>
      </c>
      <c r="I2316" s="54">
        <f t="shared" si="270"/>
        <v>24</v>
      </c>
      <c r="J2316" s="14" t="str">
        <f t="shared" si="272"/>
        <v>FathersDay</v>
      </c>
      <c r="K2316" s="16" t="str">
        <f t="shared" si="273"/>
        <v>3-6</v>
      </c>
      <c r="L2316" s="14" t="str">
        <f t="shared" si="274"/>
        <v>Romper Longer | 3-6 | Caldet Blue</v>
      </c>
      <c r="M2316" s="16" t="s">
        <v>3610</v>
      </c>
    </row>
    <row r="2317" spans="1:13" ht="25" customHeight="1" x14ac:dyDescent="0.45">
      <c r="A2317" s="18">
        <v>45819</v>
      </c>
      <c r="B2317" s="19" t="s">
        <v>2445</v>
      </c>
      <c r="C2317" s="23" t="s">
        <v>9</v>
      </c>
      <c r="D2317" s="53" t="str">
        <f t="shared" si="269"/>
        <v>Cream</v>
      </c>
      <c r="E2317" s="21" t="s">
        <v>1828</v>
      </c>
      <c r="F2317" s="21" t="s">
        <v>7</v>
      </c>
      <c r="G2317" s="4" t="str">
        <f t="shared" si="268"/>
        <v>Romper Longer</v>
      </c>
      <c r="H2317" s="38">
        <f t="shared" si="271"/>
        <v>6</v>
      </c>
      <c r="I2317" s="54">
        <f t="shared" si="270"/>
        <v>24</v>
      </c>
      <c r="J2317" s="14" t="str">
        <f t="shared" si="272"/>
        <v>FathersDay</v>
      </c>
      <c r="K2317" s="16" t="str">
        <f t="shared" si="273"/>
        <v>3-6</v>
      </c>
      <c r="L2317" s="14" t="str">
        <f t="shared" si="274"/>
        <v>Romper Longer | 3-6 | Cream</v>
      </c>
      <c r="M2317" s="16" t="s">
        <v>3609</v>
      </c>
    </row>
    <row r="2318" spans="1:13" ht="25" customHeight="1" x14ac:dyDescent="0.45">
      <c r="A2318" s="18">
        <v>45820</v>
      </c>
      <c r="B2318" s="19" t="s">
        <v>2446</v>
      </c>
      <c r="C2318" s="23" t="s">
        <v>110</v>
      </c>
      <c r="D2318" s="53" t="str">
        <f t="shared" si="269"/>
        <v>Sage Green</v>
      </c>
      <c r="E2318" s="21" t="s">
        <v>1828</v>
      </c>
      <c r="F2318" s="21" t="s">
        <v>7</v>
      </c>
      <c r="G2318" s="4" t="str">
        <f t="shared" si="268"/>
        <v>Romper Longer</v>
      </c>
      <c r="H2318" s="38">
        <f t="shared" si="271"/>
        <v>6</v>
      </c>
      <c r="I2318" s="54">
        <f t="shared" si="270"/>
        <v>24</v>
      </c>
      <c r="J2318" s="14" t="str">
        <f t="shared" si="272"/>
        <v>FathersDay</v>
      </c>
      <c r="K2318" s="16" t="str">
        <f t="shared" si="273"/>
        <v>3-6</v>
      </c>
      <c r="L2318" s="14" t="str">
        <f t="shared" si="274"/>
        <v>Romper Longer | 3-6 | Sage Green</v>
      </c>
      <c r="M2318" s="16" t="s">
        <v>3611</v>
      </c>
    </row>
    <row r="2319" spans="1:13" ht="25" customHeight="1" x14ac:dyDescent="0.45">
      <c r="A2319" s="18">
        <v>45821</v>
      </c>
      <c r="B2319" s="19" t="s">
        <v>2447</v>
      </c>
      <c r="C2319" s="23" t="s">
        <v>9</v>
      </c>
      <c r="D2319" s="53" t="str">
        <f t="shared" si="269"/>
        <v>Cream</v>
      </c>
      <c r="E2319" s="21" t="s">
        <v>1550</v>
      </c>
      <c r="F2319" s="21" t="s">
        <v>7</v>
      </c>
      <c r="G2319" s="4" t="str">
        <f t="shared" ref="G2319:G2382" si="275">IF(ISNUMBER(SEARCH("LONG",E2319)),"Romper Longer",IF(ISNUMBER(SEARCH("SHORT",E2319)),"Romper Short","Bodysuit"))</f>
        <v>Romper Longer</v>
      </c>
      <c r="H2319" s="38">
        <f t="shared" si="271"/>
        <v>6</v>
      </c>
      <c r="I2319" s="54">
        <f t="shared" si="270"/>
        <v>24</v>
      </c>
      <c r="J2319" s="14" t="str">
        <f t="shared" si="272"/>
        <v>FathersDay</v>
      </c>
      <c r="K2319" s="16" t="str">
        <f t="shared" si="273"/>
        <v>12-18</v>
      </c>
      <c r="L2319" s="14" t="str">
        <f t="shared" si="274"/>
        <v>Romper Longer | 12-18 | Cream</v>
      </c>
      <c r="M2319" s="16" t="s">
        <v>3610</v>
      </c>
    </row>
    <row r="2320" spans="1:13" ht="25" customHeight="1" x14ac:dyDescent="0.45">
      <c r="A2320" s="18">
        <v>45822</v>
      </c>
      <c r="B2320" s="19" t="s">
        <v>2448</v>
      </c>
      <c r="C2320" s="23" t="s">
        <v>9</v>
      </c>
      <c r="D2320" s="53" t="str">
        <f t="shared" si="269"/>
        <v>Cream</v>
      </c>
      <c r="E2320" s="21" t="s">
        <v>1831</v>
      </c>
      <c r="F2320" s="21" t="s">
        <v>7</v>
      </c>
      <c r="G2320" s="4" t="str">
        <f t="shared" si="275"/>
        <v>Romper Longer</v>
      </c>
      <c r="H2320" s="38">
        <f t="shared" si="271"/>
        <v>6</v>
      </c>
      <c r="I2320" s="54">
        <f t="shared" si="270"/>
        <v>24</v>
      </c>
      <c r="J2320" s="14" t="str">
        <f t="shared" si="272"/>
        <v>FathersDay</v>
      </c>
      <c r="K2320" s="16" t="str">
        <f t="shared" si="273"/>
        <v>0-3</v>
      </c>
      <c r="L2320" s="14" t="str">
        <f t="shared" si="274"/>
        <v>Romper Longer | 0-3 | Cream</v>
      </c>
      <c r="M2320" s="16" t="s">
        <v>3609</v>
      </c>
    </row>
    <row r="2321" spans="1:13" ht="25" customHeight="1" x14ac:dyDescent="0.45">
      <c r="A2321" s="18">
        <v>45823</v>
      </c>
      <c r="B2321" s="19" t="s">
        <v>2449</v>
      </c>
      <c r="C2321" s="23" t="s">
        <v>110</v>
      </c>
      <c r="D2321" s="53" t="str">
        <f t="shared" si="269"/>
        <v>Sage Green</v>
      </c>
      <c r="E2321" s="21" t="s">
        <v>1831</v>
      </c>
      <c r="F2321" s="21" t="s">
        <v>7</v>
      </c>
      <c r="G2321" s="4" t="str">
        <f t="shared" si="275"/>
        <v>Romper Longer</v>
      </c>
      <c r="H2321" s="38">
        <f t="shared" si="271"/>
        <v>6</v>
      </c>
      <c r="I2321" s="54">
        <f t="shared" si="270"/>
        <v>25</v>
      </c>
      <c r="J2321" s="14" t="str">
        <f t="shared" si="272"/>
        <v>FathersDay</v>
      </c>
      <c r="K2321" s="16" t="str">
        <f t="shared" si="273"/>
        <v>0-3</v>
      </c>
      <c r="L2321" s="14" t="str">
        <f t="shared" si="274"/>
        <v>Romper Longer | 0-3 | Sage Green</v>
      </c>
      <c r="M2321" s="16" t="s">
        <v>3611</v>
      </c>
    </row>
    <row r="2322" spans="1:13" ht="25" customHeight="1" x14ac:dyDescent="0.45">
      <c r="A2322" s="18">
        <v>45824</v>
      </c>
      <c r="B2322" s="19" t="s">
        <v>2450</v>
      </c>
      <c r="C2322" s="23" t="s">
        <v>9</v>
      </c>
      <c r="D2322" s="53" t="str">
        <f t="shared" si="269"/>
        <v>Cream</v>
      </c>
      <c r="E2322" s="21" t="s">
        <v>1841</v>
      </c>
      <c r="F2322" s="21" t="s">
        <v>7</v>
      </c>
      <c r="G2322" s="4" t="str">
        <f t="shared" si="275"/>
        <v>Romper Longer</v>
      </c>
      <c r="H2322" s="38">
        <f t="shared" si="271"/>
        <v>6</v>
      </c>
      <c r="I2322" s="54">
        <f t="shared" si="270"/>
        <v>25</v>
      </c>
      <c r="J2322" s="14" t="str">
        <f t="shared" si="272"/>
        <v>FathersDay</v>
      </c>
      <c r="K2322" s="16" t="str">
        <f t="shared" si="273"/>
        <v>6-12</v>
      </c>
      <c r="L2322" s="14" t="str">
        <f t="shared" si="274"/>
        <v>Romper Longer | 6-12 | Cream</v>
      </c>
      <c r="M2322" s="16" t="s">
        <v>3611</v>
      </c>
    </row>
    <row r="2323" spans="1:13" ht="25" customHeight="1" x14ac:dyDescent="0.45">
      <c r="A2323" s="18">
        <v>45825</v>
      </c>
      <c r="B2323" s="19" t="s">
        <v>2451</v>
      </c>
      <c r="C2323" s="23" t="s">
        <v>81</v>
      </c>
      <c r="D2323" s="53" t="str">
        <f t="shared" ref="D2323:D2386" si="276">PROPER(C2323)</f>
        <v>Dusty Pink</v>
      </c>
      <c r="E2323" s="21" t="s">
        <v>1420</v>
      </c>
      <c r="F2323" s="21" t="s">
        <v>7</v>
      </c>
      <c r="G2323" s="4" t="str">
        <f t="shared" si="275"/>
        <v>Romper Short</v>
      </c>
      <c r="H2323" s="38">
        <f t="shared" si="271"/>
        <v>6</v>
      </c>
      <c r="I2323" s="54">
        <f t="shared" si="270"/>
        <v>25</v>
      </c>
      <c r="J2323" s="14" t="str">
        <f t="shared" si="272"/>
        <v>FathersDay</v>
      </c>
      <c r="K2323" s="16" t="str">
        <f t="shared" si="273"/>
        <v>6-12</v>
      </c>
      <c r="L2323" s="14" t="str">
        <f t="shared" si="274"/>
        <v>Romper Short | 6-12 | Dusty Pink</v>
      </c>
      <c r="M2323" s="16" t="s">
        <v>3610</v>
      </c>
    </row>
    <row r="2324" spans="1:13" ht="25" customHeight="1" x14ac:dyDescent="0.45">
      <c r="A2324" s="18">
        <v>45826</v>
      </c>
      <c r="B2324" s="19" t="s">
        <v>2452</v>
      </c>
      <c r="C2324" s="23" t="s">
        <v>76</v>
      </c>
      <c r="D2324" s="53" t="str">
        <f t="shared" si="276"/>
        <v>Caldet Blue</v>
      </c>
      <c r="E2324" s="21" t="s">
        <v>1420</v>
      </c>
      <c r="F2324" s="21" t="s">
        <v>7</v>
      </c>
      <c r="G2324" s="4" t="str">
        <f t="shared" si="275"/>
        <v>Romper Short</v>
      </c>
      <c r="H2324" s="38">
        <f t="shared" si="271"/>
        <v>6</v>
      </c>
      <c r="I2324" s="54">
        <f t="shared" si="270"/>
        <v>25</v>
      </c>
      <c r="J2324" s="14" t="str">
        <f t="shared" si="272"/>
        <v>FathersDay</v>
      </c>
      <c r="K2324" s="16" t="str">
        <f t="shared" si="273"/>
        <v>6-12</v>
      </c>
      <c r="L2324" s="14" t="str">
        <f t="shared" si="274"/>
        <v>Romper Short | 6-12 | Caldet Blue</v>
      </c>
      <c r="M2324" s="16" t="s">
        <v>3610</v>
      </c>
    </row>
    <row r="2325" spans="1:13" ht="25" customHeight="1" x14ac:dyDescent="0.45">
      <c r="A2325" s="18">
        <v>45827</v>
      </c>
      <c r="B2325" s="19" t="s">
        <v>2453</v>
      </c>
      <c r="C2325" s="23" t="s">
        <v>9</v>
      </c>
      <c r="D2325" s="53" t="str">
        <f t="shared" si="276"/>
        <v>Cream</v>
      </c>
      <c r="E2325" s="21" t="s">
        <v>1831</v>
      </c>
      <c r="F2325" s="21" t="s">
        <v>7</v>
      </c>
      <c r="G2325" s="4" t="str">
        <f t="shared" si="275"/>
        <v>Romper Longer</v>
      </c>
      <c r="H2325" s="38">
        <f t="shared" si="271"/>
        <v>6</v>
      </c>
      <c r="I2325" s="54">
        <f t="shared" si="270"/>
        <v>25</v>
      </c>
      <c r="J2325" s="14" t="str">
        <f t="shared" si="272"/>
        <v>FathersDay</v>
      </c>
      <c r="K2325" s="16" t="str">
        <f t="shared" si="273"/>
        <v>0-3</v>
      </c>
      <c r="L2325" s="14" t="str">
        <f t="shared" si="274"/>
        <v>Romper Longer | 0-3 | Cream</v>
      </c>
      <c r="M2325" s="16" t="s">
        <v>3609</v>
      </c>
    </row>
    <row r="2326" spans="1:13" ht="25" customHeight="1" x14ac:dyDescent="0.45">
      <c r="A2326" s="18">
        <v>45828</v>
      </c>
      <c r="B2326" s="19" t="s">
        <v>2454</v>
      </c>
      <c r="C2326" s="23" t="s">
        <v>178</v>
      </c>
      <c r="D2326" s="53" t="str">
        <f t="shared" si="276"/>
        <v>Mauve Taupe</v>
      </c>
      <c r="E2326" s="21" t="s">
        <v>1849</v>
      </c>
      <c r="F2326" s="21" t="s">
        <v>7</v>
      </c>
      <c r="G2326" s="4" t="str">
        <f t="shared" si="275"/>
        <v>Romper Short</v>
      </c>
      <c r="H2326" s="38">
        <f t="shared" si="271"/>
        <v>6</v>
      </c>
      <c r="I2326" s="54">
        <f t="shared" si="270"/>
        <v>25</v>
      </c>
      <c r="J2326" s="14" t="str">
        <f t="shared" si="272"/>
        <v>FathersDay</v>
      </c>
      <c r="K2326" s="16" t="str">
        <f t="shared" si="273"/>
        <v>3-6</v>
      </c>
      <c r="L2326" s="14" t="str">
        <f t="shared" si="274"/>
        <v>Romper Short | 3-6 | Mauve Taupe</v>
      </c>
      <c r="M2326" s="16" t="s">
        <v>3610</v>
      </c>
    </row>
    <row r="2327" spans="1:13" ht="25" customHeight="1" x14ac:dyDescent="0.45">
      <c r="A2327" s="18">
        <v>45829</v>
      </c>
      <c r="B2327" s="19" t="s">
        <v>2455</v>
      </c>
      <c r="C2327" s="23" t="s">
        <v>9</v>
      </c>
      <c r="D2327" s="53" t="str">
        <f t="shared" si="276"/>
        <v>Cream</v>
      </c>
      <c r="E2327" s="21" t="s">
        <v>1831</v>
      </c>
      <c r="F2327" s="21" t="s">
        <v>7</v>
      </c>
      <c r="G2327" s="4" t="str">
        <f t="shared" si="275"/>
        <v>Romper Longer</v>
      </c>
      <c r="H2327" s="38">
        <f t="shared" si="271"/>
        <v>6</v>
      </c>
      <c r="I2327" s="54">
        <f t="shared" si="270"/>
        <v>25</v>
      </c>
      <c r="J2327" s="14" t="str">
        <f t="shared" si="272"/>
        <v>FathersDay</v>
      </c>
      <c r="K2327" s="16" t="str">
        <f t="shared" si="273"/>
        <v>0-3</v>
      </c>
      <c r="L2327" s="14" t="str">
        <f t="shared" si="274"/>
        <v>Romper Longer | 0-3 | Cream</v>
      </c>
      <c r="M2327" s="16" t="s">
        <v>3609</v>
      </c>
    </row>
    <row r="2328" spans="1:13" ht="25" customHeight="1" x14ac:dyDescent="0.45">
      <c r="A2328" s="18">
        <v>45830</v>
      </c>
      <c r="B2328" s="19" t="s">
        <v>2456</v>
      </c>
      <c r="C2328" s="23" t="s">
        <v>76</v>
      </c>
      <c r="D2328" s="53" t="str">
        <f t="shared" si="276"/>
        <v>Caldet Blue</v>
      </c>
      <c r="E2328" s="21" t="s">
        <v>1550</v>
      </c>
      <c r="F2328" s="21" t="s">
        <v>7</v>
      </c>
      <c r="G2328" s="4" t="str">
        <f t="shared" si="275"/>
        <v>Romper Longer</v>
      </c>
      <c r="H2328" s="38">
        <f t="shared" si="271"/>
        <v>6</v>
      </c>
      <c r="I2328" s="54">
        <f t="shared" si="270"/>
        <v>26</v>
      </c>
      <c r="J2328" s="14" t="str">
        <f t="shared" si="272"/>
        <v>FathersDay</v>
      </c>
      <c r="K2328" s="16" t="str">
        <f t="shared" si="273"/>
        <v>12-18</v>
      </c>
      <c r="L2328" s="14" t="str">
        <f t="shared" si="274"/>
        <v>Romper Longer | 12-18 | Caldet Blue</v>
      </c>
      <c r="M2328" s="16" t="s">
        <v>3610</v>
      </c>
    </row>
    <row r="2329" spans="1:13" ht="25" customHeight="1" x14ac:dyDescent="0.45">
      <c r="A2329" s="18">
        <v>45831</v>
      </c>
      <c r="B2329" s="19" t="s">
        <v>2457</v>
      </c>
      <c r="C2329" s="23" t="s">
        <v>76</v>
      </c>
      <c r="D2329" s="53" t="str">
        <f t="shared" si="276"/>
        <v>Caldet Blue</v>
      </c>
      <c r="E2329" s="21" t="s">
        <v>1834</v>
      </c>
      <c r="F2329" s="21" t="s">
        <v>7</v>
      </c>
      <c r="G2329" s="4" t="str">
        <f t="shared" si="275"/>
        <v>Romper Short</v>
      </c>
      <c r="H2329" s="38">
        <f t="shared" si="271"/>
        <v>6</v>
      </c>
      <c r="I2329" s="54">
        <f t="shared" si="270"/>
        <v>26</v>
      </c>
      <c r="J2329" s="14" t="str">
        <f t="shared" si="272"/>
        <v>FathersDay</v>
      </c>
      <c r="K2329" s="16" t="str">
        <f t="shared" si="273"/>
        <v>0-3</v>
      </c>
      <c r="L2329" s="14" t="str">
        <f t="shared" si="274"/>
        <v>Romper Short | 0-3 | Caldet Blue</v>
      </c>
      <c r="M2329" s="16" t="s">
        <v>3610</v>
      </c>
    </row>
    <row r="2330" spans="1:13" ht="25" customHeight="1" x14ac:dyDescent="0.45">
      <c r="A2330" s="18">
        <v>45832</v>
      </c>
      <c r="B2330" s="19" t="s">
        <v>2458</v>
      </c>
      <c r="C2330" s="23" t="s">
        <v>9</v>
      </c>
      <c r="D2330" s="53" t="str">
        <f t="shared" si="276"/>
        <v>Cream</v>
      </c>
      <c r="E2330" s="21" t="s">
        <v>1841</v>
      </c>
      <c r="F2330" s="21" t="s">
        <v>7</v>
      </c>
      <c r="G2330" s="4" t="str">
        <f t="shared" si="275"/>
        <v>Romper Longer</v>
      </c>
      <c r="H2330" s="38">
        <f t="shared" si="271"/>
        <v>6</v>
      </c>
      <c r="I2330" s="54">
        <f t="shared" si="270"/>
        <v>26</v>
      </c>
      <c r="J2330" s="14" t="str">
        <f t="shared" si="272"/>
        <v>FathersDay</v>
      </c>
      <c r="K2330" s="16" t="str">
        <f t="shared" si="273"/>
        <v>6-12</v>
      </c>
      <c r="L2330" s="14" t="str">
        <f t="shared" si="274"/>
        <v>Romper Longer | 6-12 | Cream</v>
      </c>
      <c r="M2330" s="16" t="s">
        <v>3611</v>
      </c>
    </row>
    <row r="2331" spans="1:13" ht="25" customHeight="1" x14ac:dyDescent="0.45">
      <c r="A2331" s="18">
        <v>45833</v>
      </c>
      <c r="B2331" s="19" t="s">
        <v>2405</v>
      </c>
      <c r="C2331" s="23" t="s">
        <v>81</v>
      </c>
      <c r="D2331" s="53" t="str">
        <f t="shared" si="276"/>
        <v>Dusty Pink</v>
      </c>
      <c r="E2331" s="21" t="s">
        <v>1550</v>
      </c>
      <c r="F2331" s="21" t="s">
        <v>7</v>
      </c>
      <c r="G2331" s="4" t="str">
        <f t="shared" si="275"/>
        <v>Romper Longer</v>
      </c>
      <c r="H2331" s="38">
        <f t="shared" si="271"/>
        <v>6</v>
      </c>
      <c r="I2331" s="54">
        <f t="shared" si="270"/>
        <v>26</v>
      </c>
      <c r="J2331" s="14" t="str">
        <f t="shared" si="272"/>
        <v>FathersDay</v>
      </c>
      <c r="K2331" s="16" t="str">
        <f t="shared" si="273"/>
        <v>12-18</v>
      </c>
      <c r="L2331" s="14" t="str">
        <f t="shared" si="274"/>
        <v>Romper Longer | 12-18 | Dusty Pink</v>
      </c>
      <c r="M2331" s="16" t="s">
        <v>3610</v>
      </c>
    </row>
    <row r="2332" spans="1:13" ht="25" customHeight="1" x14ac:dyDescent="0.45">
      <c r="A2332" s="18">
        <v>45834</v>
      </c>
      <c r="B2332" s="19" t="s">
        <v>2459</v>
      </c>
      <c r="C2332" s="23" t="s">
        <v>74</v>
      </c>
      <c r="D2332" s="53" t="str">
        <f t="shared" si="276"/>
        <v>Watermelon</v>
      </c>
      <c r="E2332" s="21" t="s">
        <v>1828</v>
      </c>
      <c r="F2332" s="21" t="s">
        <v>7</v>
      </c>
      <c r="G2332" s="4" t="str">
        <f t="shared" si="275"/>
        <v>Romper Longer</v>
      </c>
      <c r="H2332" s="38">
        <f t="shared" si="271"/>
        <v>6</v>
      </c>
      <c r="I2332" s="54">
        <f t="shared" si="270"/>
        <v>26</v>
      </c>
      <c r="J2332" s="14" t="str">
        <f t="shared" si="272"/>
        <v>FathersDay</v>
      </c>
      <c r="K2332" s="16" t="str">
        <f t="shared" si="273"/>
        <v>3-6</v>
      </c>
      <c r="L2332" s="14" t="str">
        <f t="shared" si="274"/>
        <v>Romper Longer | 3-6 | Watermelon</v>
      </c>
      <c r="M2332" s="16" t="s">
        <v>3610</v>
      </c>
    </row>
    <row r="2333" spans="1:13" ht="25" customHeight="1" x14ac:dyDescent="0.45">
      <c r="A2333" s="18">
        <v>45835</v>
      </c>
      <c r="B2333" s="19" t="s">
        <v>2460</v>
      </c>
      <c r="C2333" s="23" t="s">
        <v>9</v>
      </c>
      <c r="D2333" s="53" t="str">
        <f t="shared" si="276"/>
        <v>Cream</v>
      </c>
      <c r="E2333" s="21" t="s">
        <v>1841</v>
      </c>
      <c r="F2333" s="21" t="s">
        <v>7</v>
      </c>
      <c r="G2333" s="4" t="str">
        <f t="shared" si="275"/>
        <v>Romper Longer</v>
      </c>
      <c r="H2333" s="38">
        <f t="shared" si="271"/>
        <v>6</v>
      </c>
      <c r="I2333" s="54">
        <f t="shared" si="270"/>
        <v>26</v>
      </c>
      <c r="J2333" s="14" t="str">
        <f t="shared" si="272"/>
        <v>FathersDay</v>
      </c>
      <c r="K2333" s="16" t="str">
        <f t="shared" si="273"/>
        <v>6-12</v>
      </c>
      <c r="L2333" s="14" t="str">
        <f t="shared" si="274"/>
        <v>Romper Longer | 6-12 | Cream</v>
      </c>
      <c r="M2333" s="16" t="s">
        <v>3611</v>
      </c>
    </row>
    <row r="2334" spans="1:13" ht="25" customHeight="1" x14ac:dyDescent="0.45">
      <c r="A2334" s="18">
        <v>45836</v>
      </c>
      <c r="B2334" s="19" t="s">
        <v>2461</v>
      </c>
      <c r="C2334" s="23" t="s">
        <v>9</v>
      </c>
      <c r="D2334" s="53" t="str">
        <f t="shared" si="276"/>
        <v>Cream</v>
      </c>
      <c r="E2334" s="21" t="s">
        <v>1831</v>
      </c>
      <c r="F2334" s="21" t="s">
        <v>7</v>
      </c>
      <c r="G2334" s="4" t="str">
        <f t="shared" si="275"/>
        <v>Romper Longer</v>
      </c>
      <c r="H2334" s="38">
        <f t="shared" si="271"/>
        <v>6</v>
      </c>
      <c r="I2334" s="54">
        <f t="shared" si="270"/>
        <v>26</v>
      </c>
      <c r="J2334" s="14" t="str">
        <f t="shared" si="272"/>
        <v>FathersDay</v>
      </c>
      <c r="K2334" s="16" t="str">
        <f t="shared" si="273"/>
        <v>0-3</v>
      </c>
      <c r="L2334" s="14" t="str">
        <f t="shared" si="274"/>
        <v>Romper Longer | 0-3 | Cream</v>
      </c>
      <c r="M2334" s="16" t="s">
        <v>3609</v>
      </c>
    </row>
    <row r="2335" spans="1:13" ht="25" customHeight="1" x14ac:dyDescent="0.45">
      <c r="A2335" s="18">
        <v>45837</v>
      </c>
      <c r="B2335" s="19" t="s">
        <v>2462</v>
      </c>
      <c r="C2335" s="23" t="s">
        <v>9</v>
      </c>
      <c r="D2335" s="53" t="str">
        <f t="shared" si="276"/>
        <v>Cream</v>
      </c>
      <c r="E2335" s="21" t="s">
        <v>1849</v>
      </c>
      <c r="F2335" s="21" t="s">
        <v>7</v>
      </c>
      <c r="G2335" s="4" t="str">
        <f t="shared" si="275"/>
        <v>Romper Short</v>
      </c>
      <c r="H2335" s="38">
        <f t="shared" si="271"/>
        <v>6</v>
      </c>
      <c r="I2335" s="54">
        <f t="shared" si="270"/>
        <v>27</v>
      </c>
      <c r="J2335" s="14" t="str">
        <f t="shared" si="272"/>
        <v>FathersDay</v>
      </c>
      <c r="K2335" s="16" t="str">
        <f t="shared" si="273"/>
        <v>3-6</v>
      </c>
      <c r="L2335" s="14" t="str">
        <f t="shared" si="274"/>
        <v>Romper Short | 3-6 | Cream</v>
      </c>
      <c r="M2335" s="16" t="s">
        <v>3609</v>
      </c>
    </row>
    <row r="2336" spans="1:13" ht="25" customHeight="1" x14ac:dyDescent="0.45">
      <c r="A2336" s="18">
        <v>45838</v>
      </c>
      <c r="B2336" s="19" t="s">
        <v>2463</v>
      </c>
      <c r="C2336" s="23" t="s">
        <v>79</v>
      </c>
      <c r="D2336" s="53" t="str">
        <f t="shared" si="276"/>
        <v>White</v>
      </c>
      <c r="E2336" s="21" t="s">
        <v>1838</v>
      </c>
      <c r="F2336" s="21" t="s">
        <v>7</v>
      </c>
      <c r="G2336" s="4" t="str">
        <f t="shared" si="275"/>
        <v>Romper Short</v>
      </c>
      <c r="H2336" s="38">
        <f t="shared" si="271"/>
        <v>6</v>
      </c>
      <c r="I2336" s="54">
        <f t="shared" si="270"/>
        <v>27</v>
      </c>
      <c r="J2336" s="14" t="str">
        <f t="shared" si="272"/>
        <v>FathersDay</v>
      </c>
      <c r="K2336" s="16" t="str">
        <f t="shared" si="273"/>
        <v>12-18</v>
      </c>
      <c r="L2336" s="14" t="str">
        <f t="shared" si="274"/>
        <v>Romper Short | 12-18 | White</v>
      </c>
      <c r="M2336" s="16" t="s">
        <v>3610</v>
      </c>
    </row>
    <row r="2337" spans="1:13" ht="25" customHeight="1" x14ac:dyDescent="0.45">
      <c r="A2337" s="18">
        <v>45839</v>
      </c>
      <c r="B2337" s="19" t="s">
        <v>2464</v>
      </c>
      <c r="C2337" s="23" t="s">
        <v>74</v>
      </c>
      <c r="D2337" s="53" t="str">
        <f t="shared" si="276"/>
        <v>Watermelon</v>
      </c>
      <c r="E2337" s="21" t="s">
        <v>1841</v>
      </c>
      <c r="F2337" s="21" t="s">
        <v>7</v>
      </c>
      <c r="G2337" s="4" t="str">
        <f t="shared" si="275"/>
        <v>Romper Longer</v>
      </c>
      <c r="H2337" s="38">
        <f t="shared" si="271"/>
        <v>7</v>
      </c>
      <c r="I2337" s="54">
        <f t="shared" si="270"/>
        <v>27</v>
      </c>
      <c r="J2337" s="14" t="str">
        <f t="shared" si="272"/>
        <v>Summer</v>
      </c>
      <c r="K2337" s="16" t="str">
        <f t="shared" si="273"/>
        <v>6-12</v>
      </c>
      <c r="L2337" s="14" t="str">
        <f t="shared" si="274"/>
        <v>Romper Longer | 6-12 | Watermelon</v>
      </c>
      <c r="M2337" s="16" t="s">
        <v>3610</v>
      </c>
    </row>
    <row r="2338" spans="1:13" ht="25" customHeight="1" x14ac:dyDescent="0.45">
      <c r="A2338" s="18">
        <v>45840</v>
      </c>
      <c r="B2338" s="19" t="s">
        <v>2465</v>
      </c>
      <c r="C2338" s="23" t="s">
        <v>76</v>
      </c>
      <c r="D2338" s="53" t="str">
        <f t="shared" si="276"/>
        <v>Caldet Blue</v>
      </c>
      <c r="E2338" s="21" t="s">
        <v>1841</v>
      </c>
      <c r="F2338" s="21" t="s">
        <v>7</v>
      </c>
      <c r="G2338" s="4" t="str">
        <f t="shared" si="275"/>
        <v>Romper Longer</v>
      </c>
      <c r="H2338" s="38">
        <f t="shared" si="271"/>
        <v>7</v>
      </c>
      <c r="I2338" s="54">
        <f t="shared" si="270"/>
        <v>27</v>
      </c>
      <c r="J2338" s="14" t="str">
        <f t="shared" si="272"/>
        <v>Summer</v>
      </c>
      <c r="K2338" s="16" t="str">
        <f t="shared" si="273"/>
        <v>6-12</v>
      </c>
      <c r="L2338" s="14" t="str">
        <f t="shared" si="274"/>
        <v>Romper Longer | 6-12 | Caldet Blue</v>
      </c>
      <c r="M2338" s="16" t="s">
        <v>3610</v>
      </c>
    </row>
    <row r="2339" spans="1:13" ht="25" customHeight="1" x14ac:dyDescent="0.45">
      <c r="A2339" s="18">
        <v>45841</v>
      </c>
      <c r="B2339" s="19" t="s">
        <v>2466</v>
      </c>
      <c r="C2339" s="23" t="s">
        <v>9</v>
      </c>
      <c r="D2339" s="53" t="str">
        <f t="shared" si="276"/>
        <v>Cream</v>
      </c>
      <c r="E2339" s="21" t="s">
        <v>1841</v>
      </c>
      <c r="F2339" s="21" t="s">
        <v>7</v>
      </c>
      <c r="G2339" s="4" t="str">
        <f t="shared" si="275"/>
        <v>Romper Longer</v>
      </c>
      <c r="H2339" s="38">
        <f t="shared" si="271"/>
        <v>7</v>
      </c>
      <c r="I2339" s="54">
        <f t="shared" si="270"/>
        <v>27</v>
      </c>
      <c r="J2339" s="14" t="str">
        <f t="shared" si="272"/>
        <v>Summer</v>
      </c>
      <c r="K2339" s="16" t="str">
        <f t="shared" si="273"/>
        <v>6-12</v>
      </c>
      <c r="L2339" s="14" t="str">
        <f t="shared" si="274"/>
        <v>Romper Longer | 6-12 | Cream</v>
      </c>
      <c r="M2339" s="16" t="s">
        <v>3611</v>
      </c>
    </row>
    <row r="2340" spans="1:13" ht="25" customHeight="1" x14ac:dyDescent="0.45">
      <c r="A2340" s="18">
        <v>45842</v>
      </c>
      <c r="B2340" s="19" t="s">
        <v>2467</v>
      </c>
      <c r="C2340" s="23" t="s">
        <v>74</v>
      </c>
      <c r="D2340" s="53" t="str">
        <f t="shared" si="276"/>
        <v>Watermelon</v>
      </c>
      <c r="E2340" s="21" t="s">
        <v>1849</v>
      </c>
      <c r="F2340" s="21" t="s">
        <v>7</v>
      </c>
      <c r="G2340" s="4" t="str">
        <f t="shared" si="275"/>
        <v>Romper Short</v>
      </c>
      <c r="H2340" s="38">
        <f t="shared" si="271"/>
        <v>7</v>
      </c>
      <c r="I2340" s="54">
        <f t="shared" si="270"/>
        <v>27</v>
      </c>
      <c r="J2340" s="14" t="str">
        <f t="shared" si="272"/>
        <v>Summer</v>
      </c>
      <c r="K2340" s="16" t="str">
        <f t="shared" si="273"/>
        <v>3-6</v>
      </c>
      <c r="L2340" s="14" t="str">
        <f t="shared" si="274"/>
        <v>Romper Short | 3-6 | Watermelon</v>
      </c>
      <c r="M2340" s="16" t="s">
        <v>3610</v>
      </c>
    </row>
    <row r="2341" spans="1:13" ht="25" customHeight="1" x14ac:dyDescent="0.45">
      <c r="A2341" s="18">
        <v>45843</v>
      </c>
      <c r="B2341" s="19" t="s">
        <v>2468</v>
      </c>
      <c r="C2341" s="23" t="s">
        <v>85</v>
      </c>
      <c r="D2341" s="53" t="str">
        <f t="shared" si="276"/>
        <v>Forest Green</v>
      </c>
      <c r="E2341" s="21" t="s">
        <v>1849</v>
      </c>
      <c r="F2341" s="21" t="s">
        <v>7</v>
      </c>
      <c r="G2341" s="4" t="str">
        <f t="shared" si="275"/>
        <v>Romper Short</v>
      </c>
      <c r="H2341" s="38">
        <f t="shared" si="271"/>
        <v>7</v>
      </c>
      <c r="I2341" s="54">
        <f t="shared" si="270"/>
        <v>27</v>
      </c>
      <c r="J2341" s="14" t="str">
        <f t="shared" si="272"/>
        <v>Summer</v>
      </c>
      <c r="K2341" s="16" t="str">
        <f t="shared" si="273"/>
        <v>3-6</v>
      </c>
      <c r="L2341" s="14" t="str">
        <f t="shared" si="274"/>
        <v>Romper Short | 3-6 | Forest Green</v>
      </c>
      <c r="M2341" s="16" t="s">
        <v>3610</v>
      </c>
    </row>
    <row r="2342" spans="1:13" ht="25" customHeight="1" x14ac:dyDescent="0.45">
      <c r="A2342" s="18">
        <v>45844</v>
      </c>
      <c r="B2342" s="19" t="s">
        <v>2469</v>
      </c>
      <c r="C2342" s="23" t="s">
        <v>71</v>
      </c>
      <c r="D2342" s="53" t="str">
        <f t="shared" si="276"/>
        <v>Coffee</v>
      </c>
      <c r="E2342" s="21" t="s">
        <v>1841</v>
      </c>
      <c r="F2342" s="21" t="s">
        <v>7</v>
      </c>
      <c r="G2342" s="4" t="str">
        <f t="shared" si="275"/>
        <v>Romper Longer</v>
      </c>
      <c r="H2342" s="38">
        <f t="shared" si="271"/>
        <v>7</v>
      </c>
      <c r="I2342" s="54">
        <f t="shared" si="270"/>
        <v>28</v>
      </c>
      <c r="J2342" s="14" t="str">
        <f t="shared" si="272"/>
        <v>Summer</v>
      </c>
      <c r="K2342" s="16" t="str">
        <f t="shared" si="273"/>
        <v>6-12</v>
      </c>
      <c r="L2342" s="14" t="str">
        <f t="shared" si="274"/>
        <v>Romper Longer | 6-12 | Coffee</v>
      </c>
      <c r="M2342" s="16" t="s">
        <v>3610</v>
      </c>
    </row>
    <row r="2343" spans="1:13" ht="25" customHeight="1" x14ac:dyDescent="0.45">
      <c r="A2343" s="18">
        <v>45845</v>
      </c>
      <c r="B2343" s="19" t="s">
        <v>2470</v>
      </c>
      <c r="C2343" s="23" t="s">
        <v>110</v>
      </c>
      <c r="D2343" s="53" t="str">
        <f t="shared" si="276"/>
        <v>Sage Green</v>
      </c>
      <c r="E2343" s="21" t="s">
        <v>1838</v>
      </c>
      <c r="F2343" s="21" t="s">
        <v>7</v>
      </c>
      <c r="G2343" s="4" t="str">
        <f t="shared" si="275"/>
        <v>Romper Short</v>
      </c>
      <c r="H2343" s="38">
        <f t="shared" si="271"/>
        <v>7</v>
      </c>
      <c r="I2343" s="54">
        <f t="shared" si="270"/>
        <v>28</v>
      </c>
      <c r="J2343" s="14" t="str">
        <f t="shared" si="272"/>
        <v>Summer</v>
      </c>
      <c r="K2343" s="16" t="str">
        <f t="shared" si="273"/>
        <v>12-18</v>
      </c>
      <c r="L2343" s="14" t="str">
        <f t="shared" si="274"/>
        <v>Romper Short | 12-18 | Sage Green</v>
      </c>
      <c r="M2343" s="16" t="s">
        <v>3610</v>
      </c>
    </row>
    <row r="2344" spans="1:13" ht="25" customHeight="1" x14ac:dyDescent="0.45">
      <c r="A2344" s="18">
        <v>45846</v>
      </c>
      <c r="B2344" s="19" t="s">
        <v>2471</v>
      </c>
      <c r="C2344" s="23" t="s">
        <v>9</v>
      </c>
      <c r="D2344" s="53" t="str">
        <f t="shared" si="276"/>
        <v>Cream</v>
      </c>
      <c r="E2344" s="21" t="s">
        <v>1849</v>
      </c>
      <c r="F2344" s="21" t="s">
        <v>7</v>
      </c>
      <c r="G2344" s="4" t="str">
        <f t="shared" si="275"/>
        <v>Romper Short</v>
      </c>
      <c r="H2344" s="38">
        <f t="shared" si="271"/>
        <v>7</v>
      </c>
      <c r="I2344" s="54">
        <f t="shared" si="270"/>
        <v>28</v>
      </c>
      <c r="J2344" s="14" t="str">
        <f t="shared" si="272"/>
        <v>Summer</v>
      </c>
      <c r="K2344" s="16" t="str">
        <f t="shared" si="273"/>
        <v>3-6</v>
      </c>
      <c r="L2344" s="14" t="str">
        <f t="shared" si="274"/>
        <v>Romper Short | 3-6 | Cream</v>
      </c>
      <c r="M2344" s="16" t="s">
        <v>3609</v>
      </c>
    </row>
    <row r="2345" spans="1:13" ht="25" customHeight="1" x14ac:dyDescent="0.45">
      <c r="A2345" s="18">
        <v>45847</v>
      </c>
      <c r="B2345" s="19" t="s">
        <v>2472</v>
      </c>
      <c r="C2345" s="23" t="s">
        <v>110</v>
      </c>
      <c r="D2345" s="53" t="str">
        <f t="shared" si="276"/>
        <v>Sage Green</v>
      </c>
      <c r="E2345" s="21" t="s">
        <v>1831</v>
      </c>
      <c r="F2345" s="21" t="s">
        <v>7</v>
      </c>
      <c r="G2345" s="4" t="str">
        <f t="shared" si="275"/>
        <v>Romper Longer</v>
      </c>
      <c r="H2345" s="38">
        <f t="shared" si="271"/>
        <v>7</v>
      </c>
      <c r="I2345" s="54">
        <f t="shared" si="270"/>
        <v>28</v>
      </c>
      <c r="J2345" s="14" t="str">
        <f t="shared" si="272"/>
        <v>Summer</v>
      </c>
      <c r="K2345" s="16" t="str">
        <f t="shared" si="273"/>
        <v>0-3</v>
      </c>
      <c r="L2345" s="14" t="str">
        <f t="shared" si="274"/>
        <v>Romper Longer | 0-3 | Sage Green</v>
      </c>
      <c r="M2345" s="16" t="s">
        <v>3611</v>
      </c>
    </row>
    <row r="2346" spans="1:13" ht="25" customHeight="1" x14ac:dyDescent="0.45">
      <c r="A2346" s="18">
        <v>45848</v>
      </c>
      <c r="B2346" s="19" t="s">
        <v>3489</v>
      </c>
      <c r="C2346" s="23" t="s">
        <v>9</v>
      </c>
      <c r="D2346" s="53" t="str">
        <f t="shared" si="276"/>
        <v>Cream</v>
      </c>
      <c r="E2346" s="21" t="s">
        <v>1849</v>
      </c>
      <c r="F2346" s="21" t="s">
        <v>7</v>
      </c>
      <c r="G2346" s="4" t="str">
        <f t="shared" si="275"/>
        <v>Romper Short</v>
      </c>
      <c r="H2346" s="38">
        <f t="shared" si="271"/>
        <v>7</v>
      </c>
      <c r="I2346" s="54">
        <f t="shared" si="270"/>
        <v>28</v>
      </c>
      <c r="J2346" s="14" t="str">
        <f t="shared" si="272"/>
        <v>Summer</v>
      </c>
      <c r="K2346" s="16" t="str">
        <f t="shared" si="273"/>
        <v>3-6</v>
      </c>
      <c r="L2346" s="14" t="str">
        <f t="shared" si="274"/>
        <v>Romper Short | 3-6 | Cream</v>
      </c>
      <c r="M2346" s="16" t="s">
        <v>3609</v>
      </c>
    </row>
    <row r="2347" spans="1:13" ht="25" customHeight="1" x14ac:dyDescent="0.45">
      <c r="A2347" s="18">
        <v>45849</v>
      </c>
      <c r="B2347" s="19" t="s">
        <v>2473</v>
      </c>
      <c r="C2347" s="23" t="s">
        <v>76</v>
      </c>
      <c r="D2347" s="53" t="str">
        <f t="shared" si="276"/>
        <v>Caldet Blue</v>
      </c>
      <c r="E2347" s="21" t="s">
        <v>1550</v>
      </c>
      <c r="F2347" s="21" t="s">
        <v>7</v>
      </c>
      <c r="G2347" s="4" t="str">
        <f t="shared" si="275"/>
        <v>Romper Longer</v>
      </c>
      <c r="H2347" s="38">
        <f t="shared" si="271"/>
        <v>7</v>
      </c>
      <c r="I2347" s="54">
        <f t="shared" si="270"/>
        <v>28</v>
      </c>
      <c r="J2347" s="14" t="str">
        <f t="shared" si="272"/>
        <v>Summer</v>
      </c>
      <c r="K2347" s="16" t="str">
        <f t="shared" si="273"/>
        <v>12-18</v>
      </c>
      <c r="L2347" s="14" t="str">
        <f t="shared" si="274"/>
        <v>Romper Longer | 12-18 | Caldet Blue</v>
      </c>
      <c r="M2347" s="16" t="s">
        <v>3610</v>
      </c>
    </row>
    <row r="2348" spans="1:13" ht="25" customHeight="1" x14ac:dyDescent="0.45">
      <c r="A2348" s="18">
        <v>45850</v>
      </c>
      <c r="B2348" s="19" t="s">
        <v>2474</v>
      </c>
      <c r="C2348" s="23" t="s">
        <v>9</v>
      </c>
      <c r="D2348" s="53" t="str">
        <f t="shared" si="276"/>
        <v>Cream</v>
      </c>
      <c r="E2348" s="21" t="s">
        <v>1834</v>
      </c>
      <c r="F2348" s="21" t="s">
        <v>7</v>
      </c>
      <c r="G2348" s="4" t="str">
        <f t="shared" si="275"/>
        <v>Romper Short</v>
      </c>
      <c r="H2348" s="38">
        <f t="shared" si="271"/>
        <v>7</v>
      </c>
      <c r="I2348" s="54">
        <f t="shared" si="270"/>
        <v>28</v>
      </c>
      <c r="J2348" s="14" t="str">
        <f t="shared" si="272"/>
        <v>Summer</v>
      </c>
      <c r="K2348" s="16" t="str">
        <f t="shared" si="273"/>
        <v>0-3</v>
      </c>
      <c r="L2348" s="14" t="str">
        <f t="shared" si="274"/>
        <v>Romper Short | 0-3 | Cream</v>
      </c>
      <c r="M2348" s="16" t="s">
        <v>3609</v>
      </c>
    </row>
    <row r="2349" spans="1:13" ht="25" customHeight="1" x14ac:dyDescent="0.45">
      <c r="A2349" s="18">
        <v>45851</v>
      </c>
      <c r="B2349" s="19" t="s">
        <v>2475</v>
      </c>
      <c r="C2349" s="23" t="s">
        <v>76</v>
      </c>
      <c r="D2349" s="53" t="str">
        <f t="shared" si="276"/>
        <v>Caldet Blue</v>
      </c>
      <c r="E2349" s="21" t="s">
        <v>1447</v>
      </c>
      <c r="F2349" s="21" t="s">
        <v>7</v>
      </c>
      <c r="G2349" s="4" t="str">
        <f t="shared" si="275"/>
        <v>Romper Longer</v>
      </c>
      <c r="H2349" s="38">
        <f t="shared" si="271"/>
        <v>7</v>
      </c>
      <c r="I2349" s="54">
        <f t="shared" si="270"/>
        <v>29</v>
      </c>
      <c r="J2349" s="14" t="str">
        <f t="shared" si="272"/>
        <v>Summer</v>
      </c>
      <c r="K2349" s="16" t="str">
        <f t="shared" si="273"/>
        <v>18-24</v>
      </c>
      <c r="L2349" s="14" t="str">
        <f t="shared" si="274"/>
        <v>Romper Longer | 18-24 | Caldet Blue</v>
      </c>
      <c r="M2349" s="16" t="s">
        <v>3610</v>
      </c>
    </row>
    <row r="2350" spans="1:13" ht="25" customHeight="1" x14ac:dyDescent="0.45">
      <c r="A2350" s="18">
        <v>45852</v>
      </c>
      <c r="B2350" s="19" t="s">
        <v>2476</v>
      </c>
      <c r="C2350" s="23" t="s">
        <v>79</v>
      </c>
      <c r="D2350" s="53" t="str">
        <f t="shared" si="276"/>
        <v>White</v>
      </c>
      <c r="E2350" s="21" t="s">
        <v>1828</v>
      </c>
      <c r="F2350" s="21" t="s">
        <v>7</v>
      </c>
      <c r="G2350" s="4" t="str">
        <f t="shared" si="275"/>
        <v>Romper Longer</v>
      </c>
      <c r="H2350" s="38">
        <f t="shared" si="271"/>
        <v>7</v>
      </c>
      <c r="I2350" s="54">
        <f t="shared" ref="I2350:I2413" si="277">WEEKNUM(A2350)</f>
        <v>29</v>
      </c>
      <c r="J2350" s="14" t="str">
        <f t="shared" si="272"/>
        <v>Summer</v>
      </c>
      <c r="K2350" s="16" t="str">
        <f t="shared" si="273"/>
        <v>3-6</v>
      </c>
      <c r="L2350" s="14" t="str">
        <f t="shared" si="274"/>
        <v>Romper Longer | 3-6 | White</v>
      </c>
      <c r="M2350" s="16" t="s">
        <v>3610</v>
      </c>
    </row>
    <row r="2351" spans="1:13" ht="25" customHeight="1" x14ac:dyDescent="0.45">
      <c r="A2351" s="18">
        <v>45853</v>
      </c>
      <c r="B2351" s="19" t="s">
        <v>2477</v>
      </c>
      <c r="C2351" s="23" t="s">
        <v>79</v>
      </c>
      <c r="D2351" s="53" t="str">
        <f t="shared" si="276"/>
        <v>White</v>
      </c>
      <c r="E2351" s="21" t="s">
        <v>1828</v>
      </c>
      <c r="F2351" s="21" t="s">
        <v>7</v>
      </c>
      <c r="G2351" s="4" t="str">
        <f t="shared" si="275"/>
        <v>Romper Longer</v>
      </c>
      <c r="H2351" s="38">
        <f t="shared" si="271"/>
        <v>7</v>
      </c>
      <c r="I2351" s="54">
        <f t="shared" si="277"/>
        <v>29</v>
      </c>
      <c r="J2351" s="14" t="str">
        <f t="shared" si="272"/>
        <v>Summer</v>
      </c>
      <c r="K2351" s="16" t="str">
        <f t="shared" si="273"/>
        <v>3-6</v>
      </c>
      <c r="L2351" s="14" t="str">
        <f t="shared" si="274"/>
        <v>Romper Longer | 3-6 | White</v>
      </c>
      <c r="M2351" s="16" t="s">
        <v>3610</v>
      </c>
    </row>
    <row r="2352" spans="1:13" ht="25" customHeight="1" x14ac:dyDescent="0.45">
      <c r="A2352" s="18">
        <v>45854</v>
      </c>
      <c r="B2352" s="19" t="s">
        <v>2478</v>
      </c>
      <c r="C2352" s="23" t="s">
        <v>71</v>
      </c>
      <c r="D2352" s="53" t="str">
        <f t="shared" si="276"/>
        <v>Coffee</v>
      </c>
      <c r="E2352" s="21" t="s">
        <v>1447</v>
      </c>
      <c r="F2352" s="21" t="s">
        <v>7</v>
      </c>
      <c r="G2352" s="4" t="str">
        <f t="shared" si="275"/>
        <v>Romper Longer</v>
      </c>
      <c r="H2352" s="38">
        <f t="shared" si="271"/>
        <v>7</v>
      </c>
      <c r="I2352" s="54">
        <f t="shared" si="277"/>
        <v>29</v>
      </c>
      <c r="J2352" s="14" t="str">
        <f t="shared" si="272"/>
        <v>Summer</v>
      </c>
      <c r="K2352" s="16" t="str">
        <f t="shared" si="273"/>
        <v>18-24</v>
      </c>
      <c r="L2352" s="14" t="str">
        <f t="shared" si="274"/>
        <v>Romper Longer | 18-24 | Coffee</v>
      </c>
      <c r="M2352" s="16" t="s">
        <v>3610</v>
      </c>
    </row>
    <row r="2353" spans="1:13" ht="25" customHeight="1" x14ac:dyDescent="0.45">
      <c r="A2353" s="18">
        <v>45855</v>
      </c>
      <c r="B2353" s="19" t="s">
        <v>2478</v>
      </c>
      <c r="C2353" s="23" t="s">
        <v>71</v>
      </c>
      <c r="D2353" s="53" t="str">
        <f t="shared" si="276"/>
        <v>Coffee</v>
      </c>
      <c r="E2353" s="21" t="s">
        <v>1550</v>
      </c>
      <c r="F2353" s="21" t="s">
        <v>7</v>
      </c>
      <c r="G2353" s="4" t="str">
        <f t="shared" si="275"/>
        <v>Romper Longer</v>
      </c>
      <c r="H2353" s="38">
        <f t="shared" si="271"/>
        <v>7</v>
      </c>
      <c r="I2353" s="54">
        <f t="shared" si="277"/>
        <v>29</v>
      </c>
      <c r="J2353" s="14" t="str">
        <f t="shared" si="272"/>
        <v>Summer</v>
      </c>
      <c r="K2353" s="16" t="str">
        <f t="shared" si="273"/>
        <v>12-18</v>
      </c>
      <c r="L2353" s="14" t="str">
        <f t="shared" si="274"/>
        <v>Romper Longer | 12-18 | Coffee</v>
      </c>
      <c r="M2353" s="16" t="s">
        <v>3610</v>
      </c>
    </row>
    <row r="2354" spans="1:13" ht="25" customHeight="1" x14ac:dyDescent="0.45">
      <c r="A2354" s="18">
        <v>45856</v>
      </c>
      <c r="B2354" s="19" t="s">
        <v>2479</v>
      </c>
      <c r="C2354" s="23" t="s">
        <v>85</v>
      </c>
      <c r="D2354" s="53" t="str">
        <f t="shared" si="276"/>
        <v>Forest Green</v>
      </c>
      <c r="E2354" s="21" t="s">
        <v>1841</v>
      </c>
      <c r="F2354" s="21" t="s">
        <v>7</v>
      </c>
      <c r="G2354" s="4" t="str">
        <f t="shared" si="275"/>
        <v>Romper Longer</v>
      </c>
      <c r="H2354" s="38">
        <f t="shared" si="271"/>
        <v>7</v>
      </c>
      <c r="I2354" s="54">
        <f t="shared" si="277"/>
        <v>29</v>
      </c>
      <c r="J2354" s="14" t="str">
        <f t="shared" si="272"/>
        <v>Summer</v>
      </c>
      <c r="K2354" s="16" t="str">
        <f t="shared" si="273"/>
        <v>6-12</v>
      </c>
      <c r="L2354" s="14" t="str">
        <f t="shared" si="274"/>
        <v>Romper Longer | 6-12 | Forest Green</v>
      </c>
      <c r="M2354" s="16" t="s">
        <v>3610</v>
      </c>
    </row>
    <row r="2355" spans="1:13" ht="25" customHeight="1" x14ac:dyDescent="0.45">
      <c r="A2355" s="18">
        <v>45857</v>
      </c>
      <c r="B2355" s="19" t="s">
        <v>2480</v>
      </c>
      <c r="C2355" s="23" t="s">
        <v>9</v>
      </c>
      <c r="D2355" s="53" t="str">
        <f t="shared" si="276"/>
        <v>Cream</v>
      </c>
      <c r="E2355" s="21" t="s">
        <v>1841</v>
      </c>
      <c r="F2355" s="21" t="s">
        <v>7</v>
      </c>
      <c r="G2355" s="4" t="str">
        <f t="shared" si="275"/>
        <v>Romper Longer</v>
      </c>
      <c r="H2355" s="38">
        <f t="shared" si="271"/>
        <v>7</v>
      </c>
      <c r="I2355" s="54">
        <f t="shared" si="277"/>
        <v>29</v>
      </c>
      <c r="J2355" s="14" t="str">
        <f t="shared" si="272"/>
        <v>Summer</v>
      </c>
      <c r="K2355" s="16" t="str">
        <f t="shared" si="273"/>
        <v>6-12</v>
      </c>
      <c r="L2355" s="14" t="str">
        <f t="shared" si="274"/>
        <v>Romper Longer | 6-12 | Cream</v>
      </c>
      <c r="M2355" s="16" t="s">
        <v>3611</v>
      </c>
    </row>
    <row r="2356" spans="1:13" ht="25" customHeight="1" x14ac:dyDescent="0.45">
      <c r="A2356" s="18">
        <v>45858</v>
      </c>
      <c r="B2356" s="19" t="s">
        <v>2481</v>
      </c>
      <c r="C2356" s="23" t="s">
        <v>9</v>
      </c>
      <c r="D2356" s="53" t="str">
        <f t="shared" si="276"/>
        <v>Cream</v>
      </c>
      <c r="E2356" s="21" t="s">
        <v>1828</v>
      </c>
      <c r="F2356" s="21"/>
      <c r="G2356" s="4" t="str">
        <f t="shared" si="275"/>
        <v>Romper Longer</v>
      </c>
      <c r="H2356" s="38">
        <f t="shared" si="271"/>
        <v>7</v>
      </c>
      <c r="I2356" s="54">
        <f t="shared" si="277"/>
        <v>30</v>
      </c>
      <c r="J2356" s="14" t="str">
        <f t="shared" si="272"/>
        <v>Summer</v>
      </c>
      <c r="K2356" s="16" t="str">
        <f t="shared" si="273"/>
        <v>3-6</v>
      </c>
      <c r="L2356" s="14" t="str">
        <f t="shared" si="274"/>
        <v>Romper Longer | 3-6 | Cream</v>
      </c>
      <c r="M2356" s="16" t="s">
        <v>3609</v>
      </c>
    </row>
    <row r="2357" spans="1:13" ht="25" customHeight="1" x14ac:dyDescent="0.45">
      <c r="A2357" s="18">
        <v>45859</v>
      </c>
      <c r="B2357" s="19" t="s">
        <v>2482</v>
      </c>
      <c r="C2357" s="23" t="s">
        <v>9</v>
      </c>
      <c r="D2357" s="53" t="str">
        <f t="shared" si="276"/>
        <v>Cream</v>
      </c>
      <c r="E2357" s="21" t="s">
        <v>1828</v>
      </c>
      <c r="F2357" s="21"/>
      <c r="G2357" s="4" t="str">
        <f t="shared" si="275"/>
        <v>Romper Longer</v>
      </c>
      <c r="H2357" s="38">
        <f t="shared" si="271"/>
        <v>7</v>
      </c>
      <c r="I2357" s="54">
        <f t="shared" si="277"/>
        <v>30</v>
      </c>
      <c r="J2357" s="14" t="str">
        <f t="shared" si="272"/>
        <v>Summer</v>
      </c>
      <c r="K2357" s="16" t="str">
        <f t="shared" si="273"/>
        <v>3-6</v>
      </c>
      <c r="L2357" s="14" t="str">
        <f t="shared" si="274"/>
        <v>Romper Longer | 3-6 | Cream</v>
      </c>
      <c r="M2357" s="16" t="s">
        <v>3609</v>
      </c>
    </row>
    <row r="2358" spans="1:13" ht="25" customHeight="1" x14ac:dyDescent="0.45">
      <c r="A2358" s="18">
        <v>45860</v>
      </c>
      <c r="B2358" s="19" t="s">
        <v>2483</v>
      </c>
      <c r="C2358" s="23" t="s">
        <v>9</v>
      </c>
      <c r="D2358" s="53" t="str">
        <f t="shared" si="276"/>
        <v>Cream</v>
      </c>
      <c r="E2358" s="21" t="s">
        <v>1849</v>
      </c>
      <c r="F2358" s="21"/>
      <c r="G2358" s="4" t="str">
        <f t="shared" si="275"/>
        <v>Romper Short</v>
      </c>
      <c r="H2358" s="38">
        <f t="shared" si="271"/>
        <v>7</v>
      </c>
      <c r="I2358" s="54">
        <f t="shared" si="277"/>
        <v>30</v>
      </c>
      <c r="J2358" s="14" t="str">
        <f t="shared" si="272"/>
        <v>Summer</v>
      </c>
      <c r="K2358" s="16" t="str">
        <f t="shared" si="273"/>
        <v>3-6</v>
      </c>
      <c r="L2358" s="14" t="str">
        <f t="shared" si="274"/>
        <v>Romper Short | 3-6 | Cream</v>
      </c>
      <c r="M2358" s="16" t="s">
        <v>3609</v>
      </c>
    </row>
    <row r="2359" spans="1:13" ht="25" customHeight="1" x14ac:dyDescent="0.45">
      <c r="A2359" s="18">
        <v>45861</v>
      </c>
      <c r="B2359" s="19" t="s">
        <v>2484</v>
      </c>
      <c r="C2359" s="23" t="s">
        <v>9</v>
      </c>
      <c r="D2359" s="53" t="str">
        <f t="shared" si="276"/>
        <v>Cream</v>
      </c>
      <c r="E2359" s="21" t="s">
        <v>1828</v>
      </c>
      <c r="F2359" s="21" t="s">
        <v>7</v>
      </c>
      <c r="G2359" s="4" t="str">
        <f t="shared" si="275"/>
        <v>Romper Longer</v>
      </c>
      <c r="H2359" s="38">
        <f t="shared" si="271"/>
        <v>7</v>
      </c>
      <c r="I2359" s="54">
        <f t="shared" si="277"/>
        <v>30</v>
      </c>
      <c r="J2359" s="14" t="str">
        <f t="shared" si="272"/>
        <v>Summer</v>
      </c>
      <c r="K2359" s="16" t="str">
        <f t="shared" si="273"/>
        <v>3-6</v>
      </c>
      <c r="L2359" s="14" t="str">
        <f t="shared" si="274"/>
        <v>Romper Longer | 3-6 | Cream</v>
      </c>
      <c r="M2359" s="16" t="s">
        <v>3609</v>
      </c>
    </row>
    <row r="2360" spans="1:13" ht="25" customHeight="1" x14ac:dyDescent="0.45">
      <c r="A2360" s="18">
        <v>45862</v>
      </c>
      <c r="B2360" s="19" t="s">
        <v>2485</v>
      </c>
      <c r="C2360" s="23" t="s">
        <v>9</v>
      </c>
      <c r="D2360" s="53" t="str">
        <f t="shared" si="276"/>
        <v>Cream</v>
      </c>
      <c r="E2360" s="21" t="s">
        <v>1828</v>
      </c>
      <c r="F2360" s="21"/>
      <c r="G2360" s="4" t="str">
        <f t="shared" si="275"/>
        <v>Romper Longer</v>
      </c>
      <c r="H2360" s="38">
        <f t="shared" ref="H2360:H2423" si="278">MONTH(A2360)</f>
        <v>7</v>
      </c>
      <c r="I2360" s="54">
        <f t="shared" si="277"/>
        <v>30</v>
      </c>
      <c r="J2360" s="14" t="str">
        <f t="shared" ref="J2360:J2423" si="279">IF(H2360=1,"NewYear",
IF(H2360=2,"Valentine",
IF(OR(H2360=3,H2360=4),"Easter",
IF(H2360=5,"MothersDay",
IF(H2360=6,"FathersDay",
IF(OR(H2360=7,H2360=8),"Summer",
IF(H2360=10,"Halloween",
IF(OR(H2360=11,H2360=12),"Christmas","Normal"))))))))</f>
        <v>Summer</v>
      </c>
      <c r="K2360" s="16" t="str">
        <f t="shared" ref="K2360:K2423" si="280">TRIM(LEFT(E2360,FIND("(",E2360&amp;"(")-3))</f>
        <v>3-6</v>
      </c>
      <c r="L2360" s="14" t="str">
        <f t="shared" si="274"/>
        <v>Romper Longer | 3-6 | Cream</v>
      </c>
      <c r="M2360" s="16" t="s">
        <v>3609</v>
      </c>
    </row>
    <row r="2361" spans="1:13" ht="25" customHeight="1" x14ac:dyDescent="0.45">
      <c r="A2361" s="18">
        <v>45863</v>
      </c>
      <c r="B2361" s="19" t="s">
        <v>2486</v>
      </c>
      <c r="C2361" s="23" t="s">
        <v>81</v>
      </c>
      <c r="D2361" s="53" t="str">
        <f t="shared" si="276"/>
        <v>Dusty Pink</v>
      </c>
      <c r="E2361" s="21" t="s">
        <v>1841</v>
      </c>
      <c r="F2361" s="21"/>
      <c r="G2361" s="4" t="str">
        <f t="shared" si="275"/>
        <v>Romper Longer</v>
      </c>
      <c r="H2361" s="38">
        <f t="shared" si="278"/>
        <v>7</v>
      </c>
      <c r="I2361" s="54">
        <f t="shared" si="277"/>
        <v>30</v>
      </c>
      <c r="J2361" s="14" t="str">
        <f t="shared" si="279"/>
        <v>Summer</v>
      </c>
      <c r="K2361" s="16" t="str">
        <f t="shared" si="280"/>
        <v>6-12</v>
      </c>
      <c r="L2361" s="14" t="str">
        <f t="shared" si="274"/>
        <v>Romper Longer | 6-12 | Dusty Pink</v>
      </c>
      <c r="M2361" s="16" t="s">
        <v>3610</v>
      </c>
    </row>
    <row r="2362" spans="1:13" ht="25" customHeight="1" x14ac:dyDescent="0.45">
      <c r="A2362" s="18">
        <v>45864</v>
      </c>
      <c r="B2362" s="19" t="s">
        <v>2487</v>
      </c>
      <c r="C2362" s="23" t="s">
        <v>76</v>
      </c>
      <c r="D2362" s="53" t="str">
        <f t="shared" si="276"/>
        <v>Caldet Blue</v>
      </c>
      <c r="E2362" s="21" t="s">
        <v>1841</v>
      </c>
      <c r="F2362" s="21"/>
      <c r="G2362" s="4" t="str">
        <f t="shared" si="275"/>
        <v>Romper Longer</v>
      </c>
      <c r="H2362" s="38">
        <f t="shared" si="278"/>
        <v>7</v>
      </c>
      <c r="I2362" s="54">
        <f t="shared" si="277"/>
        <v>30</v>
      </c>
      <c r="J2362" s="14" t="str">
        <f t="shared" si="279"/>
        <v>Summer</v>
      </c>
      <c r="K2362" s="16" t="str">
        <f t="shared" si="280"/>
        <v>6-12</v>
      </c>
      <c r="L2362" s="14" t="str">
        <f t="shared" si="274"/>
        <v>Romper Longer | 6-12 | Caldet Blue</v>
      </c>
      <c r="M2362" s="16" t="s">
        <v>3610</v>
      </c>
    </row>
    <row r="2363" spans="1:13" ht="25" customHeight="1" x14ac:dyDescent="0.45">
      <c r="A2363" s="18">
        <v>45865</v>
      </c>
      <c r="B2363" s="19" t="s">
        <v>2488</v>
      </c>
      <c r="C2363" s="23" t="s">
        <v>74</v>
      </c>
      <c r="D2363" s="53" t="str">
        <f t="shared" si="276"/>
        <v>Watermelon</v>
      </c>
      <c r="E2363" s="21" t="s">
        <v>1828</v>
      </c>
      <c r="F2363" s="21" t="s">
        <v>19</v>
      </c>
      <c r="G2363" s="4" t="str">
        <f t="shared" si="275"/>
        <v>Romper Longer</v>
      </c>
      <c r="H2363" s="38">
        <f t="shared" si="278"/>
        <v>7</v>
      </c>
      <c r="I2363" s="54">
        <f t="shared" si="277"/>
        <v>31</v>
      </c>
      <c r="J2363" s="14" t="str">
        <f t="shared" si="279"/>
        <v>Summer</v>
      </c>
      <c r="K2363" s="16" t="str">
        <f t="shared" si="280"/>
        <v>3-6</v>
      </c>
      <c r="L2363" s="14" t="str">
        <f t="shared" si="274"/>
        <v>Romper Longer | 3-6 | Watermelon</v>
      </c>
      <c r="M2363" s="16" t="s">
        <v>3610</v>
      </c>
    </row>
    <row r="2364" spans="1:13" ht="25" customHeight="1" x14ac:dyDescent="0.45">
      <c r="A2364" s="18">
        <v>45866</v>
      </c>
      <c r="B2364" s="19" t="s">
        <v>2489</v>
      </c>
      <c r="C2364" s="23" t="s">
        <v>9</v>
      </c>
      <c r="D2364" s="53" t="str">
        <f t="shared" si="276"/>
        <v>Cream</v>
      </c>
      <c r="E2364" s="21" t="s">
        <v>1828</v>
      </c>
      <c r="F2364" s="21"/>
      <c r="G2364" s="4" t="str">
        <f t="shared" si="275"/>
        <v>Romper Longer</v>
      </c>
      <c r="H2364" s="38">
        <f t="shared" si="278"/>
        <v>7</v>
      </c>
      <c r="I2364" s="54">
        <f t="shared" si="277"/>
        <v>31</v>
      </c>
      <c r="J2364" s="14" t="str">
        <f t="shared" si="279"/>
        <v>Summer</v>
      </c>
      <c r="K2364" s="16" t="str">
        <f t="shared" si="280"/>
        <v>3-6</v>
      </c>
      <c r="L2364" s="14" t="str">
        <f t="shared" si="274"/>
        <v>Romper Longer | 3-6 | Cream</v>
      </c>
      <c r="M2364" s="16" t="s">
        <v>3609</v>
      </c>
    </row>
    <row r="2365" spans="1:13" ht="25" customHeight="1" x14ac:dyDescent="0.45">
      <c r="A2365" s="18">
        <v>45867</v>
      </c>
      <c r="B2365" s="19" t="s">
        <v>2490</v>
      </c>
      <c r="C2365" s="23" t="s">
        <v>110</v>
      </c>
      <c r="D2365" s="53" t="str">
        <f t="shared" si="276"/>
        <v>Sage Green</v>
      </c>
      <c r="E2365" s="21" t="s">
        <v>1828</v>
      </c>
      <c r="F2365" s="21"/>
      <c r="G2365" s="4" t="str">
        <f t="shared" si="275"/>
        <v>Romper Longer</v>
      </c>
      <c r="H2365" s="38">
        <f t="shared" si="278"/>
        <v>7</v>
      </c>
      <c r="I2365" s="54">
        <f t="shared" si="277"/>
        <v>31</v>
      </c>
      <c r="J2365" s="14" t="str">
        <f t="shared" si="279"/>
        <v>Summer</v>
      </c>
      <c r="K2365" s="16" t="str">
        <f t="shared" si="280"/>
        <v>3-6</v>
      </c>
      <c r="L2365" s="14" t="str">
        <f t="shared" si="274"/>
        <v>Romper Longer | 3-6 | Sage Green</v>
      </c>
      <c r="M2365" s="16" t="s">
        <v>3611</v>
      </c>
    </row>
    <row r="2366" spans="1:13" ht="25" customHeight="1" x14ac:dyDescent="0.45">
      <c r="A2366" s="18">
        <v>45868</v>
      </c>
      <c r="B2366" s="19" t="s">
        <v>2491</v>
      </c>
      <c r="C2366" s="23" t="s">
        <v>9</v>
      </c>
      <c r="D2366" s="53" t="str">
        <f t="shared" si="276"/>
        <v>Cream</v>
      </c>
      <c r="E2366" s="21" t="s">
        <v>1849</v>
      </c>
      <c r="F2366" s="21"/>
      <c r="G2366" s="4" t="str">
        <f t="shared" si="275"/>
        <v>Romper Short</v>
      </c>
      <c r="H2366" s="38">
        <f t="shared" si="278"/>
        <v>7</v>
      </c>
      <c r="I2366" s="54">
        <f t="shared" si="277"/>
        <v>31</v>
      </c>
      <c r="J2366" s="14" t="str">
        <f t="shared" si="279"/>
        <v>Summer</v>
      </c>
      <c r="K2366" s="16" t="str">
        <f t="shared" si="280"/>
        <v>3-6</v>
      </c>
      <c r="L2366" s="14" t="str">
        <f t="shared" si="274"/>
        <v>Romper Short | 3-6 | Cream</v>
      </c>
      <c r="M2366" s="16" t="s">
        <v>3609</v>
      </c>
    </row>
    <row r="2367" spans="1:13" ht="25" customHeight="1" x14ac:dyDescent="0.45">
      <c r="A2367" s="18">
        <v>45869</v>
      </c>
      <c r="B2367" s="19" t="s">
        <v>2492</v>
      </c>
      <c r="C2367" s="23" t="s">
        <v>81</v>
      </c>
      <c r="D2367" s="53" t="str">
        <f t="shared" si="276"/>
        <v>Dusty Pink</v>
      </c>
      <c r="E2367" s="21" t="s">
        <v>1838</v>
      </c>
      <c r="F2367" s="21" t="str">
        <f ca="1">IFERROR(__xludf.DUMMYFUNCTION("IFERROR(
  INDEX(
    FILTER(
      SPLIT(REGEXREPLACE(A1,CHAR(13),""""),CHAR(10)),
      REGEXMATCH(SPLIT(REGEXREPLACE(A1,CHAR(13),""""),CHAR(10)),""[A-Za-z]"") *
      NOT(REGEXMATCH(SPLIT(REGEXREPLACE(A1,CHAR(13),""""),CHAR(10)),"","")) *
      NOT(REG"&amp;"EXMATCH(SPLIT(REGEXREPLACE(A1,CHAR(13),""""),CHAR(10)),""\d{5}"")) *
      LEN(SPLIT(REGEXREPLACE(A1,CHAR(13),""""),CHAR(10)))&gt;2
    ),
  1
  ),
"""")
"),"")</f>
        <v/>
      </c>
      <c r="G2367" s="4" t="str">
        <f t="shared" si="275"/>
        <v>Romper Short</v>
      </c>
      <c r="H2367" s="38">
        <f t="shared" si="278"/>
        <v>7</v>
      </c>
      <c r="I2367" s="54">
        <f t="shared" si="277"/>
        <v>31</v>
      </c>
      <c r="J2367" s="14" t="str">
        <f t="shared" si="279"/>
        <v>Summer</v>
      </c>
      <c r="K2367" s="16" t="str">
        <f t="shared" si="280"/>
        <v>12-18</v>
      </c>
      <c r="L2367" s="14" t="str">
        <f t="shared" si="274"/>
        <v>Romper Short | 12-18 | Dusty Pink</v>
      </c>
      <c r="M2367" s="16" t="s">
        <v>3610</v>
      </c>
    </row>
    <row r="2368" spans="1:13" ht="25" customHeight="1" x14ac:dyDescent="0.45">
      <c r="A2368" s="18">
        <v>45870</v>
      </c>
      <c r="B2368" s="19" t="s">
        <v>2493</v>
      </c>
      <c r="C2368" s="23" t="s">
        <v>9</v>
      </c>
      <c r="D2368" s="53" t="str">
        <f t="shared" si="276"/>
        <v>Cream</v>
      </c>
      <c r="E2368" s="21" t="s">
        <v>1834</v>
      </c>
      <c r="F2368" s="21"/>
      <c r="G2368" s="4" t="str">
        <f t="shared" si="275"/>
        <v>Romper Short</v>
      </c>
      <c r="H2368" s="38">
        <f t="shared" si="278"/>
        <v>8</v>
      </c>
      <c r="I2368" s="54">
        <f t="shared" si="277"/>
        <v>31</v>
      </c>
      <c r="J2368" s="14" t="str">
        <f t="shared" si="279"/>
        <v>Summer</v>
      </c>
      <c r="K2368" s="16" t="str">
        <f t="shared" si="280"/>
        <v>0-3</v>
      </c>
      <c r="L2368" s="14" t="str">
        <f t="shared" si="274"/>
        <v>Romper Short | 0-3 | Cream</v>
      </c>
      <c r="M2368" s="16" t="s">
        <v>3609</v>
      </c>
    </row>
    <row r="2369" spans="1:13" ht="25" customHeight="1" x14ac:dyDescent="0.45">
      <c r="A2369" s="18">
        <v>45871</v>
      </c>
      <c r="B2369" s="19" t="s">
        <v>2494</v>
      </c>
      <c r="C2369" s="23" t="s">
        <v>9</v>
      </c>
      <c r="D2369" s="53" t="str">
        <f t="shared" si="276"/>
        <v>Cream</v>
      </c>
      <c r="E2369" s="21" t="s">
        <v>1447</v>
      </c>
      <c r="F2369" s="21" t="str">
        <f ca="1">IFERROR(__xludf.DUMMYFUNCTION("IFERROR(REGEXEXTRACT(O670, ""\n([A-Za-z ]+)$""), """")
"),"United States")</f>
        <v>United States</v>
      </c>
      <c r="G2369" s="4" t="str">
        <f t="shared" si="275"/>
        <v>Romper Longer</v>
      </c>
      <c r="H2369" s="38">
        <f t="shared" si="278"/>
        <v>8</v>
      </c>
      <c r="I2369" s="54">
        <f t="shared" si="277"/>
        <v>31</v>
      </c>
      <c r="J2369" s="14" t="str">
        <f t="shared" si="279"/>
        <v>Summer</v>
      </c>
      <c r="K2369" s="16" t="str">
        <f t="shared" si="280"/>
        <v>18-24</v>
      </c>
      <c r="L2369" s="14" t="str">
        <f t="shared" si="274"/>
        <v>Romper Longer | 18-24 | Cream</v>
      </c>
      <c r="M2369" s="16" t="s">
        <v>3610</v>
      </c>
    </row>
    <row r="2370" spans="1:13" ht="25" customHeight="1" x14ac:dyDescent="0.45">
      <c r="A2370" s="18">
        <v>45872</v>
      </c>
      <c r="B2370" s="19" t="s">
        <v>2495</v>
      </c>
      <c r="C2370" s="23" t="s">
        <v>110</v>
      </c>
      <c r="D2370" s="53" t="str">
        <f t="shared" si="276"/>
        <v>Sage Green</v>
      </c>
      <c r="E2370" s="21" t="s">
        <v>1831</v>
      </c>
      <c r="F2370" s="21" t="str">
        <f ca="1">IFERROR(__xludf.DUMMYFUNCTION("IFERROR(REGEXEXTRACT(O671, ""\n([A-Za-z ]+)$""), """")
"),"Canada")</f>
        <v>Canada</v>
      </c>
      <c r="G2370" s="4" t="str">
        <f t="shared" si="275"/>
        <v>Romper Longer</v>
      </c>
      <c r="H2370" s="38">
        <f t="shared" si="278"/>
        <v>8</v>
      </c>
      <c r="I2370" s="54">
        <f t="shared" si="277"/>
        <v>32</v>
      </c>
      <c r="J2370" s="14" t="str">
        <f t="shared" si="279"/>
        <v>Summer</v>
      </c>
      <c r="K2370" s="16" t="str">
        <f t="shared" si="280"/>
        <v>0-3</v>
      </c>
      <c r="L2370" s="14" t="str">
        <f t="shared" ref="L2370:L2433" si="281">TRIM(G2370)&amp;" | "&amp;TRIM(K2370)&amp;" | "&amp;PROPER(TRIM(D2370))</f>
        <v>Romper Longer | 0-3 | Sage Green</v>
      </c>
      <c r="M2370" s="16" t="s">
        <v>3611</v>
      </c>
    </row>
    <row r="2371" spans="1:13" ht="25" customHeight="1" x14ac:dyDescent="0.45">
      <c r="A2371" s="18">
        <v>45873</v>
      </c>
      <c r="B2371" s="19" t="s">
        <v>2496</v>
      </c>
      <c r="C2371" s="23" t="s">
        <v>9</v>
      </c>
      <c r="D2371" s="53" t="str">
        <f t="shared" si="276"/>
        <v>Cream</v>
      </c>
      <c r="E2371" s="21" t="s">
        <v>1828</v>
      </c>
      <c r="F2371" s="21" t="str">
        <f ca="1">IFERROR(__xludf.DUMMYFUNCTION("IFERROR(REGEXEXTRACT(O672, ""\n([A-Za-z ]+)$""), """")
"),"United States")</f>
        <v>United States</v>
      </c>
      <c r="G2371" s="4" t="str">
        <f t="shared" si="275"/>
        <v>Romper Longer</v>
      </c>
      <c r="H2371" s="38">
        <f t="shared" si="278"/>
        <v>8</v>
      </c>
      <c r="I2371" s="54">
        <f t="shared" si="277"/>
        <v>32</v>
      </c>
      <c r="J2371" s="14" t="str">
        <f t="shared" si="279"/>
        <v>Summer</v>
      </c>
      <c r="K2371" s="16" t="str">
        <f t="shared" si="280"/>
        <v>3-6</v>
      </c>
      <c r="L2371" s="14" t="str">
        <f t="shared" si="281"/>
        <v>Romper Longer | 3-6 | Cream</v>
      </c>
      <c r="M2371" s="16" t="s">
        <v>3609</v>
      </c>
    </row>
    <row r="2372" spans="1:13" ht="25" customHeight="1" x14ac:dyDescent="0.45">
      <c r="A2372" s="18">
        <v>45874</v>
      </c>
      <c r="B2372" s="19" t="s">
        <v>2497</v>
      </c>
      <c r="C2372" s="23" t="s">
        <v>9</v>
      </c>
      <c r="D2372" s="53" t="str">
        <f t="shared" si="276"/>
        <v>Cream</v>
      </c>
      <c r="E2372" s="21" t="s">
        <v>1828</v>
      </c>
      <c r="F2372" s="21" t="str">
        <f ca="1">IFERROR(__xludf.DUMMYFUNCTION("IFERROR(REGEXEXTRACT(O673, ""\n([A-Za-z ]+)$""), """")
"),"")</f>
        <v/>
      </c>
      <c r="G2372" s="4" t="str">
        <f t="shared" si="275"/>
        <v>Romper Longer</v>
      </c>
      <c r="H2372" s="38">
        <f t="shared" si="278"/>
        <v>8</v>
      </c>
      <c r="I2372" s="54">
        <f t="shared" si="277"/>
        <v>32</v>
      </c>
      <c r="J2372" s="14" t="str">
        <f t="shared" si="279"/>
        <v>Summer</v>
      </c>
      <c r="K2372" s="16" t="str">
        <f t="shared" si="280"/>
        <v>3-6</v>
      </c>
      <c r="L2372" s="14" t="str">
        <f t="shared" si="281"/>
        <v>Romper Longer | 3-6 | Cream</v>
      </c>
      <c r="M2372" s="16" t="s">
        <v>3609</v>
      </c>
    </row>
    <row r="2373" spans="1:13" ht="25" customHeight="1" x14ac:dyDescent="0.45">
      <c r="A2373" s="18">
        <v>45875</v>
      </c>
      <c r="B2373" s="19" t="s">
        <v>2498</v>
      </c>
      <c r="C2373" s="23" t="s">
        <v>81</v>
      </c>
      <c r="D2373" s="53" t="str">
        <f t="shared" si="276"/>
        <v>Dusty Pink</v>
      </c>
      <c r="E2373" s="21" t="s">
        <v>1828</v>
      </c>
      <c r="F2373" s="21" t="str">
        <f ca="1">IFERROR(__xludf.DUMMYFUNCTION("IFERROR(REGEXEXTRACT(O674, ""\n([A-Za-z ]+)$""), """")
"),"United States")</f>
        <v>United States</v>
      </c>
      <c r="G2373" s="4" t="str">
        <f t="shared" si="275"/>
        <v>Romper Longer</v>
      </c>
      <c r="H2373" s="38">
        <f t="shared" si="278"/>
        <v>8</v>
      </c>
      <c r="I2373" s="54">
        <f t="shared" si="277"/>
        <v>32</v>
      </c>
      <c r="J2373" s="14" t="str">
        <f t="shared" si="279"/>
        <v>Summer</v>
      </c>
      <c r="K2373" s="16" t="str">
        <f t="shared" si="280"/>
        <v>3-6</v>
      </c>
      <c r="L2373" s="14" t="str">
        <f t="shared" si="281"/>
        <v>Romper Longer | 3-6 | Dusty Pink</v>
      </c>
      <c r="M2373" s="16" t="s">
        <v>3610</v>
      </c>
    </row>
    <row r="2374" spans="1:13" ht="25" customHeight="1" x14ac:dyDescent="0.45">
      <c r="A2374" s="18">
        <v>45876</v>
      </c>
      <c r="B2374" s="19" t="s">
        <v>2499</v>
      </c>
      <c r="C2374" s="23" t="s">
        <v>9</v>
      </c>
      <c r="D2374" s="53" t="str">
        <f t="shared" si="276"/>
        <v>Cream</v>
      </c>
      <c r="E2374" s="21" t="s">
        <v>1841</v>
      </c>
      <c r="F2374" s="21" t="str">
        <f ca="1">IFERROR(__xludf.DUMMYFUNCTION("IFERROR(REGEXEXTRACT(O675, ""\n([A-Za-z ]+)$""), """")
"),"United States")</f>
        <v>United States</v>
      </c>
      <c r="G2374" s="4" t="str">
        <f t="shared" si="275"/>
        <v>Romper Longer</v>
      </c>
      <c r="H2374" s="38">
        <f t="shared" si="278"/>
        <v>8</v>
      </c>
      <c r="I2374" s="54">
        <f t="shared" si="277"/>
        <v>32</v>
      </c>
      <c r="J2374" s="14" t="str">
        <f t="shared" si="279"/>
        <v>Summer</v>
      </c>
      <c r="K2374" s="16" t="str">
        <f t="shared" si="280"/>
        <v>6-12</v>
      </c>
      <c r="L2374" s="14" t="str">
        <f t="shared" si="281"/>
        <v>Romper Longer | 6-12 | Cream</v>
      </c>
      <c r="M2374" s="16" t="s">
        <v>3611</v>
      </c>
    </row>
    <row r="2375" spans="1:13" ht="25" customHeight="1" x14ac:dyDescent="0.45">
      <c r="A2375" s="18">
        <v>45877</v>
      </c>
      <c r="B2375" s="19" t="s">
        <v>2500</v>
      </c>
      <c r="C2375" s="23" t="s">
        <v>9</v>
      </c>
      <c r="D2375" s="53" t="str">
        <f t="shared" si="276"/>
        <v>Cream</v>
      </c>
      <c r="E2375" s="21" t="s">
        <v>1841</v>
      </c>
      <c r="F2375" s="21" t="str">
        <f ca="1">IFERROR(__xludf.DUMMYFUNCTION("IFERROR(REGEXEXTRACT(O676, ""\n([A-Za-z ]+)$""), """")
"),"")</f>
        <v/>
      </c>
      <c r="G2375" s="4" t="str">
        <f t="shared" si="275"/>
        <v>Romper Longer</v>
      </c>
      <c r="H2375" s="38">
        <f t="shared" si="278"/>
        <v>8</v>
      </c>
      <c r="I2375" s="54">
        <f t="shared" si="277"/>
        <v>32</v>
      </c>
      <c r="J2375" s="14" t="str">
        <f t="shared" si="279"/>
        <v>Summer</v>
      </c>
      <c r="K2375" s="16" t="str">
        <f t="shared" si="280"/>
        <v>6-12</v>
      </c>
      <c r="L2375" s="14" t="str">
        <f t="shared" si="281"/>
        <v>Romper Longer | 6-12 | Cream</v>
      </c>
      <c r="M2375" s="16" t="s">
        <v>3611</v>
      </c>
    </row>
    <row r="2376" spans="1:13" ht="25" customHeight="1" x14ac:dyDescent="0.45">
      <c r="A2376" s="18">
        <v>45878</v>
      </c>
      <c r="B2376" s="19" t="s">
        <v>2501</v>
      </c>
      <c r="C2376" s="23" t="s">
        <v>81</v>
      </c>
      <c r="D2376" s="53" t="str">
        <f t="shared" si="276"/>
        <v>Dusty Pink</v>
      </c>
      <c r="E2376" s="21" t="s">
        <v>1841</v>
      </c>
      <c r="F2376" s="21" t="str">
        <f ca="1">IFERROR(__xludf.DUMMYFUNCTION("IFERROR(REGEXEXTRACT(O677, ""\n([A-Za-z ]+)$""), """")
"),"United States")</f>
        <v>United States</v>
      </c>
      <c r="G2376" s="4" t="str">
        <f t="shared" si="275"/>
        <v>Romper Longer</v>
      </c>
      <c r="H2376" s="38">
        <f t="shared" si="278"/>
        <v>8</v>
      </c>
      <c r="I2376" s="54">
        <f t="shared" si="277"/>
        <v>32</v>
      </c>
      <c r="J2376" s="14" t="str">
        <f t="shared" si="279"/>
        <v>Summer</v>
      </c>
      <c r="K2376" s="16" t="str">
        <f t="shared" si="280"/>
        <v>6-12</v>
      </c>
      <c r="L2376" s="14" t="str">
        <f t="shared" si="281"/>
        <v>Romper Longer | 6-12 | Dusty Pink</v>
      </c>
      <c r="M2376" s="16" t="s">
        <v>3610</v>
      </c>
    </row>
    <row r="2377" spans="1:13" ht="25" customHeight="1" x14ac:dyDescent="0.45">
      <c r="A2377" s="18">
        <v>45879</v>
      </c>
      <c r="B2377" s="19" t="s">
        <v>2502</v>
      </c>
      <c r="C2377" s="23" t="s">
        <v>79</v>
      </c>
      <c r="D2377" s="53" t="str">
        <f t="shared" si="276"/>
        <v>White</v>
      </c>
      <c r="E2377" s="21" t="s">
        <v>1838</v>
      </c>
      <c r="F2377" s="21" t="str">
        <f ca="1">IFERROR(__xludf.DUMMYFUNCTION("IFERROR(REGEXEXTRACT(O678, ""\n([A-Za-z ]+)$""), """")
"),"United States")</f>
        <v>United States</v>
      </c>
      <c r="G2377" s="4" t="str">
        <f t="shared" si="275"/>
        <v>Romper Short</v>
      </c>
      <c r="H2377" s="38">
        <f t="shared" si="278"/>
        <v>8</v>
      </c>
      <c r="I2377" s="54">
        <f t="shared" si="277"/>
        <v>33</v>
      </c>
      <c r="J2377" s="14" t="str">
        <f t="shared" si="279"/>
        <v>Summer</v>
      </c>
      <c r="K2377" s="16" t="str">
        <f t="shared" si="280"/>
        <v>12-18</v>
      </c>
      <c r="L2377" s="14" t="str">
        <f t="shared" si="281"/>
        <v>Romper Short | 12-18 | White</v>
      </c>
      <c r="M2377" s="16" t="s">
        <v>3610</v>
      </c>
    </row>
    <row r="2378" spans="1:13" ht="25" customHeight="1" x14ac:dyDescent="0.45">
      <c r="A2378" s="18">
        <v>45880</v>
      </c>
      <c r="B2378" s="19" t="s">
        <v>2503</v>
      </c>
      <c r="C2378" s="23" t="s">
        <v>79</v>
      </c>
      <c r="D2378" s="53" t="str">
        <f t="shared" si="276"/>
        <v>White</v>
      </c>
      <c r="E2378" s="21" t="s">
        <v>1550</v>
      </c>
      <c r="F2378" s="21" t="str">
        <f ca="1">IFERROR(__xludf.DUMMYFUNCTION("IFERROR(REGEXEXTRACT(O679, ""\n([A-Za-z ]+)$""), """")
"),"")</f>
        <v/>
      </c>
      <c r="G2378" s="4" t="str">
        <f t="shared" si="275"/>
        <v>Romper Longer</v>
      </c>
      <c r="H2378" s="38">
        <f t="shared" si="278"/>
        <v>8</v>
      </c>
      <c r="I2378" s="54">
        <f t="shared" si="277"/>
        <v>33</v>
      </c>
      <c r="J2378" s="14" t="str">
        <f t="shared" si="279"/>
        <v>Summer</v>
      </c>
      <c r="K2378" s="16" t="str">
        <f t="shared" si="280"/>
        <v>12-18</v>
      </c>
      <c r="L2378" s="14" t="str">
        <f t="shared" si="281"/>
        <v>Romper Longer | 12-18 | White</v>
      </c>
      <c r="M2378" s="16" t="s">
        <v>3610</v>
      </c>
    </row>
    <row r="2379" spans="1:13" ht="25" customHeight="1" x14ac:dyDescent="0.45">
      <c r="A2379" s="18">
        <v>45881</v>
      </c>
      <c r="B2379" s="19" t="s">
        <v>2504</v>
      </c>
      <c r="C2379" s="23" t="s">
        <v>9</v>
      </c>
      <c r="D2379" s="53" t="str">
        <f t="shared" si="276"/>
        <v>Cream</v>
      </c>
      <c r="E2379" s="21" t="s">
        <v>1828</v>
      </c>
      <c r="F2379" s="21" t="str">
        <f ca="1">IFERROR(__xludf.DUMMYFUNCTION("IFERROR(REGEXEXTRACT(O680, ""\n([A-Za-z ]+)$""), """")
"),"United States")</f>
        <v>United States</v>
      </c>
      <c r="G2379" s="4" t="str">
        <f t="shared" si="275"/>
        <v>Romper Longer</v>
      </c>
      <c r="H2379" s="38">
        <f t="shared" si="278"/>
        <v>8</v>
      </c>
      <c r="I2379" s="54">
        <f t="shared" si="277"/>
        <v>33</v>
      </c>
      <c r="J2379" s="14" t="str">
        <f t="shared" si="279"/>
        <v>Summer</v>
      </c>
      <c r="K2379" s="16" t="str">
        <f t="shared" si="280"/>
        <v>3-6</v>
      </c>
      <c r="L2379" s="14" t="str">
        <f t="shared" si="281"/>
        <v>Romper Longer | 3-6 | Cream</v>
      </c>
      <c r="M2379" s="16" t="s">
        <v>3609</v>
      </c>
    </row>
    <row r="2380" spans="1:13" ht="25" customHeight="1" x14ac:dyDescent="0.45">
      <c r="A2380" s="18">
        <v>45882</v>
      </c>
      <c r="B2380" s="19" t="s">
        <v>2505</v>
      </c>
      <c r="C2380" s="23" t="s">
        <v>9</v>
      </c>
      <c r="D2380" s="53" t="str">
        <f t="shared" si="276"/>
        <v>Cream</v>
      </c>
      <c r="E2380" s="21" t="s">
        <v>1828</v>
      </c>
      <c r="F2380" s="21" t="str">
        <f ca="1">IFERROR(__xludf.DUMMYFUNCTION("IFERROR(REGEXEXTRACT(O681, ""\n([A-Za-z ]+)$""), """")
"),"France")</f>
        <v>France</v>
      </c>
      <c r="G2380" s="4" t="str">
        <f t="shared" si="275"/>
        <v>Romper Longer</v>
      </c>
      <c r="H2380" s="38">
        <f t="shared" si="278"/>
        <v>8</v>
      </c>
      <c r="I2380" s="54">
        <f t="shared" si="277"/>
        <v>33</v>
      </c>
      <c r="J2380" s="14" t="str">
        <f t="shared" si="279"/>
        <v>Summer</v>
      </c>
      <c r="K2380" s="16" t="str">
        <f t="shared" si="280"/>
        <v>3-6</v>
      </c>
      <c r="L2380" s="14" t="str">
        <f t="shared" si="281"/>
        <v>Romper Longer | 3-6 | Cream</v>
      </c>
      <c r="M2380" s="16" t="s">
        <v>3609</v>
      </c>
    </row>
    <row r="2381" spans="1:13" ht="25" customHeight="1" x14ac:dyDescent="0.45">
      <c r="A2381" s="18">
        <v>45883</v>
      </c>
      <c r="B2381" s="19" t="s">
        <v>2506</v>
      </c>
      <c r="C2381" s="23" t="s">
        <v>110</v>
      </c>
      <c r="D2381" s="53" t="str">
        <f t="shared" si="276"/>
        <v>Sage Green</v>
      </c>
      <c r="E2381" s="21" t="s">
        <v>1831</v>
      </c>
      <c r="F2381" s="21" t="str">
        <f ca="1">IFERROR(__xludf.DUMMYFUNCTION("IFERROR(REGEXEXTRACT(O682, ""\n([A-Za-z ]+)$""), """")
"),"United States")</f>
        <v>United States</v>
      </c>
      <c r="G2381" s="4" t="str">
        <f t="shared" si="275"/>
        <v>Romper Longer</v>
      </c>
      <c r="H2381" s="38">
        <f t="shared" si="278"/>
        <v>8</v>
      </c>
      <c r="I2381" s="54">
        <f t="shared" si="277"/>
        <v>33</v>
      </c>
      <c r="J2381" s="14" t="str">
        <f t="shared" si="279"/>
        <v>Summer</v>
      </c>
      <c r="K2381" s="16" t="str">
        <f t="shared" si="280"/>
        <v>0-3</v>
      </c>
      <c r="L2381" s="14" t="str">
        <f t="shared" si="281"/>
        <v>Romper Longer | 0-3 | Sage Green</v>
      </c>
      <c r="M2381" s="16" t="s">
        <v>3611</v>
      </c>
    </row>
    <row r="2382" spans="1:13" ht="25" customHeight="1" x14ac:dyDescent="0.45">
      <c r="A2382" s="18">
        <v>45884</v>
      </c>
      <c r="B2382" s="19" t="s">
        <v>2507</v>
      </c>
      <c r="C2382" s="23" t="s">
        <v>9</v>
      </c>
      <c r="D2382" s="53" t="str">
        <f t="shared" si="276"/>
        <v>Cream</v>
      </c>
      <c r="E2382" s="21" t="s">
        <v>1849</v>
      </c>
      <c r="F2382" s="21" t="str">
        <f ca="1">IFERROR(__xludf.DUMMYFUNCTION("IFERROR(REGEXEXTRACT(O683, ""\n([A-Za-z ]+)$""), """")
"),"United States")</f>
        <v>United States</v>
      </c>
      <c r="G2382" s="4" t="str">
        <f t="shared" si="275"/>
        <v>Romper Short</v>
      </c>
      <c r="H2382" s="38">
        <f t="shared" si="278"/>
        <v>8</v>
      </c>
      <c r="I2382" s="54">
        <f t="shared" si="277"/>
        <v>33</v>
      </c>
      <c r="J2382" s="14" t="str">
        <f t="shared" si="279"/>
        <v>Summer</v>
      </c>
      <c r="K2382" s="16" t="str">
        <f t="shared" si="280"/>
        <v>3-6</v>
      </c>
      <c r="L2382" s="14" t="str">
        <f t="shared" si="281"/>
        <v>Romper Short | 3-6 | Cream</v>
      </c>
      <c r="M2382" s="16" t="s">
        <v>3609</v>
      </c>
    </row>
    <row r="2383" spans="1:13" ht="25" customHeight="1" x14ac:dyDescent="0.45">
      <c r="A2383" s="18">
        <v>45885</v>
      </c>
      <c r="B2383" s="19" t="s">
        <v>2508</v>
      </c>
      <c r="C2383" s="23" t="s">
        <v>76</v>
      </c>
      <c r="D2383" s="53" t="str">
        <f t="shared" si="276"/>
        <v>Caldet Blue</v>
      </c>
      <c r="E2383" s="21" t="s">
        <v>1550</v>
      </c>
      <c r="F2383" s="21" t="str">
        <f ca="1">IFERROR(__xludf.DUMMYFUNCTION("IFERROR(REGEXEXTRACT(O684, ""\n([A-Za-z ]+)$""), """")
"),"United States")</f>
        <v>United States</v>
      </c>
      <c r="G2383" s="4" t="str">
        <f t="shared" ref="G2383:G2446" si="282">IF(ISNUMBER(SEARCH("LONG",E2383)),"Romper Longer",IF(ISNUMBER(SEARCH("SHORT",E2383)),"Romper Short","Bodysuit"))</f>
        <v>Romper Longer</v>
      </c>
      <c r="H2383" s="38">
        <f t="shared" si="278"/>
        <v>8</v>
      </c>
      <c r="I2383" s="54">
        <f t="shared" si="277"/>
        <v>33</v>
      </c>
      <c r="J2383" s="14" t="str">
        <f t="shared" si="279"/>
        <v>Summer</v>
      </c>
      <c r="K2383" s="16" t="str">
        <f t="shared" si="280"/>
        <v>12-18</v>
      </c>
      <c r="L2383" s="14" t="str">
        <f t="shared" si="281"/>
        <v>Romper Longer | 12-18 | Caldet Blue</v>
      </c>
      <c r="M2383" s="16" t="s">
        <v>3610</v>
      </c>
    </row>
    <row r="2384" spans="1:13" ht="25" customHeight="1" x14ac:dyDescent="0.45">
      <c r="A2384" s="18">
        <v>45886</v>
      </c>
      <c r="B2384" s="19" t="s">
        <v>2509</v>
      </c>
      <c r="C2384" s="23" t="s">
        <v>76</v>
      </c>
      <c r="D2384" s="53" t="str">
        <f t="shared" si="276"/>
        <v>Caldet Blue</v>
      </c>
      <c r="E2384" s="21" t="s">
        <v>1831</v>
      </c>
      <c r="F2384" s="21" t="str">
        <f ca="1">IFERROR(__xludf.DUMMYFUNCTION("IFERROR(REGEXEXTRACT(O685, ""\n([A-Za-z ]+)$""), """")
"),"United States")</f>
        <v>United States</v>
      </c>
      <c r="G2384" s="4" t="str">
        <f t="shared" si="282"/>
        <v>Romper Longer</v>
      </c>
      <c r="H2384" s="38">
        <f t="shared" si="278"/>
        <v>8</v>
      </c>
      <c r="I2384" s="54">
        <f t="shared" si="277"/>
        <v>34</v>
      </c>
      <c r="J2384" s="14" t="str">
        <f t="shared" si="279"/>
        <v>Summer</v>
      </c>
      <c r="K2384" s="16" t="str">
        <f t="shared" si="280"/>
        <v>0-3</v>
      </c>
      <c r="L2384" s="14" t="str">
        <f t="shared" si="281"/>
        <v>Romper Longer | 0-3 | Caldet Blue</v>
      </c>
      <c r="M2384" s="16" t="s">
        <v>3610</v>
      </c>
    </row>
    <row r="2385" spans="1:13" ht="25" customHeight="1" x14ac:dyDescent="0.45">
      <c r="A2385" s="18">
        <v>45887</v>
      </c>
      <c r="B2385" s="19" t="s">
        <v>2510</v>
      </c>
      <c r="C2385" s="23" t="s">
        <v>9</v>
      </c>
      <c r="D2385" s="53" t="str">
        <f t="shared" si="276"/>
        <v>Cream</v>
      </c>
      <c r="E2385" s="21" t="s">
        <v>1831</v>
      </c>
      <c r="F2385" s="21" t="str">
        <f ca="1">IFERROR(__xludf.DUMMYFUNCTION("IFERROR(REGEXEXTRACT(O686, ""\n([A-Za-z ]+)$""), """")
"),"United States")</f>
        <v>United States</v>
      </c>
      <c r="G2385" s="4" t="str">
        <f t="shared" si="282"/>
        <v>Romper Longer</v>
      </c>
      <c r="H2385" s="38">
        <f t="shared" si="278"/>
        <v>8</v>
      </c>
      <c r="I2385" s="54">
        <f t="shared" si="277"/>
        <v>34</v>
      </c>
      <c r="J2385" s="14" t="str">
        <f t="shared" si="279"/>
        <v>Summer</v>
      </c>
      <c r="K2385" s="16" t="str">
        <f t="shared" si="280"/>
        <v>0-3</v>
      </c>
      <c r="L2385" s="14" t="str">
        <f t="shared" si="281"/>
        <v>Romper Longer | 0-3 | Cream</v>
      </c>
      <c r="M2385" s="16" t="s">
        <v>3609</v>
      </c>
    </row>
    <row r="2386" spans="1:13" ht="25" customHeight="1" x14ac:dyDescent="0.45">
      <c r="A2386" s="18">
        <v>45888</v>
      </c>
      <c r="B2386" s="19" t="s">
        <v>2511</v>
      </c>
      <c r="C2386" s="23" t="s">
        <v>9</v>
      </c>
      <c r="D2386" s="53" t="str">
        <f t="shared" si="276"/>
        <v>Cream</v>
      </c>
      <c r="E2386" s="21" t="s">
        <v>1831</v>
      </c>
      <c r="F2386" s="21" t="str">
        <f ca="1">IFERROR(__xludf.DUMMYFUNCTION("IFERROR(REGEXEXTRACT(O686, ""\n([A-Za-z ]+)$""), """")
"),"United States")</f>
        <v>United States</v>
      </c>
      <c r="G2386" s="4" t="str">
        <f t="shared" si="282"/>
        <v>Romper Longer</v>
      </c>
      <c r="H2386" s="38">
        <f t="shared" si="278"/>
        <v>8</v>
      </c>
      <c r="I2386" s="54">
        <f t="shared" si="277"/>
        <v>34</v>
      </c>
      <c r="J2386" s="14" t="str">
        <f t="shared" si="279"/>
        <v>Summer</v>
      </c>
      <c r="K2386" s="16" t="str">
        <f t="shared" si="280"/>
        <v>0-3</v>
      </c>
      <c r="L2386" s="14" t="str">
        <f t="shared" si="281"/>
        <v>Romper Longer | 0-3 | Cream</v>
      </c>
      <c r="M2386" s="16" t="s">
        <v>3609</v>
      </c>
    </row>
    <row r="2387" spans="1:13" ht="25" customHeight="1" x14ac:dyDescent="0.45">
      <c r="A2387" s="18">
        <v>45889</v>
      </c>
      <c r="B2387" s="19" t="s">
        <v>2512</v>
      </c>
      <c r="C2387" s="23" t="s">
        <v>76</v>
      </c>
      <c r="D2387" s="53" t="str">
        <f t="shared" ref="D2387:D2450" si="283">PROPER(C2387)</f>
        <v>Caldet Blue</v>
      </c>
      <c r="E2387" s="21" t="s">
        <v>1849</v>
      </c>
      <c r="F2387" s="21" t="str">
        <f ca="1">IFERROR(__xludf.DUMMYFUNCTION("IFERROR(REGEXEXTRACT(O688, ""\n([A-Za-z ]+)$""), """")
"),"United States")</f>
        <v>United States</v>
      </c>
      <c r="G2387" s="4" t="str">
        <f t="shared" si="282"/>
        <v>Romper Short</v>
      </c>
      <c r="H2387" s="38">
        <f t="shared" si="278"/>
        <v>8</v>
      </c>
      <c r="I2387" s="54">
        <f t="shared" si="277"/>
        <v>34</v>
      </c>
      <c r="J2387" s="14" t="str">
        <f t="shared" si="279"/>
        <v>Summer</v>
      </c>
      <c r="K2387" s="16" t="str">
        <f t="shared" si="280"/>
        <v>3-6</v>
      </c>
      <c r="L2387" s="14" t="str">
        <f t="shared" si="281"/>
        <v>Romper Short | 3-6 | Caldet Blue</v>
      </c>
      <c r="M2387" s="16" t="s">
        <v>3610</v>
      </c>
    </row>
    <row r="2388" spans="1:13" ht="25" customHeight="1" x14ac:dyDescent="0.45">
      <c r="A2388" s="18">
        <v>45890</v>
      </c>
      <c r="B2388" s="19" t="s">
        <v>2513</v>
      </c>
      <c r="C2388" s="23" t="s">
        <v>79</v>
      </c>
      <c r="D2388" s="53" t="str">
        <f t="shared" si="283"/>
        <v>White</v>
      </c>
      <c r="E2388" s="21" t="s">
        <v>1828</v>
      </c>
      <c r="F2388" s="21" t="str">
        <f ca="1">IFERROR(__xludf.DUMMYFUNCTION("IFERROR(REGEXEXTRACT(O689, ""\n([A-Za-z ]+)$""), """")
"),"United States")</f>
        <v>United States</v>
      </c>
      <c r="G2388" s="4" t="str">
        <f t="shared" si="282"/>
        <v>Romper Longer</v>
      </c>
      <c r="H2388" s="38">
        <f t="shared" si="278"/>
        <v>8</v>
      </c>
      <c r="I2388" s="54">
        <f t="shared" si="277"/>
        <v>34</v>
      </c>
      <c r="J2388" s="14" t="str">
        <f t="shared" si="279"/>
        <v>Summer</v>
      </c>
      <c r="K2388" s="16" t="str">
        <f t="shared" si="280"/>
        <v>3-6</v>
      </c>
      <c r="L2388" s="14" t="str">
        <f t="shared" si="281"/>
        <v>Romper Longer | 3-6 | White</v>
      </c>
      <c r="M2388" s="16" t="s">
        <v>3610</v>
      </c>
    </row>
    <row r="2389" spans="1:13" ht="25" customHeight="1" x14ac:dyDescent="0.45">
      <c r="A2389" s="18">
        <v>45891</v>
      </c>
      <c r="B2389" s="19" t="s">
        <v>2514</v>
      </c>
      <c r="C2389" s="23" t="s">
        <v>81</v>
      </c>
      <c r="D2389" s="53" t="str">
        <f t="shared" si="283"/>
        <v>Dusty Pink</v>
      </c>
      <c r="E2389" s="21" t="s">
        <v>1828</v>
      </c>
      <c r="F2389" s="21" t="str">
        <f ca="1">IFERROR(__xludf.DUMMYFUNCTION("IFERROR(REGEXEXTRACT(O690, ""\n([A-Za-z ]+)$""), """")
"),"United States")</f>
        <v>United States</v>
      </c>
      <c r="G2389" s="4" t="str">
        <f t="shared" si="282"/>
        <v>Romper Longer</v>
      </c>
      <c r="H2389" s="38">
        <f t="shared" si="278"/>
        <v>8</v>
      </c>
      <c r="I2389" s="54">
        <f t="shared" si="277"/>
        <v>34</v>
      </c>
      <c r="J2389" s="14" t="str">
        <f t="shared" si="279"/>
        <v>Summer</v>
      </c>
      <c r="K2389" s="16" t="str">
        <f t="shared" si="280"/>
        <v>3-6</v>
      </c>
      <c r="L2389" s="14" t="str">
        <f t="shared" si="281"/>
        <v>Romper Longer | 3-6 | Dusty Pink</v>
      </c>
      <c r="M2389" s="16" t="s">
        <v>3610</v>
      </c>
    </row>
    <row r="2390" spans="1:13" ht="25" customHeight="1" x14ac:dyDescent="0.45">
      <c r="A2390" s="18">
        <v>45892</v>
      </c>
      <c r="B2390" s="19" t="s">
        <v>2515</v>
      </c>
      <c r="C2390" s="23" t="s">
        <v>9</v>
      </c>
      <c r="D2390" s="53" t="str">
        <f t="shared" si="283"/>
        <v>Cream</v>
      </c>
      <c r="E2390" s="21" t="s">
        <v>1841</v>
      </c>
      <c r="F2390" s="21" t="str">
        <f ca="1">IFERROR(__xludf.DUMMYFUNCTION("IFERROR(REGEXEXTRACT(O691, ""\n([A-Za-z ]+)$""), """")
"),"United States")</f>
        <v>United States</v>
      </c>
      <c r="G2390" s="4" t="str">
        <f t="shared" si="282"/>
        <v>Romper Longer</v>
      </c>
      <c r="H2390" s="38">
        <f t="shared" si="278"/>
        <v>8</v>
      </c>
      <c r="I2390" s="54">
        <f t="shared" si="277"/>
        <v>34</v>
      </c>
      <c r="J2390" s="14" t="str">
        <f t="shared" si="279"/>
        <v>Summer</v>
      </c>
      <c r="K2390" s="16" t="str">
        <f t="shared" si="280"/>
        <v>6-12</v>
      </c>
      <c r="L2390" s="14" t="str">
        <f t="shared" si="281"/>
        <v>Romper Longer | 6-12 | Cream</v>
      </c>
      <c r="M2390" s="16" t="s">
        <v>3611</v>
      </c>
    </row>
    <row r="2391" spans="1:13" ht="25" customHeight="1" x14ac:dyDescent="0.45">
      <c r="A2391" s="18">
        <v>45893</v>
      </c>
      <c r="B2391" s="19" t="s">
        <v>2516</v>
      </c>
      <c r="C2391" s="23" t="s">
        <v>81</v>
      </c>
      <c r="D2391" s="53" t="str">
        <f t="shared" si="283"/>
        <v>Dusty Pink</v>
      </c>
      <c r="E2391" s="21" t="s">
        <v>1841</v>
      </c>
      <c r="F2391" s="21" t="str">
        <f ca="1">IFERROR(__xludf.DUMMYFUNCTION("IFERROR(REGEXEXTRACT(O692, ""\n([A-Za-z ]+)$""), """")
"),"United States")</f>
        <v>United States</v>
      </c>
      <c r="G2391" s="4" t="str">
        <f t="shared" si="282"/>
        <v>Romper Longer</v>
      </c>
      <c r="H2391" s="38">
        <f t="shared" si="278"/>
        <v>8</v>
      </c>
      <c r="I2391" s="54">
        <f t="shared" si="277"/>
        <v>35</v>
      </c>
      <c r="J2391" s="14" t="str">
        <f t="shared" si="279"/>
        <v>Summer</v>
      </c>
      <c r="K2391" s="16" t="str">
        <f t="shared" si="280"/>
        <v>6-12</v>
      </c>
      <c r="L2391" s="14" t="str">
        <f t="shared" si="281"/>
        <v>Romper Longer | 6-12 | Dusty Pink</v>
      </c>
      <c r="M2391" s="16" t="s">
        <v>3610</v>
      </c>
    </row>
    <row r="2392" spans="1:13" ht="25" customHeight="1" x14ac:dyDescent="0.45">
      <c r="A2392" s="18">
        <v>45894</v>
      </c>
      <c r="B2392" s="19" t="s">
        <v>2517</v>
      </c>
      <c r="C2392" s="23" t="s">
        <v>9</v>
      </c>
      <c r="D2392" s="53" t="str">
        <f t="shared" si="283"/>
        <v>Cream</v>
      </c>
      <c r="E2392" s="21" t="s">
        <v>1841</v>
      </c>
      <c r="F2392" s="21" t="str">
        <f ca="1">IFERROR(__xludf.DUMMYFUNCTION("IFERROR(REGEXEXTRACT(O693, ""\n([A-Za-z ]+)$""), """")
"),"United States")</f>
        <v>United States</v>
      </c>
      <c r="G2392" s="4" t="str">
        <f t="shared" si="282"/>
        <v>Romper Longer</v>
      </c>
      <c r="H2392" s="38">
        <f t="shared" si="278"/>
        <v>8</v>
      </c>
      <c r="I2392" s="54">
        <f t="shared" si="277"/>
        <v>35</v>
      </c>
      <c r="J2392" s="14" t="str">
        <f t="shared" si="279"/>
        <v>Summer</v>
      </c>
      <c r="K2392" s="16" t="str">
        <f t="shared" si="280"/>
        <v>6-12</v>
      </c>
      <c r="L2392" s="14" t="str">
        <f t="shared" si="281"/>
        <v>Romper Longer | 6-12 | Cream</v>
      </c>
      <c r="M2392" s="16" t="s">
        <v>3611</v>
      </c>
    </row>
    <row r="2393" spans="1:13" ht="25" customHeight="1" x14ac:dyDescent="0.45">
      <c r="A2393" s="18">
        <v>45895</v>
      </c>
      <c r="B2393" s="19" t="s">
        <v>2518</v>
      </c>
      <c r="C2393" s="23" t="s">
        <v>79</v>
      </c>
      <c r="D2393" s="53" t="str">
        <f t="shared" si="283"/>
        <v>White</v>
      </c>
      <c r="E2393" s="21" t="s">
        <v>1550</v>
      </c>
      <c r="F2393" s="21" t="str">
        <f ca="1">IFERROR(__xludf.DUMMYFUNCTION("IFERROR(REGEXEXTRACT(O694, ""\n([A-Za-z ]+)$""), """")
"),"United States")</f>
        <v>United States</v>
      </c>
      <c r="G2393" s="4" t="str">
        <f t="shared" si="282"/>
        <v>Romper Longer</v>
      </c>
      <c r="H2393" s="38">
        <f t="shared" si="278"/>
        <v>8</v>
      </c>
      <c r="I2393" s="54">
        <f t="shared" si="277"/>
        <v>35</v>
      </c>
      <c r="J2393" s="14" t="str">
        <f t="shared" si="279"/>
        <v>Summer</v>
      </c>
      <c r="K2393" s="16" t="str">
        <f t="shared" si="280"/>
        <v>12-18</v>
      </c>
      <c r="L2393" s="14" t="str">
        <f t="shared" si="281"/>
        <v>Romper Longer | 12-18 | White</v>
      </c>
      <c r="M2393" s="16" t="s">
        <v>3610</v>
      </c>
    </row>
    <row r="2394" spans="1:13" ht="25" customHeight="1" x14ac:dyDescent="0.45">
      <c r="A2394" s="18">
        <v>45896</v>
      </c>
      <c r="B2394" s="19" t="s">
        <v>2519</v>
      </c>
      <c r="C2394" s="23" t="s">
        <v>9</v>
      </c>
      <c r="D2394" s="53" t="str">
        <f t="shared" si="283"/>
        <v>Cream</v>
      </c>
      <c r="E2394" s="21" t="s">
        <v>1831</v>
      </c>
      <c r="F2394" s="21" t="str">
        <f ca="1">IFERROR(__xludf.DUMMYFUNCTION("IFERROR(REGEXEXTRACT(O695, ""\n([A-Za-z ]+)$""), """")
"),"United States")</f>
        <v>United States</v>
      </c>
      <c r="G2394" s="4" t="str">
        <f t="shared" si="282"/>
        <v>Romper Longer</v>
      </c>
      <c r="H2394" s="38">
        <f t="shared" si="278"/>
        <v>8</v>
      </c>
      <c r="I2394" s="54">
        <f t="shared" si="277"/>
        <v>35</v>
      </c>
      <c r="J2394" s="14" t="str">
        <f t="shared" si="279"/>
        <v>Summer</v>
      </c>
      <c r="K2394" s="16" t="str">
        <f t="shared" si="280"/>
        <v>0-3</v>
      </c>
      <c r="L2394" s="14" t="str">
        <f t="shared" si="281"/>
        <v>Romper Longer | 0-3 | Cream</v>
      </c>
      <c r="M2394" s="16" t="s">
        <v>3609</v>
      </c>
    </row>
    <row r="2395" spans="1:13" ht="25" customHeight="1" x14ac:dyDescent="0.45">
      <c r="A2395" s="18">
        <v>45897</v>
      </c>
      <c r="B2395" s="19" t="s">
        <v>2520</v>
      </c>
      <c r="C2395" s="23" t="s">
        <v>9</v>
      </c>
      <c r="D2395" s="53" t="str">
        <f t="shared" si="283"/>
        <v>Cream</v>
      </c>
      <c r="E2395" s="21" t="s">
        <v>1834</v>
      </c>
      <c r="F2395" s="21" t="str">
        <f ca="1">IFERROR(__xludf.DUMMYFUNCTION("IFERROR(REGEXEXTRACT(O695, ""\n([A-Za-z ]+)$""), """")
"),"United States")</f>
        <v>United States</v>
      </c>
      <c r="G2395" s="4" t="str">
        <f t="shared" si="282"/>
        <v>Romper Short</v>
      </c>
      <c r="H2395" s="38">
        <f t="shared" si="278"/>
        <v>8</v>
      </c>
      <c r="I2395" s="54">
        <f t="shared" si="277"/>
        <v>35</v>
      </c>
      <c r="J2395" s="14" t="str">
        <f t="shared" si="279"/>
        <v>Summer</v>
      </c>
      <c r="K2395" s="16" t="str">
        <f t="shared" si="280"/>
        <v>0-3</v>
      </c>
      <c r="L2395" s="14" t="str">
        <f t="shared" si="281"/>
        <v>Romper Short | 0-3 | Cream</v>
      </c>
      <c r="M2395" s="16" t="s">
        <v>3609</v>
      </c>
    </row>
    <row r="2396" spans="1:13" ht="25" customHeight="1" x14ac:dyDescent="0.45">
      <c r="A2396" s="18">
        <v>45898</v>
      </c>
      <c r="B2396" s="19" t="s">
        <v>3490</v>
      </c>
      <c r="C2396" s="23" t="s">
        <v>74</v>
      </c>
      <c r="D2396" s="53" t="str">
        <f t="shared" si="283"/>
        <v>Watermelon</v>
      </c>
      <c r="E2396" s="21" t="s">
        <v>1841</v>
      </c>
      <c r="F2396" s="21" t="str">
        <f ca="1">IFERROR(__xludf.DUMMYFUNCTION("IFERROR(REGEXEXTRACT(O697, ""\n([A-Za-z ]+)$""), """")
"),"Canada")</f>
        <v>Canada</v>
      </c>
      <c r="G2396" s="4" t="str">
        <f t="shared" si="282"/>
        <v>Romper Longer</v>
      </c>
      <c r="H2396" s="38">
        <f t="shared" si="278"/>
        <v>8</v>
      </c>
      <c r="I2396" s="54">
        <f t="shared" si="277"/>
        <v>35</v>
      </c>
      <c r="J2396" s="14" t="str">
        <f t="shared" si="279"/>
        <v>Summer</v>
      </c>
      <c r="K2396" s="16" t="str">
        <f t="shared" si="280"/>
        <v>6-12</v>
      </c>
      <c r="L2396" s="14" t="str">
        <f t="shared" si="281"/>
        <v>Romper Longer | 6-12 | Watermelon</v>
      </c>
      <c r="M2396" s="16" t="s">
        <v>3610</v>
      </c>
    </row>
    <row r="2397" spans="1:13" ht="25" customHeight="1" x14ac:dyDescent="0.45">
      <c r="A2397" s="18">
        <v>45899</v>
      </c>
      <c r="B2397" s="19" t="s">
        <v>2521</v>
      </c>
      <c r="C2397" s="23" t="s">
        <v>9</v>
      </c>
      <c r="D2397" s="53" t="str">
        <f t="shared" si="283"/>
        <v>Cream</v>
      </c>
      <c r="E2397" s="21" t="s">
        <v>1828</v>
      </c>
      <c r="F2397" s="21" t="str">
        <f ca="1">IFERROR(__xludf.DUMMYFUNCTION("IFERROR(REGEXEXTRACT(O697, ""\n([A-Za-z ]+)$""), """")
"),"Canada")</f>
        <v>Canada</v>
      </c>
      <c r="G2397" s="4" t="str">
        <f t="shared" si="282"/>
        <v>Romper Longer</v>
      </c>
      <c r="H2397" s="38">
        <f t="shared" si="278"/>
        <v>8</v>
      </c>
      <c r="I2397" s="54">
        <f t="shared" si="277"/>
        <v>35</v>
      </c>
      <c r="J2397" s="14" t="str">
        <f t="shared" si="279"/>
        <v>Summer</v>
      </c>
      <c r="K2397" s="16" t="str">
        <f t="shared" si="280"/>
        <v>3-6</v>
      </c>
      <c r="L2397" s="14" t="str">
        <f t="shared" si="281"/>
        <v>Romper Longer | 3-6 | Cream</v>
      </c>
      <c r="M2397" s="16" t="s">
        <v>3609</v>
      </c>
    </row>
    <row r="2398" spans="1:13" ht="25" customHeight="1" x14ac:dyDescent="0.45">
      <c r="A2398" s="18">
        <v>45900</v>
      </c>
      <c r="B2398" s="19" t="s">
        <v>2522</v>
      </c>
      <c r="C2398" s="23" t="s">
        <v>9</v>
      </c>
      <c r="D2398" s="53" t="str">
        <f t="shared" si="283"/>
        <v>Cream</v>
      </c>
      <c r="E2398" s="21" t="s">
        <v>1550</v>
      </c>
      <c r="F2398" s="21" t="str">
        <f ca="1">IFERROR(__xludf.DUMMYFUNCTION("IFERROR(REGEXEXTRACT(O699, ""\n([A-Za-z ]+)$""), """")
"),"United States")</f>
        <v>United States</v>
      </c>
      <c r="G2398" s="4" t="str">
        <f t="shared" si="282"/>
        <v>Romper Longer</v>
      </c>
      <c r="H2398" s="38">
        <f t="shared" si="278"/>
        <v>8</v>
      </c>
      <c r="I2398" s="54">
        <f t="shared" si="277"/>
        <v>36</v>
      </c>
      <c r="J2398" s="14" t="str">
        <f t="shared" si="279"/>
        <v>Summer</v>
      </c>
      <c r="K2398" s="16" t="str">
        <f t="shared" si="280"/>
        <v>12-18</v>
      </c>
      <c r="L2398" s="14" t="str">
        <f t="shared" si="281"/>
        <v>Romper Longer | 12-18 | Cream</v>
      </c>
      <c r="M2398" s="16" t="s">
        <v>3610</v>
      </c>
    </row>
    <row r="2399" spans="1:13" ht="25" customHeight="1" x14ac:dyDescent="0.45">
      <c r="A2399" s="18">
        <v>45901</v>
      </c>
      <c r="B2399" s="19" t="s">
        <v>2523</v>
      </c>
      <c r="C2399" s="23" t="s">
        <v>76</v>
      </c>
      <c r="D2399" s="53" t="str">
        <f t="shared" si="283"/>
        <v>Caldet Blue</v>
      </c>
      <c r="E2399" s="21" t="s">
        <v>1550</v>
      </c>
      <c r="F2399" s="21" t="str">
        <f ca="1">IFERROR(__xludf.DUMMYFUNCTION("IFERROR(REGEXEXTRACT(O700, ""\n([A-Za-z ]+)$""), """")
"),"United States")</f>
        <v>United States</v>
      </c>
      <c r="G2399" s="4" t="str">
        <f t="shared" si="282"/>
        <v>Romper Longer</v>
      </c>
      <c r="H2399" s="38">
        <f t="shared" si="278"/>
        <v>9</v>
      </c>
      <c r="I2399" s="54">
        <f t="shared" si="277"/>
        <v>36</v>
      </c>
      <c r="J2399" s="14" t="str">
        <f t="shared" si="279"/>
        <v>Normal</v>
      </c>
      <c r="K2399" s="16" t="str">
        <f t="shared" si="280"/>
        <v>12-18</v>
      </c>
      <c r="L2399" s="14" t="str">
        <f t="shared" si="281"/>
        <v>Romper Longer | 12-18 | Caldet Blue</v>
      </c>
      <c r="M2399" s="16" t="s">
        <v>3610</v>
      </c>
    </row>
    <row r="2400" spans="1:13" ht="25" customHeight="1" x14ac:dyDescent="0.45">
      <c r="A2400" s="18">
        <v>45902</v>
      </c>
      <c r="B2400" s="19" t="s">
        <v>2524</v>
      </c>
      <c r="C2400" s="23" t="s">
        <v>110</v>
      </c>
      <c r="D2400" s="53" t="str">
        <f t="shared" si="283"/>
        <v>Sage Green</v>
      </c>
      <c r="E2400" s="21" t="s">
        <v>1849</v>
      </c>
      <c r="F2400" s="21" t="str">
        <f ca="1">IFERROR(__xludf.DUMMYFUNCTION("IFERROR(REGEXEXTRACT(O700, ""\n([A-Za-z ]+)$""), """")
"),"United States")</f>
        <v>United States</v>
      </c>
      <c r="G2400" s="4" t="str">
        <f t="shared" si="282"/>
        <v>Romper Short</v>
      </c>
      <c r="H2400" s="38">
        <f t="shared" si="278"/>
        <v>9</v>
      </c>
      <c r="I2400" s="54">
        <f t="shared" si="277"/>
        <v>36</v>
      </c>
      <c r="J2400" s="14" t="str">
        <f t="shared" si="279"/>
        <v>Normal</v>
      </c>
      <c r="K2400" s="16" t="str">
        <f t="shared" si="280"/>
        <v>3-6</v>
      </c>
      <c r="L2400" s="14" t="str">
        <f t="shared" si="281"/>
        <v>Romper Short | 3-6 | Sage Green</v>
      </c>
      <c r="M2400" s="16" t="s">
        <v>3611</v>
      </c>
    </row>
    <row r="2401" spans="1:13" ht="25" customHeight="1" x14ac:dyDescent="0.45">
      <c r="A2401" s="18">
        <v>45903</v>
      </c>
      <c r="B2401" s="19" t="s">
        <v>2525</v>
      </c>
      <c r="C2401" s="23" t="s">
        <v>81</v>
      </c>
      <c r="D2401" s="53" t="str">
        <f t="shared" si="283"/>
        <v>Dusty Pink</v>
      </c>
      <c r="E2401" s="21" t="s">
        <v>1849</v>
      </c>
      <c r="F2401" s="21" t="str">
        <f ca="1">IFERROR(__xludf.DUMMYFUNCTION("IFERROR(REGEXEXTRACT(O702, ""\n([A-Za-z ]+)$""), """")
"),"United States")</f>
        <v>United States</v>
      </c>
      <c r="G2401" s="4" t="str">
        <f t="shared" si="282"/>
        <v>Romper Short</v>
      </c>
      <c r="H2401" s="38">
        <f t="shared" si="278"/>
        <v>9</v>
      </c>
      <c r="I2401" s="54">
        <f t="shared" si="277"/>
        <v>36</v>
      </c>
      <c r="J2401" s="14" t="str">
        <f t="shared" si="279"/>
        <v>Normal</v>
      </c>
      <c r="K2401" s="16" t="str">
        <f t="shared" si="280"/>
        <v>3-6</v>
      </c>
      <c r="L2401" s="14" t="str">
        <f t="shared" si="281"/>
        <v>Romper Short | 3-6 | Dusty Pink</v>
      </c>
      <c r="M2401" s="16" t="s">
        <v>3610</v>
      </c>
    </row>
    <row r="2402" spans="1:13" ht="25" customHeight="1" x14ac:dyDescent="0.45">
      <c r="A2402" s="18">
        <v>45904</v>
      </c>
      <c r="B2402" s="19" t="s">
        <v>2526</v>
      </c>
      <c r="C2402" s="23" t="s">
        <v>9</v>
      </c>
      <c r="D2402" s="53" t="str">
        <f t="shared" si="283"/>
        <v>Cream</v>
      </c>
      <c r="E2402" s="21" t="s">
        <v>1420</v>
      </c>
      <c r="F2402" s="21" t="str">
        <f ca="1">IFERROR(__xludf.DUMMYFUNCTION("IFERROR(REGEXEXTRACT(O703, ""\n([A-Za-z ]+)$""), """")
"),"United States")</f>
        <v>United States</v>
      </c>
      <c r="G2402" s="4" t="str">
        <f t="shared" si="282"/>
        <v>Romper Short</v>
      </c>
      <c r="H2402" s="38">
        <f t="shared" si="278"/>
        <v>9</v>
      </c>
      <c r="I2402" s="54">
        <f t="shared" si="277"/>
        <v>36</v>
      </c>
      <c r="J2402" s="14" t="str">
        <f t="shared" si="279"/>
        <v>Normal</v>
      </c>
      <c r="K2402" s="16" t="str">
        <f t="shared" si="280"/>
        <v>6-12</v>
      </c>
      <c r="L2402" s="14" t="str">
        <f t="shared" si="281"/>
        <v>Romper Short | 6-12 | Cream</v>
      </c>
      <c r="M2402" s="16" t="s">
        <v>3611</v>
      </c>
    </row>
    <row r="2403" spans="1:13" ht="25" customHeight="1" x14ac:dyDescent="0.45">
      <c r="A2403" s="18">
        <v>45905</v>
      </c>
      <c r="B2403" s="19" t="s">
        <v>2527</v>
      </c>
      <c r="C2403" s="23" t="s">
        <v>9</v>
      </c>
      <c r="D2403" s="53" t="str">
        <f t="shared" si="283"/>
        <v>Cream</v>
      </c>
      <c r="E2403" s="21" t="s">
        <v>1834</v>
      </c>
      <c r="F2403" s="21" t="str">
        <f ca="1">IFERROR(__xludf.DUMMYFUNCTION("IFERROR(REGEXEXTRACT(O704, ""\n([A-Za-z ]+)$""), """")
"),"United States")</f>
        <v>United States</v>
      </c>
      <c r="G2403" s="4" t="str">
        <f t="shared" si="282"/>
        <v>Romper Short</v>
      </c>
      <c r="H2403" s="38">
        <f t="shared" si="278"/>
        <v>9</v>
      </c>
      <c r="I2403" s="54">
        <f t="shared" si="277"/>
        <v>36</v>
      </c>
      <c r="J2403" s="14" t="str">
        <f t="shared" si="279"/>
        <v>Normal</v>
      </c>
      <c r="K2403" s="16" t="str">
        <f t="shared" si="280"/>
        <v>0-3</v>
      </c>
      <c r="L2403" s="14" t="str">
        <f t="shared" si="281"/>
        <v>Romper Short | 0-3 | Cream</v>
      </c>
      <c r="M2403" s="16" t="s">
        <v>3609</v>
      </c>
    </row>
    <row r="2404" spans="1:13" ht="25" customHeight="1" x14ac:dyDescent="0.45">
      <c r="A2404" s="18">
        <v>45906</v>
      </c>
      <c r="B2404" s="19" t="s">
        <v>2528</v>
      </c>
      <c r="C2404" s="23" t="s">
        <v>74</v>
      </c>
      <c r="D2404" s="53" t="str">
        <f t="shared" si="283"/>
        <v>Watermelon</v>
      </c>
      <c r="E2404" s="21" t="s">
        <v>1841</v>
      </c>
      <c r="F2404" s="21" t="str">
        <f ca="1">IFERROR(__xludf.DUMMYFUNCTION("IFERROR(REGEXEXTRACT(O705, ""\n([A-Za-z ]+)$""), """")
"),"Germany")</f>
        <v>Germany</v>
      </c>
      <c r="G2404" s="4" t="str">
        <f t="shared" si="282"/>
        <v>Romper Longer</v>
      </c>
      <c r="H2404" s="38">
        <f t="shared" si="278"/>
        <v>9</v>
      </c>
      <c r="I2404" s="54">
        <f t="shared" si="277"/>
        <v>36</v>
      </c>
      <c r="J2404" s="14" t="str">
        <f t="shared" si="279"/>
        <v>Normal</v>
      </c>
      <c r="K2404" s="16" t="str">
        <f t="shared" si="280"/>
        <v>6-12</v>
      </c>
      <c r="L2404" s="14" t="str">
        <f t="shared" si="281"/>
        <v>Romper Longer | 6-12 | Watermelon</v>
      </c>
      <c r="M2404" s="16" t="s">
        <v>3610</v>
      </c>
    </row>
    <row r="2405" spans="1:13" ht="25" customHeight="1" x14ac:dyDescent="0.45">
      <c r="A2405" s="18">
        <v>45907</v>
      </c>
      <c r="B2405" s="19" t="s">
        <v>2529</v>
      </c>
      <c r="C2405" s="23" t="s">
        <v>9</v>
      </c>
      <c r="D2405" s="53" t="str">
        <f t="shared" si="283"/>
        <v>Cream</v>
      </c>
      <c r="E2405" s="21" t="s">
        <v>1831</v>
      </c>
      <c r="F2405" s="21" t="str">
        <f ca="1">IFERROR(__xludf.DUMMYFUNCTION("IFERROR(REGEXEXTRACT(O706, ""\n([A-Za-z ]+)$""), """")
"),"United States")</f>
        <v>United States</v>
      </c>
      <c r="G2405" s="4" t="str">
        <f t="shared" si="282"/>
        <v>Romper Longer</v>
      </c>
      <c r="H2405" s="38">
        <f t="shared" si="278"/>
        <v>9</v>
      </c>
      <c r="I2405" s="54">
        <f t="shared" si="277"/>
        <v>37</v>
      </c>
      <c r="J2405" s="14" t="str">
        <f t="shared" si="279"/>
        <v>Normal</v>
      </c>
      <c r="K2405" s="16" t="str">
        <f t="shared" si="280"/>
        <v>0-3</v>
      </c>
      <c r="L2405" s="14" t="str">
        <f t="shared" si="281"/>
        <v>Romper Longer | 0-3 | Cream</v>
      </c>
      <c r="M2405" s="16" t="s">
        <v>3609</v>
      </c>
    </row>
    <row r="2406" spans="1:13" ht="25" customHeight="1" x14ac:dyDescent="0.45">
      <c r="A2406" s="18">
        <v>45908</v>
      </c>
      <c r="B2406" s="19" t="s">
        <v>2530</v>
      </c>
      <c r="C2406" s="23" t="s">
        <v>9</v>
      </c>
      <c r="D2406" s="53" t="str">
        <f t="shared" si="283"/>
        <v>Cream</v>
      </c>
      <c r="E2406" s="21" t="s">
        <v>1831</v>
      </c>
      <c r="F2406" s="21" t="str">
        <f ca="1">IFERROR(__xludf.DUMMYFUNCTION("IFERROR(REGEXEXTRACT(O707, ""\n([A-Za-z ]+)$""), """")
"),"United States")</f>
        <v>United States</v>
      </c>
      <c r="G2406" s="4" t="str">
        <f t="shared" si="282"/>
        <v>Romper Longer</v>
      </c>
      <c r="H2406" s="38">
        <f t="shared" si="278"/>
        <v>9</v>
      </c>
      <c r="I2406" s="54">
        <f t="shared" si="277"/>
        <v>37</v>
      </c>
      <c r="J2406" s="14" t="str">
        <f t="shared" si="279"/>
        <v>Normal</v>
      </c>
      <c r="K2406" s="16" t="str">
        <f t="shared" si="280"/>
        <v>0-3</v>
      </c>
      <c r="L2406" s="14" t="str">
        <f t="shared" si="281"/>
        <v>Romper Longer | 0-3 | Cream</v>
      </c>
      <c r="M2406" s="16" t="s">
        <v>3609</v>
      </c>
    </row>
    <row r="2407" spans="1:13" ht="25" customHeight="1" x14ac:dyDescent="0.45">
      <c r="A2407" s="18">
        <v>45909</v>
      </c>
      <c r="B2407" s="19" t="s">
        <v>2531</v>
      </c>
      <c r="C2407" s="23" t="s">
        <v>74</v>
      </c>
      <c r="D2407" s="53" t="str">
        <f t="shared" si="283"/>
        <v>Watermelon</v>
      </c>
      <c r="E2407" s="21" t="s">
        <v>1828</v>
      </c>
      <c r="F2407" s="21" t="str">
        <f ca="1">IFERROR(__xludf.DUMMYFUNCTION("IFERROR(REGEXEXTRACT(O708, ""\n([A-Za-z ]+)$""), """")
"),"Germany")</f>
        <v>Germany</v>
      </c>
      <c r="G2407" s="4" t="str">
        <f t="shared" si="282"/>
        <v>Romper Longer</v>
      </c>
      <c r="H2407" s="38">
        <f t="shared" si="278"/>
        <v>9</v>
      </c>
      <c r="I2407" s="54">
        <f t="shared" si="277"/>
        <v>37</v>
      </c>
      <c r="J2407" s="14" t="str">
        <f t="shared" si="279"/>
        <v>Normal</v>
      </c>
      <c r="K2407" s="16" t="str">
        <f t="shared" si="280"/>
        <v>3-6</v>
      </c>
      <c r="L2407" s="14" t="str">
        <f t="shared" si="281"/>
        <v>Romper Longer | 3-6 | Watermelon</v>
      </c>
      <c r="M2407" s="16" t="s">
        <v>3610</v>
      </c>
    </row>
    <row r="2408" spans="1:13" ht="25" customHeight="1" x14ac:dyDescent="0.45">
      <c r="A2408" s="18">
        <v>45910</v>
      </c>
      <c r="B2408" s="19" t="s">
        <v>2532</v>
      </c>
      <c r="C2408" s="23" t="s">
        <v>9</v>
      </c>
      <c r="D2408" s="53" t="str">
        <f t="shared" si="283"/>
        <v>Cream</v>
      </c>
      <c r="E2408" s="21" t="s">
        <v>1420</v>
      </c>
      <c r="F2408" s="21" t="str">
        <f ca="1">IFERROR(__xludf.DUMMYFUNCTION("IFERROR(REGEXEXTRACT(O709, ""\n([A-Za-z ]+)$""), """")
"),"United Kingdom")</f>
        <v>United Kingdom</v>
      </c>
      <c r="G2408" s="4" t="str">
        <f t="shared" si="282"/>
        <v>Romper Short</v>
      </c>
      <c r="H2408" s="38">
        <f t="shared" si="278"/>
        <v>9</v>
      </c>
      <c r="I2408" s="54">
        <f t="shared" si="277"/>
        <v>37</v>
      </c>
      <c r="J2408" s="14" t="str">
        <f t="shared" si="279"/>
        <v>Normal</v>
      </c>
      <c r="K2408" s="16" t="str">
        <f t="shared" si="280"/>
        <v>6-12</v>
      </c>
      <c r="L2408" s="14" t="str">
        <f t="shared" si="281"/>
        <v>Romper Short | 6-12 | Cream</v>
      </c>
      <c r="M2408" s="16" t="s">
        <v>3611</v>
      </c>
    </row>
    <row r="2409" spans="1:13" ht="25" customHeight="1" x14ac:dyDescent="0.45">
      <c r="A2409" s="18">
        <v>45911</v>
      </c>
      <c r="B2409" s="19" t="s">
        <v>2533</v>
      </c>
      <c r="C2409" s="23" t="s">
        <v>9</v>
      </c>
      <c r="D2409" s="53" t="str">
        <f t="shared" si="283"/>
        <v>Cream</v>
      </c>
      <c r="E2409" s="21" t="s">
        <v>1831</v>
      </c>
      <c r="F2409" s="21" t="str">
        <f ca="1">IFERROR(__xludf.DUMMYFUNCTION("IFERROR(REGEXEXTRACT(O710, ""\n([A-Za-z ]+)$""), """")
"),"Canada")</f>
        <v>Canada</v>
      </c>
      <c r="G2409" s="4" t="str">
        <f t="shared" si="282"/>
        <v>Romper Longer</v>
      </c>
      <c r="H2409" s="38">
        <f t="shared" si="278"/>
        <v>9</v>
      </c>
      <c r="I2409" s="54">
        <f t="shared" si="277"/>
        <v>37</v>
      </c>
      <c r="J2409" s="14" t="str">
        <f t="shared" si="279"/>
        <v>Normal</v>
      </c>
      <c r="K2409" s="16" t="str">
        <f t="shared" si="280"/>
        <v>0-3</v>
      </c>
      <c r="L2409" s="14" t="str">
        <f t="shared" si="281"/>
        <v>Romper Longer | 0-3 | Cream</v>
      </c>
      <c r="M2409" s="16" t="s">
        <v>3609</v>
      </c>
    </row>
    <row r="2410" spans="1:13" ht="25" customHeight="1" x14ac:dyDescent="0.45">
      <c r="A2410" s="18">
        <v>45912</v>
      </c>
      <c r="B2410" s="19" t="s">
        <v>2534</v>
      </c>
      <c r="C2410" s="23" t="s">
        <v>81</v>
      </c>
      <c r="D2410" s="53" t="str">
        <f t="shared" si="283"/>
        <v>Dusty Pink</v>
      </c>
      <c r="E2410" s="21" t="s">
        <v>1834</v>
      </c>
      <c r="F2410" s="21" t="str">
        <f ca="1">IFERROR(__xludf.DUMMYFUNCTION("IFERROR(REGEXEXTRACT(O711, ""\n([A-Za-z ]+)$""), """")
"),"United States")</f>
        <v>United States</v>
      </c>
      <c r="G2410" s="4" t="str">
        <f t="shared" si="282"/>
        <v>Romper Short</v>
      </c>
      <c r="H2410" s="38">
        <f t="shared" si="278"/>
        <v>9</v>
      </c>
      <c r="I2410" s="54">
        <f t="shared" si="277"/>
        <v>37</v>
      </c>
      <c r="J2410" s="14" t="str">
        <f t="shared" si="279"/>
        <v>Normal</v>
      </c>
      <c r="K2410" s="16" t="str">
        <f t="shared" si="280"/>
        <v>0-3</v>
      </c>
      <c r="L2410" s="14" t="str">
        <f t="shared" si="281"/>
        <v>Romper Short | 0-3 | Dusty Pink</v>
      </c>
      <c r="M2410" s="16" t="s">
        <v>3610</v>
      </c>
    </row>
    <row r="2411" spans="1:13" ht="25" customHeight="1" x14ac:dyDescent="0.45">
      <c r="A2411" s="18">
        <v>45913</v>
      </c>
      <c r="B2411" s="19" t="s">
        <v>2535</v>
      </c>
      <c r="C2411" s="23" t="s">
        <v>79</v>
      </c>
      <c r="D2411" s="53" t="str">
        <f t="shared" si="283"/>
        <v>White</v>
      </c>
      <c r="E2411" s="21" t="s">
        <v>1420</v>
      </c>
      <c r="F2411" s="21" t="str">
        <f ca="1">IFERROR(__xludf.DUMMYFUNCTION("IFERROR(REGEXEXTRACT(O712, ""\n([A-Za-z ]+)$""), """")
"),"United States")</f>
        <v>United States</v>
      </c>
      <c r="G2411" s="4" t="str">
        <f t="shared" si="282"/>
        <v>Romper Short</v>
      </c>
      <c r="H2411" s="38">
        <f t="shared" si="278"/>
        <v>9</v>
      </c>
      <c r="I2411" s="54">
        <f t="shared" si="277"/>
        <v>37</v>
      </c>
      <c r="J2411" s="14" t="str">
        <f t="shared" si="279"/>
        <v>Normal</v>
      </c>
      <c r="K2411" s="16" t="str">
        <f t="shared" si="280"/>
        <v>6-12</v>
      </c>
      <c r="L2411" s="14" t="str">
        <f t="shared" si="281"/>
        <v>Romper Short | 6-12 | White</v>
      </c>
      <c r="M2411" s="16" t="s">
        <v>3610</v>
      </c>
    </row>
    <row r="2412" spans="1:13" ht="25" customHeight="1" x14ac:dyDescent="0.45">
      <c r="A2412" s="18">
        <v>45914</v>
      </c>
      <c r="B2412" s="19" t="s">
        <v>2536</v>
      </c>
      <c r="C2412" s="23" t="s">
        <v>110</v>
      </c>
      <c r="D2412" s="53" t="str">
        <f t="shared" si="283"/>
        <v>Sage Green</v>
      </c>
      <c r="E2412" s="21" t="s">
        <v>1841</v>
      </c>
      <c r="F2412" s="21" t="str">
        <f ca="1">IFERROR(__xludf.DUMMYFUNCTION("IFERROR(REGEXEXTRACT(O713, ""\n([A-Za-z ]+)$""), """")
"),"United States")</f>
        <v>United States</v>
      </c>
      <c r="G2412" s="4" t="str">
        <f t="shared" si="282"/>
        <v>Romper Longer</v>
      </c>
      <c r="H2412" s="38">
        <f t="shared" si="278"/>
        <v>9</v>
      </c>
      <c r="I2412" s="54">
        <f t="shared" si="277"/>
        <v>38</v>
      </c>
      <c r="J2412" s="14" t="str">
        <f t="shared" si="279"/>
        <v>Normal</v>
      </c>
      <c r="K2412" s="16" t="str">
        <f t="shared" si="280"/>
        <v>6-12</v>
      </c>
      <c r="L2412" s="14" t="str">
        <f t="shared" si="281"/>
        <v>Romper Longer | 6-12 | Sage Green</v>
      </c>
      <c r="M2412" s="16" t="s">
        <v>3610</v>
      </c>
    </row>
    <row r="2413" spans="1:13" ht="25" customHeight="1" x14ac:dyDescent="0.45">
      <c r="A2413" s="18">
        <v>45915</v>
      </c>
      <c r="B2413" s="19" t="s">
        <v>2537</v>
      </c>
      <c r="C2413" s="23" t="s">
        <v>178</v>
      </c>
      <c r="D2413" s="53" t="str">
        <f t="shared" si="283"/>
        <v>Mauve Taupe</v>
      </c>
      <c r="E2413" s="21" t="s">
        <v>1841</v>
      </c>
      <c r="F2413" s="21" t="str">
        <f ca="1">IFERROR(__xludf.DUMMYFUNCTION("IFERROR(REGEXEXTRACT(O714, ""\n([A-Za-z ]+)$""), """")
"),"United States")</f>
        <v>United States</v>
      </c>
      <c r="G2413" s="4" t="str">
        <f t="shared" si="282"/>
        <v>Romper Longer</v>
      </c>
      <c r="H2413" s="38">
        <f t="shared" si="278"/>
        <v>9</v>
      </c>
      <c r="I2413" s="54">
        <f t="shared" si="277"/>
        <v>38</v>
      </c>
      <c r="J2413" s="14" t="str">
        <f t="shared" si="279"/>
        <v>Normal</v>
      </c>
      <c r="K2413" s="16" t="str">
        <f t="shared" si="280"/>
        <v>6-12</v>
      </c>
      <c r="L2413" s="14" t="str">
        <f t="shared" si="281"/>
        <v>Romper Longer | 6-12 | Mauve Taupe</v>
      </c>
      <c r="M2413" s="16" t="s">
        <v>3610</v>
      </c>
    </row>
    <row r="2414" spans="1:13" ht="25" customHeight="1" x14ac:dyDescent="0.45">
      <c r="A2414" s="18">
        <v>45916</v>
      </c>
      <c r="B2414" s="19" t="s">
        <v>2538</v>
      </c>
      <c r="C2414" s="23" t="s">
        <v>9</v>
      </c>
      <c r="D2414" s="53" t="str">
        <f t="shared" si="283"/>
        <v>Cream</v>
      </c>
      <c r="E2414" s="21" t="s">
        <v>1831</v>
      </c>
      <c r="F2414" s="21" t="str">
        <f ca="1">IFERROR(__xludf.DUMMYFUNCTION("IFERROR(REGEXEXTRACT(O715, ""\n([A-Za-z ]+)$""), """")
"),"United States")</f>
        <v>United States</v>
      </c>
      <c r="G2414" s="4" t="str">
        <f t="shared" si="282"/>
        <v>Romper Longer</v>
      </c>
      <c r="H2414" s="38">
        <f t="shared" si="278"/>
        <v>9</v>
      </c>
      <c r="I2414" s="54">
        <f t="shared" ref="I2414:I2477" si="284">WEEKNUM(A2414)</f>
        <v>38</v>
      </c>
      <c r="J2414" s="14" t="str">
        <f t="shared" si="279"/>
        <v>Normal</v>
      </c>
      <c r="K2414" s="16" t="str">
        <f t="shared" si="280"/>
        <v>0-3</v>
      </c>
      <c r="L2414" s="14" t="str">
        <f t="shared" si="281"/>
        <v>Romper Longer | 0-3 | Cream</v>
      </c>
      <c r="M2414" s="16" t="s">
        <v>3609</v>
      </c>
    </row>
    <row r="2415" spans="1:13" ht="25" customHeight="1" x14ac:dyDescent="0.45">
      <c r="A2415" s="18">
        <v>45917</v>
      </c>
      <c r="B2415" s="33" t="s">
        <v>2539</v>
      </c>
      <c r="C2415" s="23" t="s">
        <v>9</v>
      </c>
      <c r="D2415" s="53" t="str">
        <f t="shared" si="283"/>
        <v>Cream</v>
      </c>
      <c r="E2415" s="21" t="s">
        <v>1550</v>
      </c>
      <c r="F2415" s="21" t="str">
        <f ca="1">IFERROR(__xludf.DUMMYFUNCTION("IFERROR(REGEXEXTRACT(O716, ""\n([A-Za-z ]+)$""), """")
"),"United States")</f>
        <v>United States</v>
      </c>
      <c r="G2415" s="4" t="str">
        <f t="shared" si="282"/>
        <v>Romper Longer</v>
      </c>
      <c r="H2415" s="38">
        <f t="shared" si="278"/>
        <v>9</v>
      </c>
      <c r="I2415" s="54">
        <f t="shared" si="284"/>
        <v>38</v>
      </c>
      <c r="J2415" s="14" t="str">
        <f t="shared" si="279"/>
        <v>Normal</v>
      </c>
      <c r="K2415" s="16" t="str">
        <f t="shared" si="280"/>
        <v>12-18</v>
      </c>
      <c r="L2415" s="14" t="str">
        <f t="shared" si="281"/>
        <v>Romper Longer | 12-18 | Cream</v>
      </c>
      <c r="M2415" s="16" t="s">
        <v>3610</v>
      </c>
    </row>
    <row r="2416" spans="1:13" ht="25" customHeight="1" x14ac:dyDescent="0.45">
      <c r="A2416" s="18">
        <v>45918</v>
      </c>
      <c r="B2416" s="33" t="s">
        <v>2539</v>
      </c>
      <c r="C2416" s="23" t="s">
        <v>9</v>
      </c>
      <c r="D2416" s="53" t="str">
        <f t="shared" si="283"/>
        <v>Cream</v>
      </c>
      <c r="E2416" s="21" t="s">
        <v>1849</v>
      </c>
      <c r="F2416" s="21" t="str">
        <f ca="1">IFERROR(__xludf.DUMMYFUNCTION("IFERROR(REGEXEXTRACT(O716, ""\n([A-Za-z ]+)$""), """")
"),"United States")</f>
        <v>United States</v>
      </c>
      <c r="G2416" s="4" t="str">
        <f t="shared" si="282"/>
        <v>Romper Short</v>
      </c>
      <c r="H2416" s="38">
        <f t="shared" si="278"/>
        <v>9</v>
      </c>
      <c r="I2416" s="54">
        <f t="shared" si="284"/>
        <v>38</v>
      </c>
      <c r="J2416" s="14" t="str">
        <f t="shared" si="279"/>
        <v>Normal</v>
      </c>
      <c r="K2416" s="16" t="str">
        <f t="shared" si="280"/>
        <v>3-6</v>
      </c>
      <c r="L2416" s="14" t="str">
        <f t="shared" si="281"/>
        <v>Romper Short | 3-6 | Cream</v>
      </c>
      <c r="M2416" s="16" t="s">
        <v>3609</v>
      </c>
    </row>
    <row r="2417" spans="1:13" ht="25" customHeight="1" x14ac:dyDescent="0.45">
      <c r="A2417" s="18">
        <v>45919</v>
      </c>
      <c r="B2417" s="19" t="s">
        <v>2540</v>
      </c>
      <c r="C2417" s="23" t="s">
        <v>74</v>
      </c>
      <c r="D2417" s="53" t="str">
        <f t="shared" si="283"/>
        <v>Watermelon</v>
      </c>
      <c r="E2417" s="21" t="s">
        <v>1841</v>
      </c>
      <c r="F2417" s="21" t="str">
        <f ca="1">IFERROR(__xludf.DUMMYFUNCTION("IFERROR(REGEXEXTRACT(O718, ""\n([A-Za-z ]+)$""), """")
"),"United States")</f>
        <v>United States</v>
      </c>
      <c r="G2417" s="4" t="str">
        <f t="shared" si="282"/>
        <v>Romper Longer</v>
      </c>
      <c r="H2417" s="38">
        <f t="shared" si="278"/>
        <v>9</v>
      </c>
      <c r="I2417" s="54">
        <f t="shared" si="284"/>
        <v>38</v>
      </c>
      <c r="J2417" s="14" t="str">
        <f t="shared" si="279"/>
        <v>Normal</v>
      </c>
      <c r="K2417" s="16" t="str">
        <f t="shared" si="280"/>
        <v>6-12</v>
      </c>
      <c r="L2417" s="14" t="str">
        <f t="shared" si="281"/>
        <v>Romper Longer | 6-12 | Watermelon</v>
      </c>
      <c r="M2417" s="16" t="s">
        <v>3610</v>
      </c>
    </row>
    <row r="2418" spans="1:13" ht="25" customHeight="1" x14ac:dyDescent="0.45">
      <c r="A2418" s="18">
        <v>45920</v>
      </c>
      <c r="B2418" s="19" t="s">
        <v>2541</v>
      </c>
      <c r="C2418" s="23" t="s">
        <v>81</v>
      </c>
      <c r="D2418" s="53" t="str">
        <f t="shared" si="283"/>
        <v>Dusty Pink</v>
      </c>
      <c r="E2418" s="21" t="s">
        <v>1550</v>
      </c>
      <c r="F2418" s="21" t="str">
        <f ca="1">IFERROR(__xludf.DUMMYFUNCTION("IFERROR(REGEXEXTRACT(O719, ""\n([A-Za-z ]+)$""), """")
"),"United States")</f>
        <v>United States</v>
      </c>
      <c r="G2418" s="4" t="str">
        <f t="shared" si="282"/>
        <v>Romper Longer</v>
      </c>
      <c r="H2418" s="38">
        <f t="shared" si="278"/>
        <v>9</v>
      </c>
      <c r="I2418" s="54">
        <f t="shared" si="284"/>
        <v>38</v>
      </c>
      <c r="J2418" s="14" t="str">
        <f t="shared" si="279"/>
        <v>Normal</v>
      </c>
      <c r="K2418" s="16" t="str">
        <f t="shared" si="280"/>
        <v>12-18</v>
      </c>
      <c r="L2418" s="14" t="str">
        <f t="shared" si="281"/>
        <v>Romper Longer | 12-18 | Dusty Pink</v>
      </c>
      <c r="M2418" s="16" t="s">
        <v>3610</v>
      </c>
    </row>
    <row r="2419" spans="1:13" ht="25" customHeight="1" x14ac:dyDescent="0.45">
      <c r="A2419" s="18">
        <v>45921</v>
      </c>
      <c r="B2419" s="19" t="s">
        <v>2542</v>
      </c>
      <c r="C2419" s="23" t="s">
        <v>9</v>
      </c>
      <c r="D2419" s="53" t="str">
        <f t="shared" si="283"/>
        <v>Cream</v>
      </c>
      <c r="E2419" s="21" t="s">
        <v>1828</v>
      </c>
      <c r="F2419" s="21" t="str">
        <f ca="1">IFERROR(__xludf.DUMMYFUNCTION("IFERROR(REGEXEXTRACT(O720, ""\n([A-Za-z ]+)$""), """")
"),"United States")</f>
        <v>United States</v>
      </c>
      <c r="G2419" s="4" t="str">
        <f t="shared" si="282"/>
        <v>Romper Longer</v>
      </c>
      <c r="H2419" s="38">
        <f t="shared" si="278"/>
        <v>9</v>
      </c>
      <c r="I2419" s="54">
        <f t="shared" si="284"/>
        <v>39</v>
      </c>
      <c r="J2419" s="14" t="str">
        <f t="shared" si="279"/>
        <v>Normal</v>
      </c>
      <c r="K2419" s="16" t="str">
        <f t="shared" si="280"/>
        <v>3-6</v>
      </c>
      <c r="L2419" s="14" t="str">
        <f t="shared" si="281"/>
        <v>Romper Longer | 3-6 | Cream</v>
      </c>
      <c r="M2419" s="16" t="s">
        <v>3609</v>
      </c>
    </row>
    <row r="2420" spans="1:13" ht="25" customHeight="1" x14ac:dyDescent="0.45">
      <c r="A2420" s="18">
        <v>45922</v>
      </c>
      <c r="B2420" s="19" t="s">
        <v>2543</v>
      </c>
      <c r="C2420" s="23" t="s">
        <v>81</v>
      </c>
      <c r="D2420" s="53" t="str">
        <f t="shared" si="283"/>
        <v>Dusty Pink</v>
      </c>
      <c r="E2420" s="21" t="s">
        <v>1831</v>
      </c>
      <c r="F2420" s="21" t="str">
        <f ca="1">IFERROR(__xludf.DUMMYFUNCTION("IFERROR(REGEXEXTRACT(O721, ""\n([A-Za-z ]+)$""), """")
"),"United States")</f>
        <v>United States</v>
      </c>
      <c r="G2420" s="4" t="str">
        <f t="shared" si="282"/>
        <v>Romper Longer</v>
      </c>
      <c r="H2420" s="38">
        <f t="shared" si="278"/>
        <v>9</v>
      </c>
      <c r="I2420" s="54">
        <f t="shared" si="284"/>
        <v>39</v>
      </c>
      <c r="J2420" s="14" t="str">
        <f t="shared" si="279"/>
        <v>Normal</v>
      </c>
      <c r="K2420" s="16" t="str">
        <f t="shared" si="280"/>
        <v>0-3</v>
      </c>
      <c r="L2420" s="14" t="str">
        <f t="shared" si="281"/>
        <v>Romper Longer | 0-3 | Dusty Pink</v>
      </c>
      <c r="M2420" s="16" t="s">
        <v>3610</v>
      </c>
    </row>
    <row r="2421" spans="1:13" ht="25" customHeight="1" x14ac:dyDescent="0.45">
      <c r="A2421" s="18">
        <v>45923</v>
      </c>
      <c r="B2421" s="19" t="s">
        <v>2544</v>
      </c>
      <c r="C2421" s="23" t="s">
        <v>74</v>
      </c>
      <c r="D2421" s="53" t="str">
        <f t="shared" si="283"/>
        <v>Watermelon</v>
      </c>
      <c r="E2421" s="21" t="s">
        <v>1420</v>
      </c>
      <c r="F2421" s="21" t="str">
        <f ca="1">IFERROR(__xludf.DUMMYFUNCTION("IFERROR(REGEXEXTRACT(O722, ""\n([A-Za-z ]+)$""), """")
"),"United States")</f>
        <v>United States</v>
      </c>
      <c r="G2421" s="4" t="str">
        <f t="shared" si="282"/>
        <v>Romper Short</v>
      </c>
      <c r="H2421" s="38">
        <f t="shared" si="278"/>
        <v>9</v>
      </c>
      <c r="I2421" s="54">
        <f t="shared" si="284"/>
        <v>39</v>
      </c>
      <c r="J2421" s="14" t="str">
        <f t="shared" si="279"/>
        <v>Normal</v>
      </c>
      <c r="K2421" s="16" t="str">
        <f t="shared" si="280"/>
        <v>6-12</v>
      </c>
      <c r="L2421" s="14" t="str">
        <f t="shared" si="281"/>
        <v>Romper Short | 6-12 | Watermelon</v>
      </c>
      <c r="M2421" s="16" t="s">
        <v>3610</v>
      </c>
    </row>
    <row r="2422" spans="1:13" ht="25" customHeight="1" x14ac:dyDescent="0.45">
      <c r="A2422" s="18">
        <v>45924</v>
      </c>
      <c r="B2422" s="19" t="s">
        <v>2545</v>
      </c>
      <c r="C2422" s="23" t="s">
        <v>9</v>
      </c>
      <c r="D2422" s="53" t="str">
        <f t="shared" si="283"/>
        <v>Cream</v>
      </c>
      <c r="E2422" s="21" t="s">
        <v>1841</v>
      </c>
      <c r="F2422" s="21" t="str">
        <f ca="1">IFERROR(__xludf.DUMMYFUNCTION("IFERROR(REGEXEXTRACT(O722, ""\n([A-Za-z ]+)$""), """")
"),"United States")</f>
        <v>United States</v>
      </c>
      <c r="G2422" s="4" t="str">
        <f t="shared" si="282"/>
        <v>Romper Longer</v>
      </c>
      <c r="H2422" s="38">
        <f t="shared" si="278"/>
        <v>9</v>
      </c>
      <c r="I2422" s="54">
        <f t="shared" si="284"/>
        <v>39</v>
      </c>
      <c r="J2422" s="14" t="str">
        <f t="shared" si="279"/>
        <v>Normal</v>
      </c>
      <c r="K2422" s="16" t="str">
        <f t="shared" si="280"/>
        <v>6-12</v>
      </c>
      <c r="L2422" s="14" t="str">
        <f t="shared" si="281"/>
        <v>Romper Longer | 6-12 | Cream</v>
      </c>
      <c r="M2422" s="16" t="s">
        <v>3611</v>
      </c>
    </row>
    <row r="2423" spans="1:13" ht="25" customHeight="1" x14ac:dyDescent="0.45">
      <c r="A2423" s="18">
        <v>45925</v>
      </c>
      <c r="B2423" s="19" t="s">
        <v>2546</v>
      </c>
      <c r="C2423" s="23" t="s">
        <v>9</v>
      </c>
      <c r="D2423" s="53" t="str">
        <f t="shared" si="283"/>
        <v>Cream</v>
      </c>
      <c r="E2423" s="21" t="s">
        <v>1841</v>
      </c>
      <c r="F2423" s="21" t="str">
        <f ca="1">IFERROR(__xludf.DUMMYFUNCTION("IFERROR(REGEXEXTRACT(O724, ""\n([A-Za-z ]+)$""), """")
"),"France")</f>
        <v>France</v>
      </c>
      <c r="G2423" s="4" t="str">
        <f t="shared" si="282"/>
        <v>Romper Longer</v>
      </c>
      <c r="H2423" s="38">
        <f t="shared" si="278"/>
        <v>9</v>
      </c>
      <c r="I2423" s="54">
        <f t="shared" si="284"/>
        <v>39</v>
      </c>
      <c r="J2423" s="14" t="str">
        <f t="shared" si="279"/>
        <v>Normal</v>
      </c>
      <c r="K2423" s="16" t="str">
        <f t="shared" si="280"/>
        <v>6-12</v>
      </c>
      <c r="L2423" s="14" t="str">
        <f t="shared" si="281"/>
        <v>Romper Longer | 6-12 | Cream</v>
      </c>
      <c r="M2423" s="16" t="s">
        <v>3611</v>
      </c>
    </row>
    <row r="2424" spans="1:13" ht="25" customHeight="1" x14ac:dyDescent="0.45">
      <c r="A2424" s="18">
        <v>45926</v>
      </c>
      <c r="B2424" s="19" t="s">
        <v>2547</v>
      </c>
      <c r="C2424" s="23" t="s">
        <v>9</v>
      </c>
      <c r="D2424" s="53" t="str">
        <f t="shared" si="283"/>
        <v>Cream</v>
      </c>
      <c r="E2424" s="21" t="s">
        <v>1828</v>
      </c>
      <c r="F2424" s="21" t="str">
        <f ca="1">IFERROR(__xludf.DUMMYFUNCTION("IFERROR(REGEXEXTRACT(O725, ""\n([A-Za-z ]+)$""), """")
"),"United Kingdom")</f>
        <v>United Kingdom</v>
      </c>
      <c r="G2424" s="4" t="str">
        <f t="shared" si="282"/>
        <v>Romper Longer</v>
      </c>
      <c r="H2424" s="38">
        <f t="shared" ref="H2424:H2487" si="285">MONTH(A2424)</f>
        <v>9</v>
      </c>
      <c r="I2424" s="54">
        <f t="shared" si="284"/>
        <v>39</v>
      </c>
      <c r="J2424" s="14" t="str">
        <f t="shared" ref="J2424:J2487" si="286">IF(H2424=1,"NewYear",
IF(H2424=2,"Valentine",
IF(OR(H2424=3,H2424=4),"Easter",
IF(H2424=5,"MothersDay",
IF(H2424=6,"FathersDay",
IF(OR(H2424=7,H2424=8),"Summer",
IF(H2424=10,"Halloween",
IF(OR(H2424=11,H2424=12),"Christmas","Normal"))))))))</f>
        <v>Normal</v>
      </c>
      <c r="K2424" s="16" t="str">
        <f t="shared" ref="K2424:K2487" si="287">TRIM(LEFT(E2424,FIND("(",E2424&amp;"(")-3))</f>
        <v>3-6</v>
      </c>
      <c r="L2424" s="14" t="str">
        <f t="shared" si="281"/>
        <v>Romper Longer | 3-6 | Cream</v>
      </c>
      <c r="M2424" s="16" t="s">
        <v>3609</v>
      </c>
    </row>
    <row r="2425" spans="1:13" ht="25" customHeight="1" x14ac:dyDescent="0.45">
      <c r="A2425" s="18">
        <v>45927</v>
      </c>
      <c r="B2425" s="19" t="s">
        <v>2548</v>
      </c>
      <c r="C2425" s="23" t="s">
        <v>110</v>
      </c>
      <c r="D2425" s="53" t="str">
        <f t="shared" si="283"/>
        <v>Sage Green</v>
      </c>
      <c r="E2425" s="21" t="s">
        <v>1834</v>
      </c>
      <c r="F2425" s="21" t="str">
        <f ca="1">IFERROR(__xludf.DUMMYFUNCTION("IFERROR(REGEXEXTRACT(O725, ""\n([A-Za-z ]+)$""), """")
"),"United Kingdom")</f>
        <v>United Kingdom</v>
      </c>
      <c r="G2425" s="4" t="str">
        <f t="shared" si="282"/>
        <v>Romper Short</v>
      </c>
      <c r="H2425" s="38">
        <f t="shared" si="285"/>
        <v>9</v>
      </c>
      <c r="I2425" s="54">
        <f t="shared" si="284"/>
        <v>39</v>
      </c>
      <c r="J2425" s="14" t="str">
        <f t="shared" si="286"/>
        <v>Normal</v>
      </c>
      <c r="K2425" s="16" t="str">
        <f t="shared" si="287"/>
        <v>0-3</v>
      </c>
      <c r="L2425" s="14" t="str">
        <f t="shared" si="281"/>
        <v>Romper Short | 0-3 | Sage Green</v>
      </c>
      <c r="M2425" s="16" t="s">
        <v>3610</v>
      </c>
    </row>
    <row r="2426" spans="1:13" ht="25" customHeight="1" x14ac:dyDescent="0.45">
      <c r="A2426" s="18">
        <v>45928</v>
      </c>
      <c r="B2426" s="19" t="s">
        <v>2549</v>
      </c>
      <c r="C2426" s="23" t="s">
        <v>9</v>
      </c>
      <c r="D2426" s="53" t="str">
        <f t="shared" si="283"/>
        <v>Cream</v>
      </c>
      <c r="E2426" s="21" t="s">
        <v>1849</v>
      </c>
      <c r="F2426" s="21" t="str">
        <f ca="1">IFERROR(__xludf.DUMMYFUNCTION("IFERROR(REGEXEXTRACT(O725, ""\n([A-Za-z ]+)$""), """")
"),"United Kingdom")</f>
        <v>United Kingdom</v>
      </c>
      <c r="G2426" s="4" t="str">
        <f t="shared" si="282"/>
        <v>Romper Short</v>
      </c>
      <c r="H2426" s="38">
        <f t="shared" si="285"/>
        <v>9</v>
      </c>
      <c r="I2426" s="54">
        <f t="shared" si="284"/>
        <v>40</v>
      </c>
      <c r="J2426" s="14" t="str">
        <f t="shared" si="286"/>
        <v>Normal</v>
      </c>
      <c r="K2426" s="16" t="str">
        <f t="shared" si="287"/>
        <v>3-6</v>
      </c>
      <c r="L2426" s="14" t="str">
        <f t="shared" si="281"/>
        <v>Romper Short | 3-6 | Cream</v>
      </c>
      <c r="M2426" s="16" t="s">
        <v>3609</v>
      </c>
    </row>
    <row r="2427" spans="1:13" ht="25" customHeight="1" x14ac:dyDescent="0.45">
      <c r="A2427" s="18">
        <v>45929</v>
      </c>
      <c r="B2427" s="19" t="s">
        <v>2550</v>
      </c>
      <c r="C2427" s="23" t="s">
        <v>81</v>
      </c>
      <c r="D2427" s="53" t="str">
        <f t="shared" si="283"/>
        <v>Dusty Pink</v>
      </c>
      <c r="E2427" s="21" t="s">
        <v>1828</v>
      </c>
      <c r="F2427" s="21" t="str">
        <f ca="1">IFERROR(__xludf.DUMMYFUNCTION("IFERROR(REGEXEXTRACT(O725, ""\n([A-Za-z ]+)$""), """")
"),"United Kingdom")</f>
        <v>United Kingdom</v>
      </c>
      <c r="G2427" s="4" t="str">
        <f t="shared" si="282"/>
        <v>Romper Longer</v>
      </c>
      <c r="H2427" s="38">
        <f t="shared" si="285"/>
        <v>9</v>
      </c>
      <c r="I2427" s="54">
        <f t="shared" si="284"/>
        <v>40</v>
      </c>
      <c r="J2427" s="14" t="str">
        <f t="shared" si="286"/>
        <v>Normal</v>
      </c>
      <c r="K2427" s="16" t="str">
        <f t="shared" si="287"/>
        <v>3-6</v>
      </c>
      <c r="L2427" s="14" t="str">
        <f t="shared" si="281"/>
        <v>Romper Longer | 3-6 | Dusty Pink</v>
      </c>
      <c r="M2427" s="16" t="s">
        <v>3610</v>
      </c>
    </row>
    <row r="2428" spans="1:13" ht="25" customHeight="1" x14ac:dyDescent="0.45">
      <c r="A2428" s="18">
        <v>45930</v>
      </c>
      <c r="B2428" s="19" t="s">
        <v>2551</v>
      </c>
      <c r="C2428" s="23" t="s">
        <v>110</v>
      </c>
      <c r="D2428" s="53" t="str">
        <f t="shared" si="283"/>
        <v>Sage Green</v>
      </c>
      <c r="E2428" s="21" t="s">
        <v>1831</v>
      </c>
      <c r="F2428" s="21" t="str">
        <f ca="1">IFERROR(__xludf.DUMMYFUNCTION("IFERROR(REGEXEXTRACT(O725, ""\n([A-Za-z ]+)$""), """")
"),"United Kingdom")</f>
        <v>United Kingdom</v>
      </c>
      <c r="G2428" s="4" t="str">
        <f t="shared" si="282"/>
        <v>Romper Longer</v>
      </c>
      <c r="H2428" s="38">
        <f t="shared" si="285"/>
        <v>9</v>
      </c>
      <c r="I2428" s="54">
        <f t="shared" si="284"/>
        <v>40</v>
      </c>
      <c r="J2428" s="14" t="str">
        <f t="shared" si="286"/>
        <v>Normal</v>
      </c>
      <c r="K2428" s="16" t="str">
        <f t="shared" si="287"/>
        <v>0-3</v>
      </c>
      <c r="L2428" s="14" t="str">
        <f t="shared" si="281"/>
        <v>Romper Longer | 0-3 | Sage Green</v>
      </c>
      <c r="M2428" s="16" t="s">
        <v>3611</v>
      </c>
    </row>
    <row r="2429" spans="1:13" ht="25" customHeight="1" x14ac:dyDescent="0.45">
      <c r="A2429" s="18">
        <v>45931</v>
      </c>
      <c r="B2429" s="19" t="s">
        <v>2552</v>
      </c>
      <c r="C2429" s="23" t="s">
        <v>9</v>
      </c>
      <c r="D2429" s="53" t="str">
        <f t="shared" si="283"/>
        <v>Cream</v>
      </c>
      <c r="E2429" s="21" t="s">
        <v>1831</v>
      </c>
      <c r="F2429" s="21" t="str">
        <f ca="1">IFERROR(__xludf.DUMMYFUNCTION("IFERROR(REGEXEXTRACT(O730, ""\n([A-Za-z ]+)$""), """")
"),"Switzerland")</f>
        <v>Switzerland</v>
      </c>
      <c r="G2429" s="4" t="str">
        <f t="shared" si="282"/>
        <v>Romper Longer</v>
      </c>
      <c r="H2429" s="38">
        <f t="shared" si="285"/>
        <v>10</v>
      </c>
      <c r="I2429" s="54">
        <f t="shared" si="284"/>
        <v>40</v>
      </c>
      <c r="J2429" s="14" t="str">
        <f t="shared" si="286"/>
        <v>Halloween</v>
      </c>
      <c r="K2429" s="16" t="str">
        <f t="shared" si="287"/>
        <v>0-3</v>
      </c>
      <c r="L2429" s="14" t="str">
        <f t="shared" si="281"/>
        <v>Romper Longer | 0-3 | Cream</v>
      </c>
      <c r="M2429" s="16" t="s">
        <v>3609</v>
      </c>
    </row>
    <row r="2430" spans="1:13" ht="25" customHeight="1" x14ac:dyDescent="0.45">
      <c r="A2430" s="18">
        <v>45932</v>
      </c>
      <c r="B2430" s="19" t="s">
        <v>2553</v>
      </c>
      <c r="C2430" s="23" t="s">
        <v>110</v>
      </c>
      <c r="D2430" s="53" t="str">
        <f t="shared" si="283"/>
        <v>Sage Green</v>
      </c>
      <c r="E2430" s="21" t="s">
        <v>1828</v>
      </c>
      <c r="F2430" s="21" t="str">
        <f ca="1">IFERROR(__xludf.DUMMYFUNCTION("IFERROR(REGEXEXTRACT(O730, ""\n([A-Za-z ]+)$""), """")
"),"Switzerland")</f>
        <v>Switzerland</v>
      </c>
      <c r="G2430" s="4" t="str">
        <f t="shared" si="282"/>
        <v>Romper Longer</v>
      </c>
      <c r="H2430" s="38">
        <f t="shared" si="285"/>
        <v>10</v>
      </c>
      <c r="I2430" s="54">
        <f t="shared" si="284"/>
        <v>40</v>
      </c>
      <c r="J2430" s="14" t="str">
        <f t="shared" si="286"/>
        <v>Halloween</v>
      </c>
      <c r="K2430" s="16" t="str">
        <f t="shared" si="287"/>
        <v>3-6</v>
      </c>
      <c r="L2430" s="14" t="str">
        <f t="shared" si="281"/>
        <v>Romper Longer | 3-6 | Sage Green</v>
      </c>
      <c r="M2430" s="16" t="s">
        <v>3611</v>
      </c>
    </row>
    <row r="2431" spans="1:13" ht="25" customHeight="1" x14ac:dyDescent="0.45">
      <c r="A2431" s="18">
        <v>45933</v>
      </c>
      <c r="B2431" s="19" t="s">
        <v>2554</v>
      </c>
      <c r="C2431" s="23" t="s">
        <v>76</v>
      </c>
      <c r="D2431" s="53" t="str">
        <f t="shared" si="283"/>
        <v>Caldet Blue</v>
      </c>
      <c r="E2431" s="21" t="s">
        <v>1828</v>
      </c>
      <c r="F2431" s="21" t="str">
        <f ca="1">IFERROR(__xludf.DUMMYFUNCTION("IFERROR(REGEXEXTRACT(O732, ""\n([A-Za-z ]+)$""), """")
"),"United States")</f>
        <v>United States</v>
      </c>
      <c r="G2431" s="4" t="str">
        <f t="shared" si="282"/>
        <v>Romper Longer</v>
      </c>
      <c r="H2431" s="38">
        <f t="shared" si="285"/>
        <v>10</v>
      </c>
      <c r="I2431" s="54">
        <f t="shared" si="284"/>
        <v>40</v>
      </c>
      <c r="J2431" s="14" t="str">
        <f t="shared" si="286"/>
        <v>Halloween</v>
      </c>
      <c r="K2431" s="16" t="str">
        <f t="shared" si="287"/>
        <v>3-6</v>
      </c>
      <c r="L2431" s="14" t="str">
        <f t="shared" si="281"/>
        <v>Romper Longer | 3-6 | Caldet Blue</v>
      </c>
      <c r="M2431" s="16" t="s">
        <v>3610</v>
      </c>
    </row>
    <row r="2432" spans="1:13" ht="25" customHeight="1" x14ac:dyDescent="0.45">
      <c r="A2432" s="18">
        <v>45934</v>
      </c>
      <c r="B2432" s="19" t="s">
        <v>2555</v>
      </c>
      <c r="C2432" s="23" t="s">
        <v>9</v>
      </c>
      <c r="D2432" s="53" t="str">
        <f t="shared" si="283"/>
        <v>Cream</v>
      </c>
      <c r="E2432" s="21" t="s">
        <v>1849</v>
      </c>
      <c r="F2432" s="21" t="str">
        <f ca="1">IFERROR(__xludf.DUMMYFUNCTION("IFERROR(REGEXEXTRACT(O732, ""\n([A-Za-z ]+)$""), """")
"),"United States")</f>
        <v>United States</v>
      </c>
      <c r="G2432" s="4" t="str">
        <f t="shared" si="282"/>
        <v>Romper Short</v>
      </c>
      <c r="H2432" s="38">
        <f t="shared" si="285"/>
        <v>10</v>
      </c>
      <c r="I2432" s="54">
        <f t="shared" si="284"/>
        <v>40</v>
      </c>
      <c r="J2432" s="14" t="str">
        <f t="shared" si="286"/>
        <v>Halloween</v>
      </c>
      <c r="K2432" s="16" t="str">
        <f t="shared" si="287"/>
        <v>3-6</v>
      </c>
      <c r="L2432" s="14" t="str">
        <f t="shared" si="281"/>
        <v>Romper Short | 3-6 | Cream</v>
      </c>
      <c r="M2432" s="16" t="s">
        <v>3609</v>
      </c>
    </row>
    <row r="2433" spans="1:13" ht="25" customHeight="1" x14ac:dyDescent="0.45">
      <c r="A2433" s="18">
        <v>45935</v>
      </c>
      <c r="B2433" s="19" t="s">
        <v>2556</v>
      </c>
      <c r="C2433" s="23" t="s">
        <v>9</v>
      </c>
      <c r="D2433" s="53" t="str">
        <f t="shared" si="283"/>
        <v>Cream</v>
      </c>
      <c r="E2433" s="21" t="s">
        <v>1831</v>
      </c>
      <c r="F2433" s="21" t="str">
        <f ca="1">IFERROR(__xludf.DUMMYFUNCTION("IFERROR(REGEXEXTRACT(O732, ""\n([A-Za-z ]+)$""), """")
"),"United States")</f>
        <v>United States</v>
      </c>
      <c r="G2433" s="4" t="str">
        <f t="shared" si="282"/>
        <v>Romper Longer</v>
      </c>
      <c r="H2433" s="38">
        <f t="shared" si="285"/>
        <v>10</v>
      </c>
      <c r="I2433" s="54">
        <f t="shared" si="284"/>
        <v>41</v>
      </c>
      <c r="J2433" s="14" t="str">
        <f t="shared" si="286"/>
        <v>Halloween</v>
      </c>
      <c r="K2433" s="16" t="str">
        <f t="shared" si="287"/>
        <v>0-3</v>
      </c>
      <c r="L2433" s="14" t="str">
        <f t="shared" si="281"/>
        <v>Romper Longer | 0-3 | Cream</v>
      </c>
      <c r="M2433" s="16" t="s">
        <v>3609</v>
      </c>
    </row>
    <row r="2434" spans="1:13" ht="25" customHeight="1" x14ac:dyDescent="0.45">
      <c r="A2434" s="18">
        <v>45936</v>
      </c>
      <c r="B2434" s="19" t="s">
        <v>2557</v>
      </c>
      <c r="C2434" s="23" t="s">
        <v>9</v>
      </c>
      <c r="D2434" s="53" t="str">
        <f t="shared" si="283"/>
        <v>Cream</v>
      </c>
      <c r="E2434" s="21" t="s">
        <v>1838</v>
      </c>
      <c r="F2434" s="21" t="str">
        <f ca="1">IFERROR(__xludf.DUMMYFUNCTION("IFERROR(REGEXEXTRACT(O732, ""\n([A-Za-z ]+)$""), """")
"),"United States")</f>
        <v>United States</v>
      </c>
      <c r="G2434" s="4" t="str">
        <f t="shared" si="282"/>
        <v>Romper Short</v>
      </c>
      <c r="H2434" s="38">
        <f t="shared" si="285"/>
        <v>10</v>
      </c>
      <c r="I2434" s="54">
        <f t="shared" si="284"/>
        <v>41</v>
      </c>
      <c r="J2434" s="14" t="str">
        <f t="shared" si="286"/>
        <v>Halloween</v>
      </c>
      <c r="K2434" s="16" t="str">
        <f t="shared" si="287"/>
        <v>12-18</v>
      </c>
      <c r="L2434" s="14" t="str">
        <f t="shared" ref="L2434:L2497" si="288">TRIM(G2434)&amp;" | "&amp;TRIM(K2434)&amp;" | "&amp;PROPER(TRIM(D2434))</f>
        <v>Romper Short | 12-18 | Cream</v>
      </c>
      <c r="M2434" s="16" t="s">
        <v>3610</v>
      </c>
    </row>
    <row r="2435" spans="1:13" ht="25" customHeight="1" x14ac:dyDescent="0.45">
      <c r="A2435" s="18">
        <v>45937</v>
      </c>
      <c r="B2435" s="19" t="s">
        <v>2558</v>
      </c>
      <c r="C2435" s="23" t="s">
        <v>76</v>
      </c>
      <c r="D2435" s="53" t="str">
        <f t="shared" si="283"/>
        <v>Caldet Blue</v>
      </c>
      <c r="E2435" s="21" t="s">
        <v>1841</v>
      </c>
      <c r="F2435" s="21" t="str">
        <f ca="1">IFERROR(__xludf.DUMMYFUNCTION("IFERROR(REGEXEXTRACT(O732, ""\n([A-Za-z ]+)$""), """")
"),"United States")</f>
        <v>United States</v>
      </c>
      <c r="G2435" s="4" t="str">
        <f t="shared" si="282"/>
        <v>Romper Longer</v>
      </c>
      <c r="H2435" s="38">
        <f t="shared" si="285"/>
        <v>10</v>
      </c>
      <c r="I2435" s="54">
        <f t="shared" si="284"/>
        <v>41</v>
      </c>
      <c r="J2435" s="14" t="str">
        <f t="shared" si="286"/>
        <v>Halloween</v>
      </c>
      <c r="K2435" s="16" t="str">
        <f t="shared" si="287"/>
        <v>6-12</v>
      </c>
      <c r="L2435" s="14" t="str">
        <f t="shared" si="288"/>
        <v>Romper Longer | 6-12 | Caldet Blue</v>
      </c>
      <c r="M2435" s="16" t="s">
        <v>3610</v>
      </c>
    </row>
    <row r="2436" spans="1:13" ht="25" customHeight="1" x14ac:dyDescent="0.45">
      <c r="A2436" s="18">
        <v>45938</v>
      </c>
      <c r="B2436" s="19" t="s">
        <v>2559</v>
      </c>
      <c r="C2436" s="23" t="s">
        <v>81</v>
      </c>
      <c r="D2436" s="53" t="str">
        <f t="shared" si="283"/>
        <v>Dusty Pink</v>
      </c>
      <c r="E2436" s="21" t="s">
        <v>1831</v>
      </c>
      <c r="F2436" s="21" t="str">
        <f ca="1">IFERROR(__xludf.DUMMYFUNCTION("IFERROR(REGEXEXTRACT(O732, ""\n([A-Za-z ]+)$""), """")
"),"United States")</f>
        <v>United States</v>
      </c>
      <c r="G2436" s="4" t="str">
        <f t="shared" si="282"/>
        <v>Romper Longer</v>
      </c>
      <c r="H2436" s="38">
        <f t="shared" si="285"/>
        <v>10</v>
      </c>
      <c r="I2436" s="54">
        <f t="shared" si="284"/>
        <v>41</v>
      </c>
      <c r="J2436" s="14" t="str">
        <f t="shared" si="286"/>
        <v>Halloween</v>
      </c>
      <c r="K2436" s="16" t="str">
        <f t="shared" si="287"/>
        <v>0-3</v>
      </c>
      <c r="L2436" s="14" t="str">
        <f t="shared" si="288"/>
        <v>Romper Longer | 0-3 | Dusty Pink</v>
      </c>
      <c r="M2436" s="16" t="s">
        <v>3610</v>
      </c>
    </row>
    <row r="2437" spans="1:13" ht="25" customHeight="1" x14ac:dyDescent="0.45">
      <c r="A2437" s="18">
        <v>45939</v>
      </c>
      <c r="B2437" s="19" t="s">
        <v>2560</v>
      </c>
      <c r="C2437" s="23" t="s">
        <v>76</v>
      </c>
      <c r="D2437" s="53" t="str">
        <f t="shared" si="283"/>
        <v>Caldet Blue</v>
      </c>
      <c r="E2437" s="21" t="s">
        <v>1849</v>
      </c>
      <c r="F2437" s="21" t="str">
        <f ca="1">IFERROR(__xludf.DUMMYFUNCTION("IFERROR(REGEXEXTRACT(O732, ""\n([A-Za-z ]+)$""), """")
"),"United States")</f>
        <v>United States</v>
      </c>
      <c r="G2437" s="4" t="str">
        <f t="shared" si="282"/>
        <v>Romper Short</v>
      </c>
      <c r="H2437" s="38">
        <f t="shared" si="285"/>
        <v>10</v>
      </c>
      <c r="I2437" s="54">
        <f t="shared" si="284"/>
        <v>41</v>
      </c>
      <c r="J2437" s="14" t="str">
        <f t="shared" si="286"/>
        <v>Halloween</v>
      </c>
      <c r="K2437" s="16" t="str">
        <f t="shared" si="287"/>
        <v>3-6</v>
      </c>
      <c r="L2437" s="14" t="str">
        <f t="shared" si="288"/>
        <v>Romper Short | 3-6 | Caldet Blue</v>
      </c>
      <c r="M2437" s="16" t="s">
        <v>3610</v>
      </c>
    </row>
    <row r="2438" spans="1:13" ht="25" customHeight="1" x14ac:dyDescent="0.45">
      <c r="A2438" s="18">
        <v>45940</v>
      </c>
      <c r="B2438" s="19" t="s">
        <v>2561</v>
      </c>
      <c r="C2438" s="23" t="s">
        <v>85</v>
      </c>
      <c r="D2438" s="53" t="str">
        <f t="shared" si="283"/>
        <v>Forest Green</v>
      </c>
      <c r="E2438" s="21" t="s">
        <v>1849</v>
      </c>
      <c r="F2438" s="21" t="str">
        <f ca="1">IFERROR(__xludf.DUMMYFUNCTION("IFERROR(REGEXEXTRACT(O732, ""\n([A-Za-z ]+)$""), """")
"),"United States")</f>
        <v>United States</v>
      </c>
      <c r="G2438" s="4" t="str">
        <f t="shared" si="282"/>
        <v>Romper Short</v>
      </c>
      <c r="H2438" s="38">
        <f t="shared" si="285"/>
        <v>10</v>
      </c>
      <c r="I2438" s="54">
        <f t="shared" si="284"/>
        <v>41</v>
      </c>
      <c r="J2438" s="14" t="str">
        <f t="shared" si="286"/>
        <v>Halloween</v>
      </c>
      <c r="K2438" s="16" t="str">
        <f t="shared" si="287"/>
        <v>3-6</v>
      </c>
      <c r="L2438" s="14" t="str">
        <f t="shared" si="288"/>
        <v>Romper Short | 3-6 | Forest Green</v>
      </c>
      <c r="M2438" s="16" t="s">
        <v>3610</v>
      </c>
    </row>
    <row r="2439" spans="1:13" ht="25" customHeight="1" x14ac:dyDescent="0.45">
      <c r="A2439" s="18">
        <v>45941</v>
      </c>
      <c r="B2439" s="19" t="s">
        <v>2562</v>
      </c>
      <c r="C2439" s="23" t="s">
        <v>74</v>
      </c>
      <c r="D2439" s="53" t="str">
        <f t="shared" si="283"/>
        <v>Watermelon</v>
      </c>
      <c r="E2439" s="21" t="s">
        <v>1828</v>
      </c>
      <c r="F2439" s="21" t="str">
        <f ca="1">IFERROR(__xludf.DUMMYFUNCTION("IFERROR(REGEXEXTRACT(O732, ""\n([A-Za-z ]+)$""), """")
"),"United States")</f>
        <v>United States</v>
      </c>
      <c r="G2439" s="4" t="str">
        <f t="shared" si="282"/>
        <v>Romper Longer</v>
      </c>
      <c r="H2439" s="38">
        <f t="shared" si="285"/>
        <v>10</v>
      </c>
      <c r="I2439" s="54">
        <f t="shared" si="284"/>
        <v>41</v>
      </c>
      <c r="J2439" s="14" t="str">
        <f t="shared" si="286"/>
        <v>Halloween</v>
      </c>
      <c r="K2439" s="16" t="str">
        <f t="shared" si="287"/>
        <v>3-6</v>
      </c>
      <c r="L2439" s="14" t="str">
        <f t="shared" si="288"/>
        <v>Romper Longer | 3-6 | Watermelon</v>
      </c>
      <c r="M2439" s="16" t="s">
        <v>3610</v>
      </c>
    </row>
    <row r="2440" spans="1:13" ht="25" customHeight="1" x14ac:dyDescent="0.45">
      <c r="A2440" s="18">
        <v>45942</v>
      </c>
      <c r="B2440" s="19" t="s">
        <v>2563</v>
      </c>
      <c r="C2440" s="23" t="s">
        <v>178</v>
      </c>
      <c r="D2440" s="53" t="str">
        <f t="shared" si="283"/>
        <v>Mauve Taupe</v>
      </c>
      <c r="E2440" s="21" t="s">
        <v>1831</v>
      </c>
      <c r="F2440" s="21" t="str">
        <f ca="1">IFERROR(__xludf.DUMMYFUNCTION("IFERROR(REGEXEXTRACT(O732, ""\n([A-Za-z ]+)$""), """")
"),"United States")</f>
        <v>United States</v>
      </c>
      <c r="G2440" s="4" t="str">
        <f t="shared" si="282"/>
        <v>Romper Longer</v>
      </c>
      <c r="H2440" s="38">
        <f t="shared" si="285"/>
        <v>10</v>
      </c>
      <c r="I2440" s="54">
        <f t="shared" si="284"/>
        <v>42</v>
      </c>
      <c r="J2440" s="14" t="str">
        <f t="shared" si="286"/>
        <v>Halloween</v>
      </c>
      <c r="K2440" s="16" t="str">
        <f t="shared" si="287"/>
        <v>0-3</v>
      </c>
      <c r="L2440" s="14" t="str">
        <f t="shared" si="288"/>
        <v>Romper Longer | 0-3 | Mauve Taupe</v>
      </c>
      <c r="M2440" s="16" t="s">
        <v>3610</v>
      </c>
    </row>
    <row r="2441" spans="1:13" ht="25" customHeight="1" x14ac:dyDescent="0.45">
      <c r="A2441" s="18">
        <v>45943</v>
      </c>
      <c r="B2441" s="19" t="s">
        <v>2564</v>
      </c>
      <c r="C2441" s="23" t="s">
        <v>79</v>
      </c>
      <c r="D2441" s="53" t="str">
        <f t="shared" si="283"/>
        <v>White</v>
      </c>
      <c r="E2441" s="21" t="s">
        <v>1828</v>
      </c>
      <c r="F2441" s="21" t="str">
        <f ca="1">IFERROR(__xludf.DUMMYFUNCTION("IFERROR(REGEXEXTRACT(O742, ""\n([A-Za-z ]+)$""), """")
"),"Germany")</f>
        <v>Germany</v>
      </c>
      <c r="G2441" s="4" t="str">
        <f t="shared" si="282"/>
        <v>Romper Longer</v>
      </c>
      <c r="H2441" s="38">
        <f t="shared" si="285"/>
        <v>10</v>
      </c>
      <c r="I2441" s="54">
        <f t="shared" si="284"/>
        <v>42</v>
      </c>
      <c r="J2441" s="14" t="str">
        <f t="shared" si="286"/>
        <v>Halloween</v>
      </c>
      <c r="K2441" s="16" t="str">
        <f t="shared" si="287"/>
        <v>3-6</v>
      </c>
      <c r="L2441" s="14" t="str">
        <f t="shared" si="288"/>
        <v>Romper Longer | 3-6 | White</v>
      </c>
      <c r="M2441" s="16" t="s">
        <v>3610</v>
      </c>
    </row>
    <row r="2442" spans="1:13" ht="25" customHeight="1" x14ac:dyDescent="0.45">
      <c r="A2442" s="18">
        <v>45944</v>
      </c>
      <c r="B2442" s="19" t="s">
        <v>2565</v>
      </c>
      <c r="C2442" s="23" t="s">
        <v>9</v>
      </c>
      <c r="D2442" s="53" t="str">
        <f t="shared" si="283"/>
        <v>Cream</v>
      </c>
      <c r="E2442" s="21" t="s">
        <v>1828</v>
      </c>
      <c r="F2442" s="21" t="str">
        <f ca="1">IFERROR(__xludf.DUMMYFUNCTION("IFERROR(REGEXEXTRACT(O743, ""\n([A-Za-z ]+)$""), """")
"),"Switzerland")</f>
        <v>Switzerland</v>
      </c>
      <c r="G2442" s="4" t="str">
        <f t="shared" si="282"/>
        <v>Romper Longer</v>
      </c>
      <c r="H2442" s="38">
        <f t="shared" si="285"/>
        <v>10</v>
      </c>
      <c r="I2442" s="54">
        <f t="shared" si="284"/>
        <v>42</v>
      </c>
      <c r="J2442" s="14" t="str">
        <f t="shared" si="286"/>
        <v>Halloween</v>
      </c>
      <c r="K2442" s="16" t="str">
        <f t="shared" si="287"/>
        <v>3-6</v>
      </c>
      <c r="L2442" s="14" t="str">
        <f t="shared" si="288"/>
        <v>Romper Longer | 3-6 | Cream</v>
      </c>
      <c r="M2442" s="16" t="s">
        <v>3609</v>
      </c>
    </row>
    <row r="2443" spans="1:13" ht="25" customHeight="1" x14ac:dyDescent="0.45">
      <c r="A2443" s="18">
        <v>45945</v>
      </c>
      <c r="B2443" s="19" t="s">
        <v>2566</v>
      </c>
      <c r="C2443" s="23" t="s">
        <v>76</v>
      </c>
      <c r="D2443" s="53" t="str">
        <f t="shared" si="283"/>
        <v>Caldet Blue</v>
      </c>
      <c r="E2443" s="21" t="s">
        <v>1831</v>
      </c>
      <c r="F2443" s="21" t="str">
        <f ca="1">IFERROR(__xludf.DUMMYFUNCTION("IFERROR(REGEXEXTRACT(O744, ""\n([A-Za-z ]+)$""), """")
"),"United Kingdom")</f>
        <v>United Kingdom</v>
      </c>
      <c r="G2443" s="4" t="str">
        <f t="shared" si="282"/>
        <v>Romper Longer</v>
      </c>
      <c r="H2443" s="38">
        <f t="shared" si="285"/>
        <v>10</v>
      </c>
      <c r="I2443" s="54">
        <f t="shared" si="284"/>
        <v>42</v>
      </c>
      <c r="J2443" s="14" t="str">
        <f t="shared" si="286"/>
        <v>Halloween</v>
      </c>
      <c r="K2443" s="16" t="str">
        <f t="shared" si="287"/>
        <v>0-3</v>
      </c>
      <c r="L2443" s="14" t="str">
        <f t="shared" si="288"/>
        <v>Romper Longer | 0-3 | Caldet Blue</v>
      </c>
      <c r="M2443" s="16" t="s">
        <v>3610</v>
      </c>
    </row>
    <row r="2444" spans="1:13" ht="25" customHeight="1" x14ac:dyDescent="0.45">
      <c r="A2444" s="18">
        <v>45946</v>
      </c>
      <c r="B2444" s="19" t="s">
        <v>2567</v>
      </c>
      <c r="C2444" s="23" t="s">
        <v>81</v>
      </c>
      <c r="D2444" s="53" t="str">
        <f t="shared" si="283"/>
        <v>Dusty Pink</v>
      </c>
      <c r="E2444" s="21" t="s">
        <v>1841</v>
      </c>
      <c r="F2444" s="21" t="str">
        <f ca="1">IFERROR(__xludf.DUMMYFUNCTION("IFERROR(REGEXEXTRACT(O745, ""\n([A-Za-z ]+)$""), """")
"),"Germany")</f>
        <v>Germany</v>
      </c>
      <c r="G2444" s="4" t="str">
        <f t="shared" si="282"/>
        <v>Romper Longer</v>
      </c>
      <c r="H2444" s="38">
        <f t="shared" si="285"/>
        <v>10</v>
      </c>
      <c r="I2444" s="54">
        <f t="shared" si="284"/>
        <v>42</v>
      </c>
      <c r="J2444" s="14" t="str">
        <f t="shared" si="286"/>
        <v>Halloween</v>
      </c>
      <c r="K2444" s="16" t="str">
        <f t="shared" si="287"/>
        <v>6-12</v>
      </c>
      <c r="L2444" s="14" t="str">
        <f t="shared" si="288"/>
        <v>Romper Longer | 6-12 | Dusty Pink</v>
      </c>
      <c r="M2444" s="16" t="s">
        <v>3610</v>
      </c>
    </row>
    <row r="2445" spans="1:13" ht="25" customHeight="1" x14ac:dyDescent="0.45">
      <c r="A2445" s="18">
        <v>45947</v>
      </c>
      <c r="B2445" s="19" t="s">
        <v>2568</v>
      </c>
      <c r="C2445" s="23" t="s">
        <v>9</v>
      </c>
      <c r="D2445" s="53" t="str">
        <f t="shared" si="283"/>
        <v>Cream</v>
      </c>
      <c r="E2445" s="21" t="s">
        <v>1834</v>
      </c>
      <c r="F2445" s="21" t="str">
        <f ca="1">IFERROR(__xludf.DUMMYFUNCTION("IFERROR(REGEXEXTRACT(O745, ""\n([A-Za-z ]+)$""), """")
"),"Germany")</f>
        <v>Germany</v>
      </c>
      <c r="G2445" s="4" t="str">
        <f t="shared" si="282"/>
        <v>Romper Short</v>
      </c>
      <c r="H2445" s="38">
        <f t="shared" si="285"/>
        <v>10</v>
      </c>
      <c r="I2445" s="54">
        <f t="shared" si="284"/>
        <v>42</v>
      </c>
      <c r="J2445" s="14" t="str">
        <f t="shared" si="286"/>
        <v>Halloween</v>
      </c>
      <c r="K2445" s="16" t="str">
        <f t="shared" si="287"/>
        <v>0-3</v>
      </c>
      <c r="L2445" s="14" t="str">
        <f t="shared" si="288"/>
        <v>Romper Short | 0-3 | Cream</v>
      </c>
      <c r="M2445" s="16" t="s">
        <v>3609</v>
      </c>
    </row>
    <row r="2446" spans="1:13" ht="25" customHeight="1" x14ac:dyDescent="0.45">
      <c r="A2446" s="18">
        <v>45948</v>
      </c>
      <c r="B2446" s="19" t="s">
        <v>2569</v>
      </c>
      <c r="C2446" s="23" t="s">
        <v>81</v>
      </c>
      <c r="D2446" s="53" t="str">
        <f t="shared" si="283"/>
        <v>Dusty Pink</v>
      </c>
      <c r="E2446" s="21" t="s">
        <v>1834</v>
      </c>
      <c r="F2446" s="21" t="str">
        <f ca="1">IFERROR(__xludf.DUMMYFUNCTION("IFERROR(REGEXEXTRACT(O747, ""\n([A-Za-z ]+)$""), """")
"),"United States")</f>
        <v>United States</v>
      </c>
      <c r="G2446" s="4" t="str">
        <f t="shared" si="282"/>
        <v>Romper Short</v>
      </c>
      <c r="H2446" s="38">
        <f t="shared" si="285"/>
        <v>10</v>
      </c>
      <c r="I2446" s="54">
        <f t="shared" si="284"/>
        <v>42</v>
      </c>
      <c r="J2446" s="14" t="str">
        <f t="shared" si="286"/>
        <v>Halloween</v>
      </c>
      <c r="K2446" s="16" t="str">
        <f t="shared" si="287"/>
        <v>0-3</v>
      </c>
      <c r="L2446" s="14" t="str">
        <f t="shared" si="288"/>
        <v>Romper Short | 0-3 | Dusty Pink</v>
      </c>
      <c r="M2446" s="16" t="s">
        <v>3610</v>
      </c>
    </row>
    <row r="2447" spans="1:13" ht="25" customHeight="1" x14ac:dyDescent="0.45">
      <c r="A2447" s="18">
        <v>45949</v>
      </c>
      <c r="B2447" s="19" t="s">
        <v>2570</v>
      </c>
      <c r="C2447" s="23" t="s">
        <v>178</v>
      </c>
      <c r="D2447" s="53" t="str">
        <f t="shared" si="283"/>
        <v>Mauve Taupe</v>
      </c>
      <c r="E2447" s="21" t="s">
        <v>1841</v>
      </c>
      <c r="F2447" s="21" t="str">
        <f ca="1">IFERROR(__xludf.DUMMYFUNCTION("IFERROR(REGEXEXTRACT(O747, ""\n([A-Za-z ]+)$""), """")
"),"United States")</f>
        <v>United States</v>
      </c>
      <c r="G2447" s="4" t="str">
        <f t="shared" ref="G2447:G2510" si="289">IF(ISNUMBER(SEARCH("LONG",E2447)),"Romper Longer",IF(ISNUMBER(SEARCH("SHORT",E2447)),"Romper Short","Bodysuit"))</f>
        <v>Romper Longer</v>
      </c>
      <c r="H2447" s="38">
        <f t="shared" si="285"/>
        <v>10</v>
      </c>
      <c r="I2447" s="54">
        <f t="shared" si="284"/>
        <v>43</v>
      </c>
      <c r="J2447" s="14" t="str">
        <f t="shared" si="286"/>
        <v>Halloween</v>
      </c>
      <c r="K2447" s="16" t="str">
        <f t="shared" si="287"/>
        <v>6-12</v>
      </c>
      <c r="L2447" s="14" t="str">
        <f t="shared" si="288"/>
        <v>Romper Longer | 6-12 | Mauve Taupe</v>
      </c>
      <c r="M2447" s="16" t="s">
        <v>3610</v>
      </c>
    </row>
    <row r="2448" spans="1:13" ht="25" customHeight="1" x14ac:dyDescent="0.45">
      <c r="A2448" s="18">
        <v>45950</v>
      </c>
      <c r="B2448" s="19" t="s">
        <v>2571</v>
      </c>
      <c r="C2448" s="23" t="s">
        <v>9</v>
      </c>
      <c r="D2448" s="53" t="str">
        <f t="shared" si="283"/>
        <v>Cream</v>
      </c>
      <c r="E2448" s="21" t="s">
        <v>1841</v>
      </c>
      <c r="F2448" s="21" t="str">
        <f ca="1">IFERROR(__xludf.DUMMYFUNCTION("IFERROR(REGEXEXTRACT(O749, ""\n([A-Za-z ]+)$""), """")
"),"United States")</f>
        <v>United States</v>
      </c>
      <c r="G2448" s="4" t="str">
        <f t="shared" si="289"/>
        <v>Romper Longer</v>
      </c>
      <c r="H2448" s="38">
        <f t="shared" si="285"/>
        <v>10</v>
      </c>
      <c r="I2448" s="54">
        <f t="shared" si="284"/>
        <v>43</v>
      </c>
      <c r="J2448" s="14" t="str">
        <f t="shared" si="286"/>
        <v>Halloween</v>
      </c>
      <c r="K2448" s="16" t="str">
        <f t="shared" si="287"/>
        <v>6-12</v>
      </c>
      <c r="L2448" s="14" t="str">
        <f t="shared" si="288"/>
        <v>Romper Longer | 6-12 | Cream</v>
      </c>
      <c r="M2448" s="16" t="s">
        <v>3611</v>
      </c>
    </row>
    <row r="2449" spans="1:13" ht="25" customHeight="1" x14ac:dyDescent="0.45">
      <c r="A2449" s="18">
        <v>45951</v>
      </c>
      <c r="B2449" s="19" t="s">
        <v>2572</v>
      </c>
      <c r="C2449" s="23" t="s">
        <v>79</v>
      </c>
      <c r="D2449" s="53" t="str">
        <f t="shared" si="283"/>
        <v>White</v>
      </c>
      <c r="E2449" s="21" t="s">
        <v>1841</v>
      </c>
      <c r="F2449" s="21" t="str">
        <f ca="1">IFERROR(__xludf.DUMMYFUNCTION("IFERROR(REGEXEXTRACT(O750, ""\n([A-Za-z ]+)$""), """")
"),"United States")</f>
        <v>United States</v>
      </c>
      <c r="G2449" s="4" t="str">
        <f t="shared" si="289"/>
        <v>Romper Longer</v>
      </c>
      <c r="H2449" s="38">
        <f t="shared" si="285"/>
        <v>10</v>
      </c>
      <c r="I2449" s="54">
        <f t="shared" si="284"/>
        <v>43</v>
      </c>
      <c r="J2449" s="14" t="str">
        <f t="shared" si="286"/>
        <v>Halloween</v>
      </c>
      <c r="K2449" s="16" t="str">
        <f t="shared" si="287"/>
        <v>6-12</v>
      </c>
      <c r="L2449" s="14" t="str">
        <f t="shared" si="288"/>
        <v>Romper Longer | 6-12 | White</v>
      </c>
      <c r="M2449" s="16" t="s">
        <v>3610</v>
      </c>
    </row>
    <row r="2450" spans="1:13" ht="25" customHeight="1" x14ac:dyDescent="0.45">
      <c r="A2450" s="18">
        <v>45952</v>
      </c>
      <c r="B2450" s="19" t="s">
        <v>2573</v>
      </c>
      <c r="C2450" s="23" t="s">
        <v>76</v>
      </c>
      <c r="D2450" s="53" t="str">
        <f t="shared" si="283"/>
        <v>Caldet Blue</v>
      </c>
      <c r="E2450" s="21" t="s">
        <v>1841</v>
      </c>
      <c r="F2450" s="21" t="str">
        <f ca="1">IFERROR(__xludf.DUMMYFUNCTION("IFERROR(REGEXEXTRACT(O751, ""\n([A-Za-z ]+)$""), """")
"),"United States")</f>
        <v>United States</v>
      </c>
      <c r="G2450" s="4" t="str">
        <f t="shared" si="289"/>
        <v>Romper Longer</v>
      </c>
      <c r="H2450" s="38">
        <f t="shared" si="285"/>
        <v>10</v>
      </c>
      <c r="I2450" s="54">
        <f t="shared" si="284"/>
        <v>43</v>
      </c>
      <c r="J2450" s="14" t="str">
        <f t="shared" si="286"/>
        <v>Halloween</v>
      </c>
      <c r="K2450" s="16" t="str">
        <f t="shared" si="287"/>
        <v>6-12</v>
      </c>
      <c r="L2450" s="14" t="str">
        <f t="shared" si="288"/>
        <v>Romper Longer | 6-12 | Caldet Blue</v>
      </c>
      <c r="M2450" s="16" t="s">
        <v>3610</v>
      </c>
    </row>
    <row r="2451" spans="1:13" ht="25" customHeight="1" x14ac:dyDescent="0.45">
      <c r="A2451" s="18">
        <v>45953</v>
      </c>
      <c r="B2451" s="19" t="s">
        <v>2381</v>
      </c>
      <c r="C2451" s="23" t="s">
        <v>110</v>
      </c>
      <c r="D2451" s="53" t="str">
        <f t="shared" ref="D2451:D2514" si="290">PROPER(C2451)</f>
        <v>Sage Green</v>
      </c>
      <c r="E2451" s="21" t="s">
        <v>1831</v>
      </c>
      <c r="F2451" s="21" t="str">
        <f ca="1">IFERROR(__xludf.DUMMYFUNCTION("IFERROR(REGEXEXTRACT(O752, ""\n([A-Za-z ]+)$""), """")
"),"United States")</f>
        <v>United States</v>
      </c>
      <c r="G2451" s="4" t="str">
        <f t="shared" si="289"/>
        <v>Romper Longer</v>
      </c>
      <c r="H2451" s="38">
        <f t="shared" si="285"/>
        <v>10</v>
      </c>
      <c r="I2451" s="54">
        <f t="shared" si="284"/>
        <v>43</v>
      </c>
      <c r="J2451" s="14" t="str">
        <f t="shared" si="286"/>
        <v>Halloween</v>
      </c>
      <c r="K2451" s="16" t="str">
        <f t="shared" si="287"/>
        <v>0-3</v>
      </c>
      <c r="L2451" s="14" t="str">
        <f t="shared" si="288"/>
        <v>Romper Longer | 0-3 | Sage Green</v>
      </c>
      <c r="M2451" s="16" t="s">
        <v>3611</v>
      </c>
    </row>
    <row r="2452" spans="1:13" ht="25" customHeight="1" x14ac:dyDescent="0.45">
      <c r="A2452" s="18">
        <v>45954</v>
      </c>
      <c r="B2452" s="19" t="s">
        <v>2574</v>
      </c>
      <c r="C2452" s="23" t="s">
        <v>76</v>
      </c>
      <c r="D2452" s="53" t="str">
        <f t="shared" si="290"/>
        <v>Caldet Blue</v>
      </c>
      <c r="E2452" s="21" t="s">
        <v>1834</v>
      </c>
      <c r="F2452" s="21" t="str">
        <f ca="1">IFERROR(__xludf.DUMMYFUNCTION("IFERROR(REGEXEXTRACT(O753, ""\n([A-Za-z ]+)$""), """")
"),"United States")</f>
        <v>United States</v>
      </c>
      <c r="G2452" s="4" t="str">
        <f t="shared" si="289"/>
        <v>Romper Short</v>
      </c>
      <c r="H2452" s="38">
        <f t="shared" si="285"/>
        <v>10</v>
      </c>
      <c r="I2452" s="54">
        <f t="shared" si="284"/>
        <v>43</v>
      </c>
      <c r="J2452" s="14" t="str">
        <f t="shared" si="286"/>
        <v>Halloween</v>
      </c>
      <c r="K2452" s="16" t="str">
        <f t="shared" si="287"/>
        <v>0-3</v>
      </c>
      <c r="L2452" s="14" t="str">
        <f t="shared" si="288"/>
        <v>Romper Short | 0-3 | Caldet Blue</v>
      </c>
      <c r="M2452" s="16" t="s">
        <v>3610</v>
      </c>
    </row>
    <row r="2453" spans="1:13" ht="25" customHeight="1" x14ac:dyDescent="0.45">
      <c r="A2453" s="18">
        <v>45955</v>
      </c>
      <c r="B2453" s="19" t="s">
        <v>2575</v>
      </c>
      <c r="C2453" s="23" t="s">
        <v>76</v>
      </c>
      <c r="D2453" s="53" t="str">
        <f t="shared" si="290"/>
        <v>Caldet Blue</v>
      </c>
      <c r="E2453" s="21" t="s">
        <v>1834</v>
      </c>
      <c r="F2453" s="21" t="str">
        <f ca="1">IFERROR(__xludf.DUMMYFUNCTION("IFERROR(REGEXEXTRACT(O754, ""\n([A-Za-z ]+)$""), """")
"),"United States")</f>
        <v>United States</v>
      </c>
      <c r="G2453" s="4" t="str">
        <f t="shared" si="289"/>
        <v>Romper Short</v>
      </c>
      <c r="H2453" s="38">
        <f t="shared" si="285"/>
        <v>10</v>
      </c>
      <c r="I2453" s="54">
        <f t="shared" si="284"/>
        <v>43</v>
      </c>
      <c r="J2453" s="14" t="str">
        <f t="shared" si="286"/>
        <v>Halloween</v>
      </c>
      <c r="K2453" s="16" t="str">
        <f t="shared" si="287"/>
        <v>0-3</v>
      </c>
      <c r="L2453" s="14" t="str">
        <f t="shared" si="288"/>
        <v>Romper Short | 0-3 | Caldet Blue</v>
      </c>
      <c r="M2453" s="16" t="s">
        <v>3610</v>
      </c>
    </row>
    <row r="2454" spans="1:13" ht="25" customHeight="1" x14ac:dyDescent="0.45">
      <c r="A2454" s="18">
        <v>45956</v>
      </c>
      <c r="B2454" s="19" t="s">
        <v>2576</v>
      </c>
      <c r="C2454" s="23" t="s">
        <v>79</v>
      </c>
      <c r="D2454" s="53" t="str">
        <f t="shared" si="290"/>
        <v>White</v>
      </c>
      <c r="E2454" s="21" t="s">
        <v>1841</v>
      </c>
      <c r="F2454" s="21" t="str">
        <f ca="1">IFERROR(__xludf.DUMMYFUNCTION("IFERROR(REGEXEXTRACT(O754, ""\n([A-Za-z ]+)$""), """")
"),"United States")</f>
        <v>United States</v>
      </c>
      <c r="G2454" s="4" t="str">
        <f t="shared" si="289"/>
        <v>Romper Longer</v>
      </c>
      <c r="H2454" s="38">
        <f t="shared" si="285"/>
        <v>10</v>
      </c>
      <c r="I2454" s="54">
        <f t="shared" si="284"/>
        <v>44</v>
      </c>
      <c r="J2454" s="14" t="str">
        <f t="shared" si="286"/>
        <v>Halloween</v>
      </c>
      <c r="K2454" s="16" t="str">
        <f t="shared" si="287"/>
        <v>6-12</v>
      </c>
      <c r="L2454" s="14" t="str">
        <f t="shared" si="288"/>
        <v>Romper Longer | 6-12 | White</v>
      </c>
      <c r="M2454" s="16" t="s">
        <v>3610</v>
      </c>
    </row>
    <row r="2455" spans="1:13" ht="25" customHeight="1" x14ac:dyDescent="0.45">
      <c r="A2455" s="18">
        <v>45957</v>
      </c>
      <c r="B2455" s="19" t="s">
        <v>2577</v>
      </c>
      <c r="C2455" s="23" t="s">
        <v>9</v>
      </c>
      <c r="D2455" s="53" t="str">
        <f t="shared" si="290"/>
        <v>Cream</v>
      </c>
      <c r="E2455" s="21" t="s">
        <v>1841</v>
      </c>
      <c r="F2455" s="21" t="str">
        <f ca="1">IFERROR(__xludf.DUMMYFUNCTION("IFERROR(REGEXEXTRACT(O756, ""\n([A-Za-z ]+)$""), """")
"),"United Kingdom")</f>
        <v>United Kingdom</v>
      </c>
      <c r="G2455" s="4" t="str">
        <f t="shared" si="289"/>
        <v>Romper Longer</v>
      </c>
      <c r="H2455" s="38">
        <f t="shared" si="285"/>
        <v>10</v>
      </c>
      <c r="I2455" s="54">
        <f t="shared" si="284"/>
        <v>44</v>
      </c>
      <c r="J2455" s="14" t="str">
        <f t="shared" si="286"/>
        <v>Halloween</v>
      </c>
      <c r="K2455" s="16" t="str">
        <f t="shared" si="287"/>
        <v>6-12</v>
      </c>
      <c r="L2455" s="14" t="str">
        <f t="shared" si="288"/>
        <v>Romper Longer | 6-12 | Cream</v>
      </c>
      <c r="M2455" s="16" t="s">
        <v>3611</v>
      </c>
    </row>
    <row r="2456" spans="1:13" ht="25" customHeight="1" x14ac:dyDescent="0.45">
      <c r="A2456" s="18">
        <v>45958</v>
      </c>
      <c r="B2456" s="19" t="s">
        <v>2578</v>
      </c>
      <c r="C2456" s="23" t="s">
        <v>9</v>
      </c>
      <c r="D2456" s="53" t="str">
        <f t="shared" si="290"/>
        <v>Cream</v>
      </c>
      <c r="E2456" s="21" t="s">
        <v>1834</v>
      </c>
      <c r="F2456" s="21" t="str">
        <f ca="1">IFERROR(__xludf.DUMMYFUNCTION("IFERROR(REGEXEXTRACT(O757, ""\n([A-Za-z ]+)$""), """")
"),"United States")</f>
        <v>United States</v>
      </c>
      <c r="G2456" s="4" t="str">
        <f t="shared" si="289"/>
        <v>Romper Short</v>
      </c>
      <c r="H2456" s="38">
        <f t="shared" si="285"/>
        <v>10</v>
      </c>
      <c r="I2456" s="54">
        <f t="shared" si="284"/>
        <v>44</v>
      </c>
      <c r="J2456" s="14" t="str">
        <f t="shared" si="286"/>
        <v>Halloween</v>
      </c>
      <c r="K2456" s="16" t="str">
        <f t="shared" si="287"/>
        <v>0-3</v>
      </c>
      <c r="L2456" s="14" t="str">
        <f t="shared" si="288"/>
        <v>Romper Short | 0-3 | Cream</v>
      </c>
      <c r="M2456" s="16" t="s">
        <v>3609</v>
      </c>
    </row>
    <row r="2457" spans="1:13" ht="25" customHeight="1" x14ac:dyDescent="0.45">
      <c r="A2457" s="18">
        <v>45959</v>
      </c>
      <c r="B2457" s="19" t="s">
        <v>2579</v>
      </c>
      <c r="C2457" s="23" t="s">
        <v>79</v>
      </c>
      <c r="D2457" s="53" t="str">
        <f t="shared" si="290"/>
        <v>White</v>
      </c>
      <c r="E2457" s="21" t="s">
        <v>1834</v>
      </c>
      <c r="F2457" s="21" t="str">
        <f ca="1">IFERROR(__xludf.DUMMYFUNCTION("IFERROR(REGEXEXTRACT(O758, ""\n([A-Za-z ]+)$""), """")
"),"United States")</f>
        <v>United States</v>
      </c>
      <c r="G2457" s="4" t="str">
        <f t="shared" si="289"/>
        <v>Romper Short</v>
      </c>
      <c r="H2457" s="38">
        <f t="shared" si="285"/>
        <v>10</v>
      </c>
      <c r="I2457" s="54">
        <f t="shared" si="284"/>
        <v>44</v>
      </c>
      <c r="J2457" s="14" t="str">
        <f t="shared" si="286"/>
        <v>Halloween</v>
      </c>
      <c r="K2457" s="16" t="str">
        <f t="shared" si="287"/>
        <v>0-3</v>
      </c>
      <c r="L2457" s="14" t="str">
        <f t="shared" si="288"/>
        <v>Romper Short | 0-3 | White</v>
      </c>
      <c r="M2457" s="16" t="s">
        <v>3610</v>
      </c>
    </row>
    <row r="2458" spans="1:13" ht="25" customHeight="1" x14ac:dyDescent="0.45">
      <c r="A2458" s="18">
        <v>45960</v>
      </c>
      <c r="B2458" s="19" t="s">
        <v>2580</v>
      </c>
      <c r="C2458" s="23" t="s">
        <v>85</v>
      </c>
      <c r="D2458" s="53" t="str">
        <f t="shared" si="290"/>
        <v>Forest Green</v>
      </c>
      <c r="E2458" s="21" t="s">
        <v>1849</v>
      </c>
      <c r="F2458" s="21" t="str">
        <f ca="1">IFERROR(__xludf.DUMMYFUNCTION("IFERROR(REGEXEXTRACT(O758, ""\n([A-Za-z ]+)$""), """")
"),"United States")</f>
        <v>United States</v>
      </c>
      <c r="G2458" s="4" t="str">
        <f t="shared" si="289"/>
        <v>Romper Short</v>
      </c>
      <c r="H2458" s="38">
        <f t="shared" si="285"/>
        <v>10</v>
      </c>
      <c r="I2458" s="54">
        <f t="shared" si="284"/>
        <v>44</v>
      </c>
      <c r="J2458" s="14" t="str">
        <f t="shared" si="286"/>
        <v>Halloween</v>
      </c>
      <c r="K2458" s="16" t="str">
        <f t="shared" si="287"/>
        <v>3-6</v>
      </c>
      <c r="L2458" s="14" t="str">
        <f t="shared" si="288"/>
        <v>Romper Short | 3-6 | Forest Green</v>
      </c>
      <c r="M2458" s="16" t="s">
        <v>3610</v>
      </c>
    </row>
    <row r="2459" spans="1:13" ht="25" customHeight="1" x14ac:dyDescent="0.45">
      <c r="A2459" s="18">
        <v>45961</v>
      </c>
      <c r="B2459" s="19" t="s">
        <v>2581</v>
      </c>
      <c r="C2459" s="23" t="s">
        <v>76</v>
      </c>
      <c r="D2459" s="53" t="str">
        <f t="shared" si="290"/>
        <v>Caldet Blue</v>
      </c>
      <c r="E2459" s="21" t="s">
        <v>1831</v>
      </c>
      <c r="F2459" s="21" t="str">
        <f ca="1">IFERROR(__xludf.DUMMYFUNCTION("IFERROR(REGEXEXTRACT(O760, ""\n([A-Za-z ]+)$""), """")
"),"Ireland")</f>
        <v>Ireland</v>
      </c>
      <c r="G2459" s="4" t="str">
        <f t="shared" si="289"/>
        <v>Romper Longer</v>
      </c>
      <c r="H2459" s="38">
        <f t="shared" si="285"/>
        <v>10</v>
      </c>
      <c r="I2459" s="54">
        <f t="shared" si="284"/>
        <v>44</v>
      </c>
      <c r="J2459" s="14" t="str">
        <f t="shared" si="286"/>
        <v>Halloween</v>
      </c>
      <c r="K2459" s="16" t="str">
        <f t="shared" si="287"/>
        <v>0-3</v>
      </c>
      <c r="L2459" s="14" t="str">
        <f t="shared" si="288"/>
        <v>Romper Longer | 0-3 | Caldet Blue</v>
      </c>
      <c r="M2459" s="16" t="s">
        <v>3610</v>
      </c>
    </row>
    <row r="2460" spans="1:13" ht="25" customHeight="1" x14ac:dyDescent="0.45">
      <c r="A2460" s="18">
        <v>45962</v>
      </c>
      <c r="B2460" s="19" t="s">
        <v>2582</v>
      </c>
      <c r="C2460" s="23" t="s">
        <v>81</v>
      </c>
      <c r="D2460" s="53" t="str">
        <f t="shared" si="290"/>
        <v>Dusty Pink</v>
      </c>
      <c r="E2460" s="21" t="s">
        <v>1370</v>
      </c>
      <c r="F2460" s="21" t="str">
        <f ca="1">IFERROR(__xludf.DUMMYFUNCTION("IFERROR(REGEXEXTRACT(O761, ""\n([A-Za-z ]+)$""), """")
"),"United States")</f>
        <v>United States</v>
      </c>
      <c r="G2460" s="4" t="str">
        <f t="shared" si="289"/>
        <v>Romper Short</v>
      </c>
      <c r="H2460" s="38">
        <f t="shared" si="285"/>
        <v>11</v>
      </c>
      <c r="I2460" s="54">
        <f t="shared" si="284"/>
        <v>44</v>
      </c>
      <c r="J2460" s="14" t="str">
        <f t="shared" si="286"/>
        <v>Christmas</v>
      </c>
      <c r="K2460" s="16" t="str">
        <f t="shared" si="287"/>
        <v>18-24</v>
      </c>
      <c r="L2460" s="14" t="str">
        <f t="shared" si="288"/>
        <v>Romper Short | 18-24 | Dusty Pink</v>
      </c>
      <c r="M2460" s="16" t="s">
        <v>3610</v>
      </c>
    </row>
    <row r="2461" spans="1:13" ht="25" customHeight="1" x14ac:dyDescent="0.45">
      <c r="A2461" s="18">
        <v>45963</v>
      </c>
      <c r="B2461" s="19" t="s">
        <v>2583</v>
      </c>
      <c r="C2461" s="23" t="s">
        <v>76</v>
      </c>
      <c r="D2461" s="53" t="str">
        <f t="shared" si="290"/>
        <v>Caldet Blue</v>
      </c>
      <c r="E2461" s="21" t="s">
        <v>1828</v>
      </c>
      <c r="F2461" s="21" t="str">
        <f ca="1">IFERROR(__xludf.DUMMYFUNCTION("IFERROR(REGEXEXTRACT(O761, ""\n([A-Za-z ]+)$""), """")
"),"United States")</f>
        <v>United States</v>
      </c>
      <c r="G2461" s="4" t="str">
        <f t="shared" si="289"/>
        <v>Romper Longer</v>
      </c>
      <c r="H2461" s="38">
        <f t="shared" si="285"/>
        <v>11</v>
      </c>
      <c r="I2461" s="54">
        <f t="shared" si="284"/>
        <v>45</v>
      </c>
      <c r="J2461" s="14" t="str">
        <f t="shared" si="286"/>
        <v>Christmas</v>
      </c>
      <c r="K2461" s="16" t="str">
        <f t="shared" si="287"/>
        <v>3-6</v>
      </c>
      <c r="L2461" s="14" t="str">
        <f t="shared" si="288"/>
        <v>Romper Longer | 3-6 | Caldet Blue</v>
      </c>
      <c r="M2461" s="16" t="s">
        <v>3610</v>
      </c>
    </row>
    <row r="2462" spans="1:13" ht="25" customHeight="1" x14ac:dyDescent="0.45">
      <c r="A2462" s="18">
        <v>45964</v>
      </c>
      <c r="B2462" s="19" t="s">
        <v>2584</v>
      </c>
      <c r="C2462" s="23" t="s">
        <v>110</v>
      </c>
      <c r="D2462" s="53" t="str">
        <f t="shared" si="290"/>
        <v>Sage Green</v>
      </c>
      <c r="E2462" s="21" t="s">
        <v>1849</v>
      </c>
      <c r="F2462" s="21" t="str">
        <f ca="1">IFERROR(__xludf.DUMMYFUNCTION("IFERROR(REGEXEXTRACT(O761, ""\n([A-Za-z ]+)$""), """")
"),"United States")</f>
        <v>United States</v>
      </c>
      <c r="G2462" s="4" t="str">
        <f t="shared" si="289"/>
        <v>Romper Short</v>
      </c>
      <c r="H2462" s="38">
        <f t="shared" si="285"/>
        <v>11</v>
      </c>
      <c r="I2462" s="54">
        <f t="shared" si="284"/>
        <v>45</v>
      </c>
      <c r="J2462" s="14" t="str">
        <f t="shared" si="286"/>
        <v>Christmas</v>
      </c>
      <c r="K2462" s="16" t="str">
        <f t="shared" si="287"/>
        <v>3-6</v>
      </c>
      <c r="L2462" s="14" t="str">
        <f t="shared" si="288"/>
        <v>Romper Short | 3-6 | Sage Green</v>
      </c>
      <c r="M2462" s="16" t="s">
        <v>3611</v>
      </c>
    </row>
    <row r="2463" spans="1:13" ht="25" customHeight="1" x14ac:dyDescent="0.45">
      <c r="A2463" s="18">
        <v>45965</v>
      </c>
      <c r="B2463" s="19" t="s">
        <v>2585</v>
      </c>
      <c r="C2463" s="23" t="s">
        <v>79</v>
      </c>
      <c r="D2463" s="53" t="str">
        <f t="shared" si="290"/>
        <v>White</v>
      </c>
      <c r="E2463" s="21" t="s">
        <v>1849</v>
      </c>
      <c r="F2463" s="21" t="str">
        <f ca="1">IFERROR(__xludf.DUMMYFUNCTION("IFERROR(REGEXEXTRACT(O761, ""\n([A-Za-z ]+)$""), """")
"),"United States")</f>
        <v>United States</v>
      </c>
      <c r="G2463" s="4" t="str">
        <f t="shared" si="289"/>
        <v>Romper Short</v>
      </c>
      <c r="H2463" s="38">
        <f t="shared" si="285"/>
        <v>11</v>
      </c>
      <c r="I2463" s="54">
        <f t="shared" si="284"/>
        <v>45</v>
      </c>
      <c r="J2463" s="14" t="str">
        <f t="shared" si="286"/>
        <v>Christmas</v>
      </c>
      <c r="K2463" s="16" t="str">
        <f t="shared" si="287"/>
        <v>3-6</v>
      </c>
      <c r="L2463" s="14" t="str">
        <f t="shared" si="288"/>
        <v>Romper Short | 3-6 | White</v>
      </c>
      <c r="M2463" s="16" t="s">
        <v>3610</v>
      </c>
    </row>
    <row r="2464" spans="1:13" ht="25" customHeight="1" x14ac:dyDescent="0.45">
      <c r="A2464" s="18">
        <v>45966</v>
      </c>
      <c r="B2464" s="19" t="s">
        <v>2586</v>
      </c>
      <c r="C2464" s="23" t="s">
        <v>9</v>
      </c>
      <c r="D2464" s="53" t="str">
        <f t="shared" si="290"/>
        <v>Cream</v>
      </c>
      <c r="E2464" s="21" t="s">
        <v>1828</v>
      </c>
      <c r="F2464" s="21" t="str">
        <f ca="1">IFERROR(__xludf.DUMMYFUNCTION("IFERROR(REGEXEXTRACT(O761, ""\n([A-Za-z ]+)$""), """")
"),"United States")</f>
        <v>United States</v>
      </c>
      <c r="G2464" s="4" t="str">
        <f t="shared" si="289"/>
        <v>Romper Longer</v>
      </c>
      <c r="H2464" s="38">
        <f t="shared" si="285"/>
        <v>11</v>
      </c>
      <c r="I2464" s="54">
        <f t="shared" si="284"/>
        <v>45</v>
      </c>
      <c r="J2464" s="14" t="str">
        <f t="shared" si="286"/>
        <v>Christmas</v>
      </c>
      <c r="K2464" s="16" t="str">
        <f t="shared" si="287"/>
        <v>3-6</v>
      </c>
      <c r="L2464" s="14" t="str">
        <f t="shared" si="288"/>
        <v>Romper Longer | 3-6 | Cream</v>
      </c>
      <c r="M2464" s="16" t="s">
        <v>3609</v>
      </c>
    </row>
    <row r="2465" spans="1:13" ht="25" customHeight="1" x14ac:dyDescent="0.45">
      <c r="A2465" s="18">
        <v>45967</v>
      </c>
      <c r="B2465" s="19" t="s">
        <v>2587</v>
      </c>
      <c r="C2465" s="23" t="s">
        <v>9</v>
      </c>
      <c r="D2465" s="53" t="str">
        <f t="shared" si="290"/>
        <v>Cream</v>
      </c>
      <c r="E2465" s="21" t="s">
        <v>1828</v>
      </c>
      <c r="F2465" s="21" t="str">
        <f ca="1">IFERROR(__xludf.DUMMYFUNCTION("IFERROR(REGEXEXTRACT(O761, ""\n([A-Za-z ]+)$""), """")
"),"United States")</f>
        <v>United States</v>
      </c>
      <c r="G2465" s="4" t="str">
        <f t="shared" si="289"/>
        <v>Romper Longer</v>
      </c>
      <c r="H2465" s="38">
        <f t="shared" si="285"/>
        <v>11</v>
      </c>
      <c r="I2465" s="54">
        <f t="shared" si="284"/>
        <v>45</v>
      </c>
      <c r="J2465" s="14" t="str">
        <f t="shared" si="286"/>
        <v>Christmas</v>
      </c>
      <c r="K2465" s="16" t="str">
        <f t="shared" si="287"/>
        <v>3-6</v>
      </c>
      <c r="L2465" s="14" t="str">
        <f t="shared" si="288"/>
        <v>Romper Longer | 3-6 | Cream</v>
      </c>
      <c r="M2465" s="16" t="s">
        <v>3609</v>
      </c>
    </row>
    <row r="2466" spans="1:13" ht="25" customHeight="1" x14ac:dyDescent="0.45">
      <c r="A2466" s="18">
        <v>45968</v>
      </c>
      <c r="B2466" s="19" t="s">
        <v>2588</v>
      </c>
      <c r="C2466" s="23" t="s">
        <v>9</v>
      </c>
      <c r="D2466" s="53" t="str">
        <f t="shared" si="290"/>
        <v>Cream</v>
      </c>
      <c r="E2466" s="21" t="s">
        <v>1828</v>
      </c>
      <c r="F2466" s="21" t="str">
        <f ca="1">IFERROR(__xludf.DUMMYFUNCTION("IFERROR(REGEXEXTRACT(O761, ""\n([A-Za-z ]+)$""), """")
"),"United States")</f>
        <v>United States</v>
      </c>
      <c r="G2466" s="4" t="str">
        <f t="shared" si="289"/>
        <v>Romper Longer</v>
      </c>
      <c r="H2466" s="38">
        <f t="shared" si="285"/>
        <v>11</v>
      </c>
      <c r="I2466" s="54">
        <f t="shared" si="284"/>
        <v>45</v>
      </c>
      <c r="J2466" s="14" t="str">
        <f t="shared" si="286"/>
        <v>Christmas</v>
      </c>
      <c r="K2466" s="16" t="str">
        <f t="shared" si="287"/>
        <v>3-6</v>
      </c>
      <c r="L2466" s="14" t="str">
        <f t="shared" si="288"/>
        <v>Romper Longer | 3-6 | Cream</v>
      </c>
      <c r="M2466" s="16" t="s">
        <v>3609</v>
      </c>
    </row>
    <row r="2467" spans="1:13" ht="25" customHeight="1" x14ac:dyDescent="0.45">
      <c r="A2467" s="18">
        <v>45969</v>
      </c>
      <c r="B2467" s="19" t="s">
        <v>2589</v>
      </c>
      <c r="C2467" s="23" t="s">
        <v>9</v>
      </c>
      <c r="D2467" s="53" t="str">
        <f t="shared" si="290"/>
        <v>Cream</v>
      </c>
      <c r="E2467" s="21" t="s">
        <v>1831</v>
      </c>
      <c r="F2467" s="21" t="str">
        <f ca="1">IFERROR(__xludf.DUMMYFUNCTION("IFERROR(REGEXEXTRACT(O761, ""\n([A-Za-z ]+)$""), """")
"),"United States")</f>
        <v>United States</v>
      </c>
      <c r="G2467" s="4" t="str">
        <f t="shared" si="289"/>
        <v>Romper Longer</v>
      </c>
      <c r="H2467" s="38">
        <f t="shared" si="285"/>
        <v>11</v>
      </c>
      <c r="I2467" s="54">
        <f t="shared" si="284"/>
        <v>45</v>
      </c>
      <c r="J2467" s="14" t="str">
        <f t="shared" si="286"/>
        <v>Christmas</v>
      </c>
      <c r="K2467" s="16" t="str">
        <f t="shared" si="287"/>
        <v>0-3</v>
      </c>
      <c r="L2467" s="14" t="str">
        <f t="shared" si="288"/>
        <v>Romper Longer | 0-3 | Cream</v>
      </c>
      <c r="M2467" s="16" t="s">
        <v>3609</v>
      </c>
    </row>
    <row r="2468" spans="1:13" ht="25" customHeight="1" x14ac:dyDescent="0.45">
      <c r="A2468" s="18">
        <v>45970</v>
      </c>
      <c r="B2468" s="19" t="s">
        <v>2590</v>
      </c>
      <c r="C2468" s="23" t="s">
        <v>224</v>
      </c>
      <c r="D2468" s="53" t="str">
        <f t="shared" si="290"/>
        <v>Salmon</v>
      </c>
      <c r="E2468" s="21" t="s">
        <v>1828</v>
      </c>
      <c r="F2468" s="21" t="str">
        <f ca="1">IFERROR(__xludf.DUMMYFUNCTION("IFERROR(REGEXEXTRACT(O761, ""\n([A-Za-z ]+)$""), """")
"),"United States")</f>
        <v>United States</v>
      </c>
      <c r="G2468" s="4" t="str">
        <f t="shared" si="289"/>
        <v>Romper Longer</v>
      </c>
      <c r="H2468" s="38">
        <f t="shared" si="285"/>
        <v>11</v>
      </c>
      <c r="I2468" s="54">
        <f t="shared" si="284"/>
        <v>46</v>
      </c>
      <c r="J2468" s="14" t="str">
        <f t="shared" si="286"/>
        <v>Christmas</v>
      </c>
      <c r="K2468" s="16" t="str">
        <f t="shared" si="287"/>
        <v>3-6</v>
      </c>
      <c r="L2468" s="14" t="str">
        <f t="shared" si="288"/>
        <v>Romper Longer | 3-6 | Salmon</v>
      </c>
      <c r="M2468" s="16" t="s">
        <v>3610</v>
      </c>
    </row>
    <row r="2469" spans="1:13" ht="25" customHeight="1" x14ac:dyDescent="0.45">
      <c r="A2469" s="18">
        <v>45971</v>
      </c>
      <c r="B2469" s="19" t="s">
        <v>2591</v>
      </c>
      <c r="C2469" s="23" t="s">
        <v>76</v>
      </c>
      <c r="D2469" s="53" t="str">
        <f t="shared" si="290"/>
        <v>Caldet Blue</v>
      </c>
      <c r="E2469" s="21" t="s">
        <v>1828</v>
      </c>
      <c r="F2469" s="21" t="str">
        <f ca="1">IFERROR(__xludf.DUMMYFUNCTION("IFERROR(REGEXEXTRACT(O761, ""\n([A-Za-z ]+)$""), """")
"),"United States")</f>
        <v>United States</v>
      </c>
      <c r="G2469" s="4" t="str">
        <f t="shared" si="289"/>
        <v>Romper Longer</v>
      </c>
      <c r="H2469" s="38">
        <f t="shared" si="285"/>
        <v>11</v>
      </c>
      <c r="I2469" s="54">
        <f t="shared" si="284"/>
        <v>46</v>
      </c>
      <c r="J2469" s="14" t="str">
        <f t="shared" si="286"/>
        <v>Christmas</v>
      </c>
      <c r="K2469" s="16" t="str">
        <f t="shared" si="287"/>
        <v>3-6</v>
      </c>
      <c r="L2469" s="14" t="str">
        <f t="shared" si="288"/>
        <v>Romper Longer | 3-6 | Caldet Blue</v>
      </c>
      <c r="M2469" s="16" t="s">
        <v>3610</v>
      </c>
    </row>
    <row r="2470" spans="1:13" ht="25" customHeight="1" x14ac:dyDescent="0.45">
      <c r="A2470" s="18">
        <v>45972</v>
      </c>
      <c r="B2470" s="19" t="s">
        <v>2592</v>
      </c>
      <c r="C2470" s="23" t="s">
        <v>76</v>
      </c>
      <c r="D2470" s="53" t="str">
        <f t="shared" si="290"/>
        <v>Caldet Blue</v>
      </c>
      <c r="E2470" s="21" t="s">
        <v>1831</v>
      </c>
      <c r="F2470" s="21" t="str">
        <f ca="1">IFERROR(__xludf.DUMMYFUNCTION("IFERROR(REGEXEXTRACT(O761, ""\n([A-Za-z ]+)$""), """")
"),"United States")</f>
        <v>United States</v>
      </c>
      <c r="G2470" s="4" t="str">
        <f t="shared" si="289"/>
        <v>Romper Longer</v>
      </c>
      <c r="H2470" s="38">
        <f t="shared" si="285"/>
        <v>11</v>
      </c>
      <c r="I2470" s="54">
        <f t="shared" si="284"/>
        <v>46</v>
      </c>
      <c r="J2470" s="14" t="str">
        <f t="shared" si="286"/>
        <v>Christmas</v>
      </c>
      <c r="K2470" s="16" t="str">
        <f t="shared" si="287"/>
        <v>0-3</v>
      </c>
      <c r="L2470" s="14" t="str">
        <f t="shared" si="288"/>
        <v>Romper Longer | 0-3 | Caldet Blue</v>
      </c>
      <c r="M2470" s="16" t="s">
        <v>3610</v>
      </c>
    </row>
    <row r="2471" spans="1:13" ht="25" customHeight="1" x14ac:dyDescent="0.45">
      <c r="A2471" s="18">
        <v>45973</v>
      </c>
      <c r="B2471" s="19" t="s">
        <v>2593</v>
      </c>
      <c r="C2471" s="23" t="s">
        <v>9</v>
      </c>
      <c r="D2471" s="53" t="str">
        <f t="shared" si="290"/>
        <v>Cream</v>
      </c>
      <c r="E2471" s="21" t="s">
        <v>1550</v>
      </c>
      <c r="F2471" s="21" t="str">
        <f ca="1">IFERROR(__xludf.DUMMYFUNCTION("IFERROR(REGEXEXTRACT(O761, ""\n([A-Za-z ]+)$""), """")
"),"United States")</f>
        <v>United States</v>
      </c>
      <c r="G2471" s="4" t="str">
        <f t="shared" si="289"/>
        <v>Romper Longer</v>
      </c>
      <c r="H2471" s="38">
        <f t="shared" si="285"/>
        <v>11</v>
      </c>
      <c r="I2471" s="54">
        <f t="shared" si="284"/>
        <v>46</v>
      </c>
      <c r="J2471" s="14" t="str">
        <f t="shared" si="286"/>
        <v>Christmas</v>
      </c>
      <c r="K2471" s="16" t="str">
        <f t="shared" si="287"/>
        <v>12-18</v>
      </c>
      <c r="L2471" s="14" t="str">
        <f t="shared" si="288"/>
        <v>Romper Longer | 12-18 | Cream</v>
      </c>
      <c r="M2471" s="16" t="s">
        <v>3610</v>
      </c>
    </row>
    <row r="2472" spans="1:13" ht="25" customHeight="1" x14ac:dyDescent="0.45">
      <c r="A2472" s="18">
        <v>45974</v>
      </c>
      <c r="B2472" s="19" t="s">
        <v>2594</v>
      </c>
      <c r="C2472" s="23" t="s">
        <v>9</v>
      </c>
      <c r="D2472" s="53" t="str">
        <f t="shared" si="290"/>
        <v>Cream</v>
      </c>
      <c r="E2472" s="21" t="s">
        <v>1828</v>
      </c>
      <c r="F2472" s="21" t="str">
        <f ca="1">IFERROR(__xludf.DUMMYFUNCTION("IFERROR(REGEXEXTRACT(O761, ""\n([A-Za-z ]+)$""), """")
"),"United States")</f>
        <v>United States</v>
      </c>
      <c r="G2472" s="4" t="str">
        <f t="shared" si="289"/>
        <v>Romper Longer</v>
      </c>
      <c r="H2472" s="38">
        <f t="shared" si="285"/>
        <v>11</v>
      </c>
      <c r="I2472" s="54">
        <f t="shared" si="284"/>
        <v>46</v>
      </c>
      <c r="J2472" s="14" t="str">
        <f t="shared" si="286"/>
        <v>Christmas</v>
      </c>
      <c r="K2472" s="16" t="str">
        <f t="shared" si="287"/>
        <v>3-6</v>
      </c>
      <c r="L2472" s="14" t="str">
        <f t="shared" si="288"/>
        <v>Romper Longer | 3-6 | Cream</v>
      </c>
      <c r="M2472" s="16" t="s">
        <v>3609</v>
      </c>
    </row>
    <row r="2473" spans="1:13" ht="25" customHeight="1" x14ac:dyDescent="0.45">
      <c r="A2473" s="18">
        <v>45975</v>
      </c>
      <c r="B2473" s="19" t="s">
        <v>2595</v>
      </c>
      <c r="C2473" s="23" t="s">
        <v>9</v>
      </c>
      <c r="D2473" s="53" t="str">
        <f t="shared" si="290"/>
        <v>Cream</v>
      </c>
      <c r="E2473" s="21" t="s">
        <v>1828</v>
      </c>
      <c r="F2473" s="21" t="str">
        <f ca="1">IFERROR(__xludf.DUMMYFUNCTION("IFERROR(REGEXEXTRACT(O761, ""\n([A-Za-z ]+)$""), """")
"),"United States")</f>
        <v>United States</v>
      </c>
      <c r="G2473" s="4" t="str">
        <f t="shared" si="289"/>
        <v>Romper Longer</v>
      </c>
      <c r="H2473" s="38">
        <f t="shared" si="285"/>
        <v>11</v>
      </c>
      <c r="I2473" s="54">
        <f t="shared" si="284"/>
        <v>46</v>
      </c>
      <c r="J2473" s="14" t="str">
        <f t="shared" si="286"/>
        <v>Christmas</v>
      </c>
      <c r="K2473" s="16" t="str">
        <f t="shared" si="287"/>
        <v>3-6</v>
      </c>
      <c r="L2473" s="14" t="str">
        <f t="shared" si="288"/>
        <v>Romper Longer | 3-6 | Cream</v>
      </c>
      <c r="M2473" s="16" t="s">
        <v>3609</v>
      </c>
    </row>
    <row r="2474" spans="1:13" ht="25" customHeight="1" x14ac:dyDescent="0.45">
      <c r="A2474" s="18">
        <v>45976</v>
      </c>
      <c r="B2474" s="19" t="s">
        <v>2596</v>
      </c>
      <c r="C2474" s="23" t="s">
        <v>110</v>
      </c>
      <c r="D2474" s="53" t="str">
        <f t="shared" si="290"/>
        <v>Sage Green</v>
      </c>
      <c r="E2474" s="21" t="s">
        <v>1841</v>
      </c>
      <c r="F2474" s="21" t="str">
        <f ca="1">IFERROR(__xludf.DUMMYFUNCTION("IFERROR(REGEXEXTRACT(O761, ""\n([A-Za-z ]+)$""), """")
"),"United States")</f>
        <v>United States</v>
      </c>
      <c r="G2474" s="4" t="str">
        <f t="shared" si="289"/>
        <v>Romper Longer</v>
      </c>
      <c r="H2474" s="38">
        <f t="shared" si="285"/>
        <v>11</v>
      </c>
      <c r="I2474" s="54">
        <f t="shared" si="284"/>
        <v>46</v>
      </c>
      <c r="J2474" s="14" t="str">
        <f t="shared" si="286"/>
        <v>Christmas</v>
      </c>
      <c r="K2474" s="16" t="str">
        <f t="shared" si="287"/>
        <v>6-12</v>
      </c>
      <c r="L2474" s="14" t="str">
        <f t="shared" si="288"/>
        <v>Romper Longer | 6-12 | Sage Green</v>
      </c>
      <c r="M2474" s="16" t="s">
        <v>3610</v>
      </c>
    </row>
    <row r="2475" spans="1:13" ht="25" customHeight="1" x14ac:dyDescent="0.45">
      <c r="A2475" s="18">
        <v>45977</v>
      </c>
      <c r="B2475" s="23" t="s">
        <v>2597</v>
      </c>
      <c r="C2475" s="23" t="s">
        <v>9</v>
      </c>
      <c r="D2475" s="53" t="str">
        <f t="shared" si="290"/>
        <v>Cream</v>
      </c>
      <c r="E2475" s="21" t="s">
        <v>1841</v>
      </c>
      <c r="F2475" s="21" t="str">
        <f ca="1">IFERROR(__xludf.DUMMYFUNCTION("IFERROR(REGEXEXTRACT(O761, ""\n([A-Za-z ]+)$""), """")
"),"United States")</f>
        <v>United States</v>
      </c>
      <c r="G2475" s="4" t="str">
        <f t="shared" si="289"/>
        <v>Romper Longer</v>
      </c>
      <c r="H2475" s="38">
        <f t="shared" si="285"/>
        <v>11</v>
      </c>
      <c r="I2475" s="54">
        <f t="shared" si="284"/>
        <v>47</v>
      </c>
      <c r="J2475" s="14" t="str">
        <f t="shared" si="286"/>
        <v>Christmas</v>
      </c>
      <c r="K2475" s="16" t="str">
        <f t="shared" si="287"/>
        <v>6-12</v>
      </c>
      <c r="L2475" s="14" t="str">
        <f t="shared" si="288"/>
        <v>Romper Longer | 6-12 | Cream</v>
      </c>
      <c r="M2475" s="16" t="s">
        <v>3611</v>
      </c>
    </row>
    <row r="2476" spans="1:13" ht="25" customHeight="1" x14ac:dyDescent="0.45">
      <c r="A2476" s="18">
        <v>45978</v>
      </c>
      <c r="B2476" s="19" t="s">
        <v>2598</v>
      </c>
      <c r="C2476" s="23" t="s">
        <v>9</v>
      </c>
      <c r="D2476" s="53" t="str">
        <f t="shared" si="290"/>
        <v>Cream</v>
      </c>
      <c r="E2476" s="21" t="s">
        <v>1831</v>
      </c>
      <c r="F2476" s="21" t="str">
        <f ca="1">IFERROR(__xludf.DUMMYFUNCTION("IFERROR(REGEXEXTRACT(O761, ""\n([A-Za-z ]+)$""), """")
"),"United States")</f>
        <v>United States</v>
      </c>
      <c r="G2476" s="4" t="str">
        <f t="shared" si="289"/>
        <v>Romper Longer</v>
      </c>
      <c r="H2476" s="38">
        <f t="shared" si="285"/>
        <v>11</v>
      </c>
      <c r="I2476" s="54">
        <f t="shared" si="284"/>
        <v>47</v>
      </c>
      <c r="J2476" s="14" t="str">
        <f t="shared" si="286"/>
        <v>Christmas</v>
      </c>
      <c r="K2476" s="16" t="str">
        <f t="shared" si="287"/>
        <v>0-3</v>
      </c>
      <c r="L2476" s="14" t="str">
        <f t="shared" si="288"/>
        <v>Romper Longer | 0-3 | Cream</v>
      </c>
      <c r="M2476" s="16" t="s">
        <v>3609</v>
      </c>
    </row>
    <row r="2477" spans="1:13" ht="25" customHeight="1" x14ac:dyDescent="0.45">
      <c r="A2477" s="18">
        <v>45979</v>
      </c>
      <c r="B2477" s="19" t="s">
        <v>2599</v>
      </c>
      <c r="C2477" s="23" t="s">
        <v>224</v>
      </c>
      <c r="D2477" s="53" t="str">
        <f t="shared" si="290"/>
        <v>Salmon</v>
      </c>
      <c r="E2477" s="21" t="s">
        <v>1849</v>
      </c>
      <c r="F2477" s="21" t="str">
        <f ca="1">IFERROR(__xludf.DUMMYFUNCTION("IFERROR(REGEXEXTRACT(O761, ""\n([A-Za-z ]+)$""), """")
"),"United States")</f>
        <v>United States</v>
      </c>
      <c r="G2477" s="4" t="str">
        <f t="shared" si="289"/>
        <v>Romper Short</v>
      </c>
      <c r="H2477" s="38">
        <f t="shared" si="285"/>
        <v>11</v>
      </c>
      <c r="I2477" s="54">
        <f t="shared" si="284"/>
        <v>47</v>
      </c>
      <c r="J2477" s="14" t="str">
        <f t="shared" si="286"/>
        <v>Christmas</v>
      </c>
      <c r="K2477" s="16" t="str">
        <f t="shared" si="287"/>
        <v>3-6</v>
      </c>
      <c r="L2477" s="14" t="str">
        <f t="shared" si="288"/>
        <v>Romper Short | 3-6 | Salmon</v>
      </c>
      <c r="M2477" s="16" t="s">
        <v>3610</v>
      </c>
    </row>
    <row r="2478" spans="1:13" ht="25" customHeight="1" x14ac:dyDescent="0.45">
      <c r="A2478" s="18">
        <v>45980</v>
      </c>
      <c r="B2478" s="19" t="s">
        <v>2600</v>
      </c>
      <c r="C2478" s="23" t="s">
        <v>81</v>
      </c>
      <c r="D2478" s="53" t="str">
        <f t="shared" si="290"/>
        <v>Dusty Pink</v>
      </c>
      <c r="E2478" s="21" t="s">
        <v>1841</v>
      </c>
      <c r="F2478" s="21" t="str">
        <f ca="1">IFERROR(__xludf.DUMMYFUNCTION("IFERROR(REGEXEXTRACT(O761, ""\n([A-Za-z ]+)$""), """")
"),"United States")</f>
        <v>United States</v>
      </c>
      <c r="G2478" s="4" t="str">
        <f t="shared" si="289"/>
        <v>Romper Longer</v>
      </c>
      <c r="H2478" s="38">
        <f t="shared" si="285"/>
        <v>11</v>
      </c>
      <c r="I2478" s="54">
        <f t="shared" ref="I2478:I2541" si="291">WEEKNUM(A2478)</f>
        <v>47</v>
      </c>
      <c r="J2478" s="14" t="str">
        <f t="shared" si="286"/>
        <v>Christmas</v>
      </c>
      <c r="K2478" s="16" t="str">
        <f t="shared" si="287"/>
        <v>6-12</v>
      </c>
      <c r="L2478" s="14" t="str">
        <f t="shared" si="288"/>
        <v>Romper Longer | 6-12 | Dusty Pink</v>
      </c>
      <c r="M2478" s="16" t="s">
        <v>3610</v>
      </c>
    </row>
    <row r="2479" spans="1:13" ht="25" customHeight="1" x14ac:dyDescent="0.45">
      <c r="A2479" s="18">
        <v>45981</v>
      </c>
      <c r="B2479" s="19" t="s">
        <v>2601</v>
      </c>
      <c r="C2479" s="23" t="s">
        <v>9</v>
      </c>
      <c r="D2479" s="53" t="str">
        <f t="shared" si="290"/>
        <v>Cream</v>
      </c>
      <c r="E2479" s="21" t="s">
        <v>1550</v>
      </c>
      <c r="F2479" s="21" t="str">
        <f ca="1">IFERROR(__xludf.DUMMYFUNCTION("IFERROR(REGEXEXTRACT(O761, ""\n([A-Za-z ]+)$""), """")
"),"United States")</f>
        <v>United States</v>
      </c>
      <c r="G2479" s="4" t="str">
        <f t="shared" si="289"/>
        <v>Romper Longer</v>
      </c>
      <c r="H2479" s="38">
        <f t="shared" si="285"/>
        <v>11</v>
      </c>
      <c r="I2479" s="54">
        <f t="shared" si="291"/>
        <v>47</v>
      </c>
      <c r="J2479" s="14" t="str">
        <f t="shared" si="286"/>
        <v>Christmas</v>
      </c>
      <c r="K2479" s="16" t="str">
        <f t="shared" si="287"/>
        <v>12-18</v>
      </c>
      <c r="L2479" s="14" t="str">
        <f t="shared" si="288"/>
        <v>Romper Longer | 12-18 | Cream</v>
      </c>
      <c r="M2479" s="16" t="s">
        <v>3610</v>
      </c>
    </row>
    <row r="2480" spans="1:13" ht="25" customHeight="1" x14ac:dyDescent="0.45">
      <c r="A2480" s="18">
        <v>45982</v>
      </c>
      <c r="B2480" s="19" t="s">
        <v>2602</v>
      </c>
      <c r="C2480" s="23" t="s">
        <v>9</v>
      </c>
      <c r="D2480" s="53" t="str">
        <f t="shared" si="290"/>
        <v>Cream</v>
      </c>
      <c r="E2480" s="21" t="s">
        <v>1828</v>
      </c>
      <c r="F2480" s="21" t="str">
        <f ca="1">IFERROR(__xludf.DUMMYFUNCTION("IFERROR(REGEXEXTRACT(O761, ""\n([A-Za-z ]+)$""), """")
"),"United States")</f>
        <v>United States</v>
      </c>
      <c r="G2480" s="4" t="str">
        <f t="shared" si="289"/>
        <v>Romper Longer</v>
      </c>
      <c r="H2480" s="38">
        <f t="shared" si="285"/>
        <v>11</v>
      </c>
      <c r="I2480" s="54">
        <f t="shared" si="291"/>
        <v>47</v>
      </c>
      <c r="J2480" s="14" t="str">
        <f t="shared" si="286"/>
        <v>Christmas</v>
      </c>
      <c r="K2480" s="16" t="str">
        <f t="shared" si="287"/>
        <v>3-6</v>
      </c>
      <c r="L2480" s="14" t="str">
        <f t="shared" si="288"/>
        <v>Romper Longer | 3-6 | Cream</v>
      </c>
      <c r="M2480" s="16" t="s">
        <v>3609</v>
      </c>
    </row>
    <row r="2481" spans="1:13" ht="25" customHeight="1" x14ac:dyDescent="0.45">
      <c r="A2481" s="18">
        <v>45983</v>
      </c>
      <c r="B2481" s="19" t="s">
        <v>2603</v>
      </c>
      <c r="C2481" s="23" t="s">
        <v>9</v>
      </c>
      <c r="D2481" s="53" t="str">
        <f t="shared" si="290"/>
        <v>Cream</v>
      </c>
      <c r="E2481" s="21" t="s">
        <v>1831</v>
      </c>
      <c r="F2481" s="21" t="str">
        <f ca="1">IFERROR(__xludf.DUMMYFUNCTION("IFERROR(REGEXEXTRACT(O761, ""\n([A-Za-z ]+)$""), """")
"),"United States")</f>
        <v>United States</v>
      </c>
      <c r="G2481" s="4" t="str">
        <f t="shared" si="289"/>
        <v>Romper Longer</v>
      </c>
      <c r="H2481" s="38">
        <f t="shared" si="285"/>
        <v>11</v>
      </c>
      <c r="I2481" s="54">
        <f t="shared" si="291"/>
        <v>47</v>
      </c>
      <c r="J2481" s="14" t="str">
        <f t="shared" si="286"/>
        <v>Christmas</v>
      </c>
      <c r="K2481" s="16" t="str">
        <f t="shared" si="287"/>
        <v>0-3</v>
      </c>
      <c r="L2481" s="14" t="str">
        <f t="shared" si="288"/>
        <v>Romper Longer | 0-3 | Cream</v>
      </c>
      <c r="M2481" s="16" t="s">
        <v>3609</v>
      </c>
    </row>
    <row r="2482" spans="1:13" ht="25" customHeight="1" x14ac:dyDescent="0.45">
      <c r="A2482" s="18">
        <v>45984</v>
      </c>
      <c r="B2482" s="19" t="s">
        <v>2604</v>
      </c>
      <c r="C2482" s="23" t="s">
        <v>74</v>
      </c>
      <c r="D2482" s="53" t="str">
        <f t="shared" si="290"/>
        <v>Watermelon</v>
      </c>
      <c r="E2482" s="21" t="s">
        <v>1550</v>
      </c>
      <c r="F2482" s="21" t="str">
        <f ca="1">IFERROR(__xludf.DUMMYFUNCTION("IFERROR(REGEXEXTRACT(O761, ""\n([A-Za-z ]+)$""), """")
"),"United States")</f>
        <v>United States</v>
      </c>
      <c r="G2482" s="4" t="str">
        <f t="shared" si="289"/>
        <v>Romper Longer</v>
      </c>
      <c r="H2482" s="38">
        <f t="shared" si="285"/>
        <v>11</v>
      </c>
      <c r="I2482" s="54">
        <f t="shared" si="291"/>
        <v>48</v>
      </c>
      <c r="J2482" s="14" t="str">
        <f t="shared" si="286"/>
        <v>Christmas</v>
      </c>
      <c r="K2482" s="16" t="str">
        <f t="shared" si="287"/>
        <v>12-18</v>
      </c>
      <c r="L2482" s="14" t="str">
        <f t="shared" si="288"/>
        <v>Romper Longer | 12-18 | Watermelon</v>
      </c>
      <c r="M2482" s="16" t="s">
        <v>3610</v>
      </c>
    </row>
    <row r="2483" spans="1:13" ht="25" customHeight="1" x14ac:dyDescent="0.45">
      <c r="A2483" s="18">
        <v>45985</v>
      </c>
      <c r="B2483" s="19" t="s">
        <v>2605</v>
      </c>
      <c r="C2483" s="23" t="s">
        <v>71</v>
      </c>
      <c r="D2483" s="53" t="str">
        <f t="shared" si="290"/>
        <v>Coffee</v>
      </c>
      <c r="E2483" s="21" t="s">
        <v>1550</v>
      </c>
      <c r="F2483" s="21" t="str">
        <f ca="1">IFERROR(__xludf.DUMMYFUNCTION("IFERROR(REGEXEXTRACT(O761, ""\n([A-Za-z ]+)$""), """")
"),"United States")</f>
        <v>United States</v>
      </c>
      <c r="G2483" s="4" t="str">
        <f t="shared" si="289"/>
        <v>Romper Longer</v>
      </c>
      <c r="H2483" s="38">
        <f t="shared" si="285"/>
        <v>11</v>
      </c>
      <c r="I2483" s="54">
        <f t="shared" si="291"/>
        <v>48</v>
      </c>
      <c r="J2483" s="14" t="str">
        <f t="shared" si="286"/>
        <v>Christmas</v>
      </c>
      <c r="K2483" s="16" t="str">
        <f t="shared" si="287"/>
        <v>12-18</v>
      </c>
      <c r="L2483" s="14" t="str">
        <f t="shared" si="288"/>
        <v>Romper Longer | 12-18 | Coffee</v>
      </c>
      <c r="M2483" s="16" t="s">
        <v>3610</v>
      </c>
    </row>
    <row r="2484" spans="1:13" ht="25" customHeight="1" x14ac:dyDescent="0.45">
      <c r="A2484" s="18">
        <v>45986</v>
      </c>
      <c r="B2484" s="19" t="s">
        <v>2606</v>
      </c>
      <c r="C2484" s="23" t="s">
        <v>79</v>
      </c>
      <c r="D2484" s="53" t="str">
        <f t="shared" si="290"/>
        <v>White</v>
      </c>
      <c r="E2484" s="21" t="s">
        <v>1828</v>
      </c>
      <c r="F2484" s="21" t="str">
        <f ca="1">IFERROR(__xludf.DUMMYFUNCTION("IFERROR(REGEXEXTRACT(O761, ""\n([A-Za-z ]+)$""), """")
"),"United States")</f>
        <v>United States</v>
      </c>
      <c r="G2484" s="4" t="str">
        <f t="shared" si="289"/>
        <v>Romper Longer</v>
      </c>
      <c r="H2484" s="38">
        <f t="shared" si="285"/>
        <v>11</v>
      </c>
      <c r="I2484" s="54">
        <f t="shared" si="291"/>
        <v>48</v>
      </c>
      <c r="J2484" s="14" t="str">
        <f t="shared" si="286"/>
        <v>Christmas</v>
      </c>
      <c r="K2484" s="16" t="str">
        <f t="shared" si="287"/>
        <v>3-6</v>
      </c>
      <c r="L2484" s="14" t="str">
        <f t="shared" si="288"/>
        <v>Romper Longer | 3-6 | White</v>
      </c>
      <c r="M2484" s="16" t="s">
        <v>3610</v>
      </c>
    </row>
    <row r="2485" spans="1:13" ht="25" customHeight="1" x14ac:dyDescent="0.45">
      <c r="A2485" s="18">
        <v>45987</v>
      </c>
      <c r="B2485" s="19" t="s">
        <v>2607</v>
      </c>
      <c r="C2485" s="23" t="s">
        <v>9</v>
      </c>
      <c r="D2485" s="53" t="str">
        <f t="shared" si="290"/>
        <v>Cream</v>
      </c>
      <c r="E2485" s="21" t="s">
        <v>1841</v>
      </c>
      <c r="F2485" s="21" t="str">
        <f ca="1">IFERROR(__xludf.DUMMYFUNCTION("IFERROR(REGEXEXTRACT(O761, ""\n([A-Za-z ]+)$""), """")
"),"United States")</f>
        <v>United States</v>
      </c>
      <c r="G2485" s="4" t="str">
        <f t="shared" si="289"/>
        <v>Romper Longer</v>
      </c>
      <c r="H2485" s="38">
        <f t="shared" si="285"/>
        <v>11</v>
      </c>
      <c r="I2485" s="54">
        <f t="shared" si="291"/>
        <v>48</v>
      </c>
      <c r="J2485" s="14" t="str">
        <f t="shared" si="286"/>
        <v>Christmas</v>
      </c>
      <c r="K2485" s="16" t="str">
        <f t="shared" si="287"/>
        <v>6-12</v>
      </c>
      <c r="L2485" s="14" t="str">
        <f t="shared" si="288"/>
        <v>Romper Longer | 6-12 | Cream</v>
      </c>
      <c r="M2485" s="16" t="s">
        <v>3611</v>
      </c>
    </row>
    <row r="2486" spans="1:13" ht="25" customHeight="1" x14ac:dyDescent="0.45">
      <c r="A2486" s="18">
        <v>45988</v>
      </c>
      <c r="B2486" s="19" t="s">
        <v>2608</v>
      </c>
      <c r="C2486" s="23" t="s">
        <v>110</v>
      </c>
      <c r="D2486" s="53" t="str">
        <f t="shared" si="290"/>
        <v>Sage Green</v>
      </c>
      <c r="E2486" s="21" t="s">
        <v>1841</v>
      </c>
      <c r="F2486" s="21" t="str">
        <f ca="1">IFERROR(__xludf.DUMMYFUNCTION("IFERROR(REGEXEXTRACT(O761, ""\n([A-Za-z ]+)$""), """")
"),"United States")</f>
        <v>United States</v>
      </c>
      <c r="G2486" s="4" t="str">
        <f t="shared" si="289"/>
        <v>Romper Longer</v>
      </c>
      <c r="H2486" s="38">
        <f t="shared" si="285"/>
        <v>11</v>
      </c>
      <c r="I2486" s="54">
        <f t="shared" si="291"/>
        <v>48</v>
      </c>
      <c r="J2486" s="14" t="str">
        <f t="shared" si="286"/>
        <v>Christmas</v>
      </c>
      <c r="K2486" s="16" t="str">
        <f t="shared" si="287"/>
        <v>6-12</v>
      </c>
      <c r="L2486" s="14" t="str">
        <f t="shared" si="288"/>
        <v>Romper Longer | 6-12 | Sage Green</v>
      </c>
      <c r="M2486" s="16" t="s">
        <v>3610</v>
      </c>
    </row>
    <row r="2487" spans="1:13" ht="25" customHeight="1" x14ac:dyDescent="0.45">
      <c r="A2487" s="18">
        <v>45989</v>
      </c>
      <c r="B2487" s="19" t="s">
        <v>2609</v>
      </c>
      <c r="C2487" s="23" t="s">
        <v>110</v>
      </c>
      <c r="D2487" s="53" t="str">
        <f t="shared" si="290"/>
        <v>Sage Green</v>
      </c>
      <c r="E2487" s="21" t="s">
        <v>1831</v>
      </c>
      <c r="F2487" s="21" t="str">
        <f ca="1">IFERROR(__xludf.DUMMYFUNCTION("IFERROR(REGEXEXTRACT(O761, ""\n([A-Za-z ]+)$""), """")
"),"United States")</f>
        <v>United States</v>
      </c>
      <c r="G2487" s="4" t="str">
        <f t="shared" si="289"/>
        <v>Romper Longer</v>
      </c>
      <c r="H2487" s="38">
        <f t="shared" si="285"/>
        <v>11</v>
      </c>
      <c r="I2487" s="54">
        <f t="shared" si="291"/>
        <v>48</v>
      </c>
      <c r="J2487" s="14" t="str">
        <f t="shared" si="286"/>
        <v>Christmas</v>
      </c>
      <c r="K2487" s="16" t="str">
        <f t="shared" si="287"/>
        <v>0-3</v>
      </c>
      <c r="L2487" s="14" t="str">
        <f t="shared" si="288"/>
        <v>Romper Longer | 0-3 | Sage Green</v>
      </c>
      <c r="M2487" s="16" t="s">
        <v>3611</v>
      </c>
    </row>
    <row r="2488" spans="1:13" ht="25" customHeight="1" x14ac:dyDescent="0.45">
      <c r="A2488" s="18">
        <v>45990</v>
      </c>
      <c r="B2488" s="19" t="s">
        <v>2610</v>
      </c>
      <c r="C2488" s="23" t="s">
        <v>9</v>
      </c>
      <c r="D2488" s="53" t="str">
        <f t="shared" si="290"/>
        <v>Cream</v>
      </c>
      <c r="E2488" s="21" t="s">
        <v>1828</v>
      </c>
      <c r="F2488" s="21" t="str">
        <f ca="1">IFERROR(__xludf.DUMMYFUNCTION("IFERROR(REGEXEXTRACT(O761, ""\n([A-Za-z ]+)$""), """")
"),"United States")</f>
        <v>United States</v>
      </c>
      <c r="G2488" s="4" t="str">
        <f t="shared" si="289"/>
        <v>Romper Longer</v>
      </c>
      <c r="H2488" s="38">
        <f t="shared" ref="H2488:H2551" si="292">MONTH(A2488)</f>
        <v>11</v>
      </c>
      <c r="I2488" s="54">
        <f t="shared" si="291"/>
        <v>48</v>
      </c>
      <c r="J2488" s="14" t="str">
        <f t="shared" ref="J2488:J2551" si="293">IF(H2488=1,"NewYear",
IF(H2488=2,"Valentine",
IF(OR(H2488=3,H2488=4),"Easter",
IF(H2488=5,"MothersDay",
IF(H2488=6,"FathersDay",
IF(OR(H2488=7,H2488=8),"Summer",
IF(H2488=10,"Halloween",
IF(OR(H2488=11,H2488=12),"Christmas","Normal"))))))))</f>
        <v>Christmas</v>
      </c>
      <c r="K2488" s="16" t="str">
        <f t="shared" ref="K2488:K2551" si="294">TRIM(LEFT(E2488,FIND("(",E2488&amp;"(")-3))</f>
        <v>3-6</v>
      </c>
      <c r="L2488" s="14" t="str">
        <f t="shared" si="288"/>
        <v>Romper Longer | 3-6 | Cream</v>
      </c>
      <c r="M2488" s="16" t="s">
        <v>3609</v>
      </c>
    </row>
    <row r="2489" spans="1:13" ht="25" customHeight="1" x14ac:dyDescent="0.45">
      <c r="A2489" s="18">
        <v>45991</v>
      </c>
      <c r="B2489" s="19" t="s">
        <v>2611</v>
      </c>
      <c r="C2489" s="23" t="s">
        <v>81</v>
      </c>
      <c r="D2489" s="53" t="str">
        <f t="shared" si="290"/>
        <v>Dusty Pink</v>
      </c>
      <c r="E2489" s="21" t="s">
        <v>1420</v>
      </c>
      <c r="F2489" s="21" t="str">
        <f ca="1">IFERROR(__xludf.DUMMYFUNCTION("IFERROR(REGEXEXTRACT(O761, ""\n([A-Za-z ]+)$""), """")
"),"United States")</f>
        <v>United States</v>
      </c>
      <c r="G2489" s="4" t="str">
        <f t="shared" si="289"/>
        <v>Romper Short</v>
      </c>
      <c r="H2489" s="38">
        <f t="shared" si="292"/>
        <v>11</v>
      </c>
      <c r="I2489" s="54">
        <f t="shared" si="291"/>
        <v>49</v>
      </c>
      <c r="J2489" s="14" t="str">
        <f t="shared" si="293"/>
        <v>Christmas</v>
      </c>
      <c r="K2489" s="16" t="str">
        <f t="shared" si="294"/>
        <v>6-12</v>
      </c>
      <c r="L2489" s="14" t="str">
        <f t="shared" si="288"/>
        <v>Romper Short | 6-12 | Dusty Pink</v>
      </c>
      <c r="M2489" s="16" t="s">
        <v>3610</v>
      </c>
    </row>
    <row r="2490" spans="1:13" ht="25" customHeight="1" x14ac:dyDescent="0.45">
      <c r="A2490" s="18">
        <v>45992</v>
      </c>
      <c r="B2490" s="19" t="s">
        <v>2612</v>
      </c>
      <c r="C2490" s="23" t="s">
        <v>74</v>
      </c>
      <c r="D2490" s="53" t="str">
        <f t="shared" si="290"/>
        <v>Watermelon</v>
      </c>
      <c r="E2490" s="21" t="s">
        <v>1550</v>
      </c>
      <c r="F2490" s="21" t="str">
        <f ca="1">IFERROR(__xludf.DUMMYFUNCTION("IFERROR(REGEXEXTRACT(O761, ""\n([A-Za-z ]+)$""), """")
"),"United States")</f>
        <v>United States</v>
      </c>
      <c r="G2490" s="4" t="str">
        <f t="shared" si="289"/>
        <v>Romper Longer</v>
      </c>
      <c r="H2490" s="38">
        <f t="shared" si="292"/>
        <v>12</v>
      </c>
      <c r="I2490" s="54">
        <f t="shared" si="291"/>
        <v>49</v>
      </c>
      <c r="J2490" s="14" t="str">
        <f t="shared" si="293"/>
        <v>Christmas</v>
      </c>
      <c r="K2490" s="16" t="str">
        <f t="shared" si="294"/>
        <v>12-18</v>
      </c>
      <c r="L2490" s="14" t="str">
        <f t="shared" si="288"/>
        <v>Romper Longer | 12-18 | Watermelon</v>
      </c>
      <c r="M2490" s="16" t="s">
        <v>3610</v>
      </c>
    </row>
    <row r="2491" spans="1:13" ht="25" customHeight="1" x14ac:dyDescent="0.45">
      <c r="A2491" s="18">
        <v>45993</v>
      </c>
      <c r="B2491" s="19" t="s">
        <v>2613</v>
      </c>
      <c r="C2491" s="23" t="s">
        <v>110</v>
      </c>
      <c r="D2491" s="53" t="str">
        <f t="shared" si="290"/>
        <v>Sage Green</v>
      </c>
      <c r="E2491" s="21" t="s">
        <v>1841</v>
      </c>
      <c r="F2491" s="21" t="str">
        <f ca="1">IFERROR(__xludf.DUMMYFUNCTION("IFERROR(REGEXEXTRACT(O761, ""\n([A-Za-z ]+)$""), """")
"),"United States")</f>
        <v>United States</v>
      </c>
      <c r="G2491" s="4" t="str">
        <f t="shared" si="289"/>
        <v>Romper Longer</v>
      </c>
      <c r="H2491" s="38">
        <f t="shared" si="292"/>
        <v>12</v>
      </c>
      <c r="I2491" s="54">
        <f t="shared" si="291"/>
        <v>49</v>
      </c>
      <c r="J2491" s="14" t="str">
        <f t="shared" si="293"/>
        <v>Christmas</v>
      </c>
      <c r="K2491" s="16" t="str">
        <f t="shared" si="294"/>
        <v>6-12</v>
      </c>
      <c r="L2491" s="14" t="str">
        <f t="shared" si="288"/>
        <v>Romper Longer | 6-12 | Sage Green</v>
      </c>
      <c r="M2491" s="16" t="s">
        <v>3610</v>
      </c>
    </row>
    <row r="2492" spans="1:13" ht="25" customHeight="1" x14ac:dyDescent="0.45">
      <c r="A2492" s="18">
        <v>45994</v>
      </c>
      <c r="B2492" s="19" t="s">
        <v>2614</v>
      </c>
      <c r="C2492" s="23" t="s">
        <v>9</v>
      </c>
      <c r="D2492" s="53" t="str">
        <f t="shared" si="290"/>
        <v>Cream</v>
      </c>
      <c r="E2492" s="21" t="s">
        <v>1828</v>
      </c>
      <c r="F2492" s="21" t="str">
        <f ca="1">IFERROR(__xludf.DUMMYFUNCTION("IFERROR(REGEXEXTRACT(O761, ""\n([A-Za-z ]+)$""), """")
"),"United States")</f>
        <v>United States</v>
      </c>
      <c r="G2492" s="4" t="str">
        <f t="shared" si="289"/>
        <v>Romper Longer</v>
      </c>
      <c r="H2492" s="38">
        <f t="shared" si="292"/>
        <v>12</v>
      </c>
      <c r="I2492" s="54">
        <f t="shared" si="291"/>
        <v>49</v>
      </c>
      <c r="J2492" s="14" t="str">
        <f t="shared" si="293"/>
        <v>Christmas</v>
      </c>
      <c r="K2492" s="16" t="str">
        <f t="shared" si="294"/>
        <v>3-6</v>
      </c>
      <c r="L2492" s="14" t="str">
        <f t="shared" si="288"/>
        <v>Romper Longer | 3-6 | Cream</v>
      </c>
      <c r="M2492" s="16" t="s">
        <v>3609</v>
      </c>
    </row>
    <row r="2493" spans="1:13" ht="25" customHeight="1" x14ac:dyDescent="0.45">
      <c r="A2493" s="18">
        <v>45995</v>
      </c>
      <c r="B2493" s="19" t="s">
        <v>2615</v>
      </c>
      <c r="C2493" s="23" t="s">
        <v>85</v>
      </c>
      <c r="D2493" s="53" t="str">
        <f t="shared" si="290"/>
        <v>Forest Green</v>
      </c>
      <c r="E2493" s="21" t="s">
        <v>1841</v>
      </c>
      <c r="F2493" s="21" t="str">
        <f ca="1">IFERROR(__xludf.DUMMYFUNCTION("IFERROR(REGEXEXTRACT(O761, ""\n([A-Za-z ]+)$""), """")
"),"United States")</f>
        <v>United States</v>
      </c>
      <c r="G2493" s="4" t="str">
        <f t="shared" si="289"/>
        <v>Romper Longer</v>
      </c>
      <c r="H2493" s="38">
        <f t="shared" si="292"/>
        <v>12</v>
      </c>
      <c r="I2493" s="54">
        <f t="shared" si="291"/>
        <v>49</v>
      </c>
      <c r="J2493" s="14" t="str">
        <f t="shared" si="293"/>
        <v>Christmas</v>
      </c>
      <c r="K2493" s="16" t="str">
        <f t="shared" si="294"/>
        <v>6-12</v>
      </c>
      <c r="L2493" s="14" t="str">
        <f t="shared" si="288"/>
        <v>Romper Longer | 6-12 | Forest Green</v>
      </c>
      <c r="M2493" s="16" t="s">
        <v>3610</v>
      </c>
    </row>
    <row r="2494" spans="1:13" ht="25" customHeight="1" x14ac:dyDescent="0.45">
      <c r="A2494" s="18">
        <v>45996</v>
      </c>
      <c r="B2494" s="19" t="s">
        <v>2616</v>
      </c>
      <c r="C2494" s="23" t="s">
        <v>9</v>
      </c>
      <c r="D2494" s="53" t="str">
        <f t="shared" si="290"/>
        <v>Cream</v>
      </c>
      <c r="E2494" s="21" t="s">
        <v>1841</v>
      </c>
      <c r="F2494" s="21" t="str">
        <f ca="1">IFERROR(__xludf.DUMMYFUNCTION("IFERROR(REGEXEXTRACT(O761, ""\n([A-Za-z ]+)$""), """")
"),"United States")</f>
        <v>United States</v>
      </c>
      <c r="G2494" s="4" t="str">
        <f t="shared" si="289"/>
        <v>Romper Longer</v>
      </c>
      <c r="H2494" s="38">
        <f t="shared" si="292"/>
        <v>12</v>
      </c>
      <c r="I2494" s="54">
        <f t="shared" si="291"/>
        <v>49</v>
      </c>
      <c r="J2494" s="14" t="str">
        <f t="shared" si="293"/>
        <v>Christmas</v>
      </c>
      <c r="K2494" s="16" t="str">
        <f t="shared" si="294"/>
        <v>6-12</v>
      </c>
      <c r="L2494" s="14" t="str">
        <f t="shared" si="288"/>
        <v>Romper Longer | 6-12 | Cream</v>
      </c>
      <c r="M2494" s="16" t="s">
        <v>3611</v>
      </c>
    </row>
    <row r="2495" spans="1:13" ht="25" customHeight="1" x14ac:dyDescent="0.45">
      <c r="A2495" s="18">
        <v>45997</v>
      </c>
      <c r="B2495" s="19" t="s">
        <v>2617</v>
      </c>
      <c r="C2495" s="23" t="s">
        <v>76</v>
      </c>
      <c r="D2495" s="53" t="str">
        <f t="shared" si="290"/>
        <v>Caldet Blue</v>
      </c>
      <c r="E2495" s="21" t="s">
        <v>1828</v>
      </c>
      <c r="F2495" s="21" t="str">
        <f ca="1">IFERROR(__xludf.DUMMYFUNCTION("IFERROR(REGEXEXTRACT(O761, ""\n([A-Za-z ]+)$""), """")
"),"United States")</f>
        <v>United States</v>
      </c>
      <c r="G2495" s="4" t="str">
        <f t="shared" si="289"/>
        <v>Romper Longer</v>
      </c>
      <c r="H2495" s="38">
        <f t="shared" si="292"/>
        <v>12</v>
      </c>
      <c r="I2495" s="54">
        <f t="shared" si="291"/>
        <v>49</v>
      </c>
      <c r="J2495" s="14" t="str">
        <f t="shared" si="293"/>
        <v>Christmas</v>
      </c>
      <c r="K2495" s="16" t="str">
        <f t="shared" si="294"/>
        <v>3-6</v>
      </c>
      <c r="L2495" s="14" t="str">
        <f t="shared" si="288"/>
        <v>Romper Longer | 3-6 | Caldet Blue</v>
      </c>
      <c r="M2495" s="16" t="s">
        <v>3610</v>
      </c>
    </row>
    <row r="2496" spans="1:13" ht="25" customHeight="1" x14ac:dyDescent="0.45">
      <c r="A2496" s="18">
        <v>45998</v>
      </c>
      <c r="B2496" s="19" t="s">
        <v>2618</v>
      </c>
      <c r="C2496" s="23" t="s">
        <v>76</v>
      </c>
      <c r="D2496" s="53" t="str">
        <f t="shared" si="290"/>
        <v>Caldet Blue</v>
      </c>
      <c r="E2496" s="21" t="s">
        <v>1831</v>
      </c>
      <c r="F2496" s="21" t="str">
        <f ca="1">IFERROR(__xludf.DUMMYFUNCTION("IFERROR(REGEXEXTRACT(O761, ""\n([A-Za-z ]+)$""), """")
"),"United States")</f>
        <v>United States</v>
      </c>
      <c r="G2496" s="4" t="str">
        <f t="shared" si="289"/>
        <v>Romper Longer</v>
      </c>
      <c r="H2496" s="38">
        <f t="shared" si="292"/>
        <v>12</v>
      </c>
      <c r="I2496" s="54">
        <f t="shared" si="291"/>
        <v>50</v>
      </c>
      <c r="J2496" s="14" t="str">
        <f t="shared" si="293"/>
        <v>Christmas</v>
      </c>
      <c r="K2496" s="16" t="str">
        <f t="shared" si="294"/>
        <v>0-3</v>
      </c>
      <c r="L2496" s="14" t="str">
        <f t="shared" si="288"/>
        <v>Romper Longer | 0-3 | Caldet Blue</v>
      </c>
      <c r="M2496" s="16" t="s">
        <v>3610</v>
      </c>
    </row>
    <row r="2497" spans="1:13" ht="25" customHeight="1" x14ac:dyDescent="0.45">
      <c r="A2497" s="18">
        <v>45999</v>
      </c>
      <c r="B2497" s="19" t="s">
        <v>2619</v>
      </c>
      <c r="C2497" s="23" t="s">
        <v>9</v>
      </c>
      <c r="D2497" s="53" t="str">
        <f t="shared" si="290"/>
        <v>Cream</v>
      </c>
      <c r="E2497" s="21" t="s">
        <v>1831</v>
      </c>
      <c r="F2497" s="21" t="str">
        <f ca="1">IFERROR(__xludf.DUMMYFUNCTION("IFERROR(REGEXEXTRACT(O761, ""\n([A-Za-z ]+)$""), """")
"),"United States")</f>
        <v>United States</v>
      </c>
      <c r="G2497" s="4" t="str">
        <f t="shared" si="289"/>
        <v>Romper Longer</v>
      </c>
      <c r="H2497" s="38">
        <f t="shared" si="292"/>
        <v>12</v>
      </c>
      <c r="I2497" s="54">
        <f t="shared" si="291"/>
        <v>50</v>
      </c>
      <c r="J2497" s="14" t="str">
        <f t="shared" si="293"/>
        <v>Christmas</v>
      </c>
      <c r="K2497" s="16" t="str">
        <f t="shared" si="294"/>
        <v>0-3</v>
      </c>
      <c r="L2497" s="14" t="str">
        <f t="shared" si="288"/>
        <v>Romper Longer | 0-3 | Cream</v>
      </c>
      <c r="M2497" s="16" t="s">
        <v>3609</v>
      </c>
    </row>
    <row r="2498" spans="1:13" ht="25" customHeight="1" x14ac:dyDescent="0.45">
      <c r="A2498" s="18">
        <v>46000</v>
      </c>
      <c r="B2498" s="19" t="s">
        <v>2620</v>
      </c>
      <c r="C2498" s="23" t="s">
        <v>71</v>
      </c>
      <c r="D2498" s="53" t="str">
        <f t="shared" si="290"/>
        <v>Coffee</v>
      </c>
      <c r="E2498" s="21" t="s">
        <v>1831</v>
      </c>
      <c r="F2498" s="21" t="str">
        <f ca="1">IFERROR(__xludf.DUMMYFUNCTION("IFERROR(REGEXEXTRACT(O761, ""\n([A-Za-z ]+)$""), """")
"),"United States")</f>
        <v>United States</v>
      </c>
      <c r="G2498" s="4" t="str">
        <f t="shared" si="289"/>
        <v>Romper Longer</v>
      </c>
      <c r="H2498" s="38">
        <f t="shared" si="292"/>
        <v>12</v>
      </c>
      <c r="I2498" s="54">
        <f t="shared" si="291"/>
        <v>50</v>
      </c>
      <c r="J2498" s="14" t="str">
        <f t="shared" si="293"/>
        <v>Christmas</v>
      </c>
      <c r="K2498" s="16" t="str">
        <f t="shared" si="294"/>
        <v>0-3</v>
      </c>
      <c r="L2498" s="14" t="str">
        <f t="shared" ref="L2498:L2561" si="295">TRIM(G2498)&amp;" | "&amp;TRIM(K2498)&amp;" | "&amp;PROPER(TRIM(D2498))</f>
        <v>Romper Longer | 0-3 | Coffee</v>
      </c>
      <c r="M2498" s="16" t="s">
        <v>3610</v>
      </c>
    </row>
    <row r="2499" spans="1:13" ht="25" customHeight="1" x14ac:dyDescent="0.45">
      <c r="A2499" s="18">
        <v>46001</v>
      </c>
      <c r="B2499" s="19" t="s">
        <v>2621</v>
      </c>
      <c r="C2499" s="23" t="s">
        <v>76</v>
      </c>
      <c r="D2499" s="53" t="str">
        <f t="shared" si="290"/>
        <v>Caldet Blue</v>
      </c>
      <c r="E2499" s="21" t="s">
        <v>1831</v>
      </c>
      <c r="F2499" s="21" t="str">
        <f ca="1">IFERROR(__xludf.DUMMYFUNCTION("IFERROR(REGEXEXTRACT(O761, ""\n([A-Za-z ]+)$""), """")
"),"United States")</f>
        <v>United States</v>
      </c>
      <c r="G2499" s="4" t="str">
        <f t="shared" si="289"/>
        <v>Romper Longer</v>
      </c>
      <c r="H2499" s="38">
        <f t="shared" si="292"/>
        <v>12</v>
      </c>
      <c r="I2499" s="54">
        <f t="shared" si="291"/>
        <v>50</v>
      </c>
      <c r="J2499" s="14" t="str">
        <f t="shared" si="293"/>
        <v>Christmas</v>
      </c>
      <c r="K2499" s="16" t="str">
        <f t="shared" si="294"/>
        <v>0-3</v>
      </c>
      <c r="L2499" s="14" t="str">
        <f t="shared" si="295"/>
        <v>Romper Longer | 0-3 | Caldet Blue</v>
      </c>
      <c r="M2499" s="16" t="s">
        <v>3610</v>
      </c>
    </row>
    <row r="2500" spans="1:13" ht="25" customHeight="1" x14ac:dyDescent="0.45">
      <c r="A2500" s="18">
        <v>46002</v>
      </c>
      <c r="B2500" s="19" t="s">
        <v>2622</v>
      </c>
      <c r="C2500" s="23" t="s">
        <v>71</v>
      </c>
      <c r="D2500" s="53" t="str">
        <f t="shared" si="290"/>
        <v>Coffee</v>
      </c>
      <c r="E2500" s="21" t="s">
        <v>1550</v>
      </c>
      <c r="F2500" s="21" t="str">
        <f ca="1">IFERROR(__xludf.DUMMYFUNCTION("IFERROR(REGEXEXTRACT(O761, ""\n([A-Za-z ]+)$""), """")
"),"United States")</f>
        <v>United States</v>
      </c>
      <c r="G2500" s="4" t="str">
        <f t="shared" si="289"/>
        <v>Romper Longer</v>
      </c>
      <c r="H2500" s="38">
        <f t="shared" si="292"/>
        <v>12</v>
      </c>
      <c r="I2500" s="54">
        <f t="shared" si="291"/>
        <v>50</v>
      </c>
      <c r="J2500" s="14" t="str">
        <f t="shared" si="293"/>
        <v>Christmas</v>
      </c>
      <c r="K2500" s="16" t="str">
        <f t="shared" si="294"/>
        <v>12-18</v>
      </c>
      <c r="L2500" s="14" t="str">
        <f t="shared" si="295"/>
        <v>Romper Longer | 12-18 | Coffee</v>
      </c>
      <c r="M2500" s="16" t="s">
        <v>3610</v>
      </c>
    </row>
    <row r="2501" spans="1:13" ht="25" customHeight="1" x14ac:dyDescent="0.45">
      <c r="A2501" s="18">
        <v>46003</v>
      </c>
      <c r="B2501" s="19" t="s">
        <v>2623</v>
      </c>
      <c r="C2501" s="23" t="s">
        <v>76</v>
      </c>
      <c r="D2501" s="53" t="str">
        <f t="shared" si="290"/>
        <v>Caldet Blue</v>
      </c>
      <c r="E2501" s="21" t="s">
        <v>1420</v>
      </c>
      <c r="F2501" s="21" t="str">
        <f ca="1">IFERROR(__xludf.DUMMYFUNCTION("IFERROR(REGEXEXTRACT(O761, ""\n([A-Za-z ]+)$""), """")
"),"United States")</f>
        <v>United States</v>
      </c>
      <c r="G2501" s="4" t="str">
        <f t="shared" si="289"/>
        <v>Romper Short</v>
      </c>
      <c r="H2501" s="38">
        <f t="shared" si="292"/>
        <v>12</v>
      </c>
      <c r="I2501" s="54">
        <f t="shared" si="291"/>
        <v>50</v>
      </c>
      <c r="J2501" s="14" t="str">
        <f t="shared" si="293"/>
        <v>Christmas</v>
      </c>
      <c r="K2501" s="16" t="str">
        <f t="shared" si="294"/>
        <v>6-12</v>
      </c>
      <c r="L2501" s="14" t="str">
        <f t="shared" si="295"/>
        <v>Romper Short | 6-12 | Caldet Blue</v>
      </c>
      <c r="M2501" s="16" t="s">
        <v>3610</v>
      </c>
    </row>
    <row r="2502" spans="1:13" ht="25" customHeight="1" x14ac:dyDescent="0.45">
      <c r="A2502" s="18">
        <v>46004</v>
      </c>
      <c r="B2502" s="19" t="s">
        <v>2624</v>
      </c>
      <c r="C2502" s="23" t="s">
        <v>76</v>
      </c>
      <c r="D2502" s="53" t="str">
        <f t="shared" si="290"/>
        <v>Caldet Blue</v>
      </c>
      <c r="E2502" s="21" t="s">
        <v>1841</v>
      </c>
      <c r="F2502" s="21" t="str">
        <f ca="1">IFERROR(__xludf.DUMMYFUNCTION("IFERROR(REGEXEXTRACT(O761, ""\n([A-Za-z ]+)$""), """")
"),"United States")</f>
        <v>United States</v>
      </c>
      <c r="G2502" s="4" t="str">
        <f t="shared" si="289"/>
        <v>Romper Longer</v>
      </c>
      <c r="H2502" s="38">
        <f t="shared" si="292"/>
        <v>12</v>
      </c>
      <c r="I2502" s="54">
        <f t="shared" si="291"/>
        <v>50</v>
      </c>
      <c r="J2502" s="14" t="str">
        <f t="shared" si="293"/>
        <v>Christmas</v>
      </c>
      <c r="K2502" s="16" t="str">
        <f t="shared" si="294"/>
        <v>6-12</v>
      </c>
      <c r="L2502" s="14" t="str">
        <f t="shared" si="295"/>
        <v>Romper Longer | 6-12 | Caldet Blue</v>
      </c>
      <c r="M2502" s="16" t="s">
        <v>3610</v>
      </c>
    </row>
    <row r="2503" spans="1:13" ht="25" customHeight="1" x14ac:dyDescent="0.45">
      <c r="A2503" s="18">
        <v>46005</v>
      </c>
      <c r="B2503" s="19" t="s">
        <v>2625</v>
      </c>
      <c r="C2503" s="23" t="s">
        <v>9</v>
      </c>
      <c r="D2503" s="53" t="str">
        <f t="shared" si="290"/>
        <v>Cream</v>
      </c>
      <c r="E2503" s="21" t="s">
        <v>1849</v>
      </c>
      <c r="F2503" s="21" t="str">
        <f ca="1">IFERROR(__xludf.DUMMYFUNCTION("IFERROR(REGEXEXTRACT(O761, ""\n([A-Za-z ]+)$""), """")
"),"United States")</f>
        <v>United States</v>
      </c>
      <c r="G2503" s="4" t="str">
        <f t="shared" si="289"/>
        <v>Romper Short</v>
      </c>
      <c r="H2503" s="38">
        <f t="shared" si="292"/>
        <v>12</v>
      </c>
      <c r="I2503" s="54">
        <f t="shared" si="291"/>
        <v>51</v>
      </c>
      <c r="J2503" s="14" t="str">
        <f t="shared" si="293"/>
        <v>Christmas</v>
      </c>
      <c r="K2503" s="16" t="str">
        <f t="shared" si="294"/>
        <v>3-6</v>
      </c>
      <c r="L2503" s="14" t="str">
        <f t="shared" si="295"/>
        <v>Romper Short | 3-6 | Cream</v>
      </c>
      <c r="M2503" s="16" t="s">
        <v>3609</v>
      </c>
    </row>
    <row r="2504" spans="1:13" ht="25" customHeight="1" x14ac:dyDescent="0.45">
      <c r="A2504" s="18">
        <v>46006</v>
      </c>
      <c r="B2504" s="19" t="s">
        <v>2626</v>
      </c>
      <c r="C2504" s="23" t="s">
        <v>76</v>
      </c>
      <c r="D2504" s="53" t="str">
        <f t="shared" si="290"/>
        <v>Caldet Blue</v>
      </c>
      <c r="E2504" s="21" t="s">
        <v>1834</v>
      </c>
      <c r="F2504" s="21" t="str">
        <f ca="1">IFERROR(__xludf.DUMMYFUNCTION("IFERROR(REGEXEXTRACT(O761, ""\n([A-Za-z ]+)$""), """")
"),"United States")</f>
        <v>United States</v>
      </c>
      <c r="G2504" s="4" t="str">
        <f t="shared" si="289"/>
        <v>Romper Short</v>
      </c>
      <c r="H2504" s="38">
        <f t="shared" si="292"/>
        <v>12</v>
      </c>
      <c r="I2504" s="54">
        <f t="shared" si="291"/>
        <v>51</v>
      </c>
      <c r="J2504" s="14" t="str">
        <f t="shared" si="293"/>
        <v>Christmas</v>
      </c>
      <c r="K2504" s="16" t="str">
        <f t="shared" si="294"/>
        <v>0-3</v>
      </c>
      <c r="L2504" s="14" t="str">
        <f t="shared" si="295"/>
        <v>Romper Short | 0-3 | Caldet Blue</v>
      </c>
      <c r="M2504" s="16" t="s">
        <v>3610</v>
      </c>
    </row>
    <row r="2505" spans="1:13" ht="25" customHeight="1" x14ac:dyDescent="0.45">
      <c r="A2505" s="18">
        <v>46007</v>
      </c>
      <c r="B2505" s="19" t="s">
        <v>2627</v>
      </c>
      <c r="C2505" s="23" t="s">
        <v>71</v>
      </c>
      <c r="D2505" s="53" t="str">
        <f t="shared" si="290"/>
        <v>Coffee</v>
      </c>
      <c r="E2505" s="21" t="s">
        <v>1828</v>
      </c>
      <c r="F2505" s="21" t="str">
        <f ca="1">IFERROR(__xludf.DUMMYFUNCTION("IFERROR(REGEXEXTRACT(O761, ""\n([A-Za-z ]+)$""), """")
"),"United States")</f>
        <v>United States</v>
      </c>
      <c r="G2505" s="4" t="str">
        <f t="shared" si="289"/>
        <v>Romper Longer</v>
      </c>
      <c r="H2505" s="38">
        <f t="shared" si="292"/>
        <v>12</v>
      </c>
      <c r="I2505" s="54">
        <f t="shared" si="291"/>
        <v>51</v>
      </c>
      <c r="J2505" s="14" t="str">
        <f t="shared" si="293"/>
        <v>Christmas</v>
      </c>
      <c r="K2505" s="16" t="str">
        <f t="shared" si="294"/>
        <v>3-6</v>
      </c>
      <c r="L2505" s="14" t="str">
        <f t="shared" si="295"/>
        <v>Romper Longer | 3-6 | Coffee</v>
      </c>
      <c r="M2505" s="16" t="s">
        <v>3610</v>
      </c>
    </row>
    <row r="2506" spans="1:13" ht="25" customHeight="1" x14ac:dyDescent="0.45">
      <c r="A2506" s="18">
        <v>46008</v>
      </c>
      <c r="B2506" s="19" t="s">
        <v>2628</v>
      </c>
      <c r="C2506" s="23" t="s">
        <v>110</v>
      </c>
      <c r="D2506" s="53" t="str">
        <f t="shared" si="290"/>
        <v>Sage Green</v>
      </c>
      <c r="E2506" s="21" t="s">
        <v>1828</v>
      </c>
      <c r="F2506" s="21" t="str">
        <f ca="1">IFERROR(__xludf.DUMMYFUNCTION("IFERROR(REGEXEXTRACT(O761, ""\n([A-Za-z ]+)$""), """")
"),"United States")</f>
        <v>United States</v>
      </c>
      <c r="G2506" s="4" t="str">
        <f t="shared" si="289"/>
        <v>Romper Longer</v>
      </c>
      <c r="H2506" s="38">
        <f t="shared" si="292"/>
        <v>12</v>
      </c>
      <c r="I2506" s="54">
        <f t="shared" si="291"/>
        <v>51</v>
      </c>
      <c r="J2506" s="14" t="str">
        <f t="shared" si="293"/>
        <v>Christmas</v>
      </c>
      <c r="K2506" s="16" t="str">
        <f t="shared" si="294"/>
        <v>3-6</v>
      </c>
      <c r="L2506" s="14" t="str">
        <f t="shared" si="295"/>
        <v>Romper Longer | 3-6 | Sage Green</v>
      </c>
      <c r="M2506" s="16" t="s">
        <v>3611</v>
      </c>
    </row>
    <row r="2507" spans="1:13" ht="25" customHeight="1" x14ac:dyDescent="0.45">
      <c r="A2507" s="18">
        <v>46009</v>
      </c>
      <c r="B2507" s="19" t="s">
        <v>2629</v>
      </c>
      <c r="C2507" s="23" t="s">
        <v>9</v>
      </c>
      <c r="D2507" s="53" t="str">
        <f t="shared" si="290"/>
        <v>Cream</v>
      </c>
      <c r="E2507" s="21" t="s">
        <v>1849</v>
      </c>
      <c r="F2507" s="21" t="str">
        <f ca="1">IFERROR(__xludf.DUMMYFUNCTION("IFERROR(REGEXEXTRACT(O761, ""\n([A-Za-z ]+)$""), """")
"),"United States")</f>
        <v>United States</v>
      </c>
      <c r="G2507" s="4" t="str">
        <f t="shared" si="289"/>
        <v>Romper Short</v>
      </c>
      <c r="H2507" s="38">
        <f t="shared" si="292"/>
        <v>12</v>
      </c>
      <c r="I2507" s="54">
        <f t="shared" si="291"/>
        <v>51</v>
      </c>
      <c r="J2507" s="14" t="str">
        <f t="shared" si="293"/>
        <v>Christmas</v>
      </c>
      <c r="K2507" s="16" t="str">
        <f t="shared" si="294"/>
        <v>3-6</v>
      </c>
      <c r="L2507" s="14" t="str">
        <f t="shared" si="295"/>
        <v>Romper Short | 3-6 | Cream</v>
      </c>
      <c r="M2507" s="16" t="s">
        <v>3609</v>
      </c>
    </row>
    <row r="2508" spans="1:13" ht="25" customHeight="1" x14ac:dyDescent="0.45">
      <c r="A2508" s="18">
        <v>46010</v>
      </c>
      <c r="B2508" s="19" t="s">
        <v>2630</v>
      </c>
      <c r="C2508" s="23" t="s">
        <v>9</v>
      </c>
      <c r="D2508" s="53" t="str">
        <f t="shared" si="290"/>
        <v>Cream</v>
      </c>
      <c r="E2508" s="21" t="s">
        <v>1831</v>
      </c>
      <c r="F2508" s="21" t="str">
        <f ca="1">IFERROR(__xludf.DUMMYFUNCTION("IFERROR(REGEXEXTRACT(O761, ""\n([A-Za-z ]+)$""), """")
"),"United States")</f>
        <v>United States</v>
      </c>
      <c r="G2508" s="4" t="str">
        <f t="shared" si="289"/>
        <v>Romper Longer</v>
      </c>
      <c r="H2508" s="38">
        <f t="shared" si="292"/>
        <v>12</v>
      </c>
      <c r="I2508" s="54">
        <f t="shared" si="291"/>
        <v>51</v>
      </c>
      <c r="J2508" s="14" t="str">
        <f t="shared" si="293"/>
        <v>Christmas</v>
      </c>
      <c r="K2508" s="16" t="str">
        <f t="shared" si="294"/>
        <v>0-3</v>
      </c>
      <c r="L2508" s="14" t="str">
        <f t="shared" si="295"/>
        <v>Romper Longer | 0-3 | Cream</v>
      </c>
      <c r="M2508" s="16" t="s">
        <v>3609</v>
      </c>
    </row>
    <row r="2509" spans="1:13" ht="25" customHeight="1" x14ac:dyDescent="0.45">
      <c r="A2509" s="18">
        <v>46011</v>
      </c>
      <c r="B2509" s="19" t="s">
        <v>2631</v>
      </c>
      <c r="C2509" s="23" t="s">
        <v>9</v>
      </c>
      <c r="D2509" s="53" t="str">
        <f t="shared" si="290"/>
        <v>Cream</v>
      </c>
      <c r="E2509" s="21" t="s">
        <v>1849</v>
      </c>
      <c r="F2509" s="21" t="str">
        <f ca="1">IFERROR(__xludf.DUMMYFUNCTION("IFERROR(REGEXEXTRACT(O761, ""\n([A-Za-z ]+)$""), """")
"),"United States")</f>
        <v>United States</v>
      </c>
      <c r="G2509" s="4" t="str">
        <f t="shared" si="289"/>
        <v>Romper Short</v>
      </c>
      <c r="H2509" s="38">
        <f t="shared" si="292"/>
        <v>12</v>
      </c>
      <c r="I2509" s="54">
        <f t="shared" si="291"/>
        <v>51</v>
      </c>
      <c r="J2509" s="14" t="str">
        <f t="shared" si="293"/>
        <v>Christmas</v>
      </c>
      <c r="K2509" s="16" t="str">
        <f t="shared" si="294"/>
        <v>3-6</v>
      </c>
      <c r="L2509" s="14" t="str">
        <f t="shared" si="295"/>
        <v>Romper Short | 3-6 | Cream</v>
      </c>
      <c r="M2509" s="16" t="s">
        <v>3609</v>
      </c>
    </row>
    <row r="2510" spans="1:13" ht="25" customHeight="1" x14ac:dyDescent="0.45">
      <c r="A2510" s="18">
        <v>46012</v>
      </c>
      <c r="B2510" s="19" t="s">
        <v>2632</v>
      </c>
      <c r="C2510" s="23" t="s">
        <v>9</v>
      </c>
      <c r="D2510" s="53" t="str">
        <f t="shared" si="290"/>
        <v>Cream</v>
      </c>
      <c r="E2510" s="21" t="s">
        <v>1828</v>
      </c>
      <c r="F2510" s="21" t="str">
        <f ca="1">IFERROR(__xludf.DUMMYFUNCTION("IFERROR(REGEXEXTRACT(O761, ""\n([A-Za-z ]+)$""), """")
"),"United States")</f>
        <v>United States</v>
      </c>
      <c r="G2510" s="4" t="str">
        <f t="shared" si="289"/>
        <v>Romper Longer</v>
      </c>
      <c r="H2510" s="38">
        <f t="shared" si="292"/>
        <v>12</v>
      </c>
      <c r="I2510" s="54">
        <f t="shared" si="291"/>
        <v>52</v>
      </c>
      <c r="J2510" s="14" t="str">
        <f t="shared" si="293"/>
        <v>Christmas</v>
      </c>
      <c r="K2510" s="16" t="str">
        <f t="shared" si="294"/>
        <v>3-6</v>
      </c>
      <c r="L2510" s="14" t="str">
        <f t="shared" si="295"/>
        <v>Romper Longer | 3-6 | Cream</v>
      </c>
      <c r="M2510" s="16" t="s">
        <v>3609</v>
      </c>
    </row>
    <row r="2511" spans="1:13" ht="25" customHeight="1" x14ac:dyDescent="0.45">
      <c r="A2511" s="18">
        <v>46013</v>
      </c>
      <c r="B2511" s="19" t="s">
        <v>2633</v>
      </c>
      <c r="C2511" s="23" t="s">
        <v>9</v>
      </c>
      <c r="D2511" s="53" t="str">
        <f t="shared" si="290"/>
        <v>Cream</v>
      </c>
      <c r="E2511" s="21" t="s">
        <v>1841</v>
      </c>
      <c r="F2511" s="21" t="str">
        <f ca="1">IFERROR(__xludf.DUMMYFUNCTION("IFERROR(REGEXEXTRACT(O761, ""\n([A-Za-z ]+)$""), """")
"),"United States")</f>
        <v>United States</v>
      </c>
      <c r="G2511" s="4" t="str">
        <f t="shared" ref="G2511:G2574" si="296">IF(ISNUMBER(SEARCH("LONG",E2511)),"Romper Longer",IF(ISNUMBER(SEARCH("SHORT",E2511)),"Romper Short","Bodysuit"))</f>
        <v>Romper Longer</v>
      </c>
      <c r="H2511" s="38">
        <f t="shared" si="292"/>
        <v>12</v>
      </c>
      <c r="I2511" s="54">
        <f t="shared" si="291"/>
        <v>52</v>
      </c>
      <c r="J2511" s="14" t="str">
        <f t="shared" si="293"/>
        <v>Christmas</v>
      </c>
      <c r="K2511" s="16" t="str">
        <f t="shared" si="294"/>
        <v>6-12</v>
      </c>
      <c r="L2511" s="14" t="str">
        <f t="shared" si="295"/>
        <v>Romper Longer | 6-12 | Cream</v>
      </c>
      <c r="M2511" s="16" t="s">
        <v>3611</v>
      </c>
    </row>
    <row r="2512" spans="1:13" ht="25" customHeight="1" x14ac:dyDescent="0.45">
      <c r="A2512" s="18">
        <v>46014</v>
      </c>
      <c r="B2512" s="19" t="s">
        <v>2634</v>
      </c>
      <c r="C2512" s="23" t="s">
        <v>9</v>
      </c>
      <c r="D2512" s="53" t="str">
        <f t="shared" si="290"/>
        <v>Cream</v>
      </c>
      <c r="E2512" s="21" t="s">
        <v>1828</v>
      </c>
      <c r="F2512" s="21" t="str">
        <f ca="1">IFERROR(__xludf.DUMMYFUNCTION("IFERROR(REGEXEXTRACT(O761, ""\n([A-Za-z ]+)$""), """")
"),"United States")</f>
        <v>United States</v>
      </c>
      <c r="G2512" s="4" t="str">
        <f t="shared" si="296"/>
        <v>Romper Longer</v>
      </c>
      <c r="H2512" s="38">
        <f t="shared" si="292"/>
        <v>12</v>
      </c>
      <c r="I2512" s="54">
        <f t="shared" si="291"/>
        <v>52</v>
      </c>
      <c r="J2512" s="14" t="str">
        <f t="shared" si="293"/>
        <v>Christmas</v>
      </c>
      <c r="K2512" s="16" t="str">
        <f t="shared" si="294"/>
        <v>3-6</v>
      </c>
      <c r="L2512" s="14" t="str">
        <f t="shared" si="295"/>
        <v>Romper Longer | 3-6 | Cream</v>
      </c>
      <c r="M2512" s="16" t="s">
        <v>3609</v>
      </c>
    </row>
    <row r="2513" spans="1:13" ht="25" customHeight="1" x14ac:dyDescent="0.45">
      <c r="A2513" s="18">
        <v>46015</v>
      </c>
      <c r="B2513" s="19" t="s">
        <v>2635</v>
      </c>
      <c r="C2513" s="23" t="s">
        <v>224</v>
      </c>
      <c r="D2513" s="53" t="str">
        <f t="shared" si="290"/>
        <v>Salmon</v>
      </c>
      <c r="E2513" s="21" t="s">
        <v>1841</v>
      </c>
      <c r="F2513" s="21" t="str">
        <f ca="1">IFERROR(__xludf.DUMMYFUNCTION("IFERROR(REGEXEXTRACT(O761, ""\n([A-Za-z ]+)$""), """")
"),"United States")</f>
        <v>United States</v>
      </c>
      <c r="G2513" s="4" t="str">
        <f t="shared" si="296"/>
        <v>Romper Longer</v>
      </c>
      <c r="H2513" s="38">
        <f t="shared" si="292"/>
        <v>12</v>
      </c>
      <c r="I2513" s="54">
        <f t="shared" si="291"/>
        <v>52</v>
      </c>
      <c r="J2513" s="14" t="str">
        <f t="shared" si="293"/>
        <v>Christmas</v>
      </c>
      <c r="K2513" s="16" t="str">
        <f t="shared" si="294"/>
        <v>6-12</v>
      </c>
      <c r="L2513" s="14" t="str">
        <f t="shared" si="295"/>
        <v>Romper Longer | 6-12 | Salmon</v>
      </c>
      <c r="M2513" s="16" t="s">
        <v>3610</v>
      </c>
    </row>
    <row r="2514" spans="1:13" ht="25" customHeight="1" x14ac:dyDescent="0.45">
      <c r="A2514" s="18">
        <v>46016</v>
      </c>
      <c r="B2514" s="19" t="s">
        <v>2636</v>
      </c>
      <c r="C2514" s="23" t="s">
        <v>71</v>
      </c>
      <c r="D2514" s="53" t="str">
        <f t="shared" si="290"/>
        <v>Coffee</v>
      </c>
      <c r="E2514" s="21" t="s">
        <v>1831</v>
      </c>
      <c r="F2514" s="21" t="str">
        <f ca="1">IFERROR(__xludf.DUMMYFUNCTION("IFERROR(REGEXEXTRACT(O761, ""\n([A-Za-z ]+)$""), """")
"),"United States")</f>
        <v>United States</v>
      </c>
      <c r="G2514" s="4" t="str">
        <f t="shared" si="296"/>
        <v>Romper Longer</v>
      </c>
      <c r="H2514" s="38">
        <f t="shared" si="292"/>
        <v>12</v>
      </c>
      <c r="I2514" s="54">
        <f t="shared" si="291"/>
        <v>52</v>
      </c>
      <c r="J2514" s="14" t="str">
        <f t="shared" si="293"/>
        <v>Christmas</v>
      </c>
      <c r="K2514" s="16" t="str">
        <f t="shared" si="294"/>
        <v>0-3</v>
      </c>
      <c r="L2514" s="14" t="str">
        <f t="shared" si="295"/>
        <v>Romper Longer | 0-3 | Coffee</v>
      </c>
      <c r="M2514" s="16" t="s">
        <v>3610</v>
      </c>
    </row>
    <row r="2515" spans="1:13" ht="25" customHeight="1" x14ac:dyDescent="0.45">
      <c r="A2515" s="18">
        <v>46017</v>
      </c>
      <c r="B2515" s="19" t="s">
        <v>2637</v>
      </c>
      <c r="C2515" s="23" t="s">
        <v>79</v>
      </c>
      <c r="D2515" s="53" t="str">
        <f t="shared" ref="D2515:D2578" si="297">PROPER(C2515)</f>
        <v>White</v>
      </c>
      <c r="E2515" s="21" t="s">
        <v>1831</v>
      </c>
      <c r="F2515" s="21" t="str">
        <f ca="1">IFERROR(__xludf.DUMMYFUNCTION("IFERROR(REGEXEXTRACT(O761, ""\n([A-Za-z ]+)$""), """")
"),"United States")</f>
        <v>United States</v>
      </c>
      <c r="G2515" s="4" t="str">
        <f t="shared" si="296"/>
        <v>Romper Longer</v>
      </c>
      <c r="H2515" s="38">
        <f t="shared" si="292"/>
        <v>12</v>
      </c>
      <c r="I2515" s="54">
        <f t="shared" si="291"/>
        <v>52</v>
      </c>
      <c r="J2515" s="14" t="str">
        <f t="shared" si="293"/>
        <v>Christmas</v>
      </c>
      <c r="K2515" s="16" t="str">
        <f t="shared" si="294"/>
        <v>0-3</v>
      </c>
      <c r="L2515" s="14" t="str">
        <f t="shared" si="295"/>
        <v>Romper Longer | 0-3 | White</v>
      </c>
      <c r="M2515" s="16" t="s">
        <v>3610</v>
      </c>
    </row>
    <row r="2516" spans="1:13" ht="25" customHeight="1" x14ac:dyDescent="0.45">
      <c r="A2516" s="18">
        <v>46018</v>
      </c>
      <c r="B2516" s="19" t="s">
        <v>2638</v>
      </c>
      <c r="C2516" s="23" t="s">
        <v>9</v>
      </c>
      <c r="D2516" s="53" t="str">
        <f t="shared" si="297"/>
        <v>Cream</v>
      </c>
      <c r="E2516" s="21" t="s">
        <v>1447</v>
      </c>
      <c r="F2516" s="21" t="str">
        <f ca="1">IFERROR(__xludf.DUMMYFUNCTION("IFERROR(REGEXEXTRACT(O761, ""\n([A-Za-z ]+)$""), """")
"),"United States")</f>
        <v>United States</v>
      </c>
      <c r="G2516" s="4" t="str">
        <f t="shared" si="296"/>
        <v>Romper Longer</v>
      </c>
      <c r="H2516" s="38">
        <f t="shared" si="292"/>
        <v>12</v>
      </c>
      <c r="I2516" s="54">
        <f t="shared" si="291"/>
        <v>52</v>
      </c>
      <c r="J2516" s="14" t="str">
        <f t="shared" si="293"/>
        <v>Christmas</v>
      </c>
      <c r="K2516" s="16" t="str">
        <f t="shared" si="294"/>
        <v>18-24</v>
      </c>
      <c r="L2516" s="14" t="str">
        <f t="shared" si="295"/>
        <v>Romper Longer | 18-24 | Cream</v>
      </c>
      <c r="M2516" s="16" t="s">
        <v>3610</v>
      </c>
    </row>
    <row r="2517" spans="1:13" ht="25" customHeight="1" x14ac:dyDescent="0.45">
      <c r="A2517" s="18">
        <v>46019</v>
      </c>
      <c r="B2517" s="19" t="s">
        <v>2639</v>
      </c>
      <c r="C2517" s="23" t="s">
        <v>79</v>
      </c>
      <c r="D2517" s="53" t="str">
        <f t="shared" si="297"/>
        <v>White</v>
      </c>
      <c r="E2517" s="21" t="s">
        <v>1834</v>
      </c>
      <c r="F2517" s="21" t="str">
        <f ca="1">IFERROR(__xludf.DUMMYFUNCTION("IFERROR(REGEXEXTRACT(O761, ""\n([A-Za-z ]+)$""), """")
"),"United States")</f>
        <v>United States</v>
      </c>
      <c r="G2517" s="4" t="str">
        <f t="shared" si="296"/>
        <v>Romper Short</v>
      </c>
      <c r="H2517" s="38">
        <f t="shared" si="292"/>
        <v>12</v>
      </c>
      <c r="I2517" s="54">
        <f t="shared" si="291"/>
        <v>53</v>
      </c>
      <c r="J2517" s="14" t="str">
        <f t="shared" si="293"/>
        <v>Christmas</v>
      </c>
      <c r="K2517" s="16" t="str">
        <f t="shared" si="294"/>
        <v>0-3</v>
      </c>
      <c r="L2517" s="14" t="str">
        <f t="shared" si="295"/>
        <v>Romper Short | 0-3 | White</v>
      </c>
      <c r="M2517" s="16" t="s">
        <v>3610</v>
      </c>
    </row>
    <row r="2518" spans="1:13" ht="25" customHeight="1" x14ac:dyDescent="0.45">
      <c r="A2518" s="18">
        <v>46020</v>
      </c>
      <c r="B2518" s="19" t="s">
        <v>2640</v>
      </c>
      <c r="C2518" s="23" t="s">
        <v>85</v>
      </c>
      <c r="D2518" s="53" t="str">
        <f t="shared" si="297"/>
        <v>Forest Green</v>
      </c>
      <c r="E2518" s="21" t="s">
        <v>1828</v>
      </c>
      <c r="F2518" s="21" t="str">
        <f ca="1">IFERROR(__xludf.DUMMYFUNCTION("IFERROR(REGEXEXTRACT(O761, ""\n([A-Za-z ]+)$""), """")
"),"United States")</f>
        <v>United States</v>
      </c>
      <c r="G2518" s="4" t="str">
        <f t="shared" si="296"/>
        <v>Romper Longer</v>
      </c>
      <c r="H2518" s="38">
        <f t="shared" si="292"/>
        <v>12</v>
      </c>
      <c r="I2518" s="54">
        <f t="shared" si="291"/>
        <v>53</v>
      </c>
      <c r="J2518" s="14" t="str">
        <f t="shared" si="293"/>
        <v>Christmas</v>
      </c>
      <c r="K2518" s="16" t="str">
        <f t="shared" si="294"/>
        <v>3-6</v>
      </c>
      <c r="L2518" s="14" t="str">
        <f t="shared" si="295"/>
        <v>Romper Longer | 3-6 | Forest Green</v>
      </c>
      <c r="M2518" s="16" t="s">
        <v>3610</v>
      </c>
    </row>
    <row r="2519" spans="1:13" ht="25" customHeight="1" x14ac:dyDescent="0.45">
      <c r="A2519" s="18">
        <v>46021</v>
      </c>
      <c r="B2519" s="19" t="s">
        <v>2641</v>
      </c>
      <c r="C2519" s="23" t="s">
        <v>81</v>
      </c>
      <c r="D2519" s="53" t="str">
        <f t="shared" si="297"/>
        <v>Dusty Pink</v>
      </c>
      <c r="E2519" s="21" t="s">
        <v>1828</v>
      </c>
      <c r="F2519" s="21" t="str">
        <f ca="1">IFERROR(__xludf.DUMMYFUNCTION("IFERROR(REGEXEXTRACT(O761, ""\n([A-Za-z ]+)$""), """")
"),"United States")</f>
        <v>United States</v>
      </c>
      <c r="G2519" s="4" t="str">
        <f t="shared" si="296"/>
        <v>Romper Longer</v>
      </c>
      <c r="H2519" s="38">
        <f t="shared" si="292"/>
        <v>12</v>
      </c>
      <c r="I2519" s="54">
        <f t="shared" si="291"/>
        <v>53</v>
      </c>
      <c r="J2519" s="14" t="str">
        <f t="shared" si="293"/>
        <v>Christmas</v>
      </c>
      <c r="K2519" s="16" t="str">
        <f t="shared" si="294"/>
        <v>3-6</v>
      </c>
      <c r="L2519" s="14" t="str">
        <f t="shared" si="295"/>
        <v>Romper Longer | 3-6 | Dusty Pink</v>
      </c>
      <c r="M2519" s="16" t="s">
        <v>3610</v>
      </c>
    </row>
    <row r="2520" spans="1:13" ht="25" customHeight="1" x14ac:dyDescent="0.45">
      <c r="A2520" s="18">
        <v>46022</v>
      </c>
      <c r="B2520" s="19" t="s">
        <v>2642</v>
      </c>
      <c r="C2520" s="23" t="s">
        <v>9</v>
      </c>
      <c r="D2520" s="53" t="str">
        <f t="shared" si="297"/>
        <v>Cream</v>
      </c>
      <c r="E2520" s="21" t="s">
        <v>1828</v>
      </c>
      <c r="F2520" s="21" t="str">
        <f ca="1">IFERROR(__xludf.DUMMYFUNCTION("IFERROR(REGEXEXTRACT(O761, ""\n([A-Za-z ]+)$""), """")
"),"United States")</f>
        <v>United States</v>
      </c>
      <c r="G2520" s="4" t="str">
        <f t="shared" si="296"/>
        <v>Romper Longer</v>
      </c>
      <c r="H2520" s="38">
        <f t="shared" si="292"/>
        <v>12</v>
      </c>
      <c r="I2520" s="54">
        <f t="shared" si="291"/>
        <v>53</v>
      </c>
      <c r="J2520" s="14" t="str">
        <f t="shared" si="293"/>
        <v>Christmas</v>
      </c>
      <c r="K2520" s="16" t="str">
        <f t="shared" si="294"/>
        <v>3-6</v>
      </c>
      <c r="L2520" s="14" t="str">
        <f t="shared" si="295"/>
        <v>Romper Longer | 3-6 | Cream</v>
      </c>
      <c r="M2520" s="16" t="s">
        <v>3609</v>
      </c>
    </row>
    <row r="2521" spans="1:13" ht="25" customHeight="1" x14ac:dyDescent="0.45">
      <c r="A2521" s="18">
        <v>46023</v>
      </c>
      <c r="B2521" s="19" t="s">
        <v>2643</v>
      </c>
      <c r="C2521" s="23" t="s">
        <v>76</v>
      </c>
      <c r="D2521" s="53" t="str">
        <f t="shared" si="297"/>
        <v>Caldet Blue</v>
      </c>
      <c r="E2521" s="21" t="s">
        <v>1828</v>
      </c>
      <c r="F2521" s="21" t="str">
        <f ca="1">IFERROR(__xludf.DUMMYFUNCTION("IFERROR(REGEXEXTRACT(O761, ""\n([A-Za-z ]+)$""), """")
"),"United States")</f>
        <v>United States</v>
      </c>
      <c r="G2521" s="4" t="str">
        <f t="shared" si="296"/>
        <v>Romper Longer</v>
      </c>
      <c r="H2521" s="38">
        <f t="shared" si="292"/>
        <v>1</v>
      </c>
      <c r="I2521" s="54">
        <f t="shared" si="291"/>
        <v>1</v>
      </c>
      <c r="J2521" s="14" t="str">
        <f t="shared" si="293"/>
        <v>NewYear</v>
      </c>
      <c r="K2521" s="16" t="str">
        <f t="shared" si="294"/>
        <v>3-6</v>
      </c>
      <c r="L2521" s="14" t="str">
        <f t="shared" si="295"/>
        <v>Romper Longer | 3-6 | Caldet Blue</v>
      </c>
      <c r="M2521" s="16" t="s">
        <v>3610</v>
      </c>
    </row>
    <row r="2522" spans="1:13" ht="25" customHeight="1" x14ac:dyDescent="0.45">
      <c r="A2522" s="18">
        <v>46024</v>
      </c>
      <c r="B2522" s="19" t="s">
        <v>2644</v>
      </c>
      <c r="C2522" s="23" t="s">
        <v>9</v>
      </c>
      <c r="D2522" s="53" t="str">
        <f t="shared" si="297"/>
        <v>Cream</v>
      </c>
      <c r="E2522" s="21" t="s">
        <v>1834</v>
      </c>
      <c r="F2522" s="21" t="str">
        <f ca="1">IFERROR(__xludf.DUMMYFUNCTION("IFERROR(REGEXEXTRACT(O761, ""\n([A-Za-z ]+)$""), """")
"),"United States")</f>
        <v>United States</v>
      </c>
      <c r="G2522" s="4" t="str">
        <f t="shared" si="296"/>
        <v>Romper Short</v>
      </c>
      <c r="H2522" s="38">
        <f t="shared" si="292"/>
        <v>1</v>
      </c>
      <c r="I2522" s="54">
        <f t="shared" si="291"/>
        <v>1</v>
      </c>
      <c r="J2522" s="14" t="str">
        <f t="shared" si="293"/>
        <v>NewYear</v>
      </c>
      <c r="K2522" s="16" t="str">
        <f t="shared" si="294"/>
        <v>0-3</v>
      </c>
      <c r="L2522" s="14" t="str">
        <f t="shared" si="295"/>
        <v>Romper Short | 0-3 | Cream</v>
      </c>
      <c r="M2522" s="16" t="s">
        <v>3609</v>
      </c>
    </row>
    <row r="2523" spans="1:13" ht="25" customHeight="1" x14ac:dyDescent="0.45">
      <c r="A2523" s="18">
        <v>46025</v>
      </c>
      <c r="B2523" s="19" t="s">
        <v>2645</v>
      </c>
      <c r="C2523" s="23" t="s">
        <v>81</v>
      </c>
      <c r="D2523" s="53" t="str">
        <f t="shared" si="297"/>
        <v>Dusty Pink</v>
      </c>
      <c r="E2523" s="21" t="s">
        <v>1420</v>
      </c>
      <c r="F2523" s="21" t="str">
        <f ca="1">IFERROR(__xludf.DUMMYFUNCTION("IFERROR(REGEXEXTRACT(O761, ""\n([A-Za-z ]+)$""), """")
"),"United States")</f>
        <v>United States</v>
      </c>
      <c r="G2523" s="4" t="str">
        <f t="shared" si="296"/>
        <v>Romper Short</v>
      </c>
      <c r="H2523" s="38">
        <f t="shared" si="292"/>
        <v>1</v>
      </c>
      <c r="I2523" s="54">
        <f t="shared" si="291"/>
        <v>1</v>
      </c>
      <c r="J2523" s="14" t="str">
        <f t="shared" si="293"/>
        <v>NewYear</v>
      </c>
      <c r="K2523" s="16" t="str">
        <f t="shared" si="294"/>
        <v>6-12</v>
      </c>
      <c r="L2523" s="14" t="str">
        <f t="shared" si="295"/>
        <v>Romper Short | 6-12 | Dusty Pink</v>
      </c>
      <c r="M2523" s="16" t="s">
        <v>3610</v>
      </c>
    </row>
    <row r="2524" spans="1:13" ht="25" customHeight="1" x14ac:dyDescent="0.45">
      <c r="A2524" s="18">
        <v>46026</v>
      </c>
      <c r="B2524" s="34" t="s">
        <v>2646</v>
      </c>
      <c r="C2524" s="23" t="s">
        <v>9</v>
      </c>
      <c r="D2524" s="53" t="str">
        <f t="shared" si="297"/>
        <v>Cream</v>
      </c>
      <c r="E2524" s="21" t="s">
        <v>1420</v>
      </c>
      <c r="F2524" s="21" t="str">
        <f ca="1">IFERROR(__xludf.DUMMYFUNCTION("IFERROR(REGEXEXTRACT(O761, ""\n([A-Za-z ]+)$""), """")
"),"United States")</f>
        <v>United States</v>
      </c>
      <c r="G2524" s="4" t="str">
        <f t="shared" si="296"/>
        <v>Romper Short</v>
      </c>
      <c r="H2524" s="38">
        <f t="shared" si="292"/>
        <v>1</v>
      </c>
      <c r="I2524" s="54">
        <f t="shared" si="291"/>
        <v>2</v>
      </c>
      <c r="J2524" s="14" t="str">
        <f t="shared" si="293"/>
        <v>NewYear</v>
      </c>
      <c r="K2524" s="16" t="str">
        <f t="shared" si="294"/>
        <v>6-12</v>
      </c>
      <c r="L2524" s="14" t="str">
        <f t="shared" si="295"/>
        <v>Romper Short | 6-12 | Cream</v>
      </c>
      <c r="M2524" s="16" t="s">
        <v>3611</v>
      </c>
    </row>
    <row r="2525" spans="1:13" ht="25" customHeight="1" x14ac:dyDescent="0.45">
      <c r="A2525" s="18">
        <v>46027</v>
      </c>
      <c r="B2525" s="19" t="s">
        <v>2647</v>
      </c>
      <c r="C2525" s="23" t="s">
        <v>76</v>
      </c>
      <c r="D2525" s="53" t="str">
        <f t="shared" si="297"/>
        <v>Caldet Blue</v>
      </c>
      <c r="E2525" s="21" t="s">
        <v>1841</v>
      </c>
      <c r="F2525" s="21" t="str">
        <f ca="1">IFERROR(__xludf.DUMMYFUNCTION("IFERROR(REGEXEXTRACT(O761, ""\n([A-Za-z ]+)$""), """")
"),"United States")</f>
        <v>United States</v>
      </c>
      <c r="G2525" s="4" t="str">
        <f t="shared" si="296"/>
        <v>Romper Longer</v>
      </c>
      <c r="H2525" s="38">
        <f t="shared" si="292"/>
        <v>1</v>
      </c>
      <c r="I2525" s="54">
        <f t="shared" si="291"/>
        <v>2</v>
      </c>
      <c r="J2525" s="14" t="str">
        <f t="shared" si="293"/>
        <v>NewYear</v>
      </c>
      <c r="K2525" s="16" t="str">
        <f t="shared" si="294"/>
        <v>6-12</v>
      </c>
      <c r="L2525" s="14" t="str">
        <f t="shared" si="295"/>
        <v>Romper Longer | 6-12 | Caldet Blue</v>
      </c>
      <c r="M2525" s="16" t="s">
        <v>3610</v>
      </c>
    </row>
    <row r="2526" spans="1:13" ht="25" customHeight="1" x14ac:dyDescent="0.45">
      <c r="A2526" s="18">
        <v>46028</v>
      </c>
      <c r="B2526" s="19" t="s">
        <v>2648</v>
      </c>
      <c r="C2526" s="23" t="s">
        <v>9</v>
      </c>
      <c r="D2526" s="53" t="str">
        <f t="shared" si="297"/>
        <v>Cream</v>
      </c>
      <c r="E2526" s="21" t="s">
        <v>1831</v>
      </c>
      <c r="F2526" s="21" t="str">
        <f ca="1">IFERROR(__xludf.DUMMYFUNCTION("IFERROR(REGEXEXTRACT(O761, ""\n([A-Za-z ]+)$""), """")
"),"United States")</f>
        <v>United States</v>
      </c>
      <c r="G2526" s="4" t="str">
        <f t="shared" si="296"/>
        <v>Romper Longer</v>
      </c>
      <c r="H2526" s="38">
        <f t="shared" si="292"/>
        <v>1</v>
      </c>
      <c r="I2526" s="54">
        <f t="shared" si="291"/>
        <v>2</v>
      </c>
      <c r="J2526" s="14" t="str">
        <f t="shared" si="293"/>
        <v>NewYear</v>
      </c>
      <c r="K2526" s="16" t="str">
        <f t="shared" si="294"/>
        <v>0-3</v>
      </c>
      <c r="L2526" s="14" t="str">
        <f t="shared" si="295"/>
        <v>Romper Longer | 0-3 | Cream</v>
      </c>
      <c r="M2526" s="16" t="s">
        <v>3609</v>
      </c>
    </row>
    <row r="2527" spans="1:13" ht="25" customHeight="1" x14ac:dyDescent="0.45">
      <c r="A2527" s="18">
        <v>46029</v>
      </c>
      <c r="B2527" s="19" t="s">
        <v>2649</v>
      </c>
      <c r="C2527" s="23" t="s">
        <v>178</v>
      </c>
      <c r="D2527" s="53" t="str">
        <f t="shared" si="297"/>
        <v>Mauve Taupe</v>
      </c>
      <c r="E2527" s="21" t="s">
        <v>1828</v>
      </c>
      <c r="F2527" s="21" t="str">
        <f ca="1">IFERROR(__xludf.DUMMYFUNCTION("IFERROR(REGEXEXTRACT(O761, ""\n([A-Za-z ]+)$""), """")
"),"United States")</f>
        <v>United States</v>
      </c>
      <c r="G2527" s="4" t="str">
        <f t="shared" si="296"/>
        <v>Romper Longer</v>
      </c>
      <c r="H2527" s="38">
        <f t="shared" si="292"/>
        <v>1</v>
      </c>
      <c r="I2527" s="54">
        <f t="shared" si="291"/>
        <v>2</v>
      </c>
      <c r="J2527" s="14" t="str">
        <f t="shared" si="293"/>
        <v>NewYear</v>
      </c>
      <c r="K2527" s="16" t="str">
        <f t="shared" si="294"/>
        <v>3-6</v>
      </c>
      <c r="L2527" s="14" t="str">
        <f t="shared" si="295"/>
        <v>Romper Longer | 3-6 | Mauve Taupe</v>
      </c>
      <c r="M2527" s="16" t="s">
        <v>3610</v>
      </c>
    </row>
    <row r="2528" spans="1:13" ht="25" customHeight="1" x14ac:dyDescent="0.45">
      <c r="A2528" s="18">
        <v>46030</v>
      </c>
      <c r="B2528" s="19" t="s">
        <v>2650</v>
      </c>
      <c r="C2528" s="23" t="s">
        <v>9</v>
      </c>
      <c r="D2528" s="53" t="str">
        <f t="shared" si="297"/>
        <v>Cream</v>
      </c>
      <c r="E2528" s="21" t="s">
        <v>1841</v>
      </c>
      <c r="F2528" s="21" t="str">
        <f ca="1">IFERROR(__xludf.DUMMYFUNCTION("IFERROR(REGEXEXTRACT(O761, ""\n([A-Za-z ]+)$""), """")
"),"United States")</f>
        <v>United States</v>
      </c>
      <c r="G2528" s="4" t="str">
        <f t="shared" si="296"/>
        <v>Romper Longer</v>
      </c>
      <c r="H2528" s="38">
        <f t="shared" si="292"/>
        <v>1</v>
      </c>
      <c r="I2528" s="54">
        <f t="shared" si="291"/>
        <v>2</v>
      </c>
      <c r="J2528" s="14" t="str">
        <f t="shared" si="293"/>
        <v>NewYear</v>
      </c>
      <c r="K2528" s="16" t="str">
        <f t="shared" si="294"/>
        <v>6-12</v>
      </c>
      <c r="L2528" s="14" t="str">
        <f t="shared" si="295"/>
        <v>Romper Longer | 6-12 | Cream</v>
      </c>
      <c r="M2528" s="16" t="s">
        <v>3611</v>
      </c>
    </row>
    <row r="2529" spans="1:13" ht="25" customHeight="1" x14ac:dyDescent="0.45">
      <c r="A2529" s="18">
        <v>46031</v>
      </c>
      <c r="B2529" s="19" t="s">
        <v>2651</v>
      </c>
      <c r="C2529" s="23" t="s">
        <v>9</v>
      </c>
      <c r="D2529" s="53" t="str">
        <f t="shared" si="297"/>
        <v>Cream</v>
      </c>
      <c r="E2529" s="21" t="s">
        <v>1834</v>
      </c>
      <c r="F2529" s="21" t="str">
        <f ca="1">IFERROR(__xludf.DUMMYFUNCTION("IFERROR(REGEXEXTRACT(O761, ""\n([A-Za-z ]+)$""), """")
"),"United States")</f>
        <v>United States</v>
      </c>
      <c r="G2529" s="4" t="str">
        <f t="shared" si="296"/>
        <v>Romper Short</v>
      </c>
      <c r="H2529" s="38">
        <f t="shared" si="292"/>
        <v>1</v>
      </c>
      <c r="I2529" s="54">
        <f t="shared" si="291"/>
        <v>2</v>
      </c>
      <c r="J2529" s="14" t="str">
        <f t="shared" si="293"/>
        <v>NewYear</v>
      </c>
      <c r="K2529" s="16" t="str">
        <f t="shared" si="294"/>
        <v>0-3</v>
      </c>
      <c r="L2529" s="14" t="str">
        <f t="shared" si="295"/>
        <v>Romper Short | 0-3 | Cream</v>
      </c>
      <c r="M2529" s="16" t="s">
        <v>3609</v>
      </c>
    </row>
    <row r="2530" spans="1:13" ht="25" customHeight="1" x14ac:dyDescent="0.45">
      <c r="A2530" s="18">
        <v>46032</v>
      </c>
      <c r="B2530" s="19" t="s">
        <v>2652</v>
      </c>
      <c r="C2530" s="23" t="s">
        <v>9</v>
      </c>
      <c r="D2530" s="53" t="str">
        <f t="shared" si="297"/>
        <v>Cream</v>
      </c>
      <c r="E2530" s="21" t="s">
        <v>1841</v>
      </c>
      <c r="F2530" s="21" t="str">
        <f ca="1">IFERROR(__xludf.DUMMYFUNCTION("IFERROR(REGEXEXTRACT(O761, ""\n([A-Za-z ]+)$""), """")
"),"United States")</f>
        <v>United States</v>
      </c>
      <c r="G2530" s="4" t="str">
        <f t="shared" si="296"/>
        <v>Romper Longer</v>
      </c>
      <c r="H2530" s="38">
        <f t="shared" si="292"/>
        <v>1</v>
      </c>
      <c r="I2530" s="54">
        <f t="shared" si="291"/>
        <v>2</v>
      </c>
      <c r="J2530" s="14" t="str">
        <f t="shared" si="293"/>
        <v>NewYear</v>
      </c>
      <c r="K2530" s="16" t="str">
        <f t="shared" si="294"/>
        <v>6-12</v>
      </c>
      <c r="L2530" s="14" t="str">
        <f t="shared" si="295"/>
        <v>Romper Longer | 6-12 | Cream</v>
      </c>
      <c r="M2530" s="16" t="s">
        <v>3611</v>
      </c>
    </row>
    <row r="2531" spans="1:13" ht="25" customHeight="1" x14ac:dyDescent="0.45">
      <c r="A2531" s="18">
        <v>46033</v>
      </c>
      <c r="B2531" s="19" t="s">
        <v>2653</v>
      </c>
      <c r="C2531" s="23" t="s">
        <v>110</v>
      </c>
      <c r="D2531" s="53" t="str">
        <f t="shared" si="297"/>
        <v>Sage Green</v>
      </c>
      <c r="E2531" s="21" t="s">
        <v>1849</v>
      </c>
      <c r="F2531" s="21" t="str">
        <f ca="1">IFERROR(__xludf.DUMMYFUNCTION("IFERROR(REGEXEXTRACT(O761, ""\n([A-Za-z ]+)$""), """")
"),"United States")</f>
        <v>United States</v>
      </c>
      <c r="G2531" s="4" t="str">
        <f t="shared" si="296"/>
        <v>Romper Short</v>
      </c>
      <c r="H2531" s="38">
        <f t="shared" si="292"/>
        <v>1</v>
      </c>
      <c r="I2531" s="54">
        <f t="shared" si="291"/>
        <v>3</v>
      </c>
      <c r="J2531" s="14" t="str">
        <f t="shared" si="293"/>
        <v>NewYear</v>
      </c>
      <c r="K2531" s="16" t="str">
        <f t="shared" si="294"/>
        <v>3-6</v>
      </c>
      <c r="L2531" s="14" t="str">
        <f t="shared" si="295"/>
        <v>Romper Short | 3-6 | Sage Green</v>
      </c>
      <c r="M2531" s="16" t="s">
        <v>3611</v>
      </c>
    </row>
    <row r="2532" spans="1:13" ht="25" customHeight="1" x14ac:dyDescent="0.45">
      <c r="A2532" s="18">
        <v>46034</v>
      </c>
      <c r="B2532" s="19" t="s">
        <v>2286</v>
      </c>
      <c r="C2532" s="23" t="s">
        <v>9</v>
      </c>
      <c r="D2532" s="53" t="str">
        <f t="shared" si="297"/>
        <v>Cream</v>
      </c>
      <c r="E2532" s="21" t="s">
        <v>1828</v>
      </c>
      <c r="F2532" s="21" t="str">
        <f ca="1">IFERROR(__xludf.DUMMYFUNCTION("IFERROR(REGEXEXTRACT(O761, ""\n([A-Za-z ]+)$""), """")
"),"United States")</f>
        <v>United States</v>
      </c>
      <c r="G2532" s="4" t="str">
        <f t="shared" si="296"/>
        <v>Romper Longer</v>
      </c>
      <c r="H2532" s="38">
        <f t="shared" si="292"/>
        <v>1</v>
      </c>
      <c r="I2532" s="54">
        <f t="shared" si="291"/>
        <v>3</v>
      </c>
      <c r="J2532" s="14" t="str">
        <f t="shared" si="293"/>
        <v>NewYear</v>
      </c>
      <c r="K2532" s="16" t="str">
        <f t="shared" si="294"/>
        <v>3-6</v>
      </c>
      <c r="L2532" s="14" t="str">
        <f t="shared" si="295"/>
        <v>Romper Longer | 3-6 | Cream</v>
      </c>
      <c r="M2532" s="16" t="s">
        <v>3609</v>
      </c>
    </row>
    <row r="2533" spans="1:13" ht="25" customHeight="1" x14ac:dyDescent="0.45">
      <c r="A2533" s="18">
        <v>46035</v>
      </c>
      <c r="B2533" s="19" t="s">
        <v>2654</v>
      </c>
      <c r="C2533" s="23" t="s">
        <v>79</v>
      </c>
      <c r="D2533" s="53" t="str">
        <f t="shared" si="297"/>
        <v>White</v>
      </c>
      <c r="E2533" s="21" t="s">
        <v>1831</v>
      </c>
      <c r="F2533" s="21" t="str">
        <f ca="1">IFERROR(__xludf.DUMMYFUNCTION("IFERROR(REGEXEXTRACT(O761, ""\n([A-Za-z ]+)$""), """")
"),"United States")</f>
        <v>United States</v>
      </c>
      <c r="G2533" s="4" t="str">
        <f t="shared" si="296"/>
        <v>Romper Longer</v>
      </c>
      <c r="H2533" s="38">
        <f t="shared" si="292"/>
        <v>1</v>
      </c>
      <c r="I2533" s="54">
        <f t="shared" si="291"/>
        <v>3</v>
      </c>
      <c r="J2533" s="14" t="str">
        <f t="shared" si="293"/>
        <v>NewYear</v>
      </c>
      <c r="K2533" s="16" t="str">
        <f t="shared" si="294"/>
        <v>0-3</v>
      </c>
      <c r="L2533" s="14" t="str">
        <f t="shared" si="295"/>
        <v>Romper Longer | 0-3 | White</v>
      </c>
      <c r="M2533" s="16" t="s">
        <v>3610</v>
      </c>
    </row>
    <row r="2534" spans="1:13" ht="25" customHeight="1" x14ac:dyDescent="0.45">
      <c r="A2534" s="18">
        <v>46036</v>
      </c>
      <c r="B2534" s="19" t="s">
        <v>2655</v>
      </c>
      <c r="C2534" s="23" t="s">
        <v>85</v>
      </c>
      <c r="D2534" s="53" t="str">
        <f t="shared" si="297"/>
        <v>Forest Green</v>
      </c>
      <c r="E2534" s="21" t="s">
        <v>1550</v>
      </c>
      <c r="F2534" s="21" t="str">
        <f ca="1">IFERROR(__xludf.DUMMYFUNCTION("IFERROR(REGEXEXTRACT(O761, ""\n([A-Za-z ]+)$""), """")
"),"United States")</f>
        <v>United States</v>
      </c>
      <c r="G2534" s="4" t="str">
        <f t="shared" si="296"/>
        <v>Romper Longer</v>
      </c>
      <c r="H2534" s="38">
        <f t="shared" si="292"/>
        <v>1</v>
      </c>
      <c r="I2534" s="54">
        <f t="shared" si="291"/>
        <v>3</v>
      </c>
      <c r="J2534" s="14" t="str">
        <f t="shared" si="293"/>
        <v>NewYear</v>
      </c>
      <c r="K2534" s="16" t="str">
        <f t="shared" si="294"/>
        <v>12-18</v>
      </c>
      <c r="L2534" s="14" t="str">
        <f t="shared" si="295"/>
        <v>Romper Longer | 12-18 | Forest Green</v>
      </c>
      <c r="M2534" s="16" t="s">
        <v>3610</v>
      </c>
    </row>
    <row r="2535" spans="1:13" ht="25" customHeight="1" x14ac:dyDescent="0.45">
      <c r="A2535" s="18">
        <v>46037</v>
      </c>
      <c r="B2535" s="19" t="s">
        <v>2656</v>
      </c>
      <c r="C2535" s="23" t="s">
        <v>110</v>
      </c>
      <c r="D2535" s="53" t="str">
        <f t="shared" si="297"/>
        <v>Sage Green</v>
      </c>
      <c r="E2535" s="21" t="s">
        <v>1834</v>
      </c>
      <c r="F2535" s="21" t="str">
        <f ca="1">IFERROR(__xludf.DUMMYFUNCTION("IFERROR(REGEXEXTRACT(O761, ""\n([A-Za-z ]+)$""), """")
"),"United States")</f>
        <v>United States</v>
      </c>
      <c r="G2535" s="4" t="str">
        <f t="shared" si="296"/>
        <v>Romper Short</v>
      </c>
      <c r="H2535" s="38">
        <f t="shared" si="292"/>
        <v>1</v>
      </c>
      <c r="I2535" s="54">
        <f t="shared" si="291"/>
        <v>3</v>
      </c>
      <c r="J2535" s="14" t="str">
        <f t="shared" si="293"/>
        <v>NewYear</v>
      </c>
      <c r="K2535" s="16" t="str">
        <f t="shared" si="294"/>
        <v>0-3</v>
      </c>
      <c r="L2535" s="14" t="str">
        <f t="shared" si="295"/>
        <v>Romper Short | 0-3 | Sage Green</v>
      </c>
      <c r="M2535" s="16" t="s">
        <v>3610</v>
      </c>
    </row>
    <row r="2536" spans="1:13" ht="25" customHeight="1" x14ac:dyDescent="0.45">
      <c r="A2536" s="18">
        <v>46038</v>
      </c>
      <c r="B2536" s="19" t="s">
        <v>2657</v>
      </c>
      <c r="C2536" s="23" t="s">
        <v>71</v>
      </c>
      <c r="D2536" s="53" t="str">
        <f t="shared" si="297"/>
        <v>Coffee</v>
      </c>
      <c r="E2536" s="21" t="s">
        <v>1831</v>
      </c>
      <c r="F2536" s="21" t="str">
        <f ca="1">IFERROR(__xludf.DUMMYFUNCTION("IFERROR(REGEXEXTRACT(O761, ""\n([A-Za-z ]+)$""), """")
"),"United States")</f>
        <v>United States</v>
      </c>
      <c r="G2536" s="4" t="str">
        <f t="shared" si="296"/>
        <v>Romper Longer</v>
      </c>
      <c r="H2536" s="38">
        <f t="shared" si="292"/>
        <v>1</v>
      </c>
      <c r="I2536" s="54">
        <f t="shared" si="291"/>
        <v>3</v>
      </c>
      <c r="J2536" s="14" t="str">
        <f t="shared" si="293"/>
        <v>NewYear</v>
      </c>
      <c r="K2536" s="16" t="str">
        <f t="shared" si="294"/>
        <v>0-3</v>
      </c>
      <c r="L2536" s="14" t="str">
        <f t="shared" si="295"/>
        <v>Romper Longer | 0-3 | Coffee</v>
      </c>
      <c r="M2536" s="16" t="s">
        <v>3610</v>
      </c>
    </row>
    <row r="2537" spans="1:13" ht="25" customHeight="1" x14ac:dyDescent="0.45">
      <c r="A2537" s="18">
        <v>46039</v>
      </c>
      <c r="B2537" s="19" t="s">
        <v>2658</v>
      </c>
      <c r="C2537" s="23" t="s">
        <v>110</v>
      </c>
      <c r="D2537" s="53" t="str">
        <f t="shared" si="297"/>
        <v>Sage Green</v>
      </c>
      <c r="E2537" s="21" t="s">
        <v>1828</v>
      </c>
      <c r="F2537" s="21" t="str">
        <f ca="1">IFERROR(__xludf.DUMMYFUNCTION("IFERROR(REGEXEXTRACT(O761, ""\n([A-Za-z ]+)$""), """")
"),"United States")</f>
        <v>United States</v>
      </c>
      <c r="G2537" s="4" t="str">
        <f t="shared" si="296"/>
        <v>Romper Longer</v>
      </c>
      <c r="H2537" s="38">
        <f t="shared" si="292"/>
        <v>1</v>
      </c>
      <c r="I2537" s="54">
        <f t="shared" si="291"/>
        <v>3</v>
      </c>
      <c r="J2537" s="14" t="str">
        <f t="shared" si="293"/>
        <v>NewYear</v>
      </c>
      <c r="K2537" s="16" t="str">
        <f t="shared" si="294"/>
        <v>3-6</v>
      </c>
      <c r="L2537" s="14" t="str">
        <f t="shared" si="295"/>
        <v>Romper Longer | 3-6 | Sage Green</v>
      </c>
      <c r="M2537" s="16" t="s">
        <v>3611</v>
      </c>
    </row>
    <row r="2538" spans="1:13" ht="25" customHeight="1" x14ac:dyDescent="0.45">
      <c r="A2538" s="18">
        <v>46040</v>
      </c>
      <c r="B2538" s="19" t="s">
        <v>2659</v>
      </c>
      <c r="C2538" s="23" t="s">
        <v>9</v>
      </c>
      <c r="D2538" s="53" t="str">
        <f t="shared" si="297"/>
        <v>Cream</v>
      </c>
      <c r="E2538" s="21" t="s">
        <v>1841</v>
      </c>
      <c r="F2538" s="21" t="str">
        <f ca="1">IFERROR(__xludf.DUMMYFUNCTION("IFERROR(REGEXEXTRACT(O761, ""\n([A-Za-z ]+)$""), """")
"),"United States")</f>
        <v>United States</v>
      </c>
      <c r="G2538" s="4" t="str">
        <f t="shared" si="296"/>
        <v>Romper Longer</v>
      </c>
      <c r="H2538" s="38">
        <f t="shared" si="292"/>
        <v>1</v>
      </c>
      <c r="I2538" s="54">
        <f t="shared" si="291"/>
        <v>4</v>
      </c>
      <c r="J2538" s="14" t="str">
        <f t="shared" si="293"/>
        <v>NewYear</v>
      </c>
      <c r="K2538" s="16" t="str">
        <f t="shared" si="294"/>
        <v>6-12</v>
      </c>
      <c r="L2538" s="14" t="str">
        <f t="shared" si="295"/>
        <v>Romper Longer | 6-12 | Cream</v>
      </c>
      <c r="M2538" s="16" t="s">
        <v>3611</v>
      </c>
    </row>
    <row r="2539" spans="1:13" ht="25" customHeight="1" x14ac:dyDescent="0.45">
      <c r="A2539" s="18">
        <v>46041</v>
      </c>
      <c r="B2539" s="19" t="s">
        <v>2660</v>
      </c>
      <c r="C2539" s="23" t="s">
        <v>85</v>
      </c>
      <c r="D2539" s="53" t="str">
        <f t="shared" si="297"/>
        <v>Forest Green</v>
      </c>
      <c r="E2539" s="21" t="s">
        <v>1834</v>
      </c>
      <c r="F2539" s="21" t="str">
        <f ca="1">IFERROR(__xludf.DUMMYFUNCTION("IFERROR(REGEXEXTRACT(O761, ""\n([A-Za-z ]+)$""), """")
"),"United States")</f>
        <v>United States</v>
      </c>
      <c r="G2539" s="4" t="str">
        <f t="shared" si="296"/>
        <v>Romper Short</v>
      </c>
      <c r="H2539" s="38">
        <f t="shared" si="292"/>
        <v>1</v>
      </c>
      <c r="I2539" s="54">
        <f t="shared" si="291"/>
        <v>4</v>
      </c>
      <c r="J2539" s="14" t="str">
        <f t="shared" si="293"/>
        <v>NewYear</v>
      </c>
      <c r="K2539" s="16" t="str">
        <f t="shared" si="294"/>
        <v>0-3</v>
      </c>
      <c r="L2539" s="14" t="str">
        <f t="shared" si="295"/>
        <v>Romper Short | 0-3 | Forest Green</v>
      </c>
      <c r="M2539" s="16" t="s">
        <v>3610</v>
      </c>
    </row>
    <row r="2540" spans="1:13" ht="25" customHeight="1" x14ac:dyDescent="0.45">
      <c r="A2540" s="18">
        <v>46042</v>
      </c>
      <c r="B2540" s="19" t="s">
        <v>2661</v>
      </c>
      <c r="C2540" s="23" t="s">
        <v>76</v>
      </c>
      <c r="D2540" s="53" t="str">
        <f t="shared" si="297"/>
        <v>Caldet Blue</v>
      </c>
      <c r="E2540" s="21" t="s">
        <v>1849</v>
      </c>
      <c r="F2540" s="21" t="str">
        <f ca="1">IFERROR(__xludf.DUMMYFUNCTION("IFERROR(REGEXEXTRACT(O761, ""\n([A-Za-z ]+)$""), """")
"),"United States")</f>
        <v>United States</v>
      </c>
      <c r="G2540" s="4" t="str">
        <f t="shared" si="296"/>
        <v>Romper Short</v>
      </c>
      <c r="H2540" s="38">
        <f t="shared" si="292"/>
        <v>1</v>
      </c>
      <c r="I2540" s="54">
        <f t="shared" si="291"/>
        <v>4</v>
      </c>
      <c r="J2540" s="14" t="str">
        <f t="shared" si="293"/>
        <v>NewYear</v>
      </c>
      <c r="K2540" s="16" t="str">
        <f t="shared" si="294"/>
        <v>3-6</v>
      </c>
      <c r="L2540" s="14" t="str">
        <f t="shared" si="295"/>
        <v>Romper Short | 3-6 | Caldet Blue</v>
      </c>
      <c r="M2540" s="16" t="s">
        <v>3610</v>
      </c>
    </row>
    <row r="2541" spans="1:13" ht="25" customHeight="1" x14ac:dyDescent="0.45">
      <c r="A2541" s="18">
        <v>46043</v>
      </c>
      <c r="B2541" s="19" t="s">
        <v>2662</v>
      </c>
      <c r="C2541" s="23" t="s">
        <v>74</v>
      </c>
      <c r="D2541" s="53" t="str">
        <f t="shared" si="297"/>
        <v>Watermelon</v>
      </c>
      <c r="E2541" s="21" t="s">
        <v>1447</v>
      </c>
      <c r="F2541" s="21" t="str">
        <f ca="1">IFERROR(__xludf.DUMMYFUNCTION("IFERROR(REGEXEXTRACT(O761, ""\n([A-Za-z ]+)$""), """")
"),"United States")</f>
        <v>United States</v>
      </c>
      <c r="G2541" s="4" t="str">
        <f t="shared" si="296"/>
        <v>Romper Longer</v>
      </c>
      <c r="H2541" s="38">
        <f t="shared" si="292"/>
        <v>1</v>
      </c>
      <c r="I2541" s="54">
        <f t="shared" si="291"/>
        <v>4</v>
      </c>
      <c r="J2541" s="14" t="str">
        <f t="shared" si="293"/>
        <v>NewYear</v>
      </c>
      <c r="K2541" s="16" t="str">
        <f t="shared" si="294"/>
        <v>18-24</v>
      </c>
      <c r="L2541" s="14" t="str">
        <f t="shared" si="295"/>
        <v>Romper Longer | 18-24 | Watermelon</v>
      </c>
      <c r="M2541" s="16" t="s">
        <v>3610</v>
      </c>
    </row>
    <row r="2542" spans="1:13" ht="25" customHeight="1" x14ac:dyDescent="0.45">
      <c r="A2542" s="18">
        <v>46044</v>
      </c>
      <c r="B2542" s="19" t="s">
        <v>2663</v>
      </c>
      <c r="C2542" s="23" t="s">
        <v>110</v>
      </c>
      <c r="D2542" s="53" t="str">
        <f t="shared" si="297"/>
        <v>Sage Green</v>
      </c>
      <c r="E2542" s="21" t="s">
        <v>1841</v>
      </c>
      <c r="F2542" s="21" t="str">
        <f ca="1">IFERROR(__xludf.DUMMYFUNCTION("IFERROR(REGEXEXTRACT(O761, ""\n([A-Za-z ]+)$""), """")
"),"United States")</f>
        <v>United States</v>
      </c>
      <c r="G2542" s="4" t="str">
        <f t="shared" si="296"/>
        <v>Romper Longer</v>
      </c>
      <c r="H2542" s="38">
        <f t="shared" si="292"/>
        <v>1</v>
      </c>
      <c r="I2542" s="54">
        <f t="shared" ref="I2542:I2605" si="298">WEEKNUM(A2542)</f>
        <v>4</v>
      </c>
      <c r="J2542" s="14" t="str">
        <f t="shared" si="293"/>
        <v>NewYear</v>
      </c>
      <c r="K2542" s="16" t="str">
        <f t="shared" si="294"/>
        <v>6-12</v>
      </c>
      <c r="L2542" s="14" t="str">
        <f t="shared" si="295"/>
        <v>Romper Longer | 6-12 | Sage Green</v>
      </c>
      <c r="M2542" s="16" t="s">
        <v>3610</v>
      </c>
    </row>
    <row r="2543" spans="1:13" ht="25" customHeight="1" x14ac:dyDescent="0.45">
      <c r="A2543" s="18">
        <v>46045</v>
      </c>
      <c r="B2543" s="19" t="s">
        <v>2664</v>
      </c>
      <c r="C2543" s="23" t="s">
        <v>71</v>
      </c>
      <c r="D2543" s="53" t="str">
        <f t="shared" si="297"/>
        <v>Coffee</v>
      </c>
      <c r="E2543" s="21" t="s">
        <v>1834</v>
      </c>
      <c r="F2543" s="21" t="str">
        <f ca="1">IFERROR(__xludf.DUMMYFUNCTION("IFERROR(REGEXEXTRACT(O761, ""\n([A-Za-z ]+)$""), """")
"),"United States")</f>
        <v>United States</v>
      </c>
      <c r="G2543" s="4" t="str">
        <f t="shared" si="296"/>
        <v>Romper Short</v>
      </c>
      <c r="H2543" s="38">
        <f t="shared" si="292"/>
        <v>1</v>
      </c>
      <c r="I2543" s="54">
        <f t="shared" si="298"/>
        <v>4</v>
      </c>
      <c r="J2543" s="14" t="str">
        <f t="shared" si="293"/>
        <v>NewYear</v>
      </c>
      <c r="K2543" s="16" t="str">
        <f t="shared" si="294"/>
        <v>0-3</v>
      </c>
      <c r="L2543" s="14" t="str">
        <f t="shared" si="295"/>
        <v>Romper Short | 0-3 | Coffee</v>
      </c>
      <c r="M2543" s="16" t="s">
        <v>3610</v>
      </c>
    </row>
    <row r="2544" spans="1:13" ht="25" customHeight="1" x14ac:dyDescent="0.45">
      <c r="A2544" s="18">
        <v>46046</v>
      </c>
      <c r="B2544" s="19" t="s">
        <v>2665</v>
      </c>
      <c r="C2544" s="23" t="s">
        <v>74</v>
      </c>
      <c r="D2544" s="53" t="str">
        <f t="shared" si="297"/>
        <v>Watermelon</v>
      </c>
      <c r="E2544" s="21" t="s">
        <v>1841</v>
      </c>
      <c r="F2544" s="21" t="str">
        <f ca="1">IFERROR(__xludf.DUMMYFUNCTION("IFERROR(REGEXEXTRACT(O761, ""\n([A-Za-z ]+)$""), """")
"),"United States")</f>
        <v>United States</v>
      </c>
      <c r="G2544" s="4" t="str">
        <f t="shared" si="296"/>
        <v>Romper Longer</v>
      </c>
      <c r="H2544" s="38">
        <f t="shared" si="292"/>
        <v>1</v>
      </c>
      <c r="I2544" s="54">
        <f t="shared" si="298"/>
        <v>4</v>
      </c>
      <c r="J2544" s="14" t="str">
        <f t="shared" si="293"/>
        <v>NewYear</v>
      </c>
      <c r="K2544" s="16" t="str">
        <f t="shared" si="294"/>
        <v>6-12</v>
      </c>
      <c r="L2544" s="14" t="str">
        <f t="shared" si="295"/>
        <v>Romper Longer | 6-12 | Watermelon</v>
      </c>
      <c r="M2544" s="16" t="s">
        <v>3610</v>
      </c>
    </row>
    <row r="2545" spans="1:13" ht="25" customHeight="1" x14ac:dyDescent="0.45">
      <c r="A2545" s="18">
        <v>46047</v>
      </c>
      <c r="B2545" s="19" t="s">
        <v>2666</v>
      </c>
      <c r="C2545" s="23" t="s">
        <v>9</v>
      </c>
      <c r="D2545" s="53" t="str">
        <f t="shared" si="297"/>
        <v>Cream</v>
      </c>
      <c r="E2545" s="21" t="s">
        <v>1841</v>
      </c>
      <c r="F2545" s="21" t="str">
        <f ca="1">IFERROR(__xludf.DUMMYFUNCTION("IFERROR(REGEXEXTRACT(O761, ""\n([A-Za-z ]+)$""), """")
"),"United States")</f>
        <v>United States</v>
      </c>
      <c r="G2545" s="4" t="str">
        <f t="shared" si="296"/>
        <v>Romper Longer</v>
      </c>
      <c r="H2545" s="38">
        <f t="shared" si="292"/>
        <v>1</v>
      </c>
      <c r="I2545" s="54">
        <f t="shared" si="298"/>
        <v>5</v>
      </c>
      <c r="J2545" s="14" t="str">
        <f t="shared" si="293"/>
        <v>NewYear</v>
      </c>
      <c r="K2545" s="16" t="str">
        <f t="shared" si="294"/>
        <v>6-12</v>
      </c>
      <c r="L2545" s="14" t="str">
        <f t="shared" si="295"/>
        <v>Romper Longer | 6-12 | Cream</v>
      </c>
      <c r="M2545" s="16" t="s">
        <v>3611</v>
      </c>
    </row>
    <row r="2546" spans="1:13" ht="25" customHeight="1" x14ac:dyDescent="0.45">
      <c r="A2546" s="18">
        <v>46048</v>
      </c>
      <c r="B2546" s="19" t="s">
        <v>2667</v>
      </c>
      <c r="C2546" s="23" t="s">
        <v>81</v>
      </c>
      <c r="D2546" s="53" t="str">
        <f t="shared" si="297"/>
        <v>Dusty Pink</v>
      </c>
      <c r="E2546" s="21" t="s">
        <v>1849</v>
      </c>
      <c r="F2546" s="21" t="str">
        <f ca="1">IFERROR(__xludf.DUMMYFUNCTION("IFERROR(REGEXEXTRACT(O761, ""\n([A-Za-z ]+)$""), """")
"),"United States")</f>
        <v>United States</v>
      </c>
      <c r="G2546" s="4" t="str">
        <f t="shared" si="296"/>
        <v>Romper Short</v>
      </c>
      <c r="H2546" s="38">
        <f t="shared" si="292"/>
        <v>1</v>
      </c>
      <c r="I2546" s="54">
        <f t="shared" si="298"/>
        <v>5</v>
      </c>
      <c r="J2546" s="14" t="str">
        <f t="shared" si="293"/>
        <v>NewYear</v>
      </c>
      <c r="K2546" s="16" t="str">
        <f t="shared" si="294"/>
        <v>3-6</v>
      </c>
      <c r="L2546" s="14" t="str">
        <f t="shared" si="295"/>
        <v>Romper Short | 3-6 | Dusty Pink</v>
      </c>
      <c r="M2546" s="16" t="s">
        <v>3610</v>
      </c>
    </row>
    <row r="2547" spans="1:13" ht="25" customHeight="1" x14ac:dyDescent="0.45">
      <c r="A2547" s="18">
        <v>46049</v>
      </c>
      <c r="B2547" s="19" t="s">
        <v>2668</v>
      </c>
      <c r="C2547" s="23" t="s">
        <v>407</v>
      </c>
      <c r="D2547" s="53" t="str">
        <f t="shared" si="297"/>
        <v>Texas Orange</v>
      </c>
      <c r="E2547" s="21" t="s">
        <v>1841</v>
      </c>
      <c r="F2547" s="21" t="str">
        <f ca="1">IFERROR(__xludf.DUMMYFUNCTION("IFERROR(REGEXEXTRACT(O761, ""\n([A-Za-z ]+)$""), """")
"),"United States")</f>
        <v>United States</v>
      </c>
      <c r="G2547" s="4" t="str">
        <f t="shared" si="296"/>
        <v>Romper Longer</v>
      </c>
      <c r="H2547" s="38">
        <f t="shared" si="292"/>
        <v>1</v>
      </c>
      <c r="I2547" s="54">
        <f t="shared" si="298"/>
        <v>5</v>
      </c>
      <c r="J2547" s="14" t="str">
        <f t="shared" si="293"/>
        <v>NewYear</v>
      </c>
      <c r="K2547" s="16" t="str">
        <f t="shared" si="294"/>
        <v>6-12</v>
      </c>
      <c r="L2547" s="14" t="str">
        <f t="shared" si="295"/>
        <v>Romper Longer | 6-12 | Texas Orange</v>
      </c>
      <c r="M2547" s="16" t="s">
        <v>3610</v>
      </c>
    </row>
    <row r="2548" spans="1:13" ht="25" customHeight="1" x14ac:dyDescent="0.45">
      <c r="A2548" s="18">
        <v>46050</v>
      </c>
      <c r="B2548" s="19" t="s">
        <v>2669</v>
      </c>
      <c r="C2548" s="23" t="s">
        <v>110</v>
      </c>
      <c r="D2548" s="53" t="str">
        <f t="shared" si="297"/>
        <v>Sage Green</v>
      </c>
      <c r="E2548" s="21" t="s">
        <v>1828</v>
      </c>
      <c r="F2548" s="21" t="str">
        <f ca="1">IFERROR(__xludf.DUMMYFUNCTION("IFERROR(REGEXEXTRACT(O761, ""\n([A-Za-z ]+)$""), """")
"),"United States")</f>
        <v>United States</v>
      </c>
      <c r="G2548" s="4" t="str">
        <f t="shared" si="296"/>
        <v>Romper Longer</v>
      </c>
      <c r="H2548" s="38">
        <f t="shared" si="292"/>
        <v>1</v>
      </c>
      <c r="I2548" s="54">
        <f t="shared" si="298"/>
        <v>5</v>
      </c>
      <c r="J2548" s="14" t="str">
        <f t="shared" si="293"/>
        <v>NewYear</v>
      </c>
      <c r="K2548" s="16" t="str">
        <f t="shared" si="294"/>
        <v>3-6</v>
      </c>
      <c r="L2548" s="14" t="str">
        <f t="shared" si="295"/>
        <v>Romper Longer | 3-6 | Sage Green</v>
      </c>
      <c r="M2548" s="16" t="s">
        <v>3611</v>
      </c>
    </row>
    <row r="2549" spans="1:13" ht="25" customHeight="1" x14ac:dyDescent="0.45">
      <c r="A2549" s="18">
        <v>46051</v>
      </c>
      <c r="B2549" s="19" t="s">
        <v>2670</v>
      </c>
      <c r="C2549" s="23" t="s">
        <v>9</v>
      </c>
      <c r="D2549" s="53" t="str">
        <f t="shared" si="297"/>
        <v>Cream</v>
      </c>
      <c r="E2549" s="21" t="s">
        <v>1841</v>
      </c>
      <c r="F2549" s="21" t="str">
        <f ca="1">IFERROR(__xludf.DUMMYFUNCTION("IFERROR(REGEXEXTRACT(O761, ""\n([A-Za-z ]+)$""), """")
"),"United States")</f>
        <v>United States</v>
      </c>
      <c r="G2549" s="4" t="str">
        <f t="shared" si="296"/>
        <v>Romper Longer</v>
      </c>
      <c r="H2549" s="38">
        <f t="shared" si="292"/>
        <v>1</v>
      </c>
      <c r="I2549" s="54">
        <f t="shared" si="298"/>
        <v>5</v>
      </c>
      <c r="J2549" s="14" t="str">
        <f t="shared" si="293"/>
        <v>NewYear</v>
      </c>
      <c r="K2549" s="16" t="str">
        <f t="shared" si="294"/>
        <v>6-12</v>
      </c>
      <c r="L2549" s="14" t="str">
        <f t="shared" si="295"/>
        <v>Romper Longer | 6-12 | Cream</v>
      </c>
      <c r="M2549" s="16" t="s">
        <v>3611</v>
      </c>
    </row>
    <row r="2550" spans="1:13" ht="25" customHeight="1" x14ac:dyDescent="0.45">
      <c r="A2550" s="18">
        <v>46052</v>
      </c>
      <c r="B2550" s="19" t="s">
        <v>2671</v>
      </c>
      <c r="C2550" s="23" t="s">
        <v>81</v>
      </c>
      <c r="D2550" s="53" t="str">
        <f t="shared" si="297"/>
        <v>Dusty Pink</v>
      </c>
      <c r="E2550" s="21" t="s">
        <v>1831</v>
      </c>
      <c r="F2550" s="21" t="str">
        <f ca="1">IFERROR(__xludf.DUMMYFUNCTION("IFERROR(REGEXEXTRACT(O761, ""\n([A-Za-z ]+)$""), """")
"),"United States")</f>
        <v>United States</v>
      </c>
      <c r="G2550" s="4" t="str">
        <f t="shared" si="296"/>
        <v>Romper Longer</v>
      </c>
      <c r="H2550" s="38">
        <f t="shared" si="292"/>
        <v>1</v>
      </c>
      <c r="I2550" s="54">
        <f t="shared" si="298"/>
        <v>5</v>
      </c>
      <c r="J2550" s="14" t="str">
        <f t="shared" si="293"/>
        <v>NewYear</v>
      </c>
      <c r="K2550" s="16" t="str">
        <f t="shared" si="294"/>
        <v>0-3</v>
      </c>
      <c r="L2550" s="14" t="str">
        <f t="shared" si="295"/>
        <v>Romper Longer | 0-3 | Dusty Pink</v>
      </c>
      <c r="M2550" s="16" t="s">
        <v>3610</v>
      </c>
    </row>
    <row r="2551" spans="1:13" ht="25" customHeight="1" x14ac:dyDescent="0.45">
      <c r="A2551" s="18">
        <v>46053</v>
      </c>
      <c r="B2551" s="19" t="s">
        <v>2672</v>
      </c>
      <c r="C2551" s="23" t="s">
        <v>110</v>
      </c>
      <c r="D2551" s="53" t="str">
        <f t="shared" si="297"/>
        <v>Sage Green</v>
      </c>
      <c r="E2551" s="21" t="s">
        <v>1831</v>
      </c>
      <c r="F2551" s="21" t="str">
        <f ca="1">IFERROR(__xludf.DUMMYFUNCTION("IFERROR(REGEXEXTRACT(O761, ""\n([A-Za-z ]+)$""), """")
"),"United States")</f>
        <v>United States</v>
      </c>
      <c r="G2551" s="4" t="str">
        <f t="shared" si="296"/>
        <v>Romper Longer</v>
      </c>
      <c r="H2551" s="38">
        <f t="shared" si="292"/>
        <v>1</v>
      </c>
      <c r="I2551" s="54">
        <f t="shared" si="298"/>
        <v>5</v>
      </c>
      <c r="J2551" s="14" t="str">
        <f t="shared" si="293"/>
        <v>NewYear</v>
      </c>
      <c r="K2551" s="16" t="str">
        <f t="shared" si="294"/>
        <v>0-3</v>
      </c>
      <c r="L2551" s="14" t="str">
        <f t="shared" si="295"/>
        <v>Romper Longer | 0-3 | Sage Green</v>
      </c>
      <c r="M2551" s="16" t="s">
        <v>3611</v>
      </c>
    </row>
    <row r="2552" spans="1:13" ht="25" customHeight="1" x14ac:dyDescent="0.45">
      <c r="A2552" s="18">
        <v>46054</v>
      </c>
      <c r="B2552" s="19" t="s">
        <v>2673</v>
      </c>
      <c r="C2552" s="23" t="s">
        <v>85</v>
      </c>
      <c r="D2552" s="53" t="str">
        <f t="shared" si="297"/>
        <v>Forest Green</v>
      </c>
      <c r="E2552" s="21" t="s">
        <v>1841</v>
      </c>
      <c r="F2552" s="21" t="str">
        <f ca="1">IFERROR(__xludf.DUMMYFUNCTION("IFERROR(REGEXEXTRACT(O761, ""\n([A-Za-z ]+)$""), """")
"),"United States")</f>
        <v>United States</v>
      </c>
      <c r="G2552" s="4" t="str">
        <f t="shared" si="296"/>
        <v>Romper Longer</v>
      </c>
      <c r="H2552" s="38">
        <f t="shared" ref="H2552:H2615" si="299">MONTH(A2552)</f>
        <v>2</v>
      </c>
      <c r="I2552" s="54">
        <f t="shared" si="298"/>
        <v>6</v>
      </c>
      <c r="J2552" s="14" t="str">
        <f t="shared" ref="J2552:J2615" si="300">IF(H2552=1,"NewYear",
IF(H2552=2,"Valentine",
IF(OR(H2552=3,H2552=4),"Easter",
IF(H2552=5,"MothersDay",
IF(H2552=6,"FathersDay",
IF(OR(H2552=7,H2552=8),"Summer",
IF(H2552=10,"Halloween",
IF(OR(H2552=11,H2552=12),"Christmas","Normal"))))))))</f>
        <v>Valentine</v>
      </c>
      <c r="K2552" s="16" t="str">
        <f t="shared" ref="K2552:K2615" si="301">TRIM(LEFT(E2552,FIND("(",E2552&amp;"(")-3))</f>
        <v>6-12</v>
      </c>
      <c r="L2552" s="14" t="str">
        <f t="shared" si="295"/>
        <v>Romper Longer | 6-12 | Forest Green</v>
      </c>
      <c r="M2552" s="16" t="s">
        <v>3610</v>
      </c>
    </row>
    <row r="2553" spans="1:13" ht="25" customHeight="1" x14ac:dyDescent="0.45">
      <c r="A2553" s="18">
        <v>46055</v>
      </c>
      <c r="B2553" s="19" t="s">
        <v>2674</v>
      </c>
      <c r="C2553" s="23" t="s">
        <v>76</v>
      </c>
      <c r="D2553" s="53" t="str">
        <f t="shared" si="297"/>
        <v>Caldet Blue</v>
      </c>
      <c r="E2553" s="21" t="s">
        <v>1831</v>
      </c>
      <c r="F2553" s="21" t="str">
        <f ca="1">IFERROR(__xludf.DUMMYFUNCTION("IFERROR(REGEXEXTRACT(O761, ""\n([A-Za-z ]+)$""), """")
"),"United States")</f>
        <v>United States</v>
      </c>
      <c r="G2553" s="4" t="str">
        <f t="shared" si="296"/>
        <v>Romper Longer</v>
      </c>
      <c r="H2553" s="38">
        <f t="shared" si="299"/>
        <v>2</v>
      </c>
      <c r="I2553" s="54">
        <f t="shared" si="298"/>
        <v>6</v>
      </c>
      <c r="J2553" s="14" t="str">
        <f t="shared" si="300"/>
        <v>Valentine</v>
      </c>
      <c r="K2553" s="16" t="str">
        <f t="shared" si="301"/>
        <v>0-3</v>
      </c>
      <c r="L2553" s="14" t="str">
        <f t="shared" si="295"/>
        <v>Romper Longer | 0-3 | Caldet Blue</v>
      </c>
      <c r="M2553" s="16" t="s">
        <v>3610</v>
      </c>
    </row>
    <row r="2554" spans="1:13" ht="25" customHeight="1" x14ac:dyDescent="0.45">
      <c r="A2554" s="18">
        <v>46056</v>
      </c>
      <c r="B2554" s="19" t="s">
        <v>2675</v>
      </c>
      <c r="C2554" s="23" t="s">
        <v>9</v>
      </c>
      <c r="D2554" s="53" t="str">
        <f t="shared" si="297"/>
        <v>Cream</v>
      </c>
      <c r="E2554" s="21" t="s">
        <v>1841</v>
      </c>
      <c r="F2554" s="21" t="str">
        <f ca="1">IFERROR(__xludf.DUMMYFUNCTION("IFERROR(REGEXEXTRACT(O761, ""\n([A-Za-z ]+)$""), """")
"),"United States")</f>
        <v>United States</v>
      </c>
      <c r="G2554" s="4" t="str">
        <f t="shared" si="296"/>
        <v>Romper Longer</v>
      </c>
      <c r="H2554" s="38">
        <f t="shared" si="299"/>
        <v>2</v>
      </c>
      <c r="I2554" s="54">
        <f t="shared" si="298"/>
        <v>6</v>
      </c>
      <c r="J2554" s="14" t="str">
        <f t="shared" si="300"/>
        <v>Valentine</v>
      </c>
      <c r="K2554" s="16" t="str">
        <f t="shared" si="301"/>
        <v>6-12</v>
      </c>
      <c r="L2554" s="14" t="str">
        <f t="shared" si="295"/>
        <v>Romper Longer | 6-12 | Cream</v>
      </c>
      <c r="M2554" s="16" t="s">
        <v>3611</v>
      </c>
    </row>
    <row r="2555" spans="1:13" ht="25" customHeight="1" x14ac:dyDescent="0.45">
      <c r="A2555" s="18">
        <v>46057</v>
      </c>
      <c r="B2555" s="19" t="s">
        <v>2676</v>
      </c>
      <c r="C2555" s="23" t="s">
        <v>81</v>
      </c>
      <c r="D2555" s="53" t="str">
        <f t="shared" si="297"/>
        <v>Dusty Pink</v>
      </c>
      <c r="E2555" s="21" t="s">
        <v>1831</v>
      </c>
      <c r="F2555" s="21" t="str">
        <f ca="1">IFERROR(__xludf.DUMMYFUNCTION("IFERROR(REGEXEXTRACT(O761, ""\n([A-Za-z ]+)$""), """")
"),"United States")</f>
        <v>United States</v>
      </c>
      <c r="G2555" s="4" t="str">
        <f t="shared" si="296"/>
        <v>Romper Longer</v>
      </c>
      <c r="H2555" s="38">
        <f t="shared" si="299"/>
        <v>2</v>
      </c>
      <c r="I2555" s="54">
        <f t="shared" si="298"/>
        <v>6</v>
      </c>
      <c r="J2555" s="14" t="str">
        <f t="shared" si="300"/>
        <v>Valentine</v>
      </c>
      <c r="K2555" s="16" t="str">
        <f t="shared" si="301"/>
        <v>0-3</v>
      </c>
      <c r="L2555" s="14" t="str">
        <f t="shared" si="295"/>
        <v>Romper Longer | 0-3 | Dusty Pink</v>
      </c>
      <c r="M2555" s="16" t="s">
        <v>3610</v>
      </c>
    </row>
    <row r="2556" spans="1:13" ht="25" customHeight="1" x14ac:dyDescent="0.45">
      <c r="A2556" s="18">
        <v>46058</v>
      </c>
      <c r="B2556" s="19" t="s">
        <v>2677</v>
      </c>
      <c r="C2556" s="23" t="s">
        <v>76</v>
      </c>
      <c r="D2556" s="53" t="str">
        <f t="shared" si="297"/>
        <v>Caldet Blue</v>
      </c>
      <c r="E2556" s="21" t="s">
        <v>1849</v>
      </c>
      <c r="F2556" s="21" t="str">
        <f ca="1">IFERROR(__xludf.DUMMYFUNCTION("IFERROR(REGEXEXTRACT(O761, ""\n([A-Za-z ]+)$""), """")
"),"United States")</f>
        <v>United States</v>
      </c>
      <c r="G2556" s="4" t="str">
        <f t="shared" si="296"/>
        <v>Romper Short</v>
      </c>
      <c r="H2556" s="38">
        <f t="shared" si="299"/>
        <v>2</v>
      </c>
      <c r="I2556" s="54">
        <f t="shared" si="298"/>
        <v>6</v>
      </c>
      <c r="J2556" s="14" t="str">
        <f t="shared" si="300"/>
        <v>Valentine</v>
      </c>
      <c r="K2556" s="16" t="str">
        <f t="shared" si="301"/>
        <v>3-6</v>
      </c>
      <c r="L2556" s="14" t="str">
        <f t="shared" si="295"/>
        <v>Romper Short | 3-6 | Caldet Blue</v>
      </c>
      <c r="M2556" s="16" t="s">
        <v>3610</v>
      </c>
    </row>
    <row r="2557" spans="1:13" ht="25" customHeight="1" x14ac:dyDescent="0.45">
      <c r="A2557" s="18">
        <v>46059</v>
      </c>
      <c r="B2557" s="19" t="s">
        <v>2158</v>
      </c>
      <c r="C2557" s="23" t="s">
        <v>74</v>
      </c>
      <c r="D2557" s="53" t="str">
        <f t="shared" si="297"/>
        <v>Watermelon</v>
      </c>
      <c r="E2557" s="21" t="s">
        <v>1828</v>
      </c>
      <c r="F2557" s="21" t="str">
        <f ca="1">IFERROR(__xludf.DUMMYFUNCTION("IFERROR(REGEXEXTRACT(O761, ""\n([A-Za-z ]+)$""), """")
"),"United States")</f>
        <v>United States</v>
      </c>
      <c r="G2557" s="4" t="str">
        <f t="shared" si="296"/>
        <v>Romper Longer</v>
      </c>
      <c r="H2557" s="38">
        <f t="shared" si="299"/>
        <v>2</v>
      </c>
      <c r="I2557" s="54">
        <f t="shared" si="298"/>
        <v>6</v>
      </c>
      <c r="J2557" s="14" t="str">
        <f t="shared" si="300"/>
        <v>Valentine</v>
      </c>
      <c r="K2557" s="16" t="str">
        <f t="shared" si="301"/>
        <v>3-6</v>
      </c>
      <c r="L2557" s="14" t="str">
        <f t="shared" si="295"/>
        <v>Romper Longer | 3-6 | Watermelon</v>
      </c>
      <c r="M2557" s="16" t="s">
        <v>3610</v>
      </c>
    </row>
    <row r="2558" spans="1:13" ht="25" customHeight="1" x14ac:dyDescent="0.45">
      <c r="A2558" s="18">
        <v>46060</v>
      </c>
      <c r="B2558" s="19" t="s">
        <v>2678</v>
      </c>
      <c r="C2558" s="23" t="s">
        <v>9</v>
      </c>
      <c r="D2558" s="53" t="str">
        <f t="shared" si="297"/>
        <v>Cream</v>
      </c>
      <c r="E2558" s="21" t="s">
        <v>1841</v>
      </c>
      <c r="F2558" s="21" t="str">
        <f ca="1">IFERROR(__xludf.DUMMYFUNCTION("IFERROR(REGEXEXTRACT(O761, ""\n([A-Za-z ]+)$""), """")
"),"United States")</f>
        <v>United States</v>
      </c>
      <c r="G2558" s="4" t="str">
        <f t="shared" si="296"/>
        <v>Romper Longer</v>
      </c>
      <c r="H2558" s="38">
        <f t="shared" si="299"/>
        <v>2</v>
      </c>
      <c r="I2558" s="54">
        <f t="shared" si="298"/>
        <v>6</v>
      </c>
      <c r="J2558" s="14" t="str">
        <f t="shared" si="300"/>
        <v>Valentine</v>
      </c>
      <c r="K2558" s="16" t="str">
        <f t="shared" si="301"/>
        <v>6-12</v>
      </c>
      <c r="L2558" s="14" t="str">
        <f t="shared" si="295"/>
        <v>Romper Longer | 6-12 | Cream</v>
      </c>
      <c r="M2558" s="16" t="s">
        <v>3611</v>
      </c>
    </row>
    <row r="2559" spans="1:13" ht="25" customHeight="1" x14ac:dyDescent="0.45">
      <c r="A2559" s="18">
        <v>46061</v>
      </c>
      <c r="B2559" s="19" t="s">
        <v>2679</v>
      </c>
      <c r="C2559" s="23" t="s">
        <v>110</v>
      </c>
      <c r="D2559" s="53" t="str">
        <f t="shared" si="297"/>
        <v>Sage Green</v>
      </c>
      <c r="E2559" s="21" t="s">
        <v>1550</v>
      </c>
      <c r="F2559" s="21" t="str">
        <f ca="1">IFERROR(__xludf.DUMMYFUNCTION("IFERROR(REGEXEXTRACT(O761, ""\n([A-Za-z ]+)$""), """")
"),"United States")</f>
        <v>United States</v>
      </c>
      <c r="G2559" s="4" t="str">
        <f t="shared" si="296"/>
        <v>Romper Longer</v>
      </c>
      <c r="H2559" s="38">
        <f t="shared" si="299"/>
        <v>2</v>
      </c>
      <c r="I2559" s="54">
        <f t="shared" si="298"/>
        <v>7</v>
      </c>
      <c r="J2559" s="14" t="str">
        <f t="shared" si="300"/>
        <v>Valentine</v>
      </c>
      <c r="K2559" s="16" t="str">
        <f t="shared" si="301"/>
        <v>12-18</v>
      </c>
      <c r="L2559" s="14" t="str">
        <f t="shared" si="295"/>
        <v>Romper Longer | 12-18 | Sage Green</v>
      </c>
      <c r="M2559" s="16" t="s">
        <v>3610</v>
      </c>
    </row>
    <row r="2560" spans="1:13" ht="25" customHeight="1" x14ac:dyDescent="0.45">
      <c r="A2560" s="18">
        <v>46062</v>
      </c>
      <c r="B2560" s="19" t="s">
        <v>2680</v>
      </c>
      <c r="C2560" s="23" t="s">
        <v>85</v>
      </c>
      <c r="D2560" s="53" t="str">
        <f t="shared" si="297"/>
        <v>Forest Green</v>
      </c>
      <c r="E2560" s="21" t="s">
        <v>1849</v>
      </c>
      <c r="F2560" s="21" t="str">
        <f ca="1">IFERROR(__xludf.DUMMYFUNCTION("IFERROR(REGEXEXTRACT(O761, ""\n([A-Za-z ]+)$""), """")
"),"United States")</f>
        <v>United States</v>
      </c>
      <c r="G2560" s="4" t="str">
        <f t="shared" si="296"/>
        <v>Romper Short</v>
      </c>
      <c r="H2560" s="38">
        <f t="shared" si="299"/>
        <v>2</v>
      </c>
      <c r="I2560" s="54">
        <f t="shared" si="298"/>
        <v>7</v>
      </c>
      <c r="J2560" s="14" t="str">
        <f t="shared" si="300"/>
        <v>Valentine</v>
      </c>
      <c r="K2560" s="16" t="str">
        <f t="shared" si="301"/>
        <v>3-6</v>
      </c>
      <c r="L2560" s="14" t="str">
        <f t="shared" si="295"/>
        <v>Romper Short | 3-6 | Forest Green</v>
      </c>
      <c r="M2560" s="16" t="s">
        <v>3610</v>
      </c>
    </row>
    <row r="2561" spans="1:13" ht="25" customHeight="1" x14ac:dyDescent="0.45">
      <c r="A2561" s="18">
        <v>46063</v>
      </c>
      <c r="B2561" s="19" t="s">
        <v>2681</v>
      </c>
      <c r="C2561" s="23" t="s">
        <v>9</v>
      </c>
      <c r="D2561" s="53" t="str">
        <f t="shared" si="297"/>
        <v>Cream</v>
      </c>
      <c r="E2561" s="21" t="s">
        <v>1841</v>
      </c>
      <c r="F2561" s="21" t="str">
        <f ca="1">IFERROR(__xludf.DUMMYFUNCTION("IFERROR(REGEXEXTRACT(O761, ""\n([A-Za-z ]+)$""), """")
"),"United States")</f>
        <v>United States</v>
      </c>
      <c r="G2561" s="4" t="str">
        <f t="shared" si="296"/>
        <v>Romper Longer</v>
      </c>
      <c r="H2561" s="38">
        <f t="shared" si="299"/>
        <v>2</v>
      </c>
      <c r="I2561" s="54">
        <f t="shared" si="298"/>
        <v>7</v>
      </c>
      <c r="J2561" s="14" t="str">
        <f t="shared" si="300"/>
        <v>Valentine</v>
      </c>
      <c r="K2561" s="16" t="str">
        <f t="shared" si="301"/>
        <v>6-12</v>
      </c>
      <c r="L2561" s="14" t="str">
        <f t="shared" si="295"/>
        <v>Romper Longer | 6-12 | Cream</v>
      </c>
      <c r="M2561" s="16" t="s">
        <v>3611</v>
      </c>
    </row>
    <row r="2562" spans="1:13" ht="25" customHeight="1" x14ac:dyDescent="0.45">
      <c r="A2562" s="18">
        <v>46064</v>
      </c>
      <c r="B2562" s="19" t="s">
        <v>2682</v>
      </c>
      <c r="C2562" s="23" t="s">
        <v>178</v>
      </c>
      <c r="D2562" s="53" t="str">
        <f t="shared" si="297"/>
        <v>Mauve Taupe</v>
      </c>
      <c r="E2562" s="21" t="s">
        <v>1828</v>
      </c>
      <c r="F2562" s="21" t="str">
        <f ca="1">IFERROR(__xludf.DUMMYFUNCTION("IFERROR(REGEXEXTRACT(O761, ""\n([A-Za-z ]+)$""), """")
"),"United States")</f>
        <v>United States</v>
      </c>
      <c r="G2562" s="4" t="str">
        <f t="shared" si="296"/>
        <v>Romper Longer</v>
      </c>
      <c r="H2562" s="38">
        <f t="shared" si="299"/>
        <v>2</v>
      </c>
      <c r="I2562" s="54">
        <f t="shared" si="298"/>
        <v>7</v>
      </c>
      <c r="J2562" s="14" t="str">
        <f t="shared" si="300"/>
        <v>Valentine</v>
      </c>
      <c r="K2562" s="16" t="str">
        <f t="shared" si="301"/>
        <v>3-6</v>
      </c>
      <c r="L2562" s="14" t="str">
        <f t="shared" ref="L2562:L2625" si="302">TRIM(G2562)&amp;" | "&amp;TRIM(K2562)&amp;" | "&amp;PROPER(TRIM(D2562))</f>
        <v>Romper Longer | 3-6 | Mauve Taupe</v>
      </c>
      <c r="M2562" s="16" t="s">
        <v>3610</v>
      </c>
    </row>
    <row r="2563" spans="1:13" ht="25" customHeight="1" x14ac:dyDescent="0.45">
      <c r="A2563" s="18">
        <v>46065</v>
      </c>
      <c r="B2563" s="19" t="s">
        <v>2683</v>
      </c>
      <c r="C2563" s="23" t="s">
        <v>85</v>
      </c>
      <c r="D2563" s="53" t="str">
        <f t="shared" si="297"/>
        <v>Forest Green</v>
      </c>
      <c r="E2563" s="21" t="s">
        <v>1828</v>
      </c>
      <c r="F2563" s="21" t="str">
        <f ca="1">IFERROR(__xludf.DUMMYFUNCTION("IFERROR(REGEXEXTRACT(O761, ""\n([A-Za-z ]+)$""), """")
"),"United States")</f>
        <v>United States</v>
      </c>
      <c r="G2563" s="4" t="str">
        <f t="shared" si="296"/>
        <v>Romper Longer</v>
      </c>
      <c r="H2563" s="38">
        <f t="shared" si="299"/>
        <v>2</v>
      </c>
      <c r="I2563" s="54">
        <f t="shared" si="298"/>
        <v>7</v>
      </c>
      <c r="J2563" s="14" t="str">
        <f t="shared" si="300"/>
        <v>Valentine</v>
      </c>
      <c r="K2563" s="16" t="str">
        <f t="shared" si="301"/>
        <v>3-6</v>
      </c>
      <c r="L2563" s="14" t="str">
        <f t="shared" si="302"/>
        <v>Romper Longer | 3-6 | Forest Green</v>
      </c>
      <c r="M2563" s="16" t="s">
        <v>3610</v>
      </c>
    </row>
    <row r="2564" spans="1:13" ht="25" customHeight="1" x14ac:dyDescent="0.45">
      <c r="A2564" s="18">
        <v>46066</v>
      </c>
      <c r="B2564" s="19" t="s">
        <v>2684</v>
      </c>
      <c r="C2564" s="23" t="s">
        <v>9</v>
      </c>
      <c r="D2564" s="53" t="str">
        <f t="shared" si="297"/>
        <v>Cream</v>
      </c>
      <c r="E2564" s="21" t="s">
        <v>1831</v>
      </c>
      <c r="F2564" s="21" t="str">
        <f ca="1">IFERROR(__xludf.DUMMYFUNCTION("IFERROR(REGEXEXTRACT(O761, ""\n([A-Za-z ]+)$""), """")
"),"United States")</f>
        <v>United States</v>
      </c>
      <c r="G2564" s="4" t="str">
        <f t="shared" si="296"/>
        <v>Romper Longer</v>
      </c>
      <c r="H2564" s="38">
        <f t="shared" si="299"/>
        <v>2</v>
      </c>
      <c r="I2564" s="54">
        <f t="shared" si="298"/>
        <v>7</v>
      </c>
      <c r="J2564" s="14" t="str">
        <f t="shared" si="300"/>
        <v>Valentine</v>
      </c>
      <c r="K2564" s="16" t="str">
        <f t="shared" si="301"/>
        <v>0-3</v>
      </c>
      <c r="L2564" s="14" t="str">
        <f t="shared" si="302"/>
        <v>Romper Longer | 0-3 | Cream</v>
      </c>
      <c r="M2564" s="16" t="s">
        <v>3609</v>
      </c>
    </row>
    <row r="2565" spans="1:13" ht="25" customHeight="1" x14ac:dyDescent="0.45">
      <c r="A2565" s="18">
        <v>46067</v>
      </c>
      <c r="B2565" s="19" t="s">
        <v>2685</v>
      </c>
      <c r="C2565" s="23" t="s">
        <v>74</v>
      </c>
      <c r="D2565" s="53" t="str">
        <f t="shared" si="297"/>
        <v>Watermelon</v>
      </c>
      <c r="E2565" s="21" t="s">
        <v>1550</v>
      </c>
      <c r="F2565" s="21" t="str">
        <f ca="1">IFERROR(__xludf.DUMMYFUNCTION("IFERROR(REGEXEXTRACT(O761, ""\n([A-Za-z ]+)$""), """")
"),"United States")</f>
        <v>United States</v>
      </c>
      <c r="G2565" s="4" t="str">
        <f t="shared" si="296"/>
        <v>Romper Longer</v>
      </c>
      <c r="H2565" s="38">
        <f t="shared" si="299"/>
        <v>2</v>
      </c>
      <c r="I2565" s="54">
        <f t="shared" si="298"/>
        <v>7</v>
      </c>
      <c r="J2565" s="14" t="str">
        <f t="shared" si="300"/>
        <v>Valentine</v>
      </c>
      <c r="K2565" s="16" t="str">
        <f t="shared" si="301"/>
        <v>12-18</v>
      </c>
      <c r="L2565" s="14" t="str">
        <f t="shared" si="302"/>
        <v>Romper Longer | 12-18 | Watermelon</v>
      </c>
      <c r="M2565" s="16" t="s">
        <v>3610</v>
      </c>
    </row>
    <row r="2566" spans="1:13" ht="25" customHeight="1" x14ac:dyDescent="0.45">
      <c r="A2566" s="18">
        <v>46068</v>
      </c>
      <c r="B2566" s="19" t="s">
        <v>2686</v>
      </c>
      <c r="C2566" s="23" t="s">
        <v>110</v>
      </c>
      <c r="D2566" s="53" t="str">
        <f t="shared" si="297"/>
        <v>Sage Green</v>
      </c>
      <c r="E2566" s="21" t="s">
        <v>1828</v>
      </c>
      <c r="F2566" s="21" t="str">
        <f ca="1">IFERROR(__xludf.DUMMYFUNCTION("IFERROR(REGEXEXTRACT(O761, ""\n([A-Za-z ]+)$""), """")
"),"United States")</f>
        <v>United States</v>
      </c>
      <c r="G2566" s="4" t="str">
        <f t="shared" si="296"/>
        <v>Romper Longer</v>
      </c>
      <c r="H2566" s="38">
        <f t="shared" si="299"/>
        <v>2</v>
      </c>
      <c r="I2566" s="54">
        <f t="shared" si="298"/>
        <v>8</v>
      </c>
      <c r="J2566" s="14" t="str">
        <f t="shared" si="300"/>
        <v>Valentine</v>
      </c>
      <c r="K2566" s="16" t="str">
        <f t="shared" si="301"/>
        <v>3-6</v>
      </c>
      <c r="L2566" s="14" t="str">
        <f t="shared" si="302"/>
        <v>Romper Longer | 3-6 | Sage Green</v>
      </c>
      <c r="M2566" s="16" t="s">
        <v>3611</v>
      </c>
    </row>
    <row r="2567" spans="1:13" ht="25" customHeight="1" x14ac:dyDescent="0.45">
      <c r="A2567" s="18">
        <v>46069</v>
      </c>
      <c r="B2567" s="19" t="s">
        <v>2687</v>
      </c>
      <c r="C2567" s="23" t="s">
        <v>110</v>
      </c>
      <c r="D2567" s="53" t="str">
        <f t="shared" si="297"/>
        <v>Sage Green</v>
      </c>
      <c r="E2567" s="21" t="s">
        <v>1849</v>
      </c>
      <c r="F2567" s="21" t="str">
        <f ca="1">IFERROR(__xludf.DUMMYFUNCTION("IFERROR(REGEXEXTRACT(O761, ""\n([A-Za-z ]+)$""), """")
"),"United States")</f>
        <v>United States</v>
      </c>
      <c r="G2567" s="4" t="str">
        <f t="shared" si="296"/>
        <v>Romper Short</v>
      </c>
      <c r="H2567" s="38">
        <f t="shared" si="299"/>
        <v>2</v>
      </c>
      <c r="I2567" s="54">
        <f t="shared" si="298"/>
        <v>8</v>
      </c>
      <c r="J2567" s="14" t="str">
        <f t="shared" si="300"/>
        <v>Valentine</v>
      </c>
      <c r="K2567" s="16" t="str">
        <f t="shared" si="301"/>
        <v>3-6</v>
      </c>
      <c r="L2567" s="14" t="str">
        <f t="shared" si="302"/>
        <v>Romper Short | 3-6 | Sage Green</v>
      </c>
      <c r="M2567" s="16" t="s">
        <v>3611</v>
      </c>
    </row>
    <row r="2568" spans="1:13" ht="25" customHeight="1" x14ac:dyDescent="0.45">
      <c r="A2568" s="18">
        <v>46070</v>
      </c>
      <c r="B2568" s="19" t="s">
        <v>2688</v>
      </c>
      <c r="C2568" s="23" t="s">
        <v>79</v>
      </c>
      <c r="D2568" s="53" t="str">
        <f t="shared" si="297"/>
        <v>White</v>
      </c>
      <c r="E2568" s="21" t="s">
        <v>1828</v>
      </c>
      <c r="F2568" s="21" t="str">
        <f ca="1">IFERROR(__xludf.DUMMYFUNCTION("IFERROR(REGEXEXTRACT(O761, ""\n([A-Za-z ]+)$""), """")
"),"United States")</f>
        <v>United States</v>
      </c>
      <c r="G2568" s="4" t="str">
        <f t="shared" si="296"/>
        <v>Romper Longer</v>
      </c>
      <c r="H2568" s="38">
        <f t="shared" si="299"/>
        <v>2</v>
      </c>
      <c r="I2568" s="54">
        <f t="shared" si="298"/>
        <v>8</v>
      </c>
      <c r="J2568" s="14" t="str">
        <f t="shared" si="300"/>
        <v>Valentine</v>
      </c>
      <c r="K2568" s="16" t="str">
        <f t="shared" si="301"/>
        <v>3-6</v>
      </c>
      <c r="L2568" s="14" t="str">
        <f t="shared" si="302"/>
        <v>Romper Longer | 3-6 | White</v>
      </c>
      <c r="M2568" s="16" t="s">
        <v>3610</v>
      </c>
    </row>
    <row r="2569" spans="1:13" ht="25" customHeight="1" x14ac:dyDescent="0.45">
      <c r="A2569" s="18">
        <v>46071</v>
      </c>
      <c r="B2569" s="19" t="s">
        <v>2689</v>
      </c>
      <c r="C2569" s="23" t="s">
        <v>76</v>
      </c>
      <c r="D2569" s="53" t="str">
        <f t="shared" si="297"/>
        <v>Caldet Blue</v>
      </c>
      <c r="E2569" s="21" t="s">
        <v>1841</v>
      </c>
      <c r="F2569" s="21" t="str">
        <f ca="1">IFERROR(__xludf.DUMMYFUNCTION("IFERROR(REGEXEXTRACT(O761, ""\n([A-Za-z ]+)$""), """")
"),"United States")</f>
        <v>United States</v>
      </c>
      <c r="G2569" s="4" t="str">
        <f t="shared" si="296"/>
        <v>Romper Longer</v>
      </c>
      <c r="H2569" s="38">
        <f t="shared" si="299"/>
        <v>2</v>
      </c>
      <c r="I2569" s="54">
        <f t="shared" si="298"/>
        <v>8</v>
      </c>
      <c r="J2569" s="14" t="str">
        <f t="shared" si="300"/>
        <v>Valentine</v>
      </c>
      <c r="K2569" s="16" t="str">
        <f t="shared" si="301"/>
        <v>6-12</v>
      </c>
      <c r="L2569" s="14" t="str">
        <f t="shared" si="302"/>
        <v>Romper Longer | 6-12 | Caldet Blue</v>
      </c>
      <c r="M2569" s="16" t="s">
        <v>3610</v>
      </c>
    </row>
    <row r="2570" spans="1:13" ht="25" customHeight="1" x14ac:dyDescent="0.45">
      <c r="A2570" s="18">
        <v>46072</v>
      </c>
      <c r="B2570" s="19" t="s">
        <v>2690</v>
      </c>
      <c r="C2570" s="23" t="s">
        <v>76</v>
      </c>
      <c r="D2570" s="53" t="str">
        <f t="shared" si="297"/>
        <v>Caldet Blue</v>
      </c>
      <c r="E2570" s="21" t="s">
        <v>1834</v>
      </c>
      <c r="F2570" s="21" t="str">
        <f ca="1">IFERROR(__xludf.DUMMYFUNCTION("IFERROR(REGEXEXTRACT(O761, ""\n([A-Za-z ]+)$""), """")
"),"United States")</f>
        <v>United States</v>
      </c>
      <c r="G2570" s="4" t="str">
        <f t="shared" si="296"/>
        <v>Romper Short</v>
      </c>
      <c r="H2570" s="38">
        <f t="shared" si="299"/>
        <v>2</v>
      </c>
      <c r="I2570" s="54">
        <f t="shared" si="298"/>
        <v>8</v>
      </c>
      <c r="J2570" s="14" t="str">
        <f t="shared" si="300"/>
        <v>Valentine</v>
      </c>
      <c r="K2570" s="16" t="str">
        <f t="shared" si="301"/>
        <v>0-3</v>
      </c>
      <c r="L2570" s="14" t="str">
        <f t="shared" si="302"/>
        <v>Romper Short | 0-3 | Caldet Blue</v>
      </c>
      <c r="M2570" s="16" t="s">
        <v>3610</v>
      </c>
    </row>
    <row r="2571" spans="1:13" ht="25" customHeight="1" x14ac:dyDescent="0.45">
      <c r="A2571" s="18">
        <v>46073</v>
      </c>
      <c r="B2571" s="19" t="s">
        <v>2691</v>
      </c>
      <c r="C2571" s="23" t="s">
        <v>9</v>
      </c>
      <c r="D2571" s="53" t="str">
        <f t="shared" si="297"/>
        <v>Cream</v>
      </c>
      <c r="E2571" s="21" t="s">
        <v>1828</v>
      </c>
      <c r="F2571" s="21" t="str">
        <f ca="1">IFERROR(__xludf.DUMMYFUNCTION("IFERROR(REGEXEXTRACT(O761, ""\n([A-Za-z ]+)$""), """")
"),"United States")</f>
        <v>United States</v>
      </c>
      <c r="G2571" s="4" t="str">
        <f t="shared" si="296"/>
        <v>Romper Longer</v>
      </c>
      <c r="H2571" s="38">
        <f t="shared" si="299"/>
        <v>2</v>
      </c>
      <c r="I2571" s="54">
        <f t="shared" si="298"/>
        <v>8</v>
      </c>
      <c r="J2571" s="14" t="str">
        <f t="shared" si="300"/>
        <v>Valentine</v>
      </c>
      <c r="K2571" s="16" t="str">
        <f t="shared" si="301"/>
        <v>3-6</v>
      </c>
      <c r="L2571" s="14" t="str">
        <f t="shared" si="302"/>
        <v>Romper Longer | 3-6 | Cream</v>
      </c>
      <c r="M2571" s="16" t="s">
        <v>3609</v>
      </c>
    </row>
    <row r="2572" spans="1:13" ht="25" customHeight="1" x14ac:dyDescent="0.45">
      <c r="A2572" s="18">
        <v>46074</v>
      </c>
      <c r="B2572" s="19" t="s">
        <v>2692</v>
      </c>
      <c r="C2572" s="23" t="s">
        <v>9</v>
      </c>
      <c r="D2572" s="53" t="str">
        <f t="shared" si="297"/>
        <v>Cream</v>
      </c>
      <c r="E2572" s="21" t="s">
        <v>1841</v>
      </c>
      <c r="F2572" s="21" t="str">
        <f ca="1">IFERROR(__xludf.DUMMYFUNCTION("IFERROR(REGEXEXTRACT(O761, ""\n([A-Za-z ]+)$""), """")
"),"United States")</f>
        <v>United States</v>
      </c>
      <c r="G2572" s="4" t="str">
        <f t="shared" si="296"/>
        <v>Romper Longer</v>
      </c>
      <c r="H2572" s="38">
        <f t="shared" si="299"/>
        <v>2</v>
      </c>
      <c r="I2572" s="54">
        <f t="shared" si="298"/>
        <v>8</v>
      </c>
      <c r="J2572" s="14" t="str">
        <f t="shared" si="300"/>
        <v>Valentine</v>
      </c>
      <c r="K2572" s="16" t="str">
        <f t="shared" si="301"/>
        <v>6-12</v>
      </c>
      <c r="L2572" s="14" t="str">
        <f t="shared" si="302"/>
        <v>Romper Longer | 6-12 | Cream</v>
      </c>
      <c r="M2572" s="16" t="s">
        <v>3611</v>
      </c>
    </row>
    <row r="2573" spans="1:13" ht="25" customHeight="1" x14ac:dyDescent="0.45">
      <c r="A2573" s="18">
        <v>46075</v>
      </c>
      <c r="B2573" s="19" t="s">
        <v>2693</v>
      </c>
      <c r="C2573" s="23" t="s">
        <v>85</v>
      </c>
      <c r="D2573" s="53" t="str">
        <f t="shared" si="297"/>
        <v>Forest Green</v>
      </c>
      <c r="E2573" s="21" t="s">
        <v>1834</v>
      </c>
      <c r="F2573" s="21" t="str">
        <f ca="1">IFERROR(__xludf.DUMMYFUNCTION("IFERROR(REGEXEXTRACT(O761, ""\n([A-Za-z ]+)$""), """")
"),"United States")</f>
        <v>United States</v>
      </c>
      <c r="G2573" s="4" t="str">
        <f t="shared" si="296"/>
        <v>Romper Short</v>
      </c>
      <c r="H2573" s="38">
        <f t="shared" si="299"/>
        <v>2</v>
      </c>
      <c r="I2573" s="54">
        <f t="shared" si="298"/>
        <v>9</v>
      </c>
      <c r="J2573" s="14" t="str">
        <f t="shared" si="300"/>
        <v>Valentine</v>
      </c>
      <c r="K2573" s="16" t="str">
        <f t="shared" si="301"/>
        <v>0-3</v>
      </c>
      <c r="L2573" s="14" t="str">
        <f t="shared" si="302"/>
        <v>Romper Short | 0-3 | Forest Green</v>
      </c>
      <c r="M2573" s="16" t="s">
        <v>3610</v>
      </c>
    </row>
    <row r="2574" spans="1:13" ht="25" customHeight="1" x14ac:dyDescent="0.45">
      <c r="A2574" s="18">
        <v>46076</v>
      </c>
      <c r="B2574" s="19" t="s">
        <v>2694</v>
      </c>
      <c r="C2574" s="23" t="s">
        <v>71</v>
      </c>
      <c r="D2574" s="53" t="str">
        <f t="shared" si="297"/>
        <v>Coffee</v>
      </c>
      <c r="E2574" s="21" t="s">
        <v>1841</v>
      </c>
      <c r="F2574" s="21" t="str">
        <f ca="1">IFERROR(__xludf.DUMMYFUNCTION("IFERROR(REGEXEXTRACT(O761, ""\n([A-Za-z ]+)$""), """")
"),"United States")</f>
        <v>United States</v>
      </c>
      <c r="G2574" s="4" t="str">
        <f t="shared" si="296"/>
        <v>Romper Longer</v>
      </c>
      <c r="H2574" s="38">
        <f t="shared" si="299"/>
        <v>2</v>
      </c>
      <c r="I2574" s="54">
        <f t="shared" si="298"/>
        <v>9</v>
      </c>
      <c r="J2574" s="14" t="str">
        <f t="shared" si="300"/>
        <v>Valentine</v>
      </c>
      <c r="K2574" s="16" t="str">
        <f t="shared" si="301"/>
        <v>6-12</v>
      </c>
      <c r="L2574" s="14" t="str">
        <f t="shared" si="302"/>
        <v>Romper Longer | 6-12 | Coffee</v>
      </c>
      <c r="M2574" s="16" t="s">
        <v>3610</v>
      </c>
    </row>
    <row r="2575" spans="1:13" ht="25" customHeight="1" x14ac:dyDescent="0.45">
      <c r="A2575" s="18">
        <v>46077</v>
      </c>
      <c r="B2575" s="19" t="s">
        <v>2695</v>
      </c>
      <c r="C2575" s="23" t="s">
        <v>110</v>
      </c>
      <c r="D2575" s="53" t="str">
        <f t="shared" si="297"/>
        <v>Sage Green</v>
      </c>
      <c r="E2575" s="21" t="s">
        <v>1841</v>
      </c>
      <c r="F2575" s="21" t="str">
        <f ca="1">IFERROR(__xludf.DUMMYFUNCTION("IFERROR(REGEXEXTRACT(O761, ""\n([A-Za-z ]+)$""), """")
"),"United States")</f>
        <v>United States</v>
      </c>
      <c r="G2575" s="4" t="str">
        <f t="shared" ref="G2575:G2638" si="303">IF(ISNUMBER(SEARCH("LONG",E2575)),"Romper Longer",IF(ISNUMBER(SEARCH("SHORT",E2575)),"Romper Short","Bodysuit"))</f>
        <v>Romper Longer</v>
      </c>
      <c r="H2575" s="38">
        <f t="shared" si="299"/>
        <v>2</v>
      </c>
      <c r="I2575" s="54">
        <f t="shared" si="298"/>
        <v>9</v>
      </c>
      <c r="J2575" s="14" t="str">
        <f t="shared" si="300"/>
        <v>Valentine</v>
      </c>
      <c r="K2575" s="16" t="str">
        <f t="shared" si="301"/>
        <v>6-12</v>
      </c>
      <c r="L2575" s="14" t="str">
        <f t="shared" si="302"/>
        <v>Romper Longer | 6-12 | Sage Green</v>
      </c>
      <c r="M2575" s="16" t="s">
        <v>3610</v>
      </c>
    </row>
    <row r="2576" spans="1:13" ht="25" customHeight="1" x14ac:dyDescent="0.45">
      <c r="A2576" s="18">
        <v>46078</v>
      </c>
      <c r="B2576" s="19" t="s">
        <v>2696</v>
      </c>
      <c r="C2576" s="23" t="s">
        <v>81</v>
      </c>
      <c r="D2576" s="53" t="str">
        <f t="shared" si="297"/>
        <v>Dusty Pink</v>
      </c>
      <c r="E2576" s="21" t="s">
        <v>1831</v>
      </c>
      <c r="F2576" s="21" t="str">
        <f ca="1">IFERROR(__xludf.DUMMYFUNCTION("IFERROR(REGEXEXTRACT(O761, ""\n([A-Za-z ]+)$""), """")
"),"United States")</f>
        <v>United States</v>
      </c>
      <c r="G2576" s="4" t="str">
        <f t="shared" si="303"/>
        <v>Romper Longer</v>
      </c>
      <c r="H2576" s="38">
        <f t="shared" si="299"/>
        <v>2</v>
      </c>
      <c r="I2576" s="54">
        <f t="shared" si="298"/>
        <v>9</v>
      </c>
      <c r="J2576" s="14" t="str">
        <f t="shared" si="300"/>
        <v>Valentine</v>
      </c>
      <c r="K2576" s="16" t="str">
        <f t="shared" si="301"/>
        <v>0-3</v>
      </c>
      <c r="L2576" s="14" t="str">
        <f t="shared" si="302"/>
        <v>Romper Longer | 0-3 | Dusty Pink</v>
      </c>
      <c r="M2576" s="16" t="s">
        <v>3610</v>
      </c>
    </row>
    <row r="2577" spans="1:13" ht="25" customHeight="1" x14ac:dyDescent="0.45">
      <c r="A2577" s="18">
        <v>46079</v>
      </c>
      <c r="B2577" s="19" t="s">
        <v>2697</v>
      </c>
      <c r="C2577" s="23" t="s">
        <v>110</v>
      </c>
      <c r="D2577" s="53" t="str">
        <f t="shared" si="297"/>
        <v>Sage Green</v>
      </c>
      <c r="E2577" s="21" t="s">
        <v>1828</v>
      </c>
      <c r="F2577" s="21" t="str">
        <f ca="1">IFERROR(__xludf.DUMMYFUNCTION("IFERROR(REGEXEXTRACT(O761, ""\n([A-Za-z ]+)$""), """")
"),"United States")</f>
        <v>United States</v>
      </c>
      <c r="G2577" s="4" t="str">
        <f t="shared" si="303"/>
        <v>Romper Longer</v>
      </c>
      <c r="H2577" s="38">
        <f t="shared" si="299"/>
        <v>2</v>
      </c>
      <c r="I2577" s="54">
        <f t="shared" si="298"/>
        <v>9</v>
      </c>
      <c r="J2577" s="14" t="str">
        <f t="shared" si="300"/>
        <v>Valentine</v>
      </c>
      <c r="K2577" s="16" t="str">
        <f t="shared" si="301"/>
        <v>3-6</v>
      </c>
      <c r="L2577" s="14" t="str">
        <f t="shared" si="302"/>
        <v>Romper Longer | 3-6 | Sage Green</v>
      </c>
      <c r="M2577" s="16" t="s">
        <v>3611</v>
      </c>
    </row>
    <row r="2578" spans="1:13" ht="25" customHeight="1" x14ac:dyDescent="0.45">
      <c r="A2578" s="18">
        <v>46080</v>
      </c>
      <c r="B2578" s="19" t="s">
        <v>2698</v>
      </c>
      <c r="C2578" s="23" t="s">
        <v>9</v>
      </c>
      <c r="D2578" s="53" t="str">
        <f t="shared" si="297"/>
        <v>Cream</v>
      </c>
      <c r="E2578" s="21" t="s">
        <v>1849</v>
      </c>
      <c r="F2578" s="21" t="str">
        <f ca="1">IFERROR(__xludf.DUMMYFUNCTION("IFERROR(REGEXEXTRACT(O761, ""\n([A-Za-z ]+)$""), """")
"),"United States")</f>
        <v>United States</v>
      </c>
      <c r="G2578" s="4" t="str">
        <f t="shared" si="303"/>
        <v>Romper Short</v>
      </c>
      <c r="H2578" s="38">
        <f t="shared" si="299"/>
        <v>2</v>
      </c>
      <c r="I2578" s="54">
        <f t="shared" si="298"/>
        <v>9</v>
      </c>
      <c r="J2578" s="14" t="str">
        <f t="shared" si="300"/>
        <v>Valentine</v>
      </c>
      <c r="K2578" s="16" t="str">
        <f t="shared" si="301"/>
        <v>3-6</v>
      </c>
      <c r="L2578" s="14" t="str">
        <f t="shared" si="302"/>
        <v>Romper Short | 3-6 | Cream</v>
      </c>
      <c r="M2578" s="16" t="s">
        <v>3609</v>
      </c>
    </row>
    <row r="2579" spans="1:13" ht="25" customHeight="1" x14ac:dyDescent="0.45">
      <c r="A2579" s="18">
        <v>46081</v>
      </c>
      <c r="B2579" s="19" t="s">
        <v>2699</v>
      </c>
      <c r="C2579" s="23" t="s">
        <v>9</v>
      </c>
      <c r="D2579" s="53" t="str">
        <f t="shared" ref="D2579:D2642" si="304">PROPER(C2579)</f>
        <v>Cream</v>
      </c>
      <c r="E2579" s="21" t="s">
        <v>1828</v>
      </c>
      <c r="F2579" s="21" t="str">
        <f ca="1">IFERROR(__xludf.DUMMYFUNCTION("IFERROR(REGEXEXTRACT(O761, ""\n([A-Za-z ]+)$""), """")
"),"United States")</f>
        <v>United States</v>
      </c>
      <c r="G2579" s="4" t="str">
        <f t="shared" si="303"/>
        <v>Romper Longer</v>
      </c>
      <c r="H2579" s="38">
        <f t="shared" si="299"/>
        <v>2</v>
      </c>
      <c r="I2579" s="54">
        <f t="shared" si="298"/>
        <v>9</v>
      </c>
      <c r="J2579" s="14" t="str">
        <f t="shared" si="300"/>
        <v>Valentine</v>
      </c>
      <c r="K2579" s="16" t="str">
        <f t="shared" si="301"/>
        <v>3-6</v>
      </c>
      <c r="L2579" s="14" t="str">
        <f t="shared" si="302"/>
        <v>Romper Longer | 3-6 | Cream</v>
      </c>
      <c r="M2579" s="16" t="s">
        <v>3609</v>
      </c>
    </row>
    <row r="2580" spans="1:13" ht="25" customHeight="1" x14ac:dyDescent="0.45">
      <c r="A2580" s="18">
        <v>46082</v>
      </c>
      <c r="B2580" s="19" t="s">
        <v>2700</v>
      </c>
      <c r="C2580" s="23" t="s">
        <v>74</v>
      </c>
      <c r="D2580" s="53" t="str">
        <f t="shared" si="304"/>
        <v>Watermelon</v>
      </c>
      <c r="E2580" s="21" t="s">
        <v>1834</v>
      </c>
      <c r="F2580" s="21" t="str">
        <f ca="1">IFERROR(__xludf.DUMMYFUNCTION("IFERROR(REGEXEXTRACT(O761, ""\n([A-Za-z ]+)$""), """")
"),"United States")</f>
        <v>United States</v>
      </c>
      <c r="G2580" s="4" t="str">
        <f t="shared" si="303"/>
        <v>Romper Short</v>
      </c>
      <c r="H2580" s="38">
        <f t="shared" si="299"/>
        <v>3</v>
      </c>
      <c r="I2580" s="54">
        <f t="shared" si="298"/>
        <v>10</v>
      </c>
      <c r="J2580" s="14" t="str">
        <f t="shared" si="300"/>
        <v>Easter</v>
      </c>
      <c r="K2580" s="16" t="str">
        <f t="shared" si="301"/>
        <v>0-3</v>
      </c>
      <c r="L2580" s="14" t="str">
        <f t="shared" si="302"/>
        <v>Romper Short | 0-3 | Watermelon</v>
      </c>
      <c r="M2580" s="16" t="s">
        <v>3610</v>
      </c>
    </row>
    <row r="2581" spans="1:13" ht="25" customHeight="1" x14ac:dyDescent="0.45">
      <c r="A2581" s="18">
        <v>46083</v>
      </c>
      <c r="B2581" s="19" t="s">
        <v>2701</v>
      </c>
      <c r="C2581" s="23" t="s">
        <v>110</v>
      </c>
      <c r="D2581" s="53" t="str">
        <f t="shared" si="304"/>
        <v>Sage Green</v>
      </c>
      <c r="E2581" s="21" t="s">
        <v>1420</v>
      </c>
      <c r="F2581" s="21" t="str">
        <f ca="1">IFERROR(__xludf.DUMMYFUNCTION("IFERROR(REGEXEXTRACT(O761, ""\n([A-Za-z ]+)$""), """")
"),"United States")</f>
        <v>United States</v>
      </c>
      <c r="G2581" s="4" t="str">
        <f t="shared" si="303"/>
        <v>Romper Short</v>
      </c>
      <c r="H2581" s="38">
        <f t="shared" si="299"/>
        <v>3</v>
      </c>
      <c r="I2581" s="54">
        <f t="shared" si="298"/>
        <v>10</v>
      </c>
      <c r="J2581" s="14" t="str">
        <f t="shared" si="300"/>
        <v>Easter</v>
      </c>
      <c r="K2581" s="16" t="str">
        <f t="shared" si="301"/>
        <v>6-12</v>
      </c>
      <c r="L2581" s="14" t="str">
        <f t="shared" si="302"/>
        <v>Romper Short | 6-12 | Sage Green</v>
      </c>
      <c r="M2581" s="16" t="s">
        <v>3610</v>
      </c>
    </row>
    <row r="2582" spans="1:13" ht="25" customHeight="1" x14ac:dyDescent="0.45">
      <c r="A2582" s="18">
        <v>46084</v>
      </c>
      <c r="B2582" s="19" t="s">
        <v>2702</v>
      </c>
      <c r="C2582" s="23" t="s">
        <v>110</v>
      </c>
      <c r="D2582" s="53" t="str">
        <f t="shared" si="304"/>
        <v>Sage Green</v>
      </c>
      <c r="E2582" s="21" t="s">
        <v>1831</v>
      </c>
      <c r="F2582" s="21" t="str">
        <f ca="1">IFERROR(__xludf.DUMMYFUNCTION("IFERROR(REGEXEXTRACT(O761, ""\n([A-Za-z ]+)$""), """")
"),"United States")</f>
        <v>United States</v>
      </c>
      <c r="G2582" s="4" t="str">
        <f t="shared" si="303"/>
        <v>Romper Longer</v>
      </c>
      <c r="H2582" s="38">
        <f t="shared" si="299"/>
        <v>3</v>
      </c>
      <c r="I2582" s="54">
        <f t="shared" si="298"/>
        <v>10</v>
      </c>
      <c r="J2582" s="14" t="str">
        <f t="shared" si="300"/>
        <v>Easter</v>
      </c>
      <c r="K2582" s="16" t="str">
        <f t="shared" si="301"/>
        <v>0-3</v>
      </c>
      <c r="L2582" s="14" t="str">
        <f t="shared" si="302"/>
        <v>Romper Longer | 0-3 | Sage Green</v>
      </c>
      <c r="M2582" s="16" t="s">
        <v>3611</v>
      </c>
    </row>
    <row r="2583" spans="1:13" ht="25" customHeight="1" x14ac:dyDescent="0.45">
      <c r="A2583" s="18">
        <v>46085</v>
      </c>
      <c r="B2583" s="19" t="s">
        <v>2703</v>
      </c>
      <c r="C2583" s="23" t="s">
        <v>9</v>
      </c>
      <c r="D2583" s="53" t="str">
        <f t="shared" si="304"/>
        <v>Cream</v>
      </c>
      <c r="E2583" s="21" t="s">
        <v>1849</v>
      </c>
      <c r="F2583" s="21" t="str">
        <f ca="1">IFERROR(__xludf.DUMMYFUNCTION("IFERROR(REGEXEXTRACT(O761, ""\n([A-Za-z ]+)$""), """")
"),"United States")</f>
        <v>United States</v>
      </c>
      <c r="G2583" s="4" t="str">
        <f t="shared" si="303"/>
        <v>Romper Short</v>
      </c>
      <c r="H2583" s="38">
        <f t="shared" si="299"/>
        <v>3</v>
      </c>
      <c r="I2583" s="54">
        <f t="shared" si="298"/>
        <v>10</v>
      </c>
      <c r="J2583" s="14" t="str">
        <f t="shared" si="300"/>
        <v>Easter</v>
      </c>
      <c r="K2583" s="16" t="str">
        <f t="shared" si="301"/>
        <v>3-6</v>
      </c>
      <c r="L2583" s="14" t="str">
        <f t="shared" si="302"/>
        <v>Romper Short | 3-6 | Cream</v>
      </c>
      <c r="M2583" s="16" t="s">
        <v>3609</v>
      </c>
    </row>
    <row r="2584" spans="1:13" ht="25" customHeight="1" x14ac:dyDescent="0.45">
      <c r="A2584" s="18">
        <v>46086</v>
      </c>
      <c r="B2584" s="19" t="s">
        <v>2704</v>
      </c>
      <c r="C2584" s="23" t="s">
        <v>81</v>
      </c>
      <c r="D2584" s="53" t="str">
        <f t="shared" si="304"/>
        <v>Dusty Pink</v>
      </c>
      <c r="E2584" s="21" t="s">
        <v>1841</v>
      </c>
      <c r="F2584" s="21" t="str">
        <f ca="1">IFERROR(__xludf.DUMMYFUNCTION("IFERROR(REGEXEXTRACT(O761, ""\n([A-Za-z ]+)$""), """")
"),"United States")</f>
        <v>United States</v>
      </c>
      <c r="G2584" s="4" t="str">
        <f t="shared" si="303"/>
        <v>Romper Longer</v>
      </c>
      <c r="H2584" s="38">
        <f t="shared" si="299"/>
        <v>3</v>
      </c>
      <c r="I2584" s="54">
        <f t="shared" si="298"/>
        <v>10</v>
      </c>
      <c r="J2584" s="14" t="str">
        <f t="shared" si="300"/>
        <v>Easter</v>
      </c>
      <c r="K2584" s="16" t="str">
        <f t="shared" si="301"/>
        <v>6-12</v>
      </c>
      <c r="L2584" s="14" t="str">
        <f t="shared" si="302"/>
        <v>Romper Longer | 6-12 | Dusty Pink</v>
      </c>
      <c r="M2584" s="16" t="s">
        <v>3610</v>
      </c>
    </row>
    <row r="2585" spans="1:13" ht="25" customHeight="1" x14ac:dyDescent="0.45">
      <c r="A2585" s="18">
        <v>46087</v>
      </c>
      <c r="B2585" s="19" t="s">
        <v>2705</v>
      </c>
      <c r="C2585" s="23" t="s">
        <v>76</v>
      </c>
      <c r="D2585" s="53" t="str">
        <f t="shared" si="304"/>
        <v>Caldet Blue</v>
      </c>
      <c r="E2585" s="21" t="s">
        <v>1828</v>
      </c>
      <c r="F2585" s="21" t="str">
        <f ca="1">IFERROR(__xludf.DUMMYFUNCTION("IFERROR(REGEXEXTRACT(O761, ""\n([A-Za-z ]+)$""), """")
"),"United States")</f>
        <v>United States</v>
      </c>
      <c r="G2585" s="4" t="str">
        <f t="shared" si="303"/>
        <v>Romper Longer</v>
      </c>
      <c r="H2585" s="38">
        <f t="shared" si="299"/>
        <v>3</v>
      </c>
      <c r="I2585" s="54">
        <f t="shared" si="298"/>
        <v>10</v>
      </c>
      <c r="J2585" s="14" t="str">
        <f t="shared" si="300"/>
        <v>Easter</v>
      </c>
      <c r="K2585" s="16" t="str">
        <f t="shared" si="301"/>
        <v>3-6</v>
      </c>
      <c r="L2585" s="14" t="str">
        <f t="shared" si="302"/>
        <v>Romper Longer | 3-6 | Caldet Blue</v>
      </c>
      <c r="M2585" s="16" t="s">
        <v>3610</v>
      </c>
    </row>
    <row r="2586" spans="1:13" ht="25" customHeight="1" x14ac:dyDescent="0.45">
      <c r="A2586" s="18">
        <v>46088</v>
      </c>
      <c r="B2586" s="19" t="s">
        <v>2706</v>
      </c>
      <c r="C2586" s="23" t="s">
        <v>110</v>
      </c>
      <c r="D2586" s="53" t="str">
        <f t="shared" si="304"/>
        <v>Sage Green</v>
      </c>
      <c r="E2586" s="21" t="s">
        <v>1420</v>
      </c>
      <c r="F2586" s="21" t="str">
        <f ca="1">IFERROR(__xludf.DUMMYFUNCTION("IFERROR(REGEXEXTRACT(O761, ""\n([A-Za-z ]+)$""), """")
"),"United States")</f>
        <v>United States</v>
      </c>
      <c r="G2586" s="4" t="str">
        <f t="shared" si="303"/>
        <v>Romper Short</v>
      </c>
      <c r="H2586" s="38">
        <f t="shared" si="299"/>
        <v>3</v>
      </c>
      <c r="I2586" s="54">
        <f t="shared" si="298"/>
        <v>10</v>
      </c>
      <c r="J2586" s="14" t="str">
        <f t="shared" si="300"/>
        <v>Easter</v>
      </c>
      <c r="K2586" s="16" t="str">
        <f t="shared" si="301"/>
        <v>6-12</v>
      </c>
      <c r="L2586" s="14" t="str">
        <f t="shared" si="302"/>
        <v>Romper Short | 6-12 | Sage Green</v>
      </c>
      <c r="M2586" s="16" t="s">
        <v>3610</v>
      </c>
    </row>
    <row r="2587" spans="1:13" ht="25" customHeight="1" x14ac:dyDescent="0.45">
      <c r="A2587" s="18">
        <v>46089</v>
      </c>
      <c r="B2587" s="19" t="s">
        <v>2707</v>
      </c>
      <c r="C2587" s="23" t="s">
        <v>76</v>
      </c>
      <c r="D2587" s="53" t="str">
        <f t="shared" si="304"/>
        <v>Caldet Blue</v>
      </c>
      <c r="E2587" s="21" t="s">
        <v>1834</v>
      </c>
      <c r="F2587" s="21" t="str">
        <f ca="1">IFERROR(__xludf.DUMMYFUNCTION("IFERROR(REGEXEXTRACT(O761, ""\n([A-Za-z ]+)$""), """")
"),"United States")</f>
        <v>United States</v>
      </c>
      <c r="G2587" s="4" t="str">
        <f t="shared" si="303"/>
        <v>Romper Short</v>
      </c>
      <c r="H2587" s="38">
        <f t="shared" si="299"/>
        <v>3</v>
      </c>
      <c r="I2587" s="54">
        <f t="shared" si="298"/>
        <v>11</v>
      </c>
      <c r="J2587" s="14" t="str">
        <f t="shared" si="300"/>
        <v>Easter</v>
      </c>
      <c r="K2587" s="16" t="str">
        <f t="shared" si="301"/>
        <v>0-3</v>
      </c>
      <c r="L2587" s="14" t="str">
        <f t="shared" si="302"/>
        <v>Romper Short | 0-3 | Caldet Blue</v>
      </c>
      <c r="M2587" s="16" t="s">
        <v>3610</v>
      </c>
    </row>
    <row r="2588" spans="1:13" ht="25" customHeight="1" x14ac:dyDescent="0.45">
      <c r="A2588" s="18">
        <v>46090</v>
      </c>
      <c r="B2588" s="19" t="s">
        <v>2708</v>
      </c>
      <c r="C2588" s="23" t="s">
        <v>9</v>
      </c>
      <c r="D2588" s="53" t="str">
        <f t="shared" si="304"/>
        <v>Cream</v>
      </c>
      <c r="E2588" s="21" t="s">
        <v>1838</v>
      </c>
      <c r="F2588" s="21" t="str">
        <f ca="1">IFERROR(__xludf.DUMMYFUNCTION("IFERROR(REGEXEXTRACT(O761, ""\n([A-Za-z ]+)$""), """")
"),"United States")</f>
        <v>United States</v>
      </c>
      <c r="G2588" s="4" t="str">
        <f t="shared" si="303"/>
        <v>Romper Short</v>
      </c>
      <c r="H2588" s="38">
        <f t="shared" si="299"/>
        <v>3</v>
      </c>
      <c r="I2588" s="54">
        <f t="shared" si="298"/>
        <v>11</v>
      </c>
      <c r="J2588" s="14" t="str">
        <f t="shared" si="300"/>
        <v>Easter</v>
      </c>
      <c r="K2588" s="16" t="str">
        <f t="shared" si="301"/>
        <v>12-18</v>
      </c>
      <c r="L2588" s="14" t="str">
        <f t="shared" si="302"/>
        <v>Romper Short | 12-18 | Cream</v>
      </c>
      <c r="M2588" s="16" t="s">
        <v>3610</v>
      </c>
    </row>
    <row r="2589" spans="1:13" ht="25" customHeight="1" x14ac:dyDescent="0.45">
      <c r="A2589" s="18">
        <v>46091</v>
      </c>
      <c r="B2589" s="19" t="s">
        <v>2709</v>
      </c>
      <c r="C2589" s="23" t="s">
        <v>9</v>
      </c>
      <c r="D2589" s="53" t="str">
        <f t="shared" si="304"/>
        <v>Cream</v>
      </c>
      <c r="E2589" s="21" t="s">
        <v>1831</v>
      </c>
      <c r="F2589" s="21" t="str">
        <f ca="1">IFERROR(__xludf.DUMMYFUNCTION("IFERROR(REGEXEXTRACT(O761, ""\n([A-Za-z ]+)$""), """")
"),"United States")</f>
        <v>United States</v>
      </c>
      <c r="G2589" s="4" t="str">
        <f t="shared" si="303"/>
        <v>Romper Longer</v>
      </c>
      <c r="H2589" s="38">
        <f t="shared" si="299"/>
        <v>3</v>
      </c>
      <c r="I2589" s="54">
        <f t="shared" si="298"/>
        <v>11</v>
      </c>
      <c r="J2589" s="14" t="str">
        <f t="shared" si="300"/>
        <v>Easter</v>
      </c>
      <c r="K2589" s="16" t="str">
        <f t="shared" si="301"/>
        <v>0-3</v>
      </c>
      <c r="L2589" s="14" t="str">
        <f t="shared" si="302"/>
        <v>Romper Longer | 0-3 | Cream</v>
      </c>
      <c r="M2589" s="16" t="s">
        <v>3609</v>
      </c>
    </row>
    <row r="2590" spans="1:13" ht="25" customHeight="1" x14ac:dyDescent="0.45">
      <c r="A2590" s="18">
        <v>46092</v>
      </c>
      <c r="B2590" s="19" t="s">
        <v>2710</v>
      </c>
      <c r="C2590" s="23" t="s">
        <v>71</v>
      </c>
      <c r="D2590" s="53" t="str">
        <f t="shared" si="304"/>
        <v>Coffee</v>
      </c>
      <c r="E2590" s="21" t="s">
        <v>1828</v>
      </c>
      <c r="F2590" s="21" t="str">
        <f ca="1">IFERROR(__xludf.DUMMYFUNCTION("IFERROR(REGEXEXTRACT(O761, ""\n([A-Za-z ]+)$""), """")
"),"United States")</f>
        <v>United States</v>
      </c>
      <c r="G2590" s="4" t="str">
        <f t="shared" si="303"/>
        <v>Romper Longer</v>
      </c>
      <c r="H2590" s="38">
        <f t="shared" si="299"/>
        <v>3</v>
      </c>
      <c r="I2590" s="54">
        <f t="shared" si="298"/>
        <v>11</v>
      </c>
      <c r="J2590" s="14" t="str">
        <f t="shared" si="300"/>
        <v>Easter</v>
      </c>
      <c r="K2590" s="16" t="str">
        <f t="shared" si="301"/>
        <v>3-6</v>
      </c>
      <c r="L2590" s="14" t="str">
        <f t="shared" si="302"/>
        <v>Romper Longer | 3-6 | Coffee</v>
      </c>
      <c r="M2590" s="16" t="s">
        <v>3610</v>
      </c>
    </row>
    <row r="2591" spans="1:13" ht="25" customHeight="1" x14ac:dyDescent="0.45">
      <c r="A2591" s="18">
        <v>46093</v>
      </c>
      <c r="B2591" s="19" t="s">
        <v>2711</v>
      </c>
      <c r="C2591" s="23" t="s">
        <v>76</v>
      </c>
      <c r="D2591" s="53" t="str">
        <f t="shared" si="304"/>
        <v>Caldet Blue</v>
      </c>
      <c r="E2591" s="21" t="s">
        <v>1831</v>
      </c>
      <c r="F2591" s="21" t="str">
        <f ca="1">IFERROR(__xludf.DUMMYFUNCTION("IFERROR(REGEXEXTRACT(O761, ""\n([A-Za-z ]+)$""), """")
"),"United States")</f>
        <v>United States</v>
      </c>
      <c r="G2591" s="4" t="str">
        <f t="shared" si="303"/>
        <v>Romper Longer</v>
      </c>
      <c r="H2591" s="38">
        <f t="shared" si="299"/>
        <v>3</v>
      </c>
      <c r="I2591" s="54">
        <f t="shared" si="298"/>
        <v>11</v>
      </c>
      <c r="J2591" s="14" t="str">
        <f t="shared" si="300"/>
        <v>Easter</v>
      </c>
      <c r="K2591" s="16" t="str">
        <f t="shared" si="301"/>
        <v>0-3</v>
      </c>
      <c r="L2591" s="14" t="str">
        <f t="shared" si="302"/>
        <v>Romper Longer | 0-3 | Caldet Blue</v>
      </c>
      <c r="M2591" s="16" t="s">
        <v>3610</v>
      </c>
    </row>
    <row r="2592" spans="1:13" ht="25" customHeight="1" x14ac:dyDescent="0.45">
      <c r="A2592" s="18">
        <v>46094</v>
      </c>
      <c r="B2592" s="19" t="s">
        <v>2712</v>
      </c>
      <c r="C2592" s="23" t="s">
        <v>110</v>
      </c>
      <c r="D2592" s="53" t="str">
        <f t="shared" si="304"/>
        <v>Sage Green</v>
      </c>
      <c r="E2592" s="21" t="s">
        <v>1834</v>
      </c>
      <c r="F2592" s="21" t="str">
        <f ca="1">IFERROR(__xludf.DUMMYFUNCTION("IFERROR(REGEXEXTRACT(O761, ""\n([A-Za-z ]+)$""), """")
"),"United States")</f>
        <v>United States</v>
      </c>
      <c r="G2592" s="4" t="str">
        <f t="shared" si="303"/>
        <v>Romper Short</v>
      </c>
      <c r="H2592" s="38">
        <f t="shared" si="299"/>
        <v>3</v>
      </c>
      <c r="I2592" s="54">
        <f t="shared" si="298"/>
        <v>11</v>
      </c>
      <c r="J2592" s="14" t="str">
        <f t="shared" si="300"/>
        <v>Easter</v>
      </c>
      <c r="K2592" s="16" t="str">
        <f t="shared" si="301"/>
        <v>0-3</v>
      </c>
      <c r="L2592" s="14" t="str">
        <f t="shared" si="302"/>
        <v>Romper Short | 0-3 | Sage Green</v>
      </c>
      <c r="M2592" s="16" t="s">
        <v>3610</v>
      </c>
    </row>
    <row r="2593" spans="1:13" ht="25" customHeight="1" x14ac:dyDescent="0.45">
      <c r="A2593" s="18">
        <v>46095</v>
      </c>
      <c r="B2593" s="19" t="s">
        <v>2713</v>
      </c>
      <c r="C2593" s="23" t="s">
        <v>9</v>
      </c>
      <c r="D2593" s="53" t="str">
        <f t="shared" si="304"/>
        <v>Cream</v>
      </c>
      <c r="E2593" s="21" t="s">
        <v>1828</v>
      </c>
      <c r="F2593" s="21" t="str">
        <f ca="1">IFERROR(__xludf.DUMMYFUNCTION("IFERROR(REGEXEXTRACT(O761, ""\n([A-Za-z ]+)$""), """")
"),"United States")</f>
        <v>United States</v>
      </c>
      <c r="G2593" s="4" t="str">
        <f t="shared" si="303"/>
        <v>Romper Longer</v>
      </c>
      <c r="H2593" s="38">
        <f t="shared" si="299"/>
        <v>3</v>
      </c>
      <c r="I2593" s="54">
        <f t="shared" si="298"/>
        <v>11</v>
      </c>
      <c r="J2593" s="14" t="str">
        <f t="shared" si="300"/>
        <v>Easter</v>
      </c>
      <c r="K2593" s="16" t="str">
        <f t="shared" si="301"/>
        <v>3-6</v>
      </c>
      <c r="L2593" s="14" t="str">
        <f t="shared" si="302"/>
        <v>Romper Longer | 3-6 | Cream</v>
      </c>
      <c r="M2593" s="16" t="s">
        <v>3609</v>
      </c>
    </row>
    <row r="2594" spans="1:13" ht="25" customHeight="1" x14ac:dyDescent="0.45">
      <c r="A2594" s="18">
        <v>46096</v>
      </c>
      <c r="B2594" s="19" t="s">
        <v>2714</v>
      </c>
      <c r="C2594" s="23" t="s">
        <v>76</v>
      </c>
      <c r="D2594" s="53" t="str">
        <f t="shared" si="304"/>
        <v>Caldet Blue</v>
      </c>
      <c r="E2594" s="21" t="s">
        <v>1550</v>
      </c>
      <c r="F2594" s="21" t="str">
        <f ca="1">IFERROR(__xludf.DUMMYFUNCTION("IFERROR(REGEXEXTRACT(O761, ""\n([A-Za-z ]+)$""), """")
"),"United States")</f>
        <v>United States</v>
      </c>
      <c r="G2594" s="4" t="str">
        <f t="shared" si="303"/>
        <v>Romper Longer</v>
      </c>
      <c r="H2594" s="38">
        <f t="shared" si="299"/>
        <v>3</v>
      </c>
      <c r="I2594" s="54">
        <f t="shared" si="298"/>
        <v>12</v>
      </c>
      <c r="J2594" s="14" t="str">
        <f t="shared" si="300"/>
        <v>Easter</v>
      </c>
      <c r="K2594" s="16" t="str">
        <f t="shared" si="301"/>
        <v>12-18</v>
      </c>
      <c r="L2594" s="14" t="str">
        <f t="shared" si="302"/>
        <v>Romper Longer | 12-18 | Caldet Blue</v>
      </c>
      <c r="M2594" s="16" t="s">
        <v>3610</v>
      </c>
    </row>
    <row r="2595" spans="1:13" ht="25" customHeight="1" x14ac:dyDescent="0.45">
      <c r="A2595" s="18">
        <v>46097</v>
      </c>
      <c r="B2595" s="19" t="s">
        <v>2715</v>
      </c>
      <c r="C2595" s="23" t="s">
        <v>9</v>
      </c>
      <c r="D2595" s="53" t="str">
        <f t="shared" si="304"/>
        <v>Cream</v>
      </c>
      <c r="E2595" s="21" t="s">
        <v>1828</v>
      </c>
      <c r="F2595" s="21" t="str">
        <f ca="1">IFERROR(__xludf.DUMMYFUNCTION("IFERROR(REGEXEXTRACT(O761, ""\n([A-Za-z ]+)$""), """")
"),"United States")</f>
        <v>United States</v>
      </c>
      <c r="G2595" s="4" t="str">
        <f t="shared" si="303"/>
        <v>Romper Longer</v>
      </c>
      <c r="H2595" s="38">
        <f t="shared" si="299"/>
        <v>3</v>
      </c>
      <c r="I2595" s="54">
        <f t="shared" si="298"/>
        <v>12</v>
      </c>
      <c r="J2595" s="14" t="str">
        <f t="shared" si="300"/>
        <v>Easter</v>
      </c>
      <c r="K2595" s="16" t="str">
        <f t="shared" si="301"/>
        <v>3-6</v>
      </c>
      <c r="L2595" s="14" t="str">
        <f t="shared" si="302"/>
        <v>Romper Longer | 3-6 | Cream</v>
      </c>
      <c r="M2595" s="16" t="s">
        <v>3609</v>
      </c>
    </row>
    <row r="2596" spans="1:13" ht="25" customHeight="1" x14ac:dyDescent="0.45">
      <c r="A2596" s="18">
        <v>46098</v>
      </c>
      <c r="B2596" s="19" t="s">
        <v>2716</v>
      </c>
      <c r="C2596" s="23" t="s">
        <v>76</v>
      </c>
      <c r="D2596" s="53" t="str">
        <f t="shared" si="304"/>
        <v>Caldet Blue</v>
      </c>
      <c r="E2596" s="21" t="s">
        <v>1841</v>
      </c>
      <c r="F2596" s="21" t="str">
        <f ca="1">IFERROR(__xludf.DUMMYFUNCTION("IFERROR(REGEXEXTRACT(O761, ""\n([A-Za-z ]+)$""), """")
"),"United States")</f>
        <v>United States</v>
      </c>
      <c r="G2596" s="4" t="str">
        <f t="shared" si="303"/>
        <v>Romper Longer</v>
      </c>
      <c r="H2596" s="38">
        <f t="shared" si="299"/>
        <v>3</v>
      </c>
      <c r="I2596" s="54">
        <f t="shared" si="298"/>
        <v>12</v>
      </c>
      <c r="J2596" s="14" t="str">
        <f t="shared" si="300"/>
        <v>Easter</v>
      </c>
      <c r="K2596" s="16" t="str">
        <f t="shared" si="301"/>
        <v>6-12</v>
      </c>
      <c r="L2596" s="14" t="str">
        <f t="shared" si="302"/>
        <v>Romper Longer | 6-12 | Caldet Blue</v>
      </c>
      <c r="M2596" s="16" t="s">
        <v>3610</v>
      </c>
    </row>
    <row r="2597" spans="1:13" ht="25" customHeight="1" x14ac:dyDescent="0.45">
      <c r="A2597" s="18">
        <v>46099</v>
      </c>
      <c r="B2597" s="19" t="s">
        <v>2717</v>
      </c>
      <c r="C2597" s="23" t="s">
        <v>9</v>
      </c>
      <c r="D2597" s="53" t="str">
        <f t="shared" si="304"/>
        <v>Cream</v>
      </c>
      <c r="E2597" s="21" t="s">
        <v>1828</v>
      </c>
      <c r="F2597" s="21" t="str">
        <f ca="1">IFERROR(__xludf.DUMMYFUNCTION("IFERROR(REGEXEXTRACT(O761, ""\n([A-Za-z ]+)$""), """")
"),"United States")</f>
        <v>United States</v>
      </c>
      <c r="G2597" s="4" t="str">
        <f t="shared" si="303"/>
        <v>Romper Longer</v>
      </c>
      <c r="H2597" s="38">
        <f t="shared" si="299"/>
        <v>3</v>
      </c>
      <c r="I2597" s="54">
        <f t="shared" si="298"/>
        <v>12</v>
      </c>
      <c r="J2597" s="14" t="str">
        <f t="shared" si="300"/>
        <v>Easter</v>
      </c>
      <c r="K2597" s="16" t="str">
        <f t="shared" si="301"/>
        <v>3-6</v>
      </c>
      <c r="L2597" s="14" t="str">
        <f t="shared" si="302"/>
        <v>Romper Longer | 3-6 | Cream</v>
      </c>
      <c r="M2597" s="16" t="s">
        <v>3609</v>
      </c>
    </row>
    <row r="2598" spans="1:13" ht="25" customHeight="1" x14ac:dyDescent="0.45">
      <c r="A2598" s="18">
        <v>46100</v>
      </c>
      <c r="B2598" s="19" t="s">
        <v>2718</v>
      </c>
      <c r="C2598" s="23" t="s">
        <v>76</v>
      </c>
      <c r="D2598" s="53" t="str">
        <f t="shared" si="304"/>
        <v>Caldet Blue</v>
      </c>
      <c r="E2598" s="21" t="s">
        <v>1370</v>
      </c>
      <c r="F2598" s="21" t="str">
        <f ca="1">IFERROR(__xludf.DUMMYFUNCTION("IFERROR(REGEXEXTRACT(O761, ""\n([A-Za-z ]+)$""), """")
"),"United States")</f>
        <v>United States</v>
      </c>
      <c r="G2598" s="4" t="str">
        <f t="shared" si="303"/>
        <v>Romper Short</v>
      </c>
      <c r="H2598" s="38">
        <f t="shared" si="299"/>
        <v>3</v>
      </c>
      <c r="I2598" s="54">
        <f t="shared" si="298"/>
        <v>12</v>
      </c>
      <c r="J2598" s="14" t="str">
        <f t="shared" si="300"/>
        <v>Easter</v>
      </c>
      <c r="K2598" s="16" t="str">
        <f t="shared" si="301"/>
        <v>18-24</v>
      </c>
      <c r="L2598" s="14" t="str">
        <f t="shared" si="302"/>
        <v>Romper Short | 18-24 | Caldet Blue</v>
      </c>
      <c r="M2598" s="16" t="s">
        <v>3610</v>
      </c>
    </row>
    <row r="2599" spans="1:13" ht="25" customHeight="1" x14ac:dyDescent="0.45">
      <c r="A2599" s="18">
        <v>46101</v>
      </c>
      <c r="B2599" s="19" t="s">
        <v>2719</v>
      </c>
      <c r="C2599" s="23" t="s">
        <v>9</v>
      </c>
      <c r="D2599" s="53" t="str">
        <f t="shared" si="304"/>
        <v>Cream</v>
      </c>
      <c r="E2599" s="21" t="s">
        <v>1849</v>
      </c>
      <c r="F2599" s="21" t="str">
        <f ca="1">IFERROR(__xludf.DUMMYFUNCTION("IFERROR(REGEXEXTRACT(O761, ""\n([A-Za-z ]+)$""), """")
"),"United States")</f>
        <v>United States</v>
      </c>
      <c r="G2599" s="4" t="str">
        <f t="shared" si="303"/>
        <v>Romper Short</v>
      </c>
      <c r="H2599" s="38">
        <f t="shared" si="299"/>
        <v>3</v>
      </c>
      <c r="I2599" s="54">
        <f t="shared" si="298"/>
        <v>12</v>
      </c>
      <c r="J2599" s="14" t="str">
        <f t="shared" si="300"/>
        <v>Easter</v>
      </c>
      <c r="K2599" s="16" t="str">
        <f t="shared" si="301"/>
        <v>3-6</v>
      </c>
      <c r="L2599" s="14" t="str">
        <f t="shared" si="302"/>
        <v>Romper Short | 3-6 | Cream</v>
      </c>
      <c r="M2599" s="16" t="s">
        <v>3609</v>
      </c>
    </row>
    <row r="2600" spans="1:13" ht="25" customHeight="1" x14ac:dyDescent="0.45">
      <c r="A2600" s="18">
        <v>46102</v>
      </c>
      <c r="B2600" s="19" t="s">
        <v>2720</v>
      </c>
      <c r="C2600" s="23" t="s">
        <v>81</v>
      </c>
      <c r="D2600" s="53" t="str">
        <f t="shared" si="304"/>
        <v>Dusty Pink</v>
      </c>
      <c r="E2600" s="21" t="s">
        <v>1828</v>
      </c>
      <c r="F2600" s="21" t="str">
        <f ca="1">IFERROR(__xludf.DUMMYFUNCTION("IFERROR(REGEXEXTRACT(O761, ""\n([A-Za-z ]+)$""), """")
"),"United States")</f>
        <v>United States</v>
      </c>
      <c r="G2600" s="4" t="str">
        <f t="shared" si="303"/>
        <v>Romper Longer</v>
      </c>
      <c r="H2600" s="38">
        <f t="shared" si="299"/>
        <v>3</v>
      </c>
      <c r="I2600" s="54">
        <f t="shared" si="298"/>
        <v>12</v>
      </c>
      <c r="J2600" s="14" t="str">
        <f t="shared" si="300"/>
        <v>Easter</v>
      </c>
      <c r="K2600" s="16" t="str">
        <f t="shared" si="301"/>
        <v>3-6</v>
      </c>
      <c r="L2600" s="14" t="str">
        <f t="shared" si="302"/>
        <v>Romper Longer | 3-6 | Dusty Pink</v>
      </c>
      <c r="M2600" s="16" t="s">
        <v>3610</v>
      </c>
    </row>
    <row r="2601" spans="1:13" ht="25" customHeight="1" x14ac:dyDescent="0.45">
      <c r="A2601" s="18">
        <v>46103</v>
      </c>
      <c r="B2601" s="19" t="s">
        <v>2721</v>
      </c>
      <c r="C2601" s="23" t="s">
        <v>9</v>
      </c>
      <c r="D2601" s="53" t="str">
        <f t="shared" si="304"/>
        <v>Cream</v>
      </c>
      <c r="E2601" s="21" t="s">
        <v>1828</v>
      </c>
      <c r="F2601" s="21" t="str">
        <f ca="1">IFERROR(__xludf.DUMMYFUNCTION("IFERROR(REGEXEXTRACT(O761, ""\n([A-Za-z ]+)$""), """")
"),"United States")</f>
        <v>United States</v>
      </c>
      <c r="G2601" s="4" t="str">
        <f t="shared" si="303"/>
        <v>Romper Longer</v>
      </c>
      <c r="H2601" s="38">
        <f t="shared" si="299"/>
        <v>3</v>
      </c>
      <c r="I2601" s="54">
        <f t="shared" si="298"/>
        <v>13</v>
      </c>
      <c r="J2601" s="14" t="str">
        <f t="shared" si="300"/>
        <v>Easter</v>
      </c>
      <c r="K2601" s="16" t="str">
        <f t="shared" si="301"/>
        <v>3-6</v>
      </c>
      <c r="L2601" s="14" t="str">
        <f t="shared" si="302"/>
        <v>Romper Longer | 3-6 | Cream</v>
      </c>
      <c r="M2601" s="16" t="s">
        <v>3609</v>
      </c>
    </row>
    <row r="2602" spans="1:13" ht="25" customHeight="1" x14ac:dyDescent="0.45">
      <c r="A2602" s="18">
        <v>46104</v>
      </c>
      <c r="B2602" s="19" t="s">
        <v>2722</v>
      </c>
      <c r="C2602" s="23" t="s">
        <v>81</v>
      </c>
      <c r="D2602" s="53" t="str">
        <f t="shared" si="304"/>
        <v>Dusty Pink</v>
      </c>
      <c r="E2602" s="21" t="s">
        <v>1828</v>
      </c>
      <c r="F2602" s="21" t="str">
        <f ca="1">IFERROR(__xludf.DUMMYFUNCTION("IFERROR(REGEXEXTRACT(O761, ""\n([A-Za-z ]+)$""), """")
"),"United States")</f>
        <v>United States</v>
      </c>
      <c r="G2602" s="4" t="str">
        <f t="shared" si="303"/>
        <v>Romper Longer</v>
      </c>
      <c r="H2602" s="38">
        <f t="shared" si="299"/>
        <v>3</v>
      </c>
      <c r="I2602" s="54">
        <f t="shared" si="298"/>
        <v>13</v>
      </c>
      <c r="J2602" s="14" t="str">
        <f t="shared" si="300"/>
        <v>Easter</v>
      </c>
      <c r="K2602" s="16" t="str">
        <f t="shared" si="301"/>
        <v>3-6</v>
      </c>
      <c r="L2602" s="14" t="str">
        <f t="shared" si="302"/>
        <v>Romper Longer | 3-6 | Dusty Pink</v>
      </c>
      <c r="M2602" s="16" t="s">
        <v>3610</v>
      </c>
    </row>
    <row r="2603" spans="1:13" ht="25" customHeight="1" x14ac:dyDescent="0.45">
      <c r="A2603" s="18">
        <v>46105</v>
      </c>
      <c r="B2603" s="19" t="s">
        <v>2723</v>
      </c>
      <c r="C2603" s="23" t="s">
        <v>9</v>
      </c>
      <c r="D2603" s="53" t="str">
        <f t="shared" si="304"/>
        <v>Cream</v>
      </c>
      <c r="E2603" s="21" t="s">
        <v>1828</v>
      </c>
      <c r="F2603" s="21" t="str">
        <f ca="1">IFERROR(__xludf.DUMMYFUNCTION("IFERROR(REGEXEXTRACT(O761, ""\n([A-Za-z ]+)$""), """")
"),"United States")</f>
        <v>United States</v>
      </c>
      <c r="G2603" s="4" t="str">
        <f t="shared" si="303"/>
        <v>Romper Longer</v>
      </c>
      <c r="H2603" s="38">
        <f t="shared" si="299"/>
        <v>3</v>
      </c>
      <c r="I2603" s="54">
        <f t="shared" si="298"/>
        <v>13</v>
      </c>
      <c r="J2603" s="14" t="str">
        <f t="shared" si="300"/>
        <v>Easter</v>
      </c>
      <c r="K2603" s="16" t="str">
        <f t="shared" si="301"/>
        <v>3-6</v>
      </c>
      <c r="L2603" s="14" t="str">
        <f t="shared" si="302"/>
        <v>Romper Longer | 3-6 | Cream</v>
      </c>
      <c r="M2603" s="16" t="s">
        <v>3609</v>
      </c>
    </row>
    <row r="2604" spans="1:13" ht="25" customHeight="1" x14ac:dyDescent="0.45">
      <c r="A2604" s="18">
        <v>46106</v>
      </c>
      <c r="B2604" s="19" t="s">
        <v>2724</v>
      </c>
      <c r="C2604" s="23" t="s">
        <v>76</v>
      </c>
      <c r="D2604" s="53" t="str">
        <f t="shared" si="304"/>
        <v>Caldet Blue</v>
      </c>
      <c r="E2604" s="21" t="s">
        <v>1841</v>
      </c>
      <c r="F2604" s="21" t="str">
        <f ca="1">IFERROR(__xludf.DUMMYFUNCTION("IFERROR(REGEXEXTRACT(O761, ""\n([A-Za-z ]+)$""), """")
"),"United States")</f>
        <v>United States</v>
      </c>
      <c r="G2604" s="4" t="str">
        <f t="shared" si="303"/>
        <v>Romper Longer</v>
      </c>
      <c r="H2604" s="38">
        <f t="shared" si="299"/>
        <v>3</v>
      </c>
      <c r="I2604" s="54">
        <f t="shared" si="298"/>
        <v>13</v>
      </c>
      <c r="J2604" s="14" t="str">
        <f t="shared" si="300"/>
        <v>Easter</v>
      </c>
      <c r="K2604" s="16" t="str">
        <f t="shared" si="301"/>
        <v>6-12</v>
      </c>
      <c r="L2604" s="14" t="str">
        <f t="shared" si="302"/>
        <v>Romper Longer | 6-12 | Caldet Blue</v>
      </c>
      <c r="M2604" s="16" t="s">
        <v>3610</v>
      </c>
    </row>
    <row r="2605" spans="1:13" ht="25" customHeight="1" x14ac:dyDescent="0.45">
      <c r="A2605" s="18">
        <v>46107</v>
      </c>
      <c r="B2605" s="19" t="s">
        <v>2725</v>
      </c>
      <c r="C2605" s="23" t="s">
        <v>9</v>
      </c>
      <c r="D2605" s="53" t="str">
        <f t="shared" si="304"/>
        <v>Cream</v>
      </c>
      <c r="E2605" s="21" t="s">
        <v>1831</v>
      </c>
      <c r="F2605" s="21" t="str">
        <f ca="1">IFERROR(__xludf.DUMMYFUNCTION("IFERROR(REGEXEXTRACT(O761, ""\n([A-Za-z ]+)$""), """")
"),"United States")</f>
        <v>United States</v>
      </c>
      <c r="G2605" s="4" t="str">
        <f t="shared" si="303"/>
        <v>Romper Longer</v>
      </c>
      <c r="H2605" s="38">
        <f t="shared" si="299"/>
        <v>3</v>
      </c>
      <c r="I2605" s="54">
        <f t="shared" si="298"/>
        <v>13</v>
      </c>
      <c r="J2605" s="14" t="str">
        <f t="shared" si="300"/>
        <v>Easter</v>
      </c>
      <c r="K2605" s="16" t="str">
        <f t="shared" si="301"/>
        <v>0-3</v>
      </c>
      <c r="L2605" s="14" t="str">
        <f t="shared" si="302"/>
        <v>Romper Longer | 0-3 | Cream</v>
      </c>
      <c r="M2605" s="16" t="s">
        <v>3609</v>
      </c>
    </row>
    <row r="2606" spans="1:13" ht="25" customHeight="1" x14ac:dyDescent="0.45">
      <c r="A2606" s="18">
        <v>46108</v>
      </c>
      <c r="B2606" s="19" t="s">
        <v>2726</v>
      </c>
      <c r="C2606" s="23" t="s">
        <v>9</v>
      </c>
      <c r="D2606" s="53" t="str">
        <f t="shared" si="304"/>
        <v>Cream</v>
      </c>
      <c r="E2606" s="21" t="s">
        <v>1831</v>
      </c>
      <c r="F2606" s="21" t="str">
        <f ca="1">IFERROR(__xludf.DUMMYFUNCTION("IFERROR(REGEXEXTRACT(O761, ""\n([A-Za-z ]+)$""), """")
"),"United States")</f>
        <v>United States</v>
      </c>
      <c r="G2606" s="4" t="str">
        <f t="shared" si="303"/>
        <v>Romper Longer</v>
      </c>
      <c r="H2606" s="38">
        <f t="shared" si="299"/>
        <v>3</v>
      </c>
      <c r="I2606" s="54">
        <f t="shared" ref="I2606:I2669" si="305">WEEKNUM(A2606)</f>
        <v>13</v>
      </c>
      <c r="J2606" s="14" t="str">
        <f t="shared" si="300"/>
        <v>Easter</v>
      </c>
      <c r="K2606" s="16" t="str">
        <f t="shared" si="301"/>
        <v>0-3</v>
      </c>
      <c r="L2606" s="14" t="str">
        <f t="shared" si="302"/>
        <v>Romper Longer | 0-3 | Cream</v>
      </c>
      <c r="M2606" s="16" t="s">
        <v>3609</v>
      </c>
    </row>
    <row r="2607" spans="1:13" ht="25" customHeight="1" x14ac:dyDescent="0.45">
      <c r="A2607" s="18">
        <v>46109</v>
      </c>
      <c r="B2607" s="19" t="s">
        <v>2727</v>
      </c>
      <c r="C2607" s="23" t="s">
        <v>110</v>
      </c>
      <c r="D2607" s="53" t="str">
        <f t="shared" si="304"/>
        <v>Sage Green</v>
      </c>
      <c r="E2607" s="21" t="s">
        <v>1828</v>
      </c>
      <c r="F2607" s="21" t="str">
        <f ca="1">IFERROR(__xludf.DUMMYFUNCTION("IFERROR(REGEXEXTRACT(O761, ""\n([A-Za-z ]+)$""), """")
"),"United States")</f>
        <v>United States</v>
      </c>
      <c r="G2607" s="4" t="str">
        <f t="shared" si="303"/>
        <v>Romper Longer</v>
      </c>
      <c r="H2607" s="38">
        <f t="shared" si="299"/>
        <v>3</v>
      </c>
      <c r="I2607" s="54">
        <f t="shared" si="305"/>
        <v>13</v>
      </c>
      <c r="J2607" s="14" t="str">
        <f t="shared" si="300"/>
        <v>Easter</v>
      </c>
      <c r="K2607" s="16" t="str">
        <f t="shared" si="301"/>
        <v>3-6</v>
      </c>
      <c r="L2607" s="14" t="str">
        <f t="shared" si="302"/>
        <v>Romper Longer | 3-6 | Sage Green</v>
      </c>
      <c r="M2607" s="16" t="s">
        <v>3611</v>
      </c>
    </row>
    <row r="2608" spans="1:13" ht="25" customHeight="1" x14ac:dyDescent="0.45">
      <c r="A2608" s="18">
        <v>46110</v>
      </c>
      <c r="B2608" s="19" t="s">
        <v>2728</v>
      </c>
      <c r="C2608" s="23" t="s">
        <v>76</v>
      </c>
      <c r="D2608" s="53" t="str">
        <f t="shared" si="304"/>
        <v>Caldet Blue</v>
      </c>
      <c r="E2608" s="21" t="s">
        <v>1849</v>
      </c>
      <c r="F2608" s="21" t="str">
        <f ca="1">IFERROR(__xludf.DUMMYFUNCTION("IFERROR(REGEXEXTRACT(O761, ""\n([A-Za-z ]+)$""), """")
"),"United States")</f>
        <v>United States</v>
      </c>
      <c r="G2608" s="4" t="str">
        <f t="shared" si="303"/>
        <v>Romper Short</v>
      </c>
      <c r="H2608" s="38">
        <f t="shared" si="299"/>
        <v>3</v>
      </c>
      <c r="I2608" s="54">
        <f t="shared" si="305"/>
        <v>14</v>
      </c>
      <c r="J2608" s="14" t="str">
        <f t="shared" si="300"/>
        <v>Easter</v>
      </c>
      <c r="K2608" s="16" t="str">
        <f t="shared" si="301"/>
        <v>3-6</v>
      </c>
      <c r="L2608" s="14" t="str">
        <f t="shared" si="302"/>
        <v>Romper Short | 3-6 | Caldet Blue</v>
      </c>
      <c r="M2608" s="16" t="s">
        <v>3610</v>
      </c>
    </row>
    <row r="2609" spans="1:13" ht="25" customHeight="1" x14ac:dyDescent="0.45">
      <c r="A2609" s="18">
        <v>46111</v>
      </c>
      <c r="B2609" s="19" t="s">
        <v>2729</v>
      </c>
      <c r="C2609" s="23" t="s">
        <v>76</v>
      </c>
      <c r="D2609" s="53" t="str">
        <f t="shared" si="304"/>
        <v>Caldet Blue</v>
      </c>
      <c r="E2609" s="21" t="s">
        <v>1831</v>
      </c>
      <c r="F2609" s="21" t="str">
        <f ca="1">IFERROR(__xludf.DUMMYFUNCTION("IFERROR(REGEXEXTRACT(O761, ""\n([A-Za-z ]+)$""), """")
"),"United States")</f>
        <v>United States</v>
      </c>
      <c r="G2609" s="4" t="str">
        <f t="shared" si="303"/>
        <v>Romper Longer</v>
      </c>
      <c r="H2609" s="38">
        <f t="shared" si="299"/>
        <v>3</v>
      </c>
      <c r="I2609" s="54">
        <f t="shared" si="305"/>
        <v>14</v>
      </c>
      <c r="J2609" s="14" t="str">
        <f t="shared" si="300"/>
        <v>Easter</v>
      </c>
      <c r="K2609" s="16" t="str">
        <f t="shared" si="301"/>
        <v>0-3</v>
      </c>
      <c r="L2609" s="14" t="str">
        <f t="shared" si="302"/>
        <v>Romper Longer | 0-3 | Caldet Blue</v>
      </c>
      <c r="M2609" s="16" t="s">
        <v>3610</v>
      </c>
    </row>
    <row r="2610" spans="1:13" ht="25" customHeight="1" x14ac:dyDescent="0.45">
      <c r="A2610" s="18">
        <v>46112</v>
      </c>
      <c r="B2610" s="19" t="s">
        <v>2730</v>
      </c>
      <c r="C2610" s="23" t="s">
        <v>9</v>
      </c>
      <c r="D2610" s="53" t="str">
        <f t="shared" si="304"/>
        <v>Cream</v>
      </c>
      <c r="E2610" s="21" t="s">
        <v>1828</v>
      </c>
      <c r="F2610" s="21" t="str">
        <f ca="1">IFERROR(__xludf.DUMMYFUNCTION("IFERROR(REGEXEXTRACT(O761, ""\n([A-Za-z ]+)$""), """")
"),"United States")</f>
        <v>United States</v>
      </c>
      <c r="G2610" s="4" t="str">
        <f t="shared" si="303"/>
        <v>Romper Longer</v>
      </c>
      <c r="H2610" s="38">
        <f t="shared" si="299"/>
        <v>3</v>
      </c>
      <c r="I2610" s="54">
        <f t="shared" si="305"/>
        <v>14</v>
      </c>
      <c r="J2610" s="14" t="str">
        <f t="shared" si="300"/>
        <v>Easter</v>
      </c>
      <c r="K2610" s="16" t="str">
        <f t="shared" si="301"/>
        <v>3-6</v>
      </c>
      <c r="L2610" s="14" t="str">
        <f t="shared" si="302"/>
        <v>Romper Longer | 3-6 | Cream</v>
      </c>
      <c r="M2610" s="16" t="s">
        <v>3609</v>
      </c>
    </row>
    <row r="2611" spans="1:13" ht="25" customHeight="1" x14ac:dyDescent="0.45">
      <c r="A2611" s="18">
        <v>46113</v>
      </c>
      <c r="B2611" s="19" t="s">
        <v>2731</v>
      </c>
      <c r="C2611" s="23" t="s">
        <v>9</v>
      </c>
      <c r="D2611" s="53" t="str">
        <f t="shared" si="304"/>
        <v>Cream</v>
      </c>
      <c r="E2611" s="21" t="s">
        <v>1828</v>
      </c>
      <c r="F2611" s="21" t="str">
        <f ca="1">IFERROR(__xludf.DUMMYFUNCTION("IFERROR(REGEXEXTRACT(O761, ""\n([A-Za-z ]+)$""), """")
"),"United States")</f>
        <v>United States</v>
      </c>
      <c r="G2611" s="4" t="str">
        <f t="shared" si="303"/>
        <v>Romper Longer</v>
      </c>
      <c r="H2611" s="38">
        <f t="shared" si="299"/>
        <v>4</v>
      </c>
      <c r="I2611" s="54">
        <f t="shared" si="305"/>
        <v>14</v>
      </c>
      <c r="J2611" s="14" t="str">
        <f t="shared" si="300"/>
        <v>Easter</v>
      </c>
      <c r="K2611" s="16" t="str">
        <f t="shared" si="301"/>
        <v>3-6</v>
      </c>
      <c r="L2611" s="14" t="str">
        <f t="shared" si="302"/>
        <v>Romper Longer | 3-6 | Cream</v>
      </c>
      <c r="M2611" s="16" t="s">
        <v>3609</v>
      </c>
    </row>
    <row r="2612" spans="1:13" ht="25" customHeight="1" x14ac:dyDescent="0.45">
      <c r="A2612" s="18">
        <v>46114</v>
      </c>
      <c r="B2612" s="19" t="s">
        <v>2732</v>
      </c>
      <c r="C2612" s="23" t="s">
        <v>81</v>
      </c>
      <c r="D2612" s="53" t="str">
        <f t="shared" si="304"/>
        <v>Dusty Pink</v>
      </c>
      <c r="E2612" s="21" t="s">
        <v>1828</v>
      </c>
      <c r="F2612" s="21" t="str">
        <f ca="1">IFERROR(__xludf.DUMMYFUNCTION("IFERROR(REGEXEXTRACT(O761, ""\n([A-Za-z ]+)$""), """")
"),"United States")</f>
        <v>United States</v>
      </c>
      <c r="G2612" s="4" t="str">
        <f t="shared" si="303"/>
        <v>Romper Longer</v>
      </c>
      <c r="H2612" s="38">
        <f t="shared" si="299"/>
        <v>4</v>
      </c>
      <c r="I2612" s="54">
        <f t="shared" si="305"/>
        <v>14</v>
      </c>
      <c r="J2612" s="14" t="str">
        <f t="shared" si="300"/>
        <v>Easter</v>
      </c>
      <c r="K2612" s="16" t="str">
        <f t="shared" si="301"/>
        <v>3-6</v>
      </c>
      <c r="L2612" s="14" t="str">
        <f t="shared" si="302"/>
        <v>Romper Longer | 3-6 | Dusty Pink</v>
      </c>
      <c r="M2612" s="16" t="s">
        <v>3610</v>
      </c>
    </row>
    <row r="2613" spans="1:13" ht="25" customHeight="1" x14ac:dyDescent="0.45">
      <c r="A2613" s="18">
        <v>46115</v>
      </c>
      <c r="B2613" s="19" t="s">
        <v>2733</v>
      </c>
      <c r="C2613" s="23" t="s">
        <v>110</v>
      </c>
      <c r="D2613" s="53" t="str">
        <f t="shared" si="304"/>
        <v>Sage Green</v>
      </c>
      <c r="E2613" s="21" t="s">
        <v>1849</v>
      </c>
      <c r="F2613" s="21" t="str">
        <f ca="1">IFERROR(__xludf.DUMMYFUNCTION("IFERROR(REGEXEXTRACT(O761, ""\n([A-Za-z ]+)$""), """")
"),"United States")</f>
        <v>United States</v>
      </c>
      <c r="G2613" s="4" t="str">
        <f t="shared" si="303"/>
        <v>Romper Short</v>
      </c>
      <c r="H2613" s="38">
        <f t="shared" si="299"/>
        <v>4</v>
      </c>
      <c r="I2613" s="54">
        <f t="shared" si="305"/>
        <v>14</v>
      </c>
      <c r="J2613" s="14" t="str">
        <f t="shared" si="300"/>
        <v>Easter</v>
      </c>
      <c r="K2613" s="16" t="str">
        <f t="shared" si="301"/>
        <v>3-6</v>
      </c>
      <c r="L2613" s="14" t="str">
        <f t="shared" si="302"/>
        <v>Romper Short | 3-6 | Sage Green</v>
      </c>
      <c r="M2613" s="16" t="s">
        <v>3611</v>
      </c>
    </row>
    <row r="2614" spans="1:13" ht="25" customHeight="1" x14ac:dyDescent="0.45">
      <c r="A2614" s="18">
        <v>46116</v>
      </c>
      <c r="B2614" s="19" t="s">
        <v>2734</v>
      </c>
      <c r="C2614" s="23" t="s">
        <v>79</v>
      </c>
      <c r="D2614" s="53" t="str">
        <f t="shared" si="304"/>
        <v>White</v>
      </c>
      <c r="E2614" s="21" t="s">
        <v>1370</v>
      </c>
      <c r="F2614" s="21" t="str">
        <f ca="1">IFERROR(__xludf.DUMMYFUNCTION("IFERROR(REGEXEXTRACT(O761, ""\n([A-Za-z ]+)$""), """")
"),"United States")</f>
        <v>United States</v>
      </c>
      <c r="G2614" s="4" t="str">
        <f t="shared" si="303"/>
        <v>Romper Short</v>
      </c>
      <c r="H2614" s="38">
        <f t="shared" si="299"/>
        <v>4</v>
      </c>
      <c r="I2614" s="54">
        <f t="shared" si="305"/>
        <v>14</v>
      </c>
      <c r="J2614" s="14" t="str">
        <f t="shared" si="300"/>
        <v>Easter</v>
      </c>
      <c r="K2614" s="16" t="str">
        <f t="shared" si="301"/>
        <v>18-24</v>
      </c>
      <c r="L2614" s="14" t="str">
        <f t="shared" si="302"/>
        <v>Romper Short | 18-24 | White</v>
      </c>
      <c r="M2614" s="16" t="s">
        <v>3610</v>
      </c>
    </row>
    <row r="2615" spans="1:13" ht="25" customHeight="1" x14ac:dyDescent="0.45">
      <c r="A2615" s="18">
        <v>46117</v>
      </c>
      <c r="B2615" s="19" t="s">
        <v>2735</v>
      </c>
      <c r="C2615" s="23" t="s">
        <v>110</v>
      </c>
      <c r="D2615" s="53" t="str">
        <f t="shared" si="304"/>
        <v>Sage Green</v>
      </c>
      <c r="E2615" s="21" t="s">
        <v>1828</v>
      </c>
      <c r="F2615" s="21" t="str">
        <f ca="1">IFERROR(__xludf.DUMMYFUNCTION("IFERROR(REGEXEXTRACT(O761, ""\n([A-Za-z ]+)$""), """")
"),"United States")</f>
        <v>United States</v>
      </c>
      <c r="G2615" s="4" t="str">
        <f t="shared" si="303"/>
        <v>Romper Longer</v>
      </c>
      <c r="H2615" s="38">
        <f t="shared" si="299"/>
        <v>4</v>
      </c>
      <c r="I2615" s="54">
        <f t="shared" si="305"/>
        <v>15</v>
      </c>
      <c r="J2615" s="14" t="str">
        <f t="shared" si="300"/>
        <v>Easter</v>
      </c>
      <c r="K2615" s="16" t="str">
        <f t="shared" si="301"/>
        <v>3-6</v>
      </c>
      <c r="L2615" s="14" t="str">
        <f t="shared" si="302"/>
        <v>Romper Longer | 3-6 | Sage Green</v>
      </c>
      <c r="M2615" s="16" t="s">
        <v>3611</v>
      </c>
    </row>
    <row r="2616" spans="1:13" ht="25" customHeight="1" x14ac:dyDescent="0.45">
      <c r="A2616" s="18">
        <v>46118</v>
      </c>
      <c r="B2616" s="19" t="s">
        <v>2736</v>
      </c>
      <c r="C2616" s="23" t="s">
        <v>110</v>
      </c>
      <c r="D2616" s="53" t="str">
        <f t="shared" si="304"/>
        <v>Sage Green</v>
      </c>
      <c r="E2616" s="21" t="s">
        <v>1834</v>
      </c>
      <c r="F2616" s="21" t="str">
        <f ca="1">IFERROR(__xludf.DUMMYFUNCTION("IFERROR(REGEXEXTRACT(O761, ""\n([A-Za-z ]+)$""), """")
"),"United States")</f>
        <v>United States</v>
      </c>
      <c r="G2616" s="4" t="str">
        <f t="shared" si="303"/>
        <v>Romper Short</v>
      </c>
      <c r="H2616" s="38">
        <f t="shared" ref="H2616:H2679" si="306">MONTH(A2616)</f>
        <v>4</v>
      </c>
      <c r="I2616" s="54">
        <f t="shared" si="305"/>
        <v>15</v>
      </c>
      <c r="J2616" s="14" t="str">
        <f t="shared" ref="J2616:J2679" si="307">IF(H2616=1,"NewYear",
IF(H2616=2,"Valentine",
IF(OR(H2616=3,H2616=4),"Easter",
IF(H2616=5,"MothersDay",
IF(H2616=6,"FathersDay",
IF(OR(H2616=7,H2616=8),"Summer",
IF(H2616=10,"Halloween",
IF(OR(H2616=11,H2616=12),"Christmas","Normal"))))))))</f>
        <v>Easter</v>
      </c>
      <c r="K2616" s="16" t="str">
        <f t="shared" ref="K2616:K2679" si="308">TRIM(LEFT(E2616,FIND("(",E2616&amp;"(")-3))</f>
        <v>0-3</v>
      </c>
      <c r="L2616" s="14" t="str">
        <f t="shared" si="302"/>
        <v>Romper Short | 0-3 | Sage Green</v>
      </c>
      <c r="M2616" s="16" t="s">
        <v>3610</v>
      </c>
    </row>
    <row r="2617" spans="1:13" ht="25" customHeight="1" x14ac:dyDescent="0.45">
      <c r="A2617" s="18">
        <v>46119</v>
      </c>
      <c r="B2617" s="19" t="s">
        <v>2737</v>
      </c>
      <c r="C2617" s="23" t="s">
        <v>9</v>
      </c>
      <c r="D2617" s="53" t="str">
        <f t="shared" si="304"/>
        <v>Cream</v>
      </c>
      <c r="E2617" s="21" t="s">
        <v>1841</v>
      </c>
      <c r="F2617" s="21" t="str">
        <f ca="1">IFERROR(__xludf.DUMMYFUNCTION("IFERROR(REGEXEXTRACT(O761, ""\n([A-Za-z ]+)$""), """")
"),"United States")</f>
        <v>United States</v>
      </c>
      <c r="G2617" s="4" t="str">
        <f t="shared" si="303"/>
        <v>Romper Longer</v>
      </c>
      <c r="H2617" s="38">
        <f t="shared" si="306"/>
        <v>4</v>
      </c>
      <c r="I2617" s="54">
        <f t="shared" si="305"/>
        <v>15</v>
      </c>
      <c r="J2617" s="14" t="str">
        <f t="shared" si="307"/>
        <v>Easter</v>
      </c>
      <c r="K2617" s="16" t="str">
        <f t="shared" si="308"/>
        <v>6-12</v>
      </c>
      <c r="L2617" s="14" t="str">
        <f t="shared" si="302"/>
        <v>Romper Longer | 6-12 | Cream</v>
      </c>
      <c r="M2617" s="16" t="s">
        <v>3611</v>
      </c>
    </row>
    <row r="2618" spans="1:13" ht="25" customHeight="1" x14ac:dyDescent="0.45">
      <c r="A2618" s="18">
        <v>46120</v>
      </c>
      <c r="B2618" s="19" t="s">
        <v>2738</v>
      </c>
      <c r="C2618" s="23" t="s">
        <v>9</v>
      </c>
      <c r="D2618" s="53" t="str">
        <f t="shared" si="304"/>
        <v>Cream</v>
      </c>
      <c r="E2618" s="21" t="s">
        <v>1834</v>
      </c>
      <c r="F2618" s="21" t="str">
        <f ca="1">IFERROR(__xludf.DUMMYFUNCTION("IFERROR(REGEXEXTRACT(O761, ""\n([A-Za-z ]+)$""), """")
"),"United States")</f>
        <v>United States</v>
      </c>
      <c r="G2618" s="4" t="str">
        <f t="shared" si="303"/>
        <v>Romper Short</v>
      </c>
      <c r="H2618" s="38">
        <f t="shared" si="306"/>
        <v>4</v>
      </c>
      <c r="I2618" s="54">
        <f t="shared" si="305"/>
        <v>15</v>
      </c>
      <c r="J2618" s="14" t="str">
        <f t="shared" si="307"/>
        <v>Easter</v>
      </c>
      <c r="K2618" s="16" t="str">
        <f t="shared" si="308"/>
        <v>0-3</v>
      </c>
      <c r="L2618" s="14" t="str">
        <f t="shared" si="302"/>
        <v>Romper Short | 0-3 | Cream</v>
      </c>
      <c r="M2618" s="16" t="s">
        <v>3609</v>
      </c>
    </row>
    <row r="2619" spans="1:13" ht="25" customHeight="1" x14ac:dyDescent="0.45">
      <c r="A2619" s="18">
        <v>46121</v>
      </c>
      <c r="B2619" s="19" t="s">
        <v>2739</v>
      </c>
      <c r="C2619" s="23" t="s">
        <v>9</v>
      </c>
      <c r="D2619" s="53" t="str">
        <f t="shared" si="304"/>
        <v>Cream</v>
      </c>
      <c r="E2619" s="21" t="s">
        <v>1834</v>
      </c>
      <c r="F2619" s="21" t="str">
        <f ca="1">IFERROR(__xludf.DUMMYFUNCTION("IFERROR(REGEXEXTRACT(O761, ""\n([A-Za-z ]+)$""), """")
"),"United States")</f>
        <v>United States</v>
      </c>
      <c r="G2619" s="4" t="str">
        <f t="shared" si="303"/>
        <v>Romper Short</v>
      </c>
      <c r="H2619" s="38">
        <f t="shared" si="306"/>
        <v>4</v>
      </c>
      <c r="I2619" s="54">
        <f t="shared" si="305"/>
        <v>15</v>
      </c>
      <c r="J2619" s="14" t="str">
        <f t="shared" si="307"/>
        <v>Easter</v>
      </c>
      <c r="K2619" s="16" t="str">
        <f t="shared" si="308"/>
        <v>0-3</v>
      </c>
      <c r="L2619" s="14" t="str">
        <f t="shared" si="302"/>
        <v>Romper Short | 0-3 | Cream</v>
      </c>
      <c r="M2619" s="16" t="s">
        <v>3609</v>
      </c>
    </row>
    <row r="2620" spans="1:13" ht="25" customHeight="1" x14ac:dyDescent="0.45">
      <c r="A2620" s="18">
        <v>46122</v>
      </c>
      <c r="B2620" s="19" t="s">
        <v>2740</v>
      </c>
      <c r="C2620" s="23" t="s">
        <v>110</v>
      </c>
      <c r="D2620" s="53" t="str">
        <f t="shared" si="304"/>
        <v>Sage Green</v>
      </c>
      <c r="E2620" s="21" t="s">
        <v>1420</v>
      </c>
      <c r="F2620" s="21" t="str">
        <f ca="1">IFERROR(__xludf.DUMMYFUNCTION("IFERROR(REGEXEXTRACT(O761, ""\n([A-Za-z ]+)$""), """")
"),"United States")</f>
        <v>United States</v>
      </c>
      <c r="G2620" s="4" t="str">
        <f t="shared" si="303"/>
        <v>Romper Short</v>
      </c>
      <c r="H2620" s="38">
        <f t="shared" si="306"/>
        <v>4</v>
      </c>
      <c r="I2620" s="54">
        <f t="shared" si="305"/>
        <v>15</v>
      </c>
      <c r="J2620" s="14" t="str">
        <f t="shared" si="307"/>
        <v>Easter</v>
      </c>
      <c r="K2620" s="16" t="str">
        <f t="shared" si="308"/>
        <v>6-12</v>
      </c>
      <c r="L2620" s="14" t="str">
        <f t="shared" si="302"/>
        <v>Romper Short | 6-12 | Sage Green</v>
      </c>
      <c r="M2620" s="16" t="s">
        <v>3610</v>
      </c>
    </row>
    <row r="2621" spans="1:13" ht="25" customHeight="1" x14ac:dyDescent="0.45">
      <c r="A2621" s="18">
        <v>46123</v>
      </c>
      <c r="B2621" s="19" t="s">
        <v>2741</v>
      </c>
      <c r="C2621" s="23" t="s">
        <v>81</v>
      </c>
      <c r="D2621" s="53" t="str">
        <f t="shared" si="304"/>
        <v>Dusty Pink</v>
      </c>
      <c r="E2621" s="21" t="s">
        <v>1834</v>
      </c>
      <c r="F2621" s="21" t="str">
        <f ca="1">IFERROR(__xludf.DUMMYFUNCTION("IFERROR(REGEXEXTRACT(O761, ""\n([A-Za-z ]+)$""), """")
"),"United States")</f>
        <v>United States</v>
      </c>
      <c r="G2621" s="4" t="str">
        <f t="shared" si="303"/>
        <v>Romper Short</v>
      </c>
      <c r="H2621" s="38">
        <f t="shared" si="306"/>
        <v>4</v>
      </c>
      <c r="I2621" s="54">
        <f t="shared" si="305"/>
        <v>15</v>
      </c>
      <c r="J2621" s="14" t="str">
        <f t="shared" si="307"/>
        <v>Easter</v>
      </c>
      <c r="K2621" s="16" t="str">
        <f t="shared" si="308"/>
        <v>0-3</v>
      </c>
      <c r="L2621" s="14" t="str">
        <f t="shared" si="302"/>
        <v>Romper Short | 0-3 | Dusty Pink</v>
      </c>
      <c r="M2621" s="16" t="s">
        <v>3610</v>
      </c>
    </row>
    <row r="2622" spans="1:13" ht="25" customHeight="1" x14ac:dyDescent="0.45">
      <c r="A2622" s="18">
        <v>46124</v>
      </c>
      <c r="B2622" s="19" t="s">
        <v>2742</v>
      </c>
      <c r="C2622" s="23" t="s">
        <v>81</v>
      </c>
      <c r="D2622" s="53" t="str">
        <f t="shared" si="304"/>
        <v>Dusty Pink</v>
      </c>
      <c r="E2622" s="21" t="s">
        <v>1420</v>
      </c>
      <c r="F2622" s="21" t="str">
        <f ca="1">IFERROR(__xludf.DUMMYFUNCTION("IFERROR(REGEXEXTRACT(O761, ""\n([A-Za-z ]+)$""), """")
"),"United States")</f>
        <v>United States</v>
      </c>
      <c r="G2622" s="4" t="str">
        <f t="shared" si="303"/>
        <v>Romper Short</v>
      </c>
      <c r="H2622" s="38">
        <f t="shared" si="306"/>
        <v>4</v>
      </c>
      <c r="I2622" s="54">
        <f t="shared" si="305"/>
        <v>16</v>
      </c>
      <c r="J2622" s="14" t="str">
        <f t="shared" si="307"/>
        <v>Easter</v>
      </c>
      <c r="K2622" s="16" t="str">
        <f t="shared" si="308"/>
        <v>6-12</v>
      </c>
      <c r="L2622" s="14" t="str">
        <f t="shared" si="302"/>
        <v>Romper Short | 6-12 | Dusty Pink</v>
      </c>
      <c r="M2622" s="16" t="s">
        <v>3610</v>
      </c>
    </row>
    <row r="2623" spans="1:13" ht="25" customHeight="1" x14ac:dyDescent="0.45">
      <c r="A2623" s="18">
        <v>46125</v>
      </c>
      <c r="B2623" s="19" t="s">
        <v>2743</v>
      </c>
      <c r="C2623" s="23" t="s">
        <v>9</v>
      </c>
      <c r="D2623" s="53" t="str">
        <f t="shared" si="304"/>
        <v>Cream</v>
      </c>
      <c r="E2623" s="21" t="s">
        <v>1831</v>
      </c>
      <c r="F2623" s="21" t="str">
        <f ca="1">IFERROR(__xludf.DUMMYFUNCTION("IFERROR(REGEXEXTRACT(O761, ""\n([A-Za-z ]+)$""), """")
"),"United States")</f>
        <v>United States</v>
      </c>
      <c r="G2623" s="4" t="str">
        <f t="shared" si="303"/>
        <v>Romper Longer</v>
      </c>
      <c r="H2623" s="38">
        <f t="shared" si="306"/>
        <v>4</v>
      </c>
      <c r="I2623" s="54">
        <f t="shared" si="305"/>
        <v>16</v>
      </c>
      <c r="J2623" s="14" t="str">
        <f t="shared" si="307"/>
        <v>Easter</v>
      </c>
      <c r="K2623" s="16" t="str">
        <f t="shared" si="308"/>
        <v>0-3</v>
      </c>
      <c r="L2623" s="14" t="str">
        <f t="shared" si="302"/>
        <v>Romper Longer | 0-3 | Cream</v>
      </c>
      <c r="M2623" s="16" t="s">
        <v>3609</v>
      </c>
    </row>
    <row r="2624" spans="1:13" ht="25" customHeight="1" x14ac:dyDescent="0.45">
      <c r="A2624" s="18">
        <v>46126</v>
      </c>
      <c r="B2624" s="19" t="s">
        <v>2744</v>
      </c>
      <c r="C2624" s="23" t="s">
        <v>9</v>
      </c>
      <c r="D2624" s="53" t="str">
        <f t="shared" si="304"/>
        <v>Cream</v>
      </c>
      <c r="E2624" s="21" t="s">
        <v>1849</v>
      </c>
      <c r="F2624" s="21" t="str">
        <f ca="1">IFERROR(__xludf.DUMMYFUNCTION("IFERROR(REGEXEXTRACT(O761, ""\n([A-Za-z ]+)$""), """")
"),"United States")</f>
        <v>United States</v>
      </c>
      <c r="G2624" s="4" t="str">
        <f t="shared" si="303"/>
        <v>Romper Short</v>
      </c>
      <c r="H2624" s="38">
        <f t="shared" si="306"/>
        <v>4</v>
      </c>
      <c r="I2624" s="54">
        <f t="shared" si="305"/>
        <v>16</v>
      </c>
      <c r="J2624" s="14" t="str">
        <f t="shared" si="307"/>
        <v>Easter</v>
      </c>
      <c r="K2624" s="16" t="str">
        <f t="shared" si="308"/>
        <v>3-6</v>
      </c>
      <c r="L2624" s="14" t="str">
        <f t="shared" si="302"/>
        <v>Romper Short | 3-6 | Cream</v>
      </c>
      <c r="M2624" s="16" t="s">
        <v>3609</v>
      </c>
    </row>
    <row r="2625" spans="1:13" ht="25" customHeight="1" x14ac:dyDescent="0.45">
      <c r="A2625" s="18">
        <v>46127</v>
      </c>
      <c r="B2625" s="34" t="s">
        <v>2745</v>
      </c>
      <c r="C2625" s="23" t="s">
        <v>71</v>
      </c>
      <c r="D2625" s="53" t="str">
        <f t="shared" si="304"/>
        <v>Coffee</v>
      </c>
      <c r="E2625" s="21" t="s">
        <v>1828</v>
      </c>
      <c r="F2625" s="21" t="str">
        <f ca="1">IFERROR(__xludf.DUMMYFUNCTION("IFERROR(REGEXEXTRACT(O761, ""\n([A-Za-z ]+)$""), """")
"),"United States")</f>
        <v>United States</v>
      </c>
      <c r="G2625" s="4" t="str">
        <f t="shared" si="303"/>
        <v>Romper Longer</v>
      </c>
      <c r="H2625" s="38">
        <f t="shared" si="306"/>
        <v>4</v>
      </c>
      <c r="I2625" s="54">
        <f t="shared" si="305"/>
        <v>16</v>
      </c>
      <c r="J2625" s="14" t="str">
        <f t="shared" si="307"/>
        <v>Easter</v>
      </c>
      <c r="K2625" s="16" t="str">
        <f t="shared" si="308"/>
        <v>3-6</v>
      </c>
      <c r="L2625" s="14" t="str">
        <f t="shared" si="302"/>
        <v>Romper Longer | 3-6 | Coffee</v>
      </c>
      <c r="M2625" s="16" t="s">
        <v>3610</v>
      </c>
    </row>
    <row r="2626" spans="1:13" ht="25" customHeight="1" x14ac:dyDescent="0.45">
      <c r="A2626" s="18">
        <v>46128</v>
      </c>
      <c r="B2626" s="19" t="s">
        <v>2746</v>
      </c>
      <c r="C2626" s="23" t="s">
        <v>9</v>
      </c>
      <c r="D2626" s="53" t="str">
        <f t="shared" si="304"/>
        <v>Cream</v>
      </c>
      <c r="E2626" s="21" t="s">
        <v>1828</v>
      </c>
      <c r="F2626" s="21" t="str">
        <f ca="1">IFERROR(__xludf.DUMMYFUNCTION("IFERROR(REGEXEXTRACT(O761, ""\n([A-Za-z ]+)$""), """")
"),"United States")</f>
        <v>United States</v>
      </c>
      <c r="G2626" s="4" t="str">
        <f t="shared" si="303"/>
        <v>Romper Longer</v>
      </c>
      <c r="H2626" s="38">
        <f t="shared" si="306"/>
        <v>4</v>
      </c>
      <c r="I2626" s="54">
        <f t="shared" si="305"/>
        <v>16</v>
      </c>
      <c r="J2626" s="14" t="str">
        <f t="shared" si="307"/>
        <v>Easter</v>
      </c>
      <c r="K2626" s="16" t="str">
        <f t="shared" si="308"/>
        <v>3-6</v>
      </c>
      <c r="L2626" s="14" t="str">
        <f t="shared" ref="L2626:L2689" si="309">TRIM(G2626)&amp;" | "&amp;TRIM(K2626)&amp;" | "&amp;PROPER(TRIM(D2626))</f>
        <v>Romper Longer | 3-6 | Cream</v>
      </c>
      <c r="M2626" s="16" t="s">
        <v>3609</v>
      </c>
    </row>
    <row r="2627" spans="1:13" ht="25" customHeight="1" x14ac:dyDescent="0.45">
      <c r="A2627" s="18">
        <v>46129</v>
      </c>
      <c r="B2627" s="19" t="s">
        <v>2747</v>
      </c>
      <c r="C2627" s="23" t="s">
        <v>224</v>
      </c>
      <c r="D2627" s="53" t="str">
        <f t="shared" si="304"/>
        <v>Salmon</v>
      </c>
      <c r="E2627" s="21" t="s">
        <v>1828</v>
      </c>
      <c r="F2627" s="21" t="str">
        <f ca="1">IFERROR(__xludf.DUMMYFUNCTION("IFERROR(REGEXEXTRACT(O761, ""\n([A-Za-z ]+)$""), """")
"),"United States")</f>
        <v>United States</v>
      </c>
      <c r="G2627" s="4" t="str">
        <f t="shared" si="303"/>
        <v>Romper Longer</v>
      </c>
      <c r="H2627" s="38">
        <f t="shared" si="306"/>
        <v>4</v>
      </c>
      <c r="I2627" s="54">
        <f t="shared" si="305"/>
        <v>16</v>
      </c>
      <c r="J2627" s="14" t="str">
        <f t="shared" si="307"/>
        <v>Easter</v>
      </c>
      <c r="K2627" s="16" t="str">
        <f t="shared" si="308"/>
        <v>3-6</v>
      </c>
      <c r="L2627" s="14" t="str">
        <f t="shared" si="309"/>
        <v>Romper Longer | 3-6 | Salmon</v>
      </c>
      <c r="M2627" s="16" t="s">
        <v>3610</v>
      </c>
    </row>
    <row r="2628" spans="1:13" ht="25" customHeight="1" x14ac:dyDescent="0.45">
      <c r="A2628" s="18">
        <v>46130</v>
      </c>
      <c r="B2628" s="19" t="s">
        <v>2748</v>
      </c>
      <c r="C2628" s="23" t="s">
        <v>110</v>
      </c>
      <c r="D2628" s="53" t="str">
        <f t="shared" si="304"/>
        <v>Sage Green</v>
      </c>
      <c r="E2628" s="21" t="s">
        <v>1828</v>
      </c>
      <c r="F2628" s="21" t="str">
        <f ca="1">IFERROR(__xludf.DUMMYFUNCTION("IFERROR(REGEXEXTRACT(O761, ""\n([A-Za-z ]+)$""), """")
"),"United States")</f>
        <v>United States</v>
      </c>
      <c r="G2628" s="4" t="str">
        <f t="shared" si="303"/>
        <v>Romper Longer</v>
      </c>
      <c r="H2628" s="38">
        <f t="shared" si="306"/>
        <v>4</v>
      </c>
      <c r="I2628" s="54">
        <f t="shared" si="305"/>
        <v>16</v>
      </c>
      <c r="J2628" s="14" t="str">
        <f t="shared" si="307"/>
        <v>Easter</v>
      </c>
      <c r="K2628" s="16" t="str">
        <f t="shared" si="308"/>
        <v>3-6</v>
      </c>
      <c r="L2628" s="14" t="str">
        <f t="shared" si="309"/>
        <v>Romper Longer | 3-6 | Sage Green</v>
      </c>
      <c r="M2628" s="16" t="s">
        <v>3611</v>
      </c>
    </row>
    <row r="2629" spans="1:13" ht="25" customHeight="1" x14ac:dyDescent="0.45">
      <c r="A2629" s="18">
        <v>46131</v>
      </c>
      <c r="B2629" s="19" t="s">
        <v>2749</v>
      </c>
      <c r="C2629" s="23" t="s">
        <v>9</v>
      </c>
      <c r="D2629" s="53" t="str">
        <f t="shared" si="304"/>
        <v>Cream</v>
      </c>
      <c r="E2629" s="21" t="s">
        <v>1828</v>
      </c>
      <c r="F2629" s="21" t="str">
        <f ca="1">IFERROR(__xludf.DUMMYFUNCTION("IFERROR(REGEXEXTRACT(O761, ""\n([A-Za-z ]+)$""), """")
"),"United States")</f>
        <v>United States</v>
      </c>
      <c r="G2629" s="4" t="str">
        <f t="shared" si="303"/>
        <v>Romper Longer</v>
      </c>
      <c r="H2629" s="38">
        <f t="shared" si="306"/>
        <v>4</v>
      </c>
      <c r="I2629" s="54">
        <f t="shared" si="305"/>
        <v>17</v>
      </c>
      <c r="J2629" s="14" t="str">
        <f t="shared" si="307"/>
        <v>Easter</v>
      </c>
      <c r="K2629" s="16" t="str">
        <f t="shared" si="308"/>
        <v>3-6</v>
      </c>
      <c r="L2629" s="14" t="str">
        <f t="shared" si="309"/>
        <v>Romper Longer | 3-6 | Cream</v>
      </c>
      <c r="M2629" s="16" t="s">
        <v>3609</v>
      </c>
    </row>
    <row r="2630" spans="1:13" ht="25" customHeight="1" x14ac:dyDescent="0.45">
      <c r="A2630" s="18">
        <v>46132</v>
      </c>
      <c r="B2630" s="19" t="s">
        <v>2750</v>
      </c>
      <c r="C2630" s="23" t="s">
        <v>110</v>
      </c>
      <c r="D2630" s="53" t="str">
        <f t="shared" si="304"/>
        <v>Sage Green</v>
      </c>
      <c r="E2630" s="21" t="s">
        <v>1420</v>
      </c>
      <c r="F2630" s="21" t="str">
        <f ca="1">IFERROR(__xludf.DUMMYFUNCTION("IFERROR(REGEXEXTRACT(O761, ""\n([A-Za-z ]+)$""), """")
"),"United States")</f>
        <v>United States</v>
      </c>
      <c r="G2630" s="4" t="str">
        <f t="shared" si="303"/>
        <v>Romper Short</v>
      </c>
      <c r="H2630" s="38">
        <f t="shared" si="306"/>
        <v>4</v>
      </c>
      <c r="I2630" s="54">
        <f t="shared" si="305"/>
        <v>17</v>
      </c>
      <c r="J2630" s="14" t="str">
        <f t="shared" si="307"/>
        <v>Easter</v>
      </c>
      <c r="K2630" s="16" t="str">
        <f t="shared" si="308"/>
        <v>6-12</v>
      </c>
      <c r="L2630" s="14" t="str">
        <f t="shared" si="309"/>
        <v>Romper Short | 6-12 | Sage Green</v>
      </c>
      <c r="M2630" s="16" t="s">
        <v>3610</v>
      </c>
    </row>
    <row r="2631" spans="1:13" ht="25" customHeight="1" x14ac:dyDescent="0.45">
      <c r="A2631" s="18">
        <v>46133</v>
      </c>
      <c r="B2631" s="19" t="s">
        <v>2751</v>
      </c>
      <c r="C2631" s="23" t="s">
        <v>79</v>
      </c>
      <c r="D2631" s="53" t="str">
        <f t="shared" si="304"/>
        <v>White</v>
      </c>
      <c r="E2631" s="21" t="s">
        <v>1849</v>
      </c>
      <c r="F2631" s="21" t="str">
        <f ca="1">IFERROR(__xludf.DUMMYFUNCTION("IFERROR(REGEXEXTRACT(O761, ""\n([A-Za-z ]+)$""), """")
"),"United States")</f>
        <v>United States</v>
      </c>
      <c r="G2631" s="4" t="str">
        <f t="shared" si="303"/>
        <v>Romper Short</v>
      </c>
      <c r="H2631" s="38">
        <f t="shared" si="306"/>
        <v>4</v>
      </c>
      <c r="I2631" s="54">
        <f t="shared" si="305"/>
        <v>17</v>
      </c>
      <c r="J2631" s="14" t="str">
        <f t="shared" si="307"/>
        <v>Easter</v>
      </c>
      <c r="K2631" s="16" t="str">
        <f t="shared" si="308"/>
        <v>3-6</v>
      </c>
      <c r="L2631" s="14" t="str">
        <f t="shared" si="309"/>
        <v>Romper Short | 3-6 | White</v>
      </c>
      <c r="M2631" s="16" t="s">
        <v>3610</v>
      </c>
    </row>
    <row r="2632" spans="1:13" ht="25" customHeight="1" x14ac:dyDescent="0.45">
      <c r="A2632" s="18">
        <v>46134</v>
      </c>
      <c r="B2632" s="19" t="s">
        <v>2752</v>
      </c>
      <c r="C2632" s="23" t="s">
        <v>81</v>
      </c>
      <c r="D2632" s="53" t="str">
        <f t="shared" si="304"/>
        <v>Dusty Pink</v>
      </c>
      <c r="E2632" s="21" t="s">
        <v>1849</v>
      </c>
      <c r="F2632" s="21" t="str">
        <f ca="1">IFERROR(__xludf.DUMMYFUNCTION("IFERROR(REGEXEXTRACT(O761, ""\n([A-Za-z ]+)$""), """")
"),"United States")</f>
        <v>United States</v>
      </c>
      <c r="G2632" s="4" t="str">
        <f t="shared" si="303"/>
        <v>Romper Short</v>
      </c>
      <c r="H2632" s="38">
        <f t="shared" si="306"/>
        <v>4</v>
      </c>
      <c r="I2632" s="54">
        <f t="shared" si="305"/>
        <v>17</v>
      </c>
      <c r="J2632" s="14" t="str">
        <f t="shared" si="307"/>
        <v>Easter</v>
      </c>
      <c r="K2632" s="16" t="str">
        <f t="shared" si="308"/>
        <v>3-6</v>
      </c>
      <c r="L2632" s="14" t="str">
        <f t="shared" si="309"/>
        <v>Romper Short | 3-6 | Dusty Pink</v>
      </c>
      <c r="M2632" s="16" t="s">
        <v>3610</v>
      </c>
    </row>
    <row r="2633" spans="1:13" ht="25" customHeight="1" x14ac:dyDescent="0.45">
      <c r="A2633" s="18">
        <v>46135</v>
      </c>
      <c r="B2633" s="19" t="s">
        <v>2753</v>
      </c>
      <c r="C2633" s="23" t="s">
        <v>9</v>
      </c>
      <c r="D2633" s="53" t="str">
        <f t="shared" si="304"/>
        <v>Cream</v>
      </c>
      <c r="E2633" s="21" t="s">
        <v>1831</v>
      </c>
      <c r="F2633" s="21" t="str">
        <f ca="1">IFERROR(__xludf.DUMMYFUNCTION("IFERROR(REGEXEXTRACT(O761, ""\n([A-Za-z ]+)$""), """")
"),"United States")</f>
        <v>United States</v>
      </c>
      <c r="G2633" s="4" t="str">
        <f t="shared" si="303"/>
        <v>Romper Longer</v>
      </c>
      <c r="H2633" s="38">
        <f t="shared" si="306"/>
        <v>4</v>
      </c>
      <c r="I2633" s="54">
        <f t="shared" si="305"/>
        <v>17</v>
      </c>
      <c r="J2633" s="14" t="str">
        <f t="shared" si="307"/>
        <v>Easter</v>
      </c>
      <c r="K2633" s="16" t="str">
        <f t="shared" si="308"/>
        <v>0-3</v>
      </c>
      <c r="L2633" s="14" t="str">
        <f t="shared" si="309"/>
        <v>Romper Longer | 0-3 | Cream</v>
      </c>
      <c r="M2633" s="16" t="s">
        <v>3609</v>
      </c>
    </row>
    <row r="2634" spans="1:13" ht="25" customHeight="1" x14ac:dyDescent="0.45">
      <c r="A2634" s="18">
        <v>46136</v>
      </c>
      <c r="B2634" s="19" t="s">
        <v>2754</v>
      </c>
      <c r="C2634" s="23" t="s">
        <v>9</v>
      </c>
      <c r="D2634" s="53" t="str">
        <f t="shared" si="304"/>
        <v>Cream</v>
      </c>
      <c r="E2634" s="21" t="s">
        <v>1834</v>
      </c>
      <c r="F2634" s="21" t="str">
        <f ca="1">IFERROR(__xludf.DUMMYFUNCTION("IFERROR(REGEXEXTRACT(O761, ""\n([A-Za-z ]+)$""), """")
"),"United States")</f>
        <v>United States</v>
      </c>
      <c r="G2634" s="4" t="str">
        <f t="shared" si="303"/>
        <v>Romper Short</v>
      </c>
      <c r="H2634" s="38">
        <f t="shared" si="306"/>
        <v>4</v>
      </c>
      <c r="I2634" s="54">
        <f t="shared" si="305"/>
        <v>17</v>
      </c>
      <c r="J2634" s="14" t="str">
        <f t="shared" si="307"/>
        <v>Easter</v>
      </c>
      <c r="K2634" s="16" t="str">
        <f t="shared" si="308"/>
        <v>0-3</v>
      </c>
      <c r="L2634" s="14" t="str">
        <f t="shared" si="309"/>
        <v>Romper Short | 0-3 | Cream</v>
      </c>
      <c r="M2634" s="16" t="s">
        <v>3609</v>
      </c>
    </row>
    <row r="2635" spans="1:13" ht="25" customHeight="1" x14ac:dyDescent="0.45">
      <c r="A2635" s="18">
        <v>46137</v>
      </c>
      <c r="B2635" s="19" t="s">
        <v>2755</v>
      </c>
      <c r="C2635" s="23" t="s">
        <v>9</v>
      </c>
      <c r="D2635" s="53" t="str">
        <f t="shared" si="304"/>
        <v>Cream</v>
      </c>
      <c r="E2635" s="21" t="s">
        <v>1550</v>
      </c>
      <c r="F2635" s="21" t="str">
        <f ca="1">IFERROR(__xludf.DUMMYFUNCTION("IFERROR(REGEXEXTRACT(O761, ""\n([A-Za-z ]+)$""), """")
"),"United States")</f>
        <v>United States</v>
      </c>
      <c r="G2635" s="4" t="str">
        <f t="shared" si="303"/>
        <v>Romper Longer</v>
      </c>
      <c r="H2635" s="38">
        <f t="shared" si="306"/>
        <v>4</v>
      </c>
      <c r="I2635" s="54">
        <f t="shared" si="305"/>
        <v>17</v>
      </c>
      <c r="J2635" s="14" t="str">
        <f t="shared" si="307"/>
        <v>Easter</v>
      </c>
      <c r="K2635" s="16" t="str">
        <f t="shared" si="308"/>
        <v>12-18</v>
      </c>
      <c r="L2635" s="14" t="str">
        <f t="shared" si="309"/>
        <v>Romper Longer | 12-18 | Cream</v>
      </c>
      <c r="M2635" s="16" t="s">
        <v>3610</v>
      </c>
    </row>
    <row r="2636" spans="1:13" ht="25" customHeight="1" x14ac:dyDescent="0.45">
      <c r="A2636" s="18">
        <v>46138</v>
      </c>
      <c r="B2636" s="19" t="s">
        <v>2756</v>
      </c>
      <c r="C2636" s="23" t="s">
        <v>76</v>
      </c>
      <c r="D2636" s="53" t="str">
        <f t="shared" si="304"/>
        <v>Caldet Blue</v>
      </c>
      <c r="E2636" s="21" t="s">
        <v>1831</v>
      </c>
      <c r="F2636" s="21" t="str">
        <f ca="1">IFERROR(__xludf.DUMMYFUNCTION("IFERROR(REGEXEXTRACT(O761, ""\n([A-Za-z ]+)$""), """")
"),"United States")</f>
        <v>United States</v>
      </c>
      <c r="G2636" s="4" t="str">
        <f t="shared" si="303"/>
        <v>Romper Longer</v>
      </c>
      <c r="H2636" s="38">
        <f t="shared" si="306"/>
        <v>4</v>
      </c>
      <c r="I2636" s="54">
        <f t="shared" si="305"/>
        <v>18</v>
      </c>
      <c r="J2636" s="14" t="str">
        <f t="shared" si="307"/>
        <v>Easter</v>
      </c>
      <c r="K2636" s="16" t="str">
        <f t="shared" si="308"/>
        <v>0-3</v>
      </c>
      <c r="L2636" s="14" t="str">
        <f t="shared" si="309"/>
        <v>Romper Longer | 0-3 | Caldet Blue</v>
      </c>
      <c r="M2636" s="16" t="s">
        <v>3610</v>
      </c>
    </row>
    <row r="2637" spans="1:13" ht="25" customHeight="1" x14ac:dyDescent="0.45">
      <c r="A2637" s="18">
        <v>46139</v>
      </c>
      <c r="B2637" s="19" t="s">
        <v>2570</v>
      </c>
      <c r="C2637" s="23" t="s">
        <v>178</v>
      </c>
      <c r="D2637" s="53" t="str">
        <f t="shared" si="304"/>
        <v>Mauve Taupe</v>
      </c>
      <c r="E2637" s="21" t="s">
        <v>1841</v>
      </c>
      <c r="F2637" s="21" t="str">
        <f ca="1">IFERROR(__xludf.DUMMYFUNCTION("IFERROR(REGEXEXTRACT(O761, ""\n([A-Za-z ]+)$""), """")
"),"United States")</f>
        <v>United States</v>
      </c>
      <c r="G2637" s="4" t="str">
        <f t="shared" si="303"/>
        <v>Romper Longer</v>
      </c>
      <c r="H2637" s="38">
        <f t="shared" si="306"/>
        <v>4</v>
      </c>
      <c r="I2637" s="54">
        <f t="shared" si="305"/>
        <v>18</v>
      </c>
      <c r="J2637" s="14" t="str">
        <f t="shared" si="307"/>
        <v>Easter</v>
      </c>
      <c r="K2637" s="16" t="str">
        <f t="shared" si="308"/>
        <v>6-12</v>
      </c>
      <c r="L2637" s="14" t="str">
        <f t="shared" si="309"/>
        <v>Romper Longer | 6-12 | Mauve Taupe</v>
      </c>
      <c r="M2637" s="16" t="s">
        <v>3610</v>
      </c>
    </row>
    <row r="2638" spans="1:13" ht="25" customHeight="1" x14ac:dyDescent="0.45">
      <c r="A2638" s="18">
        <v>46140</v>
      </c>
      <c r="B2638" s="19" t="s">
        <v>2757</v>
      </c>
      <c r="C2638" s="23" t="s">
        <v>81</v>
      </c>
      <c r="D2638" s="53" t="str">
        <f t="shared" si="304"/>
        <v>Dusty Pink</v>
      </c>
      <c r="E2638" s="21" t="s">
        <v>1841</v>
      </c>
      <c r="F2638" s="21" t="str">
        <f ca="1">IFERROR(__xludf.DUMMYFUNCTION("IFERROR(REGEXEXTRACT(O761, ""\n([A-Za-z ]+)$""), """")
"),"United States")</f>
        <v>United States</v>
      </c>
      <c r="G2638" s="4" t="str">
        <f t="shared" si="303"/>
        <v>Romper Longer</v>
      </c>
      <c r="H2638" s="38">
        <f t="shared" si="306"/>
        <v>4</v>
      </c>
      <c r="I2638" s="54">
        <f t="shared" si="305"/>
        <v>18</v>
      </c>
      <c r="J2638" s="14" t="str">
        <f t="shared" si="307"/>
        <v>Easter</v>
      </c>
      <c r="K2638" s="16" t="str">
        <f t="shared" si="308"/>
        <v>6-12</v>
      </c>
      <c r="L2638" s="14" t="str">
        <f t="shared" si="309"/>
        <v>Romper Longer | 6-12 | Dusty Pink</v>
      </c>
      <c r="M2638" s="16" t="s">
        <v>3610</v>
      </c>
    </row>
    <row r="2639" spans="1:13" ht="25" customHeight="1" x14ac:dyDescent="0.45">
      <c r="A2639" s="18">
        <v>46141</v>
      </c>
      <c r="B2639" s="19" t="s">
        <v>2758</v>
      </c>
      <c r="C2639" s="23" t="s">
        <v>178</v>
      </c>
      <c r="D2639" s="53" t="str">
        <f t="shared" si="304"/>
        <v>Mauve Taupe</v>
      </c>
      <c r="E2639" s="21" t="s">
        <v>1831</v>
      </c>
      <c r="F2639" s="21" t="str">
        <f ca="1">IFERROR(__xludf.DUMMYFUNCTION("IFERROR(REGEXEXTRACT(O761, ""\n([A-Za-z ]+)$""), """")
"),"United States")</f>
        <v>United States</v>
      </c>
      <c r="G2639" s="4" t="str">
        <f t="shared" ref="G2639:G2702" si="310">IF(ISNUMBER(SEARCH("LONG",E2639)),"Romper Longer",IF(ISNUMBER(SEARCH("SHORT",E2639)),"Romper Short","Bodysuit"))</f>
        <v>Romper Longer</v>
      </c>
      <c r="H2639" s="38">
        <f t="shared" si="306"/>
        <v>4</v>
      </c>
      <c r="I2639" s="54">
        <f t="shared" si="305"/>
        <v>18</v>
      </c>
      <c r="J2639" s="14" t="str">
        <f t="shared" si="307"/>
        <v>Easter</v>
      </c>
      <c r="K2639" s="16" t="str">
        <f t="shared" si="308"/>
        <v>0-3</v>
      </c>
      <c r="L2639" s="14" t="str">
        <f t="shared" si="309"/>
        <v>Romper Longer | 0-3 | Mauve Taupe</v>
      </c>
      <c r="M2639" s="16" t="s">
        <v>3610</v>
      </c>
    </row>
    <row r="2640" spans="1:13" ht="25" customHeight="1" x14ac:dyDescent="0.45">
      <c r="A2640" s="18">
        <v>46142</v>
      </c>
      <c r="B2640" s="19" t="s">
        <v>2759</v>
      </c>
      <c r="C2640" s="23" t="s">
        <v>85</v>
      </c>
      <c r="D2640" s="53" t="str">
        <f t="shared" si="304"/>
        <v>Forest Green</v>
      </c>
      <c r="E2640" s="21" t="s">
        <v>1849</v>
      </c>
      <c r="F2640" s="21" t="str">
        <f ca="1">IFERROR(__xludf.DUMMYFUNCTION("IFERROR(REGEXEXTRACT(O761, ""\n([A-Za-z ]+)$""), """")
"),"United States")</f>
        <v>United States</v>
      </c>
      <c r="G2640" s="4" t="str">
        <f t="shared" si="310"/>
        <v>Romper Short</v>
      </c>
      <c r="H2640" s="38">
        <f t="shared" si="306"/>
        <v>4</v>
      </c>
      <c r="I2640" s="54">
        <f t="shared" si="305"/>
        <v>18</v>
      </c>
      <c r="J2640" s="14" t="str">
        <f t="shared" si="307"/>
        <v>Easter</v>
      </c>
      <c r="K2640" s="16" t="str">
        <f t="shared" si="308"/>
        <v>3-6</v>
      </c>
      <c r="L2640" s="14" t="str">
        <f t="shared" si="309"/>
        <v>Romper Short | 3-6 | Forest Green</v>
      </c>
      <c r="M2640" s="16" t="s">
        <v>3610</v>
      </c>
    </row>
    <row r="2641" spans="1:13" ht="25" customHeight="1" x14ac:dyDescent="0.45">
      <c r="A2641" s="18">
        <v>46143</v>
      </c>
      <c r="B2641" s="19" t="s">
        <v>2760</v>
      </c>
      <c r="C2641" s="23" t="s">
        <v>9</v>
      </c>
      <c r="D2641" s="53" t="str">
        <f t="shared" si="304"/>
        <v>Cream</v>
      </c>
      <c r="E2641" s="21" t="s">
        <v>1841</v>
      </c>
      <c r="F2641" s="21" t="str">
        <f ca="1">IFERROR(__xludf.DUMMYFUNCTION("IFERROR(REGEXEXTRACT(O761, ""\n([A-Za-z ]+)$""), """")
"),"United States")</f>
        <v>United States</v>
      </c>
      <c r="G2641" s="4" t="str">
        <f t="shared" si="310"/>
        <v>Romper Longer</v>
      </c>
      <c r="H2641" s="38">
        <f t="shared" si="306"/>
        <v>5</v>
      </c>
      <c r="I2641" s="54">
        <f t="shared" si="305"/>
        <v>18</v>
      </c>
      <c r="J2641" s="14" t="str">
        <f t="shared" si="307"/>
        <v>MothersDay</v>
      </c>
      <c r="K2641" s="16" t="str">
        <f t="shared" si="308"/>
        <v>6-12</v>
      </c>
      <c r="L2641" s="14" t="str">
        <f t="shared" si="309"/>
        <v>Romper Longer | 6-12 | Cream</v>
      </c>
      <c r="M2641" s="16" t="s">
        <v>3611</v>
      </c>
    </row>
    <row r="2642" spans="1:13" ht="25" customHeight="1" x14ac:dyDescent="0.45">
      <c r="A2642" s="18">
        <v>46144</v>
      </c>
      <c r="B2642" s="19" t="s">
        <v>2761</v>
      </c>
      <c r="C2642" s="23" t="s">
        <v>9</v>
      </c>
      <c r="D2642" s="53" t="str">
        <f t="shared" si="304"/>
        <v>Cream</v>
      </c>
      <c r="E2642" s="21" t="s">
        <v>1550</v>
      </c>
      <c r="F2642" s="21" t="str">
        <f ca="1">IFERROR(__xludf.DUMMYFUNCTION("IFERROR(REGEXEXTRACT(O761, ""\n([A-Za-z ]+)$""), """")
"),"United States")</f>
        <v>United States</v>
      </c>
      <c r="G2642" s="4" t="str">
        <f t="shared" si="310"/>
        <v>Romper Longer</v>
      </c>
      <c r="H2642" s="38">
        <f t="shared" si="306"/>
        <v>5</v>
      </c>
      <c r="I2642" s="54">
        <f t="shared" si="305"/>
        <v>18</v>
      </c>
      <c r="J2642" s="14" t="str">
        <f t="shared" si="307"/>
        <v>MothersDay</v>
      </c>
      <c r="K2642" s="16" t="str">
        <f t="shared" si="308"/>
        <v>12-18</v>
      </c>
      <c r="L2642" s="14" t="str">
        <f t="shared" si="309"/>
        <v>Romper Longer | 12-18 | Cream</v>
      </c>
      <c r="M2642" s="16" t="s">
        <v>3610</v>
      </c>
    </row>
    <row r="2643" spans="1:13" ht="25" customHeight="1" x14ac:dyDescent="0.45">
      <c r="A2643" s="18">
        <v>46145</v>
      </c>
      <c r="B2643" s="19" t="s">
        <v>2762</v>
      </c>
      <c r="C2643" s="23" t="s">
        <v>71</v>
      </c>
      <c r="D2643" s="53" t="str">
        <f t="shared" ref="D2643:D2706" si="311">PROPER(C2643)</f>
        <v>Coffee</v>
      </c>
      <c r="E2643" s="21" t="s">
        <v>1420</v>
      </c>
      <c r="F2643" s="21" t="str">
        <f ca="1">IFERROR(__xludf.DUMMYFUNCTION("IFERROR(REGEXEXTRACT(O761, ""\n([A-Za-z ]+)$""), """")
"),"United States")</f>
        <v>United States</v>
      </c>
      <c r="G2643" s="4" t="str">
        <f t="shared" si="310"/>
        <v>Romper Short</v>
      </c>
      <c r="H2643" s="38">
        <f t="shared" si="306"/>
        <v>5</v>
      </c>
      <c r="I2643" s="54">
        <f t="shared" si="305"/>
        <v>19</v>
      </c>
      <c r="J2643" s="14" t="str">
        <f t="shared" si="307"/>
        <v>MothersDay</v>
      </c>
      <c r="K2643" s="16" t="str">
        <f t="shared" si="308"/>
        <v>6-12</v>
      </c>
      <c r="L2643" s="14" t="str">
        <f t="shared" si="309"/>
        <v>Romper Short | 6-12 | Coffee</v>
      </c>
      <c r="M2643" s="16" t="s">
        <v>3610</v>
      </c>
    </row>
    <row r="2644" spans="1:13" ht="25" customHeight="1" x14ac:dyDescent="0.45">
      <c r="A2644" s="18">
        <v>46146</v>
      </c>
      <c r="B2644" s="19" t="s">
        <v>2763</v>
      </c>
      <c r="C2644" s="23" t="s">
        <v>9</v>
      </c>
      <c r="D2644" s="53" t="str">
        <f t="shared" si="311"/>
        <v>Cream</v>
      </c>
      <c r="E2644" s="21" t="s">
        <v>1447</v>
      </c>
      <c r="F2644" s="21" t="str">
        <f ca="1">IFERROR(__xludf.DUMMYFUNCTION("IFERROR(REGEXEXTRACT(O761, ""\n([A-Za-z ]+)$""), """")
"),"United States")</f>
        <v>United States</v>
      </c>
      <c r="G2644" s="4" t="str">
        <f t="shared" si="310"/>
        <v>Romper Longer</v>
      </c>
      <c r="H2644" s="38">
        <f t="shared" si="306"/>
        <v>5</v>
      </c>
      <c r="I2644" s="54">
        <f t="shared" si="305"/>
        <v>19</v>
      </c>
      <c r="J2644" s="14" t="str">
        <f t="shared" si="307"/>
        <v>MothersDay</v>
      </c>
      <c r="K2644" s="16" t="str">
        <f t="shared" si="308"/>
        <v>18-24</v>
      </c>
      <c r="L2644" s="14" t="str">
        <f t="shared" si="309"/>
        <v>Romper Longer | 18-24 | Cream</v>
      </c>
      <c r="M2644" s="16" t="s">
        <v>3610</v>
      </c>
    </row>
    <row r="2645" spans="1:13" ht="25" customHeight="1" x14ac:dyDescent="0.45">
      <c r="A2645" s="18">
        <v>46147</v>
      </c>
      <c r="B2645" s="19" t="s">
        <v>2764</v>
      </c>
      <c r="C2645" s="23" t="s">
        <v>110</v>
      </c>
      <c r="D2645" s="53" t="str">
        <f t="shared" si="311"/>
        <v>Sage Green</v>
      </c>
      <c r="E2645" s="21" t="s">
        <v>1841</v>
      </c>
      <c r="F2645" s="21" t="str">
        <f ca="1">IFERROR(__xludf.DUMMYFUNCTION("IFERROR(REGEXEXTRACT(O761, ""\n([A-Za-z ]+)$""), """")
"),"United States")</f>
        <v>United States</v>
      </c>
      <c r="G2645" s="4" t="str">
        <f t="shared" si="310"/>
        <v>Romper Longer</v>
      </c>
      <c r="H2645" s="38">
        <f t="shared" si="306"/>
        <v>5</v>
      </c>
      <c r="I2645" s="54">
        <f t="shared" si="305"/>
        <v>19</v>
      </c>
      <c r="J2645" s="14" t="str">
        <f t="shared" si="307"/>
        <v>MothersDay</v>
      </c>
      <c r="K2645" s="16" t="str">
        <f t="shared" si="308"/>
        <v>6-12</v>
      </c>
      <c r="L2645" s="14" t="str">
        <f t="shared" si="309"/>
        <v>Romper Longer | 6-12 | Sage Green</v>
      </c>
      <c r="M2645" s="16" t="s">
        <v>3610</v>
      </c>
    </row>
    <row r="2646" spans="1:13" ht="25" customHeight="1" x14ac:dyDescent="0.45">
      <c r="A2646" s="18">
        <v>46148</v>
      </c>
      <c r="B2646" s="19" t="s">
        <v>2765</v>
      </c>
      <c r="C2646" s="23" t="s">
        <v>9</v>
      </c>
      <c r="D2646" s="53" t="str">
        <f t="shared" si="311"/>
        <v>Cream</v>
      </c>
      <c r="E2646" s="21" t="s">
        <v>1831</v>
      </c>
      <c r="F2646" s="21" t="str">
        <f ca="1">IFERROR(__xludf.DUMMYFUNCTION("IFERROR(REGEXEXTRACT(O761, ""\n([A-Za-z ]+)$""), """")
"),"United States")</f>
        <v>United States</v>
      </c>
      <c r="G2646" s="4" t="str">
        <f t="shared" si="310"/>
        <v>Romper Longer</v>
      </c>
      <c r="H2646" s="38">
        <f t="shared" si="306"/>
        <v>5</v>
      </c>
      <c r="I2646" s="54">
        <f t="shared" si="305"/>
        <v>19</v>
      </c>
      <c r="J2646" s="14" t="str">
        <f t="shared" si="307"/>
        <v>MothersDay</v>
      </c>
      <c r="K2646" s="16" t="str">
        <f t="shared" si="308"/>
        <v>0-3</v>
      </c>
      <c r="L2646" s="14" t="str">
        <f t="shared" si="309"/>
        <v>Romper Longer | 0-3 | Cream</v>
      </c>
      <c r="M2646" s="16" t="s">
        <v>3609</v>
      </c>
    </row>
    <row r="2647" spans="1:13" ht="25" customHeight="1" x14ac:dyDescent="0.45">
      <c r="A2647" s="18">
        <v>46149</v>
      </c>
      <c r="B2647" s="19" t="s">
        <v>2766</v>
      </c>
      <c r="C2647" s="23" t="s">
        <v>9</v>
      </c>
      <c r="D2647" s="53" t="str">
        <f t="shared" si="311"/>
        <v>Cream</v>
      </c>
      <c r="E2647" s="21" t="s">
        <v>1841</v>
      </c>
      <c r="F2647" s="21" t="str">
        <f ca="1">IFERROR(__xludf.DUMMYFUNCTION("IFERROR(REGEXEXTRACT(O761, ""\n([A-Za-z ]+)$""), """")
"),"United States")</f>
        <v>United States</v>
      </c>
      <c r="G2647" s="4" t="str">
        <f t="shared" si="310"/>
        <v>Romper Longer</v>
      </c>
      <c r="H2647" s="38">
        <f t="shared" si="306"/>
        <v>5</v>
      </c>
      <c r="I2647" s="54">
        <f t="shared" si="305"/>
        <v>19</v>
      </c>
      <c r="J2647" s="14" t="str">
        <f t="shared" si="307"/>
        <v>MothersDay</v>
      </c>
      <c r="K2647" s="16" t="str">
        <f t="shared" si="308"/>
        <v>6-12</v>
      </c>
      <c r="L2647" s="14" t="str">
        <f t="shared" si="309"/>
        <v>Romper Longer | 6-12 | Cream</v>
      </c>
      <c r="M2647" s="16" t="s">
        <v>3611</v>
      </c>
    </row>
    <row r="2648" spans="1:13" ht="25" customHeight="1" x14ac:dyDescent="0.45">
      <c r="A2648" s="18">
        <v>46150</v>
      </c>
      <c r="B2648" s="19" t="s">
        <v>2767</v>
      </c>
      <c r="C2648" s="23" t="s">
        <v>110</v>
      </c>
      <c r="D2648" s="53" t="str">
        <f t="shared" si="311"/>
        <v>Sage Green</v>
      </c>
      <c r="E2648" s="21" t="s">
        <v>1831</v>
      </c>
      <c r="F2648" s="21" t="str">
        <f ca="1">IFERROR(__xludf.DUMMYFUNCTION("IFERROR(REGEXEXTRACT(O761, ""\n([A-Za-z ]+)$""), """")
"),"United States")</f>
        <v>United States</v>
      </c>
      <c r="G2648" s="4" t="str">
        <f t="shared" si="310"/>
        <v>Romper Longer</v>
      </c>
      <c r="H2648" s="38">
        <f t="shared" si="306"/>
        <v>5</v>
      </c>
      <c r="I2648" s="54">
        <f t="shared" si="305"/>
        <v>19</v>
      </c>
      <c r="J2648" s="14" t="str">
        <f t="shared" si="307"/>
        <v>MothersDay</v>
      </c>
      <c r="K2648" s="16" t="str">
        <f t="shared" si="308"/>
        <v>0-3</v>
      </c>
      <c r="L2648" s="14" t="str">
        <f t="shared" si="309"/>
        <v>Romper Longer | 0-3 | Sage Green</v>
      </c>
      <c r="M2648" s="16" t="s">
        <v>3611</v>
      </c>
    </row>
    <row r="2649" spans="1:13" ht="25" customHeight="1" x14ac:dyDescent="0.45">
      <c r="A2649" s="18">
        <v>46151</v>
      </c>
      <c r="B2649" s="19" t="s">
        <v>2768</v>
      </c>
      <c r="C2649" s="23" t="s">
        <v>9</v>
      </c>
      <c r="D2649" s="53" t="str">
        <f t="shared" si="311"/>
        <v>Cream</v>
      </c>
      <c r="E2649" s="21" t="s">
        <v>1834</v>
      </c>
      <c r="F2649" s="21" t="str">
        <f ca="1">IFERROR(__xludf.DUMMYFUNCTION("IFERROR(REGEXEXTRACT(O761, ""\n([A-Za-z ]+)$""), """")
"),"United States")</f>
        <v>United States</v>
      </c>
      <c r="G2649" s="4" t="str">
        <f t="shared" si="310"/>
        <v>Romper Short</v>
      </c>
      <c r="H2649" s="38">
        <f t="shared" si="306"/>
        <v>5</v>
      </c>
      <c r="I2649" s="54">
        <f t="shared" si="305"/>
        <v>19</v>
      </c>
      <c r="J2649" s="14" t="str">
        <f t="shared" si="307"/>
        <v>MothersDay</v>
      </c>
      <c r="K2649" s="16" t="str">
        <f t="shared" si="308"/>
        <v>0-3</v>
      </c>
      <c r="L2649" s="14" t="str">
        <f t="shared" si="309"/>
        <v>Romper Short | 0-3 | Cream</v>
      </c>
      <c r="M2649" s="16" t="s">
        <v>3609</v>
      </c>
    </row>
    <row r="2650" spans="1:13" ht="25" customHeight="1" x14ac:dyDescent="0.45">
      <c r="A2650" s="18">
        <v>46152</v>
      </c>
      <c r="B2650" s="19" t="s">
        <v>2769</v>
      </c>
      <c r="C2650" s="23" t="s">
        <v>9</v>
      </c>
      <c r="D2650" s="53" t="str">
        <f t="shared" si="311"/>
        <v>Cream</v>
      </c>
      <c r="E2650" s="21" t="s">
        <v>1834</v>
      </c>
      <c r="F2650" s="21" t="str">
        <f ca="1">IFERROR(__xludf.DUMMYFUNCTION("IFERROR(REGEXEXTRACT(O761, ""\n([A-Za-z ]+)$""), """")
"),"United States")</f>
        <v>United States</v>
      </c>
      <c r="G2650" s="4" t="str">
        <f t="shared" si="310"/>
        <v>Romper Short</v>
      </c>
      <c r="H2650" s="38">
        <f t="shared" si="306"/>
        <v>5</v>
      </c>
      <c r="I2650" s="54">
        <f t="shared" si="305"/>
        <v>20</v>
      </c>
      <c r="J2650" s="14" t="str">
        <f t="shared" si="307"/>
        <v>MothersDay</v>
      </c>
      <c r="K2650" s="16" t="str">
        <f t="shared" si="308"/>
        <v>0-3</v>
      </c>
      <c r="L2650" s="14" t="str">
        <f t="shared" si="309"/>
        <v>Romper Short | 0-3 | Cream</v>
      </c>
      <c r="M2650" s="16" t="s">
        <v>3609</v>
      </c>
    </row>
    <row r="2651" spans="1:13" ht="25" customHeight="1" x14ac:dyDescent="0.45">
      <c r="A2651" s="18">
        <v>46153</v>
      </c>
      <c r="B2651" s="19" t="s">
        <v>2770</v>
      </c>
      <c r="C2651" s="23" t="s">
        <v>110</v>
      </c>
      <c r="D2651" s="53" t="str">
        <f t="shared" si="311"/>
        <v>Sage Green</v>
      </c>
      <c r="E2651" s="21" t="s">
        <v>1831</v>
      </c>
      <c r="F2651" s="21" t="str">
        <f ca="1">IFERROR(__xludf.DUMMYFUNCTION("IFERROR(REGEXEXTRACT(O761, ""\n([A-Za-z ]+)$""), """")
"),"United States")</f>
        <v>United States</v>
      </c>
      <c r="G2651" s="4" t="str">
        <f t="shared" si="310"/>
        <v>Romper Longer</v>
      </c>
      <c r="H2651" s="38">
        <f t="shared" si="306"/>
        <v>5</v>
      </c>
      <c r="I2651" s="54">
        <f t="shared" si="305"/>
        <v>20</v>
      </c>
      <c r="J2651" s="14" t="str">
        <f t="shared" si="307"/>
        <v>MothersDay</v>
      </c>
      <c r="K2651" s="16" t="str">
        <f t="shared" si="308"/>
        <v>0-3</v>
      </c>
      <c r="L2651" s="14" t="str">
        <f t="shared" si="309"/>
        <v>Romper Longer | 0-3 | Sage Green</v>
      </c>
      <c r="M2651" s="16" t="s">
        <v>3611</v>
      </c>
    </row>
    <row r="2652" spans="1:13" ht="25" customHeight="1" x14ac:dyDescent="0.45">
      <c r="A2652" s="18">
        <v>46154</v>
      </c>
      <c r="B2652" s="19" t="s">
        <v>2771</v>
      </c>
      <c r="C2652" s="23" t="s">
        <v>9</v>
      </c>
      <c r="D2652" s="53" t="str">
        <f t="shared" si="311"/>
        <v>Cream</v>
      </c>
      <c r="E2652" s="21" t="s">
        <v>1849</v>
      </c>
      <c r="F2652" s="21" t="str">
        <f ca="1">IFERROR(__xludf.DUMMYFUNCTION("IFERROR(REGEXEXTRACT(O761, ""\n([A-Za-z ]+)$""), """")
"),"United States")</f>
        <v>United States</v>
      </c>
      <c r="G2652" s="4" t="str">
        <f t="shared" si="310"/>
        <v>Romper Short</v>
      </c>
      <c r="H2652" s="38">
        <f t="shared" si="306"/>
        <v>5</v>
      </c>
      <c r="I2652" s="54">
        <f t="shared" si="305"/>
        <v>20</v>
      </c>
      <c r="J2652" s="14" t="str">
        <f t="shared" si="307"/>
        <v>MothersDay</v>
      </c>
      <c r="K2652" s="16" t="str">
        <f t="shared" si="308"/>
        <v>3-6</v>
      </c>
      <c r="L2652" s="14" t="str">
        <f t="shared" si="309"/>
        <v>Romper Short | 3-6 | Cream</v>
      </c>
      <c r="M2652" s="16" t="s">
        <v>3609</v>
      </c>
    </row>
    <row r="2653" spans="1:13" ht="25" customHeight="1" x14ac:dyDescent="0.45">
      <c r="A2653" s="18">
        <v>46155</v>
      </c>
      <c r="B2653" s="19" t="s">
        <v>2772</v>
      </c>
      <c r="C2653" s="23" t="s">
        <v>9</v>
      </c>
      <c r="D2653" s="53" t="str">
        <f t="shared" si="311"/>
        <v>Cream</v>
      </c>
      <c r="E2653" s="21" t="s">
        <v>1831</v>
      </c>
      <c r="F2653" s="21" t="str">
        <f ca="1">IFERROR(__xludf.DUMMYFUNCTION("IFERROR(REGEXEXTRACT(O761, ""\n([A-Za-z ]+)$""), """")
"),"United States")</f>
        <v>United States</v>
      </c>
      <c r="G2653" s="4" t="str">
        <f t="shared" si="310"/>
        <v>Romper Longer</v>
      </c>
      <c r="H2653" s="38">
        <f t="shared" si="306"/>
        <v>5</v>
      </c>
      <c r="I2653" s="54">
        <f t="shared" si="305"/>
        <v>20</v>
      </c>
      <c r="J2653" s="14" t="str">
        <f t="shared" si="307"/>
        <v>MothersDay</v>
      </c>
      <c r="K2653" s="16" t="str">
        <f t="shared" si="308"/>
        <v>0-3</v>
      </c>
      <c r="L2653" s="14" t="str">
        <f t="shared" si="309"/>
        <v>Romper Longer | 0-3 | Cream</v>
      </c>
      <c r="M2653" s="16" t="s">
        <v>3609</v>
      </c>
    </row>
    <row r="2654" spans="1:13" ht="25" customHeight="1" x14ac:dyDescent="0.45">
      <c r="A2654" s="18">
        <v>46156</v>
      </c>
      <c r="B2654" s="19" t="s">
        <v>2773</v>
      </c>
      <c r="C2654" s="23" t="s">
        <v>110</v>
      </c>
      <c r="D2654" s="53" t="str">
        <f t="shared" si="311"/>
        <v>Sage Green</v>
      </c>
      <c r="E2654" s="21" t="s">
        <v>1550</v>
      </c>
      <c r="F2654" s="21" t="str">
        <f ca="1">IFERROR(__xludf.DUMMYFUNCTION("IFERROR(REGEXEXTRACT(O761, ""\n([A-Za-z ]+)$""), """")
"),"United States")</f>
        <v>United States</v>
      </c>
      <c r="G2654" s="4" t="str">
        <f t="shared" si="310"/>
        <v>Romper Longer</v>
      </c>
      <c r="H2654" s="38">
        <f t="shared" si="306"/>
        <v>5</v>
      </c>
      <c r="I2654" s="54">
        <f t="shared" si="305"/>
        <v>20</v>
      </c>
      <c r="J2654" s="14" t="str">
        <f t="shared" si="307"/>
        <v>MothersDay</v>
      </c>
      <c r="K2654" s="16" t="str">
        <f t="shared" si="308"/>
        <v>12-18</v>
      </c>
      <c r="L2654" s="14" t="str">
        <f t="shared" si="309"/>
        <v>Romper Longer | 12-18 | Sage Green</v>
      </c>
      <c r="M2654" s="16" t="s">
        <v>3610</v>
      </c>
    </row>
    <row r="2655" spans="1:13" ht="25" customHeight="1" x14ac:dyDescent="0.45">
      <c r="A2655" s="18">
        <v>46157</v>
      </c>
      <c r="B2655" s="19" t="s">
        <v>2774</v>
      </c>
      <c r="C2655" s="23" t="s">
        <v>9</v>
      </c>
      <c r="D2655" s="53" t="str">
        <f t="shared" si="311"/>
        <v>Cream</v>
      </c>
      <c r="E2655" s="21" t="s">
        <v>1834</v>
      </c>
      <c r="F2655" s="21" t="str">
        <f ca="1">IFERROR(__xludf.DUMMYFUNCTION("IFERROR(REGEXEXTRACT(O761, ""\n([A-Za-z ]+)$""), """")
"),"United States")</f>
        <v>United States</v>
      </c>
      <c r="G2655" s="4" t="str">
        <f t="shared" si="310"/>
        <v>Romper Short</v>
      </c>
      <c r="H2655" s="38">
        <f t="shared" si="306"/>
        <v>5</v>
      </c>
      <c r="I2655" s="54">
        <f t="shared" si="305"/>
        <v>20</v>
      </c>
      <c r="J2655" s="14" t="str">
        <f t="shared" si="307"/>
        <v>MothersDay</v>
      </c>
      <c r="K2655" s="16" t="str">
        <f t="shared" si="308"/>
        <v>0-3</v>
      </c>
      <c r="L2655" s="14" t="str">
        <f t="shared" si="309"/>
        <v>Romper Short | 0-3 | Cream</v>
      </c>
      <c r="M2655" s="16" t="s">
        <v>3609</v>
      </c>
    </row>
    <row r="2656" spans="1:13" ht="25" customHeight="1" x14ac:dyDescent="0.45">
      <c r="A2656" s="18">
        <v>46158</v>
      </c>
      <c r="B2656" s="19" t="s">
        <v>2775</v>
      </c>
      <c r="C2656" s="23" t="s">
        <v>178</v>
      </c>
      <c r="D2656" s="53" t="str">
        <f t="shared" si="311"/>
        <v>Mauve Taupe</v>
      </c>
      <c r="E2656" s="21" t="s">
        <v>1828</v>
      </c>
      <c r="F2656" s="21" t="str">
        <f ca="1">IFERROR(__xludf.DUMMYFUNCTION("IFERROR(REGEXEXTRACT(O761, ""\n([A-Za-z ]+)$""), """")
"),"United States")</f>
        <v>United States</v>
      </c>
      <c r="G2656" s="4" t="str">
        <f t="shared" si="310"/>
        <v>Romper Longer</v>
      </c>
      <c r="H2656" s="38">
        <f t="shared" si="306"/>
        <v>5</v>
      </c>
      <c r="I2656" s="54">
        <f t="shared" si="305"/>
        <v>20</v>
      </c>
      <c r="J2656" s="14" t="str">
        <f t="shared" si="307"/>
        <v>MothersDay</v>
      </c>
      <c r="K2656" s="16" t="str">
        <f t="shared" si="308"/>
        <v>3-6</v>
      </c>
      <c r="L2656" s="14" t="str">
        <f t="shared" si="309"/>
        <v>Romper Longer | 3-6 | Mauve Taupe</v>
      </c>
      <c r="M2656" s="16" t="s">
        <v>3610</v>
      </c>
    </row>
    <row r="2657" spans="1:13" ht="25" customHeight="1" x14ac:dyDescent="0.45">
      <c r="A2657" s="18">
        <v>46159</v>
      </c>
      <c r="B2657" s="19" t="s">
        <v>2776</v>
      </c>
      <c r="C2657" s="23" t="s">
        <v>81</v>
      </c>
      <c r="D2657" s="53" t="str">
        <f t="shared" si="311"/>
        <v>Dusty Pink</v>
      </c>
      <c r="E2657" s="21" t="s">
        <v>1831</v>
      </c>
      <c r="F2657" s="21" t="str">
        <f ca="1">IFERROR(__xludf.DUMMYFUNCTION("IFERROR(REGEXEXTRACT(O761, ""\n([A-Za-z ]+)$""), """")
"),"United States")</f>
        <v>United States</v>
      </c>
      <c r="G2657" s="4" t="str">
        <f t="shared" si="310"/>
        <v>Romper Longer</v>
      </c>
      <c r="H2657" s="38">
        <f t="shared" si="306"/>
        <v>5</v>
      </c>
      <c r="I2657" s="54">
        <f t="shared" si="305"/>
        <v>21</v>
      </c>
      <c r="J2657" s="14" t="str">
        <f t="shared" si="307"/>
        <v>MothersDay</v>
      </c>
      <c r="K2657" s="16" t="str">
        <f t="shared" si="308"/>
        <v>0-3</v>
      </c>
      <c r="L2657" s="14" t="str">
        <f t="shared" si="309"/>
        <v>Romper Longer | 0-3 | Dusty Pink</v>
      </c>
      <c r="M2657" s="16" t="s">
        <v>3610</v>
      </c>
    </row>
    <row r="2658" spans="1:13" ht="25" customHeight="1" x14ac:dyDescent="0.45">
      <c r="A2658" s="18">
        <v>46160</v>
      </c>
      <c r="B2658" s="19" t="s">
        <v>2777</v>
      </c>
      <c r="C2658" s="23" t="s">
        <v>9</v>
      </c>
      <c r="D2658" s="53" t="str">
        <f t="shared" si="311"/>
        <v>Cream</v>
      </c>
      <c r="E2658" s="21" t="s">
        <v>1828</v>
      </c>
      <c r="F2658" s="21" t="str">
        <f ca="1">IFERROR(__xludf.DUMMYFUNCTION("IFERROR(REGEXEXTRACT(O761, ""\n([A-Za-z ]+)$""), """")
"),"United States")</f>
        <v>United States</v>
      </c>
      <c r="G2658" s="4" t="str">
        <f t="shared" si="310"/>
        <v>Romper Longer</v>
      </c>
      <c r="H2658" s="38">
        <f t="shared" si="306"/>
        <v>5</v>
      </c>
      <c r="I2658" s="54">
        <f t="shared" si="305"/>
        <v>21</v>
      </c>
      <c r="J2658" s="14" t="str">
        <f t="shared" si="307"/>
        <v>MothersDay</v>
      </c>
      <c r="K2658" s="16" t="str">
        <f t="shared" si="308"/>
        <v>3-6</v>
      </c>
      <c r="L2658" s="14" t="str">
        <f t="shared" si="309"/>
        <v>Romper Longer | 3-6 | Cream</v>
      </c>
      <c r="M2658" s="16" t="s">
        <v>3609</v>
      </c>
    </row>
    <row r="2659" spans="1:13" ht="25" customHeight="1" x14ac:dyDescent="0.45">
      <c r="A2659" s="18">
        <v>46161</v>
      </c>
      <c r="B2659" s="19" t="s">
        <v>2778</v>
      </c>
      <c r="C2659" s="23" t="s">
        <v>9</v>
      </c>
      <c r="D2659" s="53" t="str">
        <f t="shared" si="311"/>
        <v>Cream</v>
      </c>
      <c r="E2659" s="21" t="s">
        <v>1831</v>
      </c>
      <c r="F2659" s="21" t="str">
        <f ca="1">IFERROR(__xludf.DUMMYFUNCTION("IFERROR(REGEXEXTRACT(O761, ""\n([A-Za-z ]+)$""), """")
"),"United States")</f>
        <v>United States</v>
      </c>
      <c r="G2659" s="4" t="str">
        <f t="shared" si="310"/>
        <v>Romper Longer</v>
      </c>
      <c r="H2659" s="38">
        <f t="shared" si="306"/>
        <v>5</v>
      </c>
      <c r="I2659" s="54">
        <f t="shared" si="305"/>
        <v>21</v>
      </c>
      <c r="J2659" s="14" t="str">
        <f t="shared" si="307"/>
        <v>MothersDay</v>
      </c>
      <c r="K2659" s="16" t="str">
        <f t="shared" si="308"/>
        <v>0-3</v>
      </c>
      <c r="L2659" s="14" t="str">
        <f t="shared" si="309"/>
        <v>Romper Longer | 0-3 | Cream</v>
      </c>
      <c r="M2659" s="16" t="s">
        <v>3609</v>
      </c>
    </row>
    <row r="2660" spans="1:13" ht="25" customHeight="1" x14ac:dyDescent="0.45">
      <c r="A2660" s="18">
        <v>46162</v>
      </c>
      <c r="B2660" s="19" t="s">
        <v>2779</v>
      </c>
      <c r="C2660" s="23" t="s">
        <v>110</v>
      </c>
      <c r="D2660" s="53" t="str">
        <f t="shared" si="311"/>
        <v>Sage Green</v>
      </c>
      <c r="E2660" s="21" t="s">
        <v>1831</v>
      </c>
      <c r="F2660" s="21" t="str">
        <f ca="1">IFERROR(__xludf.DUMMYFUNCTION("IFERROR(REGEXEXTRACT(O761, ""\n([A-Za-z ]+)$""), """")
"),"United States")</f>
        <v>United States</v>
      </c>
      <c r="G2660" s="4" t="str">
        <f t="shared" si="310"/>
        <v>Romper Longer</v>
      </c>
      <c r="H2660" s="38">
        <f t="shared" si="306"/>
        <v>5</v>
      </c>
      <c r="I2660" s="54">
        <f t="shared" si="305"/>
        <v>21</v>
      </c>
      <c r="J2660" s="14" t="str">
        <f t="shared" si="307"/>
        <v>MothersDay</v>
      </c>
      <c r="K2660" s="16" t="str">
        <f t="shared" si="308"/>
        <v>0-3</v>
      </c>
      <c r="L2660" s="14" t="str">
        <f t="shared" si="309"/>
        <v>Romper Longer | 0-3 | Sage Green</v>
      </c>
      <c r="M2660" s="16" t="s">
        <v>3611</v>
      </c>
    </row>
    <row r="2661" spans="1:13" ht="25" customHeight="1" x14ac:dyDescent="0.45">
      <c r="A2661" s="18">
        <v>46163</v>
      </c>
      <c r="B2661" s="19" t="s">
        <v>2780</v>
      </c>
      <c r="C2661" s="23" t="s">
        <v>81</v>
      </c>
      <c r="D2661" s="53" t="str">
        <f t="shared" si="311"/>
        <v>Dusty Pink</v>
      </c>
      <c r="E2661" s="21" t="s">
        <v>1828</v>
      </c>
      <c r="F2661" s="21" t="str">
        <f ca="1">IFERROR(__xludf.DUMMYFUNCTION("IFERROR(REGEXEXTRACT(O761, ""\n([A-Za-z ]+)$""), """")
"),"United States")</f>
        <v>United States</v>
      </c>
      <c r="G2661" s="4" t="str">
        <f t="shared" si="310"/>
        <v>Romper Longer</v>
      </c>
      <c r="H2661" s="38">
        <f t="shared" si="306"/>
        <v>5</v>
      </c>
      <c r="I2661" s="54">
        <f t="shared" si="305"/>
        <v>21</v>
      </c>
      <c r="J2661" s="14" t="str">
        <f t="shared" si="307"/>
        <v>MothersDay</v>
      </c>
      <c r="K2661" s="16" t="str">
        <f t="shared" si="308"/>
        <v>3-6</v>
      </c>
      <c r="L2661" s="14" t="str">
        <f t="shared" si="309"/>
        <v>Romper Longer | 3-6 | Dusty Pink</v>
      </c>
      <c r="M2661" s="16" t="s">
        <v>3610</v>
      </c>
    </row>
    <row r="2662" spans="1:13" ht="25" customHeight="1" x14ac:dyDescent="0.45">
      <c r="A2662" s="18">
        <v>46164</v>
      </c>
      <c r="B2662" s="19" t="s">
        <v>2781</v>
      </c>
      <c r="C2662" s="23" t="s">
        <v>9</v>
      </c>
      <c r="D2662" s="53" t="str">
        <f t="shared" si="311"/>
        <v>Cream</v>
      </c>
      <c r="E2662" s="21" t="s">
        <v>1838</v>
      </c>
      <c r="F2662" s="21" t="str">
        <f ca="1">IFERROR(__xludf.DUMMYFUNCTION("IFERROR(REGEXEXTRACT(O761, ""\n([A-Za-z ]+)$""), """")
"),"United States")</f>
        <v>United States</v>
      </c>
      <c r="G2662" s="4" t="str">
        <f t="shared" si="310"/>
        <v>Romper Short</v>
      </c>
      <c r="H2662" s="38">
        <f t="shared" si="306"/>
        <v>5</v>
      </c>
      <c r="I2662" s="54">
        <f t="shared" si="305"/>
        <v>21</v>
      </c>
      <c r="J2662" s="14" t="str">
        <f t="shared" si="307"/>
        <v>MothersDay</v>
      </c>
      <c r="K2662" s="16" t="str">
        <f t="shared" si="308"/>
        <v>12-18</v>
      </c>
      <c r="L2662" s="14" t="str">
        <f t="shared" si="309"/>
        <v>Romper Short | 12-18 | Cream</v>
      </c>
      <c r="M2662" s="16" t="s">
        <v>3610</v>
      </c>
    </row>
    <row r="2663" spans="1:13" ht="25" customHeight="1" x14ac:dyDescent="0.45">
      <c r="A2663" s="18">
        <v>46165</v>
      </c>
      <c r="B2663" s="19" t="s">
        <v>2782</v>
      </c>
      <c r="C2663" s="23" t="s">
        <v>9</v>
      </c>
      <c r="D2663" s="53" t="str">
        <f t="shared" si="311"/>
        <v>Cream</v>
      </c>
      <c r="E2663" s="21" t="s">
        <v>1841</v>
      </c>
      <c r="F2663" s="21" t="str">
        <f ca="1">IFERROR(__xludf.DUMMYFUNCTION("IFERROR(REGEXEXTRACT(O761, ""\n([A-Za-z ]+)$""), """")
"),"United States")</f>
        <v>United States</v>
      </c>
      <c r="G2663" s="4" t="str">
        <f t="shared" si="310"/>
        <v>Romper Longer</v>
      </c>
      <c r="H2663" s="38">
        <f t="shared" si="306"/>
        <v>5</v>
      </c>
      <c r="I2663" s="54">
        <f t="shared" si="305"/>
        <v>21</v>
      </c>
      <c r="J2663" s="14" t="str">
        <f t="shared" si="307"/>
        <v>MothersDay</v>
      </c>
      <c r="K2663" s="16" t="str">
        <f t="shared" si="308"/>
        <v>6-12</v>
      </c>
      <c r="L2663" s="14" t="str">
        <f t="shared" si="309"/>
        <v>Romper Longer | 6-12 | Cream</v>
      </c>
      <c r="M2663" s="16" t="s">
        <v>3611</v>
      </c>
    </row>
    <row r="2664" spans="1:13" ht="25" customHeight="1" x14ac:dyDescent="0.45">
      <c r="A2664" s="18">
        <v>46166</v>
      </c>
      <c r="B2664" s="19" t="s">
        <v>2783</v>
      </c>
      <c r="C2664" s="23" t="s">
        <v>74</v>
      </c>
      <c r="D2664" s="53" t="str">
        <f t="shared" si="311"/>
        <v>Watermelon</v>
      </c>
      <c r="E2664" s="21" t="s">
        <v>1831</v>
      </c>
      <c r="F2664" s="21" t="str">
        <f ca="1">IFERROR(__xludf.DUMMYFUNCTION("IFERROR(REGEXEXTRACT(O761, ""\n([A-Za-z ]+)$""), """")
"),"United States")</f>
        <v>United States</v>
      </c>
      <c r="G2664" s="4" t="str">
        <f t="shared" si="310"/>
        <v>Romper Longer</v>
      </c>
      <c r="H2664" s="38">
        <f t="shared" si="306"/>
        <v>5</v>
      </c>
      <c r="I2664" s="54">
        <f t="shared" si="305"/>
        <v>22</v>
      </c>
      <c r="J2664" s="14" t="str">
        <f t="shared" si="307"/>
        <v>MothersDay</v>
      </c>
      <c r="K2664" s="16" t="str">
        <f t="shared" si="308"/>
        <v>0-3</v>
      </c>
      <c r="L2664" s="14" t="str">
        <f t="shared" si="309"/>
        <v>Romper Longer | 0-3 | Watermelon</v>
      </c>
      <c r="M2664" s="16" t="s">
        <v>3610</v>
      </c>
    </row>
    <row r="2665" spans="1:13" ht="25" customHeight="1" x14ac:dyDescent="0.45">
      <c r="A2665" s="18">
        <v>46167</v>
      </c>
      <c r="B2665" s="19" t="s">
        <v>2784</v>
      </c>
      <c r="C2665" s="23" t="s">
        <v>110</v>
      </c>
      <c r="D2665" s="53" t="str">
        <f t="shared" si="311"/>
        <v>Sage Green</v>
      </c>
      <c r="E2665" s="21" t="s">
        <v>1831</v>
      </c>
      <c r="F2665" s="21" t="str">
        <f ca="1">IFERROR(__xludf.DUMMYFUNCTION("IFERROR(REGEXEXTRACT(O761, ""\n([A-Za-z ]+)$""), """")
"),"United States")</f>
        <v>United States</v>
      </c>
      <c r="G2665" s="4" t="str">
        <f t="shared" si="310"/>
        <v>Romper Longer</v>
      </c>
      <c r="H2665" s="38">
        <f t="shared" si="306"/>
        <v>5</v>
      </c>
      <c r="I2665" s="54">
        <f t="shared" si="305"/>
        <v>22</v>
      </c>
      <c r="J2665" s="14" t="str">
        <f t="shared" si="307"/>
        <v>MothersDay</v>
      </c>
      <c r="K2665" s="16" t="str">
        <f t="shared" si="308"/>
        <v>0-3</v>
      </c>
      <c r="L2665" s="14" t="str">
        <f t="shared" si="309"/>
        <v>Romper Longer | 0-3 | Sage Green</v>
      </c>
      <c r="M2665" s="16" t="s">
        <v>3611</v>
      </c>
    </row>
    <row r="2666" spans="1:13" ht="25" customHeight="1" x14ac:dyDescent="0.45">
      <c r="A2666" s="18">
        <v>46168</v>
      </c>
      <c r="B2666" s="19" t="s">
        <v>2785</v>
      </c>
      <c r="C2666" s="23" t="s">
        <v>74</v>
      </c>
      <c r="D2666" s="53" t="str">
        <f t="shared" si="311"/>
        <v>Watermelon</v>
      </c>
      <c r="E2666" s="21" t="s">
        <v>1834</v>
      </c>
      <c r="F2666" s="21" t="str">
        <f ca="1">IFERROR(__xludf.DUMMYFUNCTION("IFERROR(REGEXEXTRACT(O761, ""\n([A-Za-z ]+)$""), """")
"),"United States")</f>
        <v>United States</v>
      </c>
      <c r="G2666" s="4" t="str">
        <f t="shared" si="310"/>
        <v>Romper Short</v>
      </c>
      <c r="H2666" s="38">
        <f t="shared" si="306"/>
        <v>5</v>
      </c>
      <c r="I2666" s="54">
        <f t="shared" si="305"/>
        <v>22</v>
      </c>
      <c r="J2666" s="14" t="str">
        <f t="shared" si="307"/>
        <v>MothersDay</v>
      </c>
      <c r="K2666" s="16" t="str">
        <f t="shared" si="308"/>
        <v>0-3</v>
      </c>
      <c r="L2666" s="14" t="str">
        <f t="shared" si="309"/>
        <v>Romper Short | 0-3 | Watermelon</v>
      </c>
      <c r="M2666" s="16" t="s">
        <v>3610</v>
      </c>
    </row>
    <row r="2667" spans="1:13" ht="25" customHeight="1" x14ac:dyDescent="0.45">
      <c r="A2667" s="18">
        <v>46169</v>
      </c>
      <c r="B2667" s="19" t="s">
        <v>2786</v>
      </c>
      <c r="C2667" s="23" t="s">
        <v>9</v>
      </c>
      <c r="D2667" s="53" t="str">
        <f t="shared" si="311"/>
        <v>Cream</v>
      </c>
      <c r="E2667" s="21" t="s">
        <v>1849</v>
      </c>
      <c r="F2667" s="21" t="str">
        <f ca="1">IFERROR(__xludf.DUMMYFUNCTION("IFERROR(REGEXEXTRACT(O761, ""\n([A-Za-z ]+)$""), """")
"),"United States")</f>
        <v>United States</v>
      </c>
      <c r="G2667" s="4" t="str">
        <f t="shared" si="310"/>
        <v>Romper Short</v>
      </c>
      <c r="H2667" s="38">
        <f t="shared" si="306"/>
        <v>5</v>
      </c>
      <c r="I2667" s="54">
        <f t="shared" si="305"/>
        <v>22</v>
      </c>
      <c r="J2667" s="14" t="str">
        <f t="shared" si="307"/>
        <v>MothersDay</v>
      </c>
      <c r="K2667" s="16" t="str">
        <f t="shared" si="308"/>
        <v>3-6</v>
      </c>
      <c r="L2667" s="14" t="str">
        <f t="shared" si="309"/>
        <v>Romper Short | 3-6 | Cream</v>
      </c>
      <c r="M2667" s="16" t="s">
        <v>3609</v>
      </c>
    </row>
    <row r="2668" spans="1:13" ht="25" customHeight="1" x14ac:dyDescent="0.45">
      <c r="A2668" s="18">
        <v>46170</v>
      </c>
      <c r="B2668" s="19" t="s">
        <v>2787</v>
      </c>
      <c r="C2668" s="23" t="s">
        <v>81</v>
      </c>
      <c r="D2668" s="53" t="str">
        <f t="shared" si="311"/>
        <v>Dusty Pink</v>
      </c>
      <c r="E2668" s="21" t="s">
        <v>1849</v>
      </c>
      <c r="F2668" s="21" t="str">
        <f ca="1">IFERROR(__xludf.DUMMYFUNCTION("IFERROR(REGEXEXTRACT(O761, ""\n([A-Za-z ]+)$""), """")
"),"United States")</f>
        <v>United States</v>
      </c>
      <c r="G2668" s="4" t="str">
        <f t="shared" si="310"/>
        <v>Romper Short</v>
      </c>
      <c r="H2668" s="38">
        <f t="shared" si="306"/>
        <v>5</v>
      </c>
      <c r="I2668" s="54">
        <f t="shared" si="305"/>
        <v>22</v>
      </c>
      <c r="J2668" s="14" t="str">
        <f t="shared" si="307"/>
        <v>MothersDay</v>
      </c>
      <c r="K2668" s="16" t="str">
        <f t="shared" si="308"/>
        <v>3-6</v>
      </c>
      <c r="L2668" s="14" t="str">
        <f t="shared" si="309"/>
        <v>Romper Short | 3-6 | Dusty Pink</v>
      </c>
      <c r="M2668" s="16" t="s">
        <v>3610</v>
      </c>
    </row>
    <row r="2669" spans="1:13" ht="25" customHeight="1" x14ac:dyDescent="0.45">
      <c r="A2669" s="18">
        <v>46171</v>
      </c>
      <c r="B2669" s="19" t="s">
        <v>2788</v>
      </c>
      <c r="C2669" s="23" t="s">
        <v>9</v>
      </c>
      <c r="D2669" s="53" t="str">
        <f t="shared" si="311"/>
        <v>Cream</v>
      </c>
      <c r="E2669" s="21" t="s">
        <v>1831</v>
      </c>
      <c r="F2669" s="21" t="str">
        <f ca="1">IFERROR(__xludf.DUMMYFUNCTION("IFERROR(REGEXEXTRACT(O761, ""\n([A-Za-z ]+)$""), """")
"),"United States")</f>
        <v>United States</v>
      </c>
      <c r="G2669" s="4" t="str">
        <f t="shared" si="310"/>
        <v>Romper Longer</v>
      </c>
      <c r="H2669" s="38">
        <f t="shared" si="306"/>
        <v>5</v>
      </c>
      <c r="I2669" s="54">
        <f t="shared" si="305"/>
        <v>22</v>
      </c>
      <c r="J2669" s="14" t="str">
        <f t="shared" si="307"/>
        <v>MothersDay</v>
      </c>
      <c r="K2669" s="16" t="str">
        <f t="shared" si="308"/>
        <v>0-3</v>
      </c>
      <c r="L2669" s="14" t="str">
        <f t="shared" si="309"/>
        <v>Romper Longer | 0-3 | Cream</v>
      </c>
      <c r="M2669" s="16" t="s">
        <v>3609</v>
      </c>
    </row>
    <row r="2670" spans="1:13" ht="25" customHeight="1" x14ac:dyDescent="0.45">
      <c r="A2670" s="18">
        <v>46172</v>
      </c>
      <c r="B2670" s="19" t="s">
        <v>2789</v>
      </c>
      <c r="C2670" s="23" t="s">
        <v>9</v>
      </c>
      <c r="D2670" s="53" t="str">
        <f t="shared" si="311"/>
        <v>Cream</v>
      </c>
      <c r="E2670" s="21" t="s">
        <v>1828</v>
      </c>
      <c r="F2670" s="21" t="str">
        <f ca="1">IFERROR(__xludf.DUMMYFUNCTION("IFERROR(REGEXEXTRACT(O761, ""\n([A-Za-z ]+)$""), """")
"),"United States")</f>
        <v>United States</v>
      </c>
      <c r="G2670" s="4" t="str">
        <f t="shared" si="310"/>
        <v>Romper Longer</v>
      </c>
      <c r="H2670" s="38">
        <f t="shared" si="306"/>
        <v>5</v>
      </c>
      <c r="I2670" s="54">
        <f t="shared" ref="I2670:I2679" si="312">WEEKNUM(A2670)</f>
        <v>22</v>
      </c>
      <c r="J2670" s="14" t="str">
        <f t="shared" si="307"/>
        <v>MothersDay</v>
      </c>
      <c r="K2670" s="16" t="str">
        <f t="shared" si="308"/>
        <v>3-6</v>
      </c>
      <c r="L2670" s="14" t="str">
        <f t="shared" si="309"/>
        <v>Romper Longer | 3-6 | Cream</v>
      </c>
      <c r="M2670" s="16" t="s">
        <v>3609</v>
      </c>
    </row>
    <row r="2671" spans="1:13" ht="25" customHeight="1" x14ac:dyDescent="0.45">
      <c r="A2671" s="18">
        <v>46173</v>
      </c>
      <c r="B2671" s="19" t="s">
        <v>2790</v>
      </c>
      <c r="C2671" s="23" t="s">
        <v>9</v>
      </c>
      <c r="D2671" s="53" t="str">
        <f t="shared" si="311"/>
        <v>Cream</v>
      </c>
      <c r="E2671" s="21" t="s">
        <v>1831</v>
      </c>
      <c r="F2671" s="21" t="str">
        <f ca="1">IFERROR(__xludf.DUMMYFUNCTION("IFERROR(REGEXEXTRACT(O761, ""\n([A-Za-z ]+)$""), """")
"),"United States")</f>
        <v>United States</v>
      </c>
      <c r="G2671" s="4" t="str">
        <f t="shared" si="310"/>
        <v>Romper Longer</v>
      </c>
      <c r="H2671" s="38">
        <f t="shared" si="306"/>
        <v>5</v>
      </c>
      <c r="I2671" s="54">
        <f t="shared" si="312"/>
        <v>23</v>
      </c>
      <c r="J2671" s="14" t="str">
        <f t="shared" si="307"/>
        <v>MothersDay</v>
      </c>
      <c r="K2671" s="16" t="str">
        <f t="shared" si="308"/>
        <v>0-3</v>
      </c>
      <c r="L2671" s="14" t="str">
        <f t="shared" si="309"/>
        <v>Romper Longer | 0-3 | Cream</v>
      </c>
      <c r="M2671" s="16" t="s">
        <v>3609</v>
      </c>
    </row>
    <row r="2672" spans="1:13" ht="25" customHeight="1" x14ac:dyDescent="0.45">
      <c r="A2672" s="18">
        <v>46174</v>
      </c>
      <c r="B2672" s="19" t="s">
        <v>2791</v>
      </c>
      <c r="C2672" s="23" t="s">
        <v>9</v>
      </c>
      <c r="D2672" s="53" t="str">
        <f t="shared" si="311"/>
        <v>Cream</v>
      </c>
      <c r="E2672" s="21" t="s">
        <v>1834</v>
      </c>
      <c r="F2672" s="21" t="str">
        <f ca="1">IFERROR(__xludf.DUMMYFUNCTION("IFERROR(REGEXEXTRACT(O761, ""\n([A-Za-z ]+)$""), """")
"),"United States")</f>
        <v>United States</v>
      </c>
      <c r="G2672" s="4" t="str">
        <f t="shared" si="310"/>
        <v>Romper Short</v>
      </c>
      <c r="H2672" s="38">
        <f t="shared" si="306"/>
        <v>6</v>
      </c>
      <c r="I2672" s="54">
        <f t="shared" si="312"/>
        <v>23</v>
      </c>
      <c r="J2672" s="14" t="str">
        <f t="shared" si="307"/>
        <v>FathersDay</v>
      </c>
      <c r="K2672" s="16" t="str">
        <f t="shared" si="308"/>
        <v>0-3</v>
      </c>
      <c r="L2672" s="14" t="str">
        <f t="shared" si="309"/>
        <v>Romper Short | 0-3 | Cream</v>
      </c>
      <c r="M2672" s="16" t="s">
        <v>3609</v>
      </c>
    </row>
    <row r="2673" spans="1:13" ht="25" customHeight="1" x14ac:dyDescent="0.45">
      <c r="A2673" s="18">
        <v>46296</v>
      </c>
      <c r="B2673" s="19" t="s">
        <v>2792</v>
      </c>
      <c r="C2673" s="23" t="s">
        <v>81</v>
      </c>
      <c r="D2673" s="53" t="str">
        <f t="shared" si="311"/>
        <v>Dusty Pink</v>
      </c>
      <c r="E2673" s="21" t="s">
        <v>1828</v>
      </c>
      <c r="F2673" s="21" t="str">
        <f ca="1">IFERROR(__xludf.DUMMYFUNCTION("IFERROR(REGEXEXTRACT(O761, ""\n([A-Za-z ]+)$""), """")
"),"United States")</f>
        <v>United States</v>
      </c>
      <c r="G2673" s="4" t="str">
        <f t="shared" si="310"/>
        <v>Romper Longer</v>
      </c>
      <c r="H2673" s="38">
        <f t="shared" si="306"/>
        <v>10</v>
      </c>
      <c r="I2673" s="54">
        <f t="shared" si="312"/>
        <v>40</v>
      </c>
      <c r="J2673" s="14" t="str">
        <f t="shared" si="307"/>
        <v>Halloween</v>
      </c>
      <c r="K2673" s="16" t="str">
        <f t="shared" si="308"/>
        <v>3-6</v>
      </c>
      <c r="L2673" s="14" t="str">
        <f t="shared" si="309"/>
        <v>Romper Longer | 3-6 | Dusty Pink</v>
      </c>
      <c r="M2673" s="16" t="s">
        <v>3610</v>
      </c>
    </row>
    <row r="2674" spans="1:13" ht="25" customHeight="1" x14ac:dyDescent="0.45">
      <c r="A2674" s="18">
        <v>46297</v>
      </c>
      <c r="B2674" s="19" t="s">
        <v>2793</v>
      </c>
      <c r="C2674" s="23" t="s">
        <v>110</v>
      </c>
      <c r="D2674" s="53" t="str">
        <f t="shared" si="311"/>
        <v>Sage Green</v>
      </c>
      <c r="E2674" s="21" t="s">
        <v>1831</v>
      </c>
      <c r="F2674" s="21" t="str">
        <f ca="1">IFERROR(__xludf.DUMMYFUNCTION("IFERROR(REGEXEXTRACT(O761, ""\n([A-Za-z ]+)$""), """")
"),"United States")</f>
        <v>United States</v>
      </c>
      <c r="G2674" s="4" t="str">
        <f t="shared" si="310"/>
        <v>Romper Longer</v>
      </c>
      <c r="H2674" s="38">
        <f t="shared" si="306"/>
        <v>10</v>
      </c>
      <c r="I2674" s="54">
        <f t="shared" si="312"/>
        <v>40</v>
      </c>
      <c r="J2674" s="14" t="str">
        <f t="shared" si="307"/>
        <v>Halloween</v>
      </c>
      <c r="K2674" s="16" t="str">
        <f t="shared" si="308"/>
        <v>0-3</v>
      </c>
      <c r="L2674" s="14" t="str">
        <f t="shared" si="309"/>
        <v>Romper Longer | 0-3 | Sage Green</v>
      </c>
      <c r="M2674" s="16" t="s">
        <v>3611</v>
      </c>
    </row>
    <row r="2675" spans="1:13" ht="25" customHeight="1" x14ac:dyDescent="0.45">
      <c r="A2675" s="18">
        <v>46298</v>
      </c>
      <c r="B2675" s="19" t="s">
        <v>2794</v>
      </c>
      <c r="C2675" s="23" t="s">
        <v>9</v>
      </c>
      <c r="D2675" s="53" t="str">
        <f t="shared" si="311"/>
        <v>Cream</v>
      </c>
      <c r="E2675" s="21" t="s">
        <v>1834</v>
      </c>
      <c r="F2675" s="21" t="str">
        <f ca="1">IFERROR(__xludf.DUMMYFUNCTION("IFERROR(REGEXEXTRACT(O761, ""\n([A-Za-z ]+)$""), """")
"),"United States")</f>
        <v>United States</v>
      </c>
      <c r="G2675" s="4" t="str">
        <f t="shared" si="310"/>
        <v>Romper Short</v>
      </c>
      <c r="H2675" s="38">
        <f t="shared" si="306"/>
        <v>10</v>
      </c>
      <c r="I2675" s="54">
        <f t="shared" si="312"/>
        <v>40</v>
      </c>
      <c r="J2675" s="14" t="str">
        <f t="shared" si="307"/>
        <v>Halloween</v>
      </c>
      <c r="K2675" s="16" t="str">
        <f t="shared" si="308"/>
        <v>0-3</v>
      </c>
      <c r="L2675" s="14" t="str">
        <f t="shared" si="309"/>
        <v>Romper Short | 0-3 | Cream</v>
      </c>
      <c r="M2675" s="16" t="s">
        <v>3609</v>
      </c>
    </row>
    <row r="2676" spans="1:13" ht="25" customHeight="1" x14ac:dyDescent="0.45">
      <c r="A2676" s="18">
        <v>46299</v>
      </c>
      <c r="B2676" s="19" t="s">
        <v>2795</v>
      </c>
      <c r="C2676" s="23" t="s">
        <v>9</v>
      </c>
      <c r="D2676" s="53" t="str">
        <f t="shared" si="311"/>
        <v>Cream</v>
      </c>
      <c r="E2676" s="21" t="s">
        <v>1834</v>
      </c>
      <c r="F2676" s="21" t="str">
        <f ca="1">IFERROR(__xludf.DUMMYFUNCTION("IFERROR(REGEXEXTRACT(O761, ""\n([A-Za-z ]+)$""), """")
"),"United States")</f>
        <v>United States</v>
      </c>
      <c r="G2676" s="4" t="str">
        <f t="shared" si="310"/>
        <v>Romper Short</v>
      </c>
      <c r="H2676" s="38">
        <f t="shared" si="306"/>
        <v>10</v>
      </c>
      <c r="I2676" s="54">
        <f t="shared" si="312"/>
        <v>41</v>
      </c>
      <c r="J2676" s="14" t="str">
        <f t="shared" si="307"/>
        <v>Halloween</v>
      </c>
      <c r="K2676" s="16" t="str">
        <f t="shared" si="308"/>
        <v>0-3</v>
      </c>
      <c r="L2676" s="14" t="str">
        <f t="shared" si="309"/>
        <v>Romper Short | 0-3 | Cream</v>
      </c>
      <c r="M2676" s="16" t="s">
        <v>3609</v>
      </c>
    </row>
    <row r="2677" spans="1:13" ht="25" customHeight="1" x14ac:dyDescent="0.45">
      <c r="A2677" s="18">
        <v>46300</v>
      </c>
      <c r="B2677" s="19" t="s">
        <v>2796</v>
      </c>
      <c r="C2677" s="23" t="s">
        <v>76</v>
      </c>
      <c r="D2677" s="53" t="str">
        <f t="shared" si="311"/>
        <v>Caldet Blue</v>
      </c>
      <c r="E2677" s="21" t="s">
        <v>1447</v>
      </c>
      <c r="F2677" s="21" t="str">
        <f ca="1">IFERROR(__xludf.DUMMYFUNCTION("IFERROR(REGEXEXTRACT(O761, ""\n([A-Za-z ]+)$""), """")
"),"United States")</f>
        <v>United States</v>
      </c>
      <c r="G2677" s="4" t="str">
        <f t="shared" si="310"/>
        <v>Romper Longer</v>
      </c>
      <c r="H2677" s="38">
        <f t="shared" si="306"/>
        <v>10</v>
      </c>
      <c r="I2677" s="54">
        <f t="shared" si="312"/>
        <v>41</v>
      </c>
      <c r="J2677" s="14" t="str">
        <f t="shared" si="307"/>
        <v>Halloween</v>
      </c>
      <c r="K2677" s="16" t="str">
        <f t="shared" si="308"/>
        <v>18-24</v>
      </c>
      <c r="L2677" s="14" t="str">
        <f t="shared" si="309"/>
        <v>Romper Longer | 18-24 | Caldet Blue</v>
      </c>
      <c r="M2677" s="16" t="s">
        <v>3610</v>
      </c>
    </row>
    <row r="2678" spans="1:13" ht="25" customHeight="1" x14ac:dyDescent="0.45">
      <c r="A2678" s="18">
        <v>46301</v>
      </c>
      <c r="B2678" s="19" t="s">
        <v>2797</v>
      </c>
      <c r="C2678" s="23" t="s">
        <v>9</v>
      </c>
      <c r="D2678" s="53" t="str">
        <f t="shared" si="311"/>
        <v>Cream</v>
      </c>
      <c r="E2678" s="21" t="s">
        <v>1420</v>
      </c>
      <c r="F2678" s="21" t="str">
        <f ca="1">IFERROR(__xludf.DUMMYFUNCTION("IFERROR(REGEXEXTRACT(O761, ""\n([A-Za-z ]+)$""), """")
"),"United States")</f>
        <v>United States</v>
      </c>
      <c r="G2678" s="4" t="str">
        <f t="shared" si="310"/>
        <v>Romper Short</v>
      </c>
      <c r="H2678" s="38">
        <f t="shared" si="306"/>
        <v>10</v>
      </c>
      <c r="I2678" s="54">
        <f t="shared" si="312"/>
        <v>41</v>
      </c>
      <c r="J2678" s="14" t="str">
        <f t="shared" si="307"/>
        <v>Halloween</v>
      </c>
      <c r="K2678" s="16" t="str">
        <f t="shared" si="308"/>
        <v>6-12</v>
      </c>
      <c r="L2678" s="14" t="str">
        <f t="shared" si="309"/>
        <v>Romper Short | 6-12 | Cream</v>
      </c>
      <c r="M2678" s="16" t="s">
        <v>3611</v>
      </c>
    </row>
    <row r="2679" spans="1:13" ht="25" customHeight="1" x14ac:dyDescent="0.45">
      <c r="A2679" s="18">
        <v>46302</v>
      </c>
      <c r="B2679" s="19" t="s">
        <v>2798</v>
      </c>
      <c r="C2679" s="23" t="s">
        <v>71</v>
      </c>
      <c r="D2679" s="53" t="str">
        <f t="shared" si="311"/>
        <v>Coffee</v>
      </c>
      <c r="E2679" s="21" t="s">
        <v>1831</v>
      </c>
      <c r="F2679" s="21" t="str">
        <f ca="1">IFERROR(__xludf.DUMMYFUNCTION("IFERROR(REGEXEXTRACT(O761, ""\n([A-Za-z ]+)$""), """")
"),"United States")</f>
        <v>United States</v>
      </c>
      <c r="G2679" s="4" t="str">
        <f t="shared" si="310"/>
        <v>Romper Longer</v>
      </c>
      <c r="H2679" s="38">
        <f t="shared" si="306"/>
        <v>10</v>
      </c>
      <c r="I2679" s="54">
        <f t="shared" si="312"/>
        <v>41</v>
      </c>
      <c r="J2679" s="14" t="str">
        <f t="shared" si="307"/>
        <v>Halloween</v>
      </c>
      <c r="K2679" s="16" t="str">
        <f t="shared" si="308"/>
        <v>0-3</v>
      </c>
      <c r="L2679" s="14" t="str">
        <f t="shared" si="309"/>
        <v>Romper Longer | 0-3 | Coffee</v>
      </c>
      <c r="M2679" s="16" t="s">
        <v>3610</v>
      </c>
    </row>
    <row r="2680" spans="1:13" ht="25" customHeight="1" x14ac:dyDescent="0.45">
      <c r="A2680" s="18">
        <v>46303</v>
      </c>
      <c r="B2680" s="19" t="s">
        <v>2799</v>
      </c>
      <c r="C2680" s="23" t="s">
        <v>76</v>
      </c>
      <c r="D2680" s="53" t="str">
        <f t="shared" si="311"/>
        <v>Caldet Blue</v>
      </c>
      <c r="E2680" s="21" t="s">
        <v>1420</v>
      </c>
      <c r="F2680" s="21" t="str">
        <f ca="1">IFERROR(__xludf.DUMMYFUNCTION("IFERROR(REGEXEXTRACT(O761, ""\n([A-Za-z ]+)$""), """")
"),"United States")</f>
        <v>United States</v>
      </c>
      <c r="G2680" s="4" t="str">
        <f t="shared" si="310"/>
        <v>Romper Short</v>
      </c>
      <c r="H2680" s="38">
        <f t="shared" ref="H2680:H2743" si="313">MONTH(A2680)</f>
        <v>10</v>
      </c>
      <c r="I2680" s="54">
        <f t="shared" ref="I2680:I2701" si="314">WEEKNUM(A2680)</f>
        <v>41</v>
      </c>
      <c r="J2680" s="14" t="str">
        <f t="shared" ref="J2680:J2743" si="315">IF(H2680=1,"NewYear",
IF(H2680=2,"Valentine",
IF(OR(H2680=3,H2680=4),"Easter",
IF(H2680=5,"MothersDay",
IF(H2680=6,"FathersDay",
IF(OR(H2680=7,H2680=8),"Summer",
IF(H2680=10,"Halloween",
IF(OR(H2680=11,H2680=12),"Christmas","Normal"))))))))</f>
        <v>Halloween</v>
      </c>
      <c r="K2680" s="16" t="str">
        <f t="shared" ref="K2680:K2743" si="316">TRIM(LEFT(E2680,FIND("(",E2680&amp;"(")-3))</f>
        <v>6-12</v>
      </c>
      <c r="L2680" s="14" t="str">
        <f t="shared" si="309"/>
        <v>Romper Short | 6-12 | Caldet Blue</v>
      </c>
      <c r="M2680" s="16" t="s">
        <v>3610</v>
      </c>
    </row>
    <row r="2681" spans="1:13" ht="25" customHeight="1" x14ac:dyDescent="0.45">
      <c r="A2681" s="18">
        <v>46304</v>
      </c>
      <c r="B2681" s="19" t="s">
        <v>2800</v>
      </c>
      <c r="C2681" s="23" t="s">
        <v>110</v>
      </c>
      <c r="D2681" s="53" t="str">
        <f t="shared" si="311"/>
        <v>Sage Green</v>
      </c>
      <c r="E2681" s="21" t="s">
        <v>1831</v>
      </c>
      <c r="F2681" s="21" t="str">
        <f ca="1">IFERROR(__xludf.DUMMYFUNCTION("IFERROR(REGEXEXTRACT(O761, ""\n([A-Za-z ]+)$""), """")
"),"United States")</f>
        <v>United States</v>
      </c>
      <c r="G2681" s="4" t="str">
        <f t="shared" si="310"/>
        <v>Romper Longer</v>
      </c>
      <c r="H2681" s="38">
        <f t="shared" si="313"/>
        <v>10</v>
      </c>
      <c r="I2681" s="54">
        <f t="shared" si="314"/>
        <v>41</v>
      </c>
      <c r="J2681" s="14" t="str">
        <f t="shared" si="315"/>
        <v>Halloween</v>
      </c>
      <c r="K2681" s="16" t="str">
        <f t="shared" si="316"/>
        <v>0-3</v>
      </c>
      <c r="L2681" s="14" t="str">
        <f t="shared" si="309"/>
        <v>Romper Longer | 0-3 | Sage Green</v>
      </c>
      <c r="M2681" s="16" t="s">
        <v>3611</v>
      </c>
    </row>
    <row r="2682" spans="1:13" ht="25" customHeight="1" x14ac:dyDescent="0.45">
      <c r="A2682" s="18">
        <v>46305</v>
      </c>
      <c r="B2682" s="19" t="s">
        <v>2801</v>
      </c>
      <c r="C2682" s="23" t="s">
        <v>110</v>
      </c>
      <c r="D2682" s="53" t="str">
        <f t="shared" si="311"/>
        <v>Sage Green</v>
      </c>
      <c r="E2682" s="21" t="s">
        <v>1550</v>
      </c>
      <c r="F2682" s="21" t="str">
        <f ca="1">IFERROR(__xludf.DUMMYFUNCTION("IFERROR(REGEXEXTRACT(O761, ""\n([A-Za-z ]+)$""), """")
"),"United States")</f>
        <v>United States</v>
      </c>
      <c r="G2682" s="4" t="str">
        <f t="shared" si="310"/>
        <v>Romper Longer</v>
      </c>
      <c r="H2682" s="38">
        <f t="shared" si="313"/>
        <v>10</v>
      </c>
      <c r="I2682" s="54">
        <f t="shared" si="314"/>
        <v>41</v>
      </c>
      <c r="J2682" s="14" t="str">
        <f t="shared" si="315"/>
        <v>Halloween</v>
      </c>
      <c r="K2682" s="16" t="str">
        <f t="shared" si="316"/>
        <v>12-18</v>
      </c>
      <c r="L2682" s="14" t="str">
        <f t="shared" si="309"/>
        <v>Romper Longer | 12-18 | Sage Green</v>
      </c>
      <c r="M2682" s="16" t="s">
        <v>3610</v>
      </c>
    </row>
    <row r="2683" spans="1:13" ht="25" customHeight="1" x14ac:dyDescent="0.45">
      <c r="A2683" s="18">
        <v>46306</v>
      </c>
      <c r="B2683" s="19" t="s">
        <v>2802</v>
      </c>
      <c r="C2683" s="23" t="s">
        <v>85</v>
      </c>
      <c r="D2683" s="53" t="str">
        <f t="shared" si="311"/>
        <v>Forest Green</v>
      </c>
      <c r="E2683" s="21" t="s">
        <v>1841</v>
      </c>
      <c r="F2683" s="21" t="str">
        <f ca="1">IFERROR(__xludf.DUMMYFUNCTION("IFERROR(REGEXEXTRACT(O761, ""\n([A-Za-z ]+)$""), """")
"),"United States")</f>
        <v>United States</v>
      </c>
      <c r="G2683" s="4" t="str">
        <f t="shared" si="310"/>
        <v>Romper Longer</v>
      </c>
      <c r="H2683" s="38">
        <f t="shared" si="313"/>
        <v>10</v>
      </c>
      <c r="I2683" s="54">
        <f t="shared" si="314"/>
        <v>42</v>
      </c>
      <c r="J2683" s="14" t="str">
        <f t="shared" si="315"/>
        <v>Halloween</v>
      </c>
      <c r="K2683" s="16" t="str">
        <f t="shared" si="316"/>
        <v>6-12</v>
      </c>
      <c r="L2683" s="14" t="str">
        <f t="shared" si="309"/>
        <v>Romper Longer | 6-12 | Forest Green</v>
      </c>
      <c r="M2683" s="16" t="s">
        <v>3610</v>
      </c>
    </row>
    <row r="2684" spans="1:13" ht="25" customHeight="1" x14ac:dyDescent="0.45">
      <c r="A2684" s="18">
        <v>46307</v>
      </c>
      <c r="B2684" s="19" t="s">
        <v>2803</v>
      </c>
      <c r="C2684" s="23" t="s">
        <v>74</v>
      </c>
      <c r="D2684" s="53" t="str">
        <f t="shared" si="311"/>
        <v>Watermelon</v>
      </c>
      <c r="E2684" s="21" t="s">
        <v>1828</v>
      </c>
      <c r="F2684" s="21" t="str">
        <f ca="1">IFERROR(__xludf.DUMMYFUNCTION("IFERROR(REGEXEXTRACT(O761, ""\n([A-Za-z ]+)$""), """")
"),"United States")</f>
        <v>United States</v>
      </c>
      <c r="G2684" s="4" t="str">
        <f t="shared" si="310"/>
        <v>Romper Longer</v>
      </c>
      <c r="H2684" s="38">
        <f t="shared" si="313"/>
        <v>10</v>
      </c>
      <c r="I2684" s="54">
        <f t="shared" si="314"/>
        <v>42</v>
      </c>
      <c r="J2684" s="14" t="str">
        <f t="shared" si="315"/>
        <v>Halloween</v>
      </c>
      <c r="K2684" s="16" t="str">
        <f t="shared" si="316"/>
        <v>3-6</v>
      </c>
      <c r="L2684" s="14" t="str">
        <f t="shared" si="309"/>
        <v>Romper Longer | 3-6 | Watermelon</v>
      </c>
      <c r="M2684" s="16" t="s">
        <v>3610</v>
      </c>
    </row>
    <row r="2685" spans="1:13" ht="25" customHeight="1" x14ac:dyDescent="0.45">
      <c r="A2685" s="18">
        <v>46308</v>
      </c>
      <c r="B2685" s="19" t="s">
        <v>2804</v>
      </c>
      <c r="C2685" s="23" t="s">
        <v>9</v>
      </c>
      <c r="D2685" s="53" t="str">
        <f t="shared" si="311"/>
        <v>Cream</v>
      </c>
      <c r="E2685" s="21" t="s">
        <v>1834</v>
      </c>
      <c r="F2685" s="21" t="str">
        <f ca="1">IFERROR(__xludf.DUMMYFUNCTION("IFERROR(REGEXEXTRACT(O761, ""\n([A-Za-z ]+)$""), """")
"),"United States")</f>
        <v>United States</v>
      </c>
      <c r="G2685" s="4" t="str">
        <f t="shared" si="310"/>
        <v>Romper Short</v>
      </c>
      <c r="H2685" s="38">
        <f t="shared" si="313"/>
        <v>10</v>
      </c>
      <c r="I2685" s="54">
        <f t="shared" si="314"/>
        <v>42</v>
      </c>
      <c r="J2685" s="14" t="str">
        <f t="shared" si="315"/>
        <v>Halloween</v>
      </c>
      <c r="K2685" s="16" t="str">
        <f t="shared" si="316"/>
        <v>0-3</v>
      </c>
      <c r="L2685" s="14" t="str">
        <f t="shared" si="309"/>
        <v>Romper Short | 0-3 | Cream</v>
      </c>
      <c r="M2685" s="16" t="s">
        <v>3609</v>
      </c>
    </row>
    <row r="2686" spans="1:13" ht="25" customHeight="1" x14ac:dyDescent="0.45">
      <c r="A2686" s="18">
        <v>46309</v>
      </c>
      <c r="B2686" s="19" t="s">
        <v>2805</v>
      </c>
      <c r="C2686" s="23" t="s">
        <v>9</v>
      </c>
      <c r="D2686" s="53" t="str">
        <f t="shared" si="311"/>
        <v>Cream</v>
      </c>
      <c r="E2686" s="21" t="s">
        <v>1447</v>
      </c>
      <c r="F2686" s="21" t="str">
        <f ca="1">IFERROR(__xludf.DUMMYFUNCTION("IFERROR(REGEXEXTRACT(O761, ""\n([A-Za-z ]+)$""), """")
"),"United States")</f>
        <v>United States</v>
      </c>
      <c r="G2686" s="4" t="str">
        <f t="shared" si="310"/>
        <v>Romper Longer</v>
      </c>
      <c r="H2686" s="38">
        <f t="shared" si="313"/>
        <v>10</v>
      </c>
      <c r="I2686" s="54">
        <f t="shared" si="314"/>
        <v>42</v>
      </c>
      <c r="J2686" s="14" t="str">
        <f t="shared" si="315"/>
        <v>Halloween</v>
      </c>
      <c r="K2686" s="16" t="str">
        <f t="shared" si="316"/>
        <v>18-24</v>
      </c>
      <c r="L2686" s="14" t="str">
        <f t="shared" si="309"/>
        <v>Romper Longer | 18-24 | Cream</v>
      </c>
      <c r="M2686" s="16" t="s">
        <v>3610</v>
      </c>
    </row>
    <row r="2687" spans="1:13" ht="25" customHeight="1" x14ac:dyDescent="0.45">
      <c r="A2687" s="18">
        <v>46310</v>
      </c>
      <c r="B2687" s="19" t="s">
        <v>2806</v>
      </c>
      <c r="C2687" s="23" t="s">
        <v>81</v>
      </c>
      <c r="D2687" s="53" t="str">
        <f t="shared" si="311"/>
        <v>Dusty Pink</v>
      </c>
      <c r="E2687" s="21" t="s">
        <v>1834</v>
      </c>
      <c r="F2687" s="21" t="str">
        <f ca="1">IFERROR(__xludf.DUMMYFUNCTION("IFERROR(REGEXEXTRACT(O761, ""\n([A-Za-z ]+)$""), """")
"),"United States")</f>
        <v>United States</v>
      </c>
      <c r="G2687" s="4" t="str">
        <f t="shared" si="310"/>
        <v>Romper Short</v>
      </c>
      <c r="H2687" s="38">
        <f t="shared" si="313"/>
        <v>10</v>
      </c>
      <c r="I2687" s="54">
        <f t="shared" si="314"/>
        <v>42</v>
      </c>
      <c r="J2687" s="14" t="str">
        <f t="shared" si="315"/>
        <v>Halloween</v>
      </c>
      <c r="K2687" s="16" t="str">
        <f t="shared" si="316"/>
        <v>0-3</v>
      </c>
      <c r="L2687" s="14" t="str">
        <f t="shared" si="309"/>
        <v>Romper Short | 0-3 | Dusty Pink</v>
      </c>
      <c r="M2687" s="16" t="s">
        <v>3610</v>
      </c>
    </row>
    <row r="2688" spans="1:13" ht="25" customHeight="1" x14ac:dyDescent="0.45">
      <c r="A2688" s="18">
        <v>46311</v>
      </c>
      <c r="B2688" s="19" t="s">
        <v>2807</v>
      </c>
      <c r="C2688" s="23" t="s">
        <v>9</v>
      </c>
      <c r="D2688" s="53" t="str">
        <f t="shared" si="311"/>
        <v>Cream</v>
      </c>
      <c r="E2688" s="21" t="s">
        <v>1831</v>
      </c>
      <c r="F2688" s="21" t="str">
        <f ca="1">IFERROR(__xludf.DUMMYFUNCTION("IFERROR(REGEXEXTRACT(O761, ""\n([A-Za-z ]+)$""), """")
"),"United States")</f>
        <v>United States</v>
      </c>
      <c r="G2688" s="4" t="str">
        <f t="shared" si="310"/>
        <v>Romper Longer</v>
      </c>
      <c r="H2688" s="38">
        <f t="shared" si="313"/>
        <v>10</v>
      </c>
      <c r="I2688" s="54">
        <f t="shared" si="314"/>
        <v>42</v>
      </c>
      <c r="J2688" s="14" t="str">
        <f t="shared" si="315"/>
        <v>Halloween</v>
      </c>
      <c r="K2688" s="16" t="str">
        <f t="shared" si="316"/>
        <v>0-3</v>
      </c>
      <c r="L2688" s="14" t="str">
        <f t="shared" si="309"/>
        <v>Romper Longer | 0-3 | Cream</v>
      </c>
      <c r="M2688" s="16" t="s">
        <v>3609</v>
      </c>
    </row>
    <row r="2689" spans="1:13" ht="25" customHeight="1" x14ac:dyDescent="0.45">
      <c r="A2689" s="18">
        <v>46312</v>
      </c>
      <c r="B2689" s="19" t="s">
        <v>2808</v>
      </c>
      <c r="C2689" s="23" t="s">
        <v>9</v>
      </c>
      <c r="D2689" s="53" t="str">
        <f t="shared" si="311"/>
        <v>Cream</v>
      </c>
      <c r="E2689" s="21" t="s">
        <v>1831</v>
      </c>
      <c r="F2689" s="21" t="str">
        <f ca="1">IFERROR(__xludf.DUMMYFUNCTION("IFERROR(REGEXEXTRACT(O761, ""\n([A-Za-z ]+)$""), """")
"),"United States")</f>
        <v>United States</v>
      </c>
      <c r="G2689" s="4" t="str">
        <f t="shared" si="310"/>
        <v>Romper Longer</v>
      </c>
      <c r="H2689" s="38">
        <f t="shared" si="313"/>
        <v>10</v>
      </c>
      <c r="I2689" s="54">
        <f t="shared" si="314"/>
        <v>42</v>
      </c>
      <c r="J2689" s="14" t="str">
        <f t="shared" si="315"/>
        <v>Halloween</v>
      </c>
      <c r="K2689" s="16" t="str">
        <f t="shared" si="316"/>
        <v>0-3</v>
      </c>
      <c r="L2689" s="14" t="str">
        <f t="shared" si="309"/>
        <v>Romper Longer | 0-3 | Cream</v>
      </c>
      <c r="M2689" s="16" t="s">
        <v>3609</v>
      </c>
    </row>
    <row r="2690" spans="1:13" ht="25" customHeight="1" x14ac:dyDescent="0.45">
      <c r="A2690" s="18">
        <v>46313</v>
      </c>
      <c r="B2690" s="19" t="s">
        <v>2809</v>
      </c>
      <c r="C2690" s="23" t="s">
        <v>9</v>
      </c>
      <c r="D2690" s="53" t="str">
        <f t="shared" si="311"/>
        <v>Cream</v>
      </c>
      <c r="E2690" s="21" t="s">
        <v>1420</v>
      </c>
      <c r="F2690" s="21" t="str">
        <f ca="1">IFERROR(__xludf.DUMMYFUNCTION("IFERROR(REGEXEXTRACT(O761, ""\n([A-Za-z ]+)$""), """")
"),"United States")</f>
        <v>United States</v>
      </c>
      <c r="G2690" s="4" t="str">
        <f t="shared" si="310"/>
        <v>Romper Short</v>
      </c>
      <c r="H2690" s="38">
        <f t="shared" si="313"/>
        <v>10</v>
      </c>
      <c r="I2690" s="54">
        <f t="shared" si="314"/>
        <v>43</v>
      </c>
      <c r="J2690" s="14" t="str">
        <f t="shared" si="315"/>
        <v>Halloween</v>
      </c>
      <c r="K2690" s="16" t="str">
        <f t="shared" si="316"/>
        <v>6-12</v>
      </c>
      <c r="L2690" s="14" t="str">
        <f t="shared" ref="L2690:L2753" si="317">TRIM(G2690)&amp;" | "&amp;TRIM(K2690)&amp;" | "&amp;PROPER(TRIM(D2690))</f>
        <v>Romper Short | 6-12 | Cream</v>
      </c>
      <c r="M2690" s="16" t="s">
        <v>3611</v>
      </c>
    </row>
    <row r="2691" spans="1:13" ht="25" customHeight="1" x14ac:dyDescent="0.45">
      <c r="A2691" s="18">
        <v>46314</v>
      </c>
      <c r="B2691" s="19" t="s">
        <v>2810</v>
      </c>
      <c r="C2691" s="23" t="s">
        <v>76</v>
      </c>
      <c r="D2691" s="53" t="str">
        <f t="shared" si="311"/>
        <v>Caldet Blue</v>
      </c>
      <c r="E2691" s="21" t="s">
        <v>1834</v>
      </c>
      <c r="F2691" s="21" t="str">
        <f ca="1">IFERROR(__xludf.DUMMYFUNCTION("IFERROR(REGEXEXTRACT(O761, ""\n([A-Za-z ]+)$""), """")
"),"United States")</f>
        <v>United States</v>
      </c>
      <c r="G2691" s="4" t="str">
        <f t="shared" si="310"/>
        <v>Romper Short</v>
      </c>
      <c r="H2691" s="38">
        <f t="shared" si="313"/>
        <v>10</v>
      </c>
      <c r="I2691" s="54">
        <f t="shared" si="314"/>
        <v>43</v>
      </c>
      <c r="J2691" s="14" t="str">
        <f t="shared" si="315"/>
        <v>Halloween</v>
      </c>
      <c r="K2691" s="16" t="str">
        <f t="shared" si="316"/>
        <v>0-3</v>
      </c>
      <c r="L2691" s="14" t="str">
        <f t="shared" si="317"/>
        <v>Romper Short | 0-3 | Caldet Blue</v>
      </c>
      <c r="M2691" s="16" t="s">
        <v>3610</v>
      </c>
    </row>
    <row r="2692" spans="1:13" ht="25" customHeight="1" x14ac:dyDescent="0.45">
      <c r="A2692" s="18">
        <v>46315</v>
      </c>
      <c r="B2692" s="19" t="s">
        <v>2811</v>
      </c>
      <c r="C2692" s="23" t="s">
        <v>110</v>
      </c>
      <c r="D2692" s="53" t="str">
        <f t="shared" si="311"/>
        <v>Sage Green</v>
      </c>
      <c r="E2692" s="21" t="s">
        <v>1831</v>
      </c>
      <c r="F2692" s="21" t="str">
        <f ca="1">IFERROR(__xludf.DUMMYFUNCTION("IFERROR(REGEXEXTRACT(O761, ""\n([A-Za-z ]+)$""), """")
"),"United States")</f>
        <v>United States</v>
      </c>
      <c r="G2692" s="4" t="str">
        <f t="shared" si="310"/>
        <v>Romper Longer</v>
      </c>
      <c r="H2692" s="38">
        <f t="shared" si="313"/>
        <v>10</v>
      </c>
      <c r="I2692" s="54">
        <f t="shared" si="314"/>
        <v>43</v>
      </c>
      <c r="J2692" s="14" t="str">
        <f t="shared" si="315"/>
        <v>Halloween</v>
      </c>
      <c r="K2692" s="16" t="str">
        <f t="shared" si="316"/>
        <v>0-3</v>
      </c>
      <c r="L2692" s="14" t="str">
        <f t="shared" si="317"/>
        <v>Romper Longer | 0-3 | Sage Green</v>
      </c>
      <c r="M2692" s="16" t="s">
        <v>3611</v>
      </c>
    </row>
    <row r="2693" spans="1:13" ht="25" customHeight="1" x14ac:dyDescent="0.45">
      <c r="A2693" s="18">
        <v>46316</v>
      </c>
      <c r="B2693" s="19" t="s">
        <v>2812</v>
      </c>
      <c r="C2693" s="23" t="s">
        <v>9</v>
      </c>
      <c r="D2693" s="53" t="str">
        <f t="shared" si="311"/>
        <v>Cream</v>
      </c>
      <c r="E2693" s="21" t="s">
        <v>1828</v>
      </c>
      <c r="F2693" s="21" t="str">
        <f ca="1">IFERROR(__xludf.DUMMYFUNCTION("IFERROR(REGEXEXTRACT(O761, ""\n([A-Za-z ]+)$""), """")
"),"United States")</f>
        <v>United States</v>
      </c>
      <c r="G2693" s="4" t="str">
        <f t="shared" si="310"/>
        <v>Romper Longer</v>
      </c>
      <c r="H2693" s="38">
        <f t="shared" si="313"/>
        <v>10</v>
      </c>
      <c r="I2693" s="54">
        <f t="shared" si="314"/>
        <v>43</v>
      </c>
      <c r="J2693" s="14" t="str">
        <f t="shared" si="315"/>
        <v>Halloween</v>
      </c>
      <c r="K2693" s="16" t="str">
        <f t="shared" si="316"/>
        <v>3-6</v>
      </c>
      <c r="L2693" s="14" t="str">
        <f t="shared" si="317"/>
        <v>Romper Longer | 3-6 | Cream</v>
      </c>
      <c r="M2693" s="16" t="s">
        <v>3609</v>
      </c>
    </row>
    <row r="2694" spans="1:13" ht="25" customHeight="1" x14ac:dyDescent="0.45">
      <c r="A2694" s="18">
        <v>46317</v>
      </c>
      <c r="B2694" s="19" t="s">
        <v>2813</v>
      </c>
      <c r="C2694" s="23" t="s">
        <v>9</v>
      </c>
      <c r="D2694" s="53" t="str">
        <f t="shared" si="311"/>
        <v>Cream</v>
      </c>
      <c r="E2694" s="21" t="s">
        <v>1834</v>
      </c>
      <c r="F2694" s="21" t="str">
        <f ca="1">IFERROR(__xludf.DUMMYFUNCTION("IFERROR(REGEXEXTRACT(O761, ""\n([A-Za-z ]+)$""), """")
"),"United States")</f>
        <v>United States</v>
      </c>
      <c r="G2694" s="4" t="str">
        <f t="shared" si="310"/>
        <v>Romper Short</v>
      </c>
      <c r="H2694" s="38">
        <f t="shared" si="313"/>
        <v>10</v>
      </c>
      <c r="I2694" s="54">
        <f t="shared" si="314"/>
        <v>43</v>
      </c>
      <c r="J2694" s="14" t="str">
        <f t="shared" si="315"/>
        <v>Halloween</v>
      </c>
      <c r="K2694" s="16" t="str">
        <f t="shared" si="316"/>
        <v>0-3</v>
      </c>
      <c r="L2694" s="14" t="str">
        <f t="shared" si="317"/>
        <v>Romper Short | 0-3 | Cream</v>
      </c>
      <c r="M2694" s="16" t="s">
        <v>3609</v>
      </c>
    </row>
    <row r="2695" spans="1:13" ht="25" customHeight="1" x14ac:dyDescent="0.45">
      <c r="A2695" s="18">
        <v>46318</v>
      </c>
      <c r="B2695" s="19" t="s">
        <v>2814</v>
      </c>
      <c r="C2695" s="23" t="s">
        <v>9</v>
      </c>
      <c r="D2695" s="53" t="str">
        <f t="shared" si="311"/>
        <v>Cream</v>
      </c>
      <c r="E2695" s="21" t="s">
        <v>1831</v>
      </c>
      <c r="F2695" s="21" t="str">
        <f ca="1">IFERROR(__xludf.DUMMYFUNCTION("IFERROR(REGEXEXTRACT(O761, ""\n([A-Za-z ]+)$""), """")
"),"United States")</f>
        <v>United States</v>
      </c>
      <c r="G2695" s="4" t="str">
        <f t="shared" si="310"/>
        <v>Romper Longer</v>
      </c>
      <c r="H2695" s="38">
        <f t="shared" si="313"/>
        <v>10</v>
      </c>
      <c r="I2695" s="54">
        <f t="shared" si="314"/>
        <v>43</v>
      </c>
      <c r="J2695" s="14" t="str">
        <f t="shared" si="315"/>
        <v>Halloween</v>
      </c>
      <c r="K2695" s="16" t="str">
        <f t="shared" si="316"/>
        <v>0-3</v>
      </c>
      <c r="L2695" s="14" t="str">
        <f t="shared" si="317"/>
        <v>Romper Longer | 0-3 | Cream</v>
      </c>
      <c r="M2695" s="16" t="s">
        <v>3609</v>
      </c>
    </row>
    <row r="2696" spans="1:13" ht="25" customHeight="1" x14ac:dyDescent="0.45">
      <c r="A2696" s="18">
        <v>46319</v>
      </c>
      <c r="B2696" s="19" t="s">
        <v>2815</v>
      </c>
      <c r="C2696" s="23" t="s">
        <v>81</v>
      </c>
      <c r="D2696" s="53" t="str">
        <f t="shared" si="311"/>
        <v>Dusty Pink</v>
      </c>
      <c r="E2696" s="21" t="s">
        <v>1841</v>
      </c>
      <c r="F2696" s="21" t="str">
        <f ca="1">IFERROR(__xludf.DUMMYFUNCTION("IFERROR(REGEXEXTRACT(O761, ""\n([A-Za-z ]+)$""), """")
"),"United States")</f>
        <v>United States</v>
      </c>
      <c r="G2696" s="4" t="str">
        <f t="shared" si="310"/>
        <v>Romper Longer</v>
      </c>
      <c r="H2696" s="38">
        <f t="shared" si="313"/>
        <v>10</v>
      </c>
      <c r="I2696" s="54">
        <f t="shared" si="314"/>
        <v>43</v>
      </c>
      <c r="J2696" s="14" t="str">
        <f t="shared" si="315"/>
        <v>Halloween</v>
      </c>
      <c r="K2696" s="16" t="str">
        <f t="shared" si="316"/>
        <v>6-12</v>
      </c>
      <c r="L2696" s="14" t="str">
        <f t="shared" si="317"/>
        <v>Romper Longer | 6-12 | Dusty Pink</v>
      </c>
      <c r="M2696" s="16" t="s">
        <v>3610</v>
      </c>
    </row>
    <row r="2697" spans="1:13" ht="25" customHeight="1" x14ac:dyDescent="0.45">
      <c r="A2697" s="18">
        <v>46320</v>
      </c>
      <c r="B2697" s="19" t="s">
        <v>2816</v>
      </c>
      <c r="C2697" s="23" t="s">
        <v>224</v>
      </c>
      <c r="D2697" s="53" t="str">
        <f t="shared" si="311"/>
        <v>Salmon</v>
      </c>
      <c r="E2697" s="21" t="s">
        <v>1420</v>
      </c>
      <c r="F2697" s="21" t="str">
        <f ca="1">IFERROR(__xludf.DUMMYFUNCTION("IFERROR(REGEXEXTRACT(O761, ""\n([A-Za-z ]+)$""), """")
"),"United States")</f>
        <v>United States</v>
      </c>
      <c r="G2697" s="4" t="str">
        <f t="shared" si="310"/>
        <v>Romper Short</v>
      </c>
      <c r="H2697" s="38">
        <f t="shared" si="313"/>
        <v>10</v>
      </c>
      <c r="I2697" s="54">
        <f t="shared" si="314"/>
        <v>44</v>
      </c>
      <c r="J2697" s="14" t="str">
        <f t="shared" si="315"/>
        <v>Halloween</v>
      </c>
      <c r="K2697" s="16" t="str">
        <f t="shared" si="316"/>
        <v>6-12</v>
      </c>
      <c r="L2697" s="14" t="str">
        <f t="shared" si="317"/>
        <v>Romper Short | 6-12 | Salmon</v>
      </c>
      <c r="M2697" s="16" t="s">
        <v>3610</v>
      </c>
    </row>
    <row r="2698" spans="1:13" ht="25" customHeight="1" x14ac:dyDescent="0.45">
      <c r="A2698" s="18">
        <v>46321</v>
      </c>
      <c r="B2698" s="19" t="s">
        <v>2817</v>
      </c>
      <c r="C2698" s="23" t="s">
        <v>110</v>
      </c>
      <c r="D2698" s="53" t="str">
        <f t="shared" si="311"/>
        <v>Sage Green</v>
      </c>
      <c r="E2698" s="21" t="s">
        <v>1849</v>
      </c>
      <c r="F2698" s="21" t="str">
        <f ca="1">IFERROR(__xludf.DUMMYFUNCTION("IFERROR(REGEXEXTRACT(O761, ""\n([A-Za-z ]+)$""), """")
"),"United States")</f>
        <v>United States</v>
      </c>
      <c r="G2698" s="4" t="str">
        <f t="shared" si="310"/>
        <v>Romper Short</v>
      </c>
      <c r="H2698" s="38">
        <f t="shared" si="313"/>
        <v>10</v>
      </c>
      <c r="I2698" s="54">
        <f t="shared" si="314"/>
        <v>44</v>
      </c>
      <c r="J2698" s="14" t="str">
        <f t="shared" si="315"/>
        <v>Halloween</v>
      </c>
      <c r="K2698" s="16" t="str">
        <f t="shared" si="316"/>
        <v>3-6</v>
      </c>
      <c r="L2698" s="14" t="str">
        <f t="shared" si="317"/>
        <v>Romper Short | 3-6 | Sage Green</v>
      </c>
      <c r="M2698" s="16" t="s">
        <v>3611</v>
      </c>
    </row>
    <row r="2699" spans="1:13" ht="25" customHeight="1" x14ac:dyDescent="0.45">
      <c r="A2699" s="18">
        <v>46322</v>
      </c>
      <c r="B2699" s="19" t="s">
        <v>2818</v>
      </c>
      <c r="C2699" s="23" t="s">
        <v>81</v>
      </c>
      <c r="D2699" s="53" t="str">
        <f t="shared" si="311"/>
        <v>Dusty Pink</v>
      </c>
      <c r="E2699" s="21" t="s">
        <v>1828</v>
      </c>
      <c r="F2699" s="21" t="str">
        <f ca="1">IFERROR(__xludf.DUMMYFUNCTION("IFERROR(REGEXEXTRACT(O761, ""\n([A-Za-z ]+)$""), """")
"),"United States")</f>
        <v>United States</v>
      </c>
      <c r="G2699" s="4" t="str">
        <f t="shared" si="310"/>
        <v>Romper Longer</v>
      </c>
      <c r="H2699" s="38">
        <f t="shared" si="313"/>
        <v>10</v>
      </c>
      <c r="I2699" s="54">
        <f t="shared" si="314"/>
        <v>44</v>
      </c>
      <c r="J2699" s="14" t="str">
        <f t="shared" si="315"/>
        <v>Halloween</v>
      </c>
      <c r="K2699" s="16" t="str">
        <f t="shared" si="316"/>
        <v>3-6</v>
      </c>
      <c r="L2699" s="14" t="str">
        <f t="shared" si="317"/>
        <v>Romper Longer | 3-6 | Dusty Pink</v>
      </c>
      <c r="M2699" s="16" t="s">
        <v>3610</v>
      </c>
    </row>
    <row r="2700" spans="1:13" ht="25" customHeight="1" x14ac:dyDescent="0.45">
      <c r="A2700" s="18">
        <v>46323</v>
      </c>
      <c r="B2700" s="19" t="s">
        <v>2819</v>
      </c>
      <c r="C2700" s="23" t="s">
        <v>110</v>
      </c>
      <c r="D2700" s="53" t="str">
        <f t="shared" si="311"/>
        <v>Sage Green</v>
      </c>
      <c r="E2700" s="21" t="s">
        <v>1420</v>
      </c>
      <c r="F2700" s="21" t="str">
        <f ca="1">IFERROR(__xludf.DUMMYFUNCTION("IFERROR(REGEXEXTRACT(O761, ""\n([A-Za-z ]+)$""), """")
"),"United States")</f>
        <v>United States</v>
      </c>
      <c r="G2700" s="4" t="str">
        <f t="shared" si="310"/>
        <v>Romper Short</v>
      </c>
      <c r="H2700" s="38">
        <f t="shared" si="313"/>
        <v>10</v>
      </c>
      <c r="I2700" s="54">
        <f t="shared" si="314"/>
        <v>44</v>
      </c>
      <c r="J2700" s="14" t="str">
        <f t="shared" si="315"/>
        <v>Halloween</v>
      </c>
      <c r="K2700" s="16" t="str">
        <f t="shared" si="316"/>
        <v>6-12</v>
      </c>
      <c r="L2700" s="14" t="str">
        <f t="shared" si="317"/>
        <v>Romper Short | 6-12 | Sage Green</v>
      </c>
      <c r="M2700" s="16" t="s">
        <v>3610</v>
      </c>
    </row>
    <row r="2701" spans="1:13" ht="25" customHeight="1" x14ac:dyDescent="0.45">
      <c r="A2701" s="18">
        <v>46324</v>
      </c>
      <c r="B2701" s="19" t="s">
        <v>2820</v>
      </c>
      <c r="C2701" s="23" t="s">
        <v>9</v>
      </c>
      <c r="D2701" s="53" t="str">
        <f t="shared" si="311"/>
        <v>Cream</v>
      </c>
      <c r="E2701" s="21" t="s">
        <v>1841</v>
      </c>
      <c r="F2701" s="21" t="str">
        <f ca="1">IFERROR(__xludf.DUMMYFUNCTION("IFERROR(REGEXEXTRACT(O761, ""\n([A-Za-z ]+)$""), """")
"),"United States")</f>
        <v>United States</v>
      </c>
      <c r="G2701" s="4" t="str">
        <f t="shared" si="310"/>
        <v>Romper Longer</v>
      </c>
      <c r="H2701" s="38">
        <f t="shared" si="313"/>
        <v>10</v>
      </c>
      <c r="I2701" s="54">
        <f t="shared" si="314"/>
        <v>44</v>
      </c>
      <c r="J2701" s="14" t="str">
        <f t="shared" si="315"/>
        <v>Halloween</v>
      </c>
      <c r="K2701" s="16" t="str">
        <f t="shared" si="316"/>
        <v>6-12</v>
      </c>
      <c r="L2701" s="14" t="str">
        <f t="shared" si="317"/>
        <v>Romper Longer | 6-12 | Cream</v>
      </c>
      <c r="M2701" s="16" t="s">
        <v>3611</v>
      </c>
    </row>
    <row r="2702" spans="1:13" ht="25" customHeight="1" x14ac:dyDescent="0.45">
      <c r="A2702" s="18">
        <v>46325</v>
      </c>
      <c r="B2702" s="19" t="s">
        <v>2821</v>
      </c>
      <c r="C2702" s="23" t="s">
        <v>110</v>
      </c>
      <c r="D2702" s="53" t="str">
        <f t="shared" si="311"/>
        <v>Sage Green</v>
      </c>
      <c r="E2702" s="21" t="s">
        <v>1841</v>
      </c>
      <c r="F2702" s="21" t="str">
        <f ca="1">IFERROR(__xludf.DUMMYFUNCTION("IFERROR(REGEXEXTRACT(O761, ""\n([A-Za-z ]+)$""), """")
"),"United States")</f>
        <v>United States</v>
      </c>
      <c r="G2702" s="4" t="str">
        <f t="shared" si="310"/>
        <v>Romper Longer</v>
      </c>
      <c r="H2702" s="38">
        <f t="shared" si="313"/>
        <v>10</v>
      </c>
      <c r="I2702" s="54">
        <f>WEEKNUM(A2702)</f>
        <v>44</v>
      </c>
      <c r="J2702" s="14" t="str">
        <f t="shared" si="315"/>
        <v>Halloween</v>
      </c>
      <c r="K2702" s="16" t="str">
        <f t="shared" si="316"/>
        <v>6-12</v>
      </c>
      <c r="L2702" s="14" t="str">
        <f t="shared" si="317"/>
        <v>Romper Longer | 6-12 | Sage Green</v>
      </c>
      <c r="M2702" s="16" t="s">
        <v>3610</v>
      </c>
    </row>
    <row r="2703" spans="1:13" ht="25" customHeight="1" x14ac:dyDescent="0.45">
      <c r="A2703" s="18">
        <v>46326</v>
      </c>
      <c r="B2703" s="19" t="s">
        <v>2822</v>
      </c>
      <c r="C2703" s="23" t="s">
        <v>110</v>
      </c>
      <c r="D2703" s="53" t="str">
        <f t="shared" si="311"/>
        <v>Sage Green</v>
      </c>
      <c r="E2703" s="21" t="s">
        <v>1849</v>
      </c>
      <c r="F2703" s="21" t="str">
        <f ca="1">IFERROR(__xludf.DUMMYFUNCTION("IFERROR(REGEXEXTRACT(O761, ""\n([A-Za-z ]+)$""), """")
"),"United States")</f>
        <v>United States</v>
      </c>
      <c r="G2703" s="4" t="str">
        <f t="shared" ref="G2703:G2766" si="318">IF(ISNUMBER(SEARCH("LONG",E2703)),"Romper Longer",IF(ISNUMBER(SEARCH("SHORT",E2703)),"Romper Short","Bodysuit"))</f>
        <v>Romper Short</v>
      </c>
      <c r="H2703" s="38">
        <f t="shared" si="313"/>
        <v>10</v>
      </c>
      <c r="I2703" s="54">
        <f>WEEKNUM(A2703)</f>
        <v>44</v>
      </c>
      <c r="J2703" s="14" t="str">
        <f t="shared" si="315"/>
        <v>Halloween</v>
      </c>
      <c r="K2703" s="16" t="str">
        <f t="shared" si="316"/>
        <v>3-6</v>
      </c>
      <c r="L2703" s="14" t="str">
        <f t="shared" si="317"/>
        <v>Romper Short | 3-6 | Sage Green</v>
      </c>
      <c r="M2703" s="16" t="s">
        <v>3611</v>
      </c>
    </row>
    <row r="2704" spans="1:13" ht="25" customHeight="1" x14ac:dyDescent="0.45">
      <c r="A2704" s="18">
        <v>46327</v>
      </c>
      <c r="B2704" s="19" t="s">
        <v>2823</v>
      </c>
      <c r="C2704" s="23" t="s">
        <v>85</v>
      </c>
      <c r="D2704" s="53" t="str">
        <f t="shared" si="311"/>
        <v>Forest Green</v>
      </c>
      <c r="E2704" s="21" t="s">
        <v>1834</v>
      </c>
      <c r="F2704" s="21" t="str">
        <f ca="1">IFERROR(__xludf.DUMMYFUNCTION("IFERROR(REGEXEXTRACT(O761, ""\n([A-Za-z ]+)$""), """")
"),"United States")</f>
        <v>United States</v>
      </c>
      <c r="G2704" s="4" t="str">
        <f t="shared" si="318"/>
        <v>Romper Short</v>
      </c>
      <c r="H2704" s="38">
        <f t="shared" si="313"/>
        <v>11</v>
      </c>
      <c r="I2704" s="54">
        <f>WEEKNUM(A2704)</f>
        <v>45</v>
      </c>
      <c r="J2704" s="14" t="str">
        <f t="shared" si="315"/>
        <v>Christmas</v>
      </c>
      <c r="K2704" s="16" t="str">
        <f t="shared" si="316"/>
        <v>0-3</v>
      </c>
      <c r="L2704" s="14" t="str">
        <f t="shared" si="317"/>
        <v>Romper Short | 0-3 | Forest Green</v>
      </c>
      <c r="M2704" s="16" t="s">
        <v>3610</v>
      </c>
    </row>
    <row r="2705" spans="1:13" ht="25" customHeight="1" x14ac:dyDescent="0.45">
      <c r="A2705" s="18">
        <v>46328</v>
      </c>
      <c r="B2705" s="19" t="s">
        <v>2824</v>
      </c>
      <c r="C2705" s="23" t="s">
        <v>76</v>
      </c>
      <c r="D2705" s="53" t="str">
        <f t="shared" si="311"/>
        <v>Caldet Blue</v>
      </c>
      <c r="E2705" s="21" t="s">
        <v>1550</v>
      </c>
      <c r="F2705" s="21" t="str">
        <f ca="1">IFERROR(__xludf.DUMMYFUNCTION("IFERROR(REGEXEXTRACT(O761, ""\n([A-Za-z ]+)$""), """")
"),"United States")</f>
        <v>United States</v>
      </c>
      <c r="G2705" s="4" t="str">
        <f t="shared" si="318"/>
        <v>Romper Longer</v>
      </c>
      <c r="H2705" s="38">
        <f t="shared" si="313"/>
        <v>11</v>
      </c>
      <c r="I2705" s="54">
        <f>WEEKNUM(A2705)</f>
        <v>45</v>
      </c>
      <c r="J2705" s="14" t="str">
        <f t="shared" si="315"/>
        <v>Christmas</v>
      </c>
      <c r="K2705" s="16" t="str">
        <f t="shared" si="316"/>
        <v>12-18</v>
      </c>
      <c r="L2705" s="14" t="str">
        <f t="shared" si="317"/>
        <v>Romper Longer | 12-18 | Caldet Blue</v>
      </c>
      <c r="M2705" s="16" t="s">
        <v>3610</v>
      </c>
    </row>
    <row r="2706" spans="1:13" ht="25" customHeight="1" x14ac:dyDescent="0.45">
      <c r="A2706" s="18">
        <v>46329</v>
      </c>
      <c r="B2706" s="19" t="s">
        <v>2825</v>
      </c>
      <c r="C2706" s="23" t="s">
        <v>85</v>
      </c>
      <c r="D2706" s="53" t="str">
        <f t="shared" si="311"/>
        <v>Forest Green</v>
      </c>
      <c r="E2706" s="21" t="s">
        <v>1841</v>
      </c>
      <c r="F2706" s="21" t="str">
        <f ca="1">IFERROR(__xludf.DUMMYFUNCTION("IFERROR(REGEXEXTRACT(O761, ""\n([A-Za-z ]+)$""), """")
"),"United States")</f>
        <v>United States</v>
      </c>
      <c r="G2706" s="4" t="str">
        <f t="shared" si="318"/>
        <v>Romper Longer</v>
      </c>
      <c r="H2706" s="38">
        <f t="shared" si="313"/>
        <v>11</v>
      </c>
      <c r="I2706" s="54">
        <f>WEEKNUM(A2706)</f>
        <v>45</v>
      </c>
      <c r="J2706" s="14" t="str">
        <f t="shared" si="315"/>
        <v>Christmas</v>
      </c>
      <c r="K2706" s="16" t="str">
        <f t="shared" si="316"/>
        <v>6-12</v>
      </c>
      <c r="L2706" s="14" t="str">
        <f t="shared" si="317"/>
        <v>Romper Longer | 6-12 | Forest Green</v>
      </c>
      <c r="M2706" s="16" t="s">
        <v>3610</v>
      </c>
    </row>
    <row r="2707" spans="1:13" ht="25" customHeight="1" x14ac:dyDescent="0.45">
      <c r="A2707" s="18">
        <v>46330</v>
      </c>
      <c r="B2707" s="19" t="s">
        <v>2826</v>
      </c>
      <c r="C2707" s="23" t="s">
        <v>9</v>
      </c>
      <c r="D2707" s="53" t="str">
        <f t="shared" ref="D2707:D2770" si="319">PROPER(C2707)</f>
        <v>Cream</v>
      </c>
      <c r="E2707" s="21" t="s">
        <v>1831</v>
      </c>
      <c r="F2707" s="21" t="str">
        <f ca="1">IFERROR(__xludf.DUMMYFUNCTION("IFERROR(REGEXEXTRACT(O761, ""\n([A-Za-z ]+)$""), """")
"),"United States")</f>
        <v>United States</v>
      </c>
      <c r="G2707" s="4" t="str">
        <f t="shared" si="318"/>
        <v>Romper Longer</v>
      </c>
      <c r="H2707" s="38">
        <f t="shared" si="313"/>
        <v>11</v>
      </c>
      <c r="I2707" s="54">
        <f t="shared" ref="I2707:I2721" si="320">WEEKNUM(A2707)</f>
        <v>45</v>
      </c>
      <c r="J2707" s="14" t="str">
        <f t="shared" si="315"/>
        <v>Christmas</v>
      </c>
      <c r="K2707" s="16" t="str">
        <f t="shared" si="316"/>
        <v>0-3</v>
      </c>
      <c r="L2707" s="14" t="str">
        <f t="shared" si="317"/>
        <v>Romper Longer | 0-3 | Cream</v>
      </c>
      <c r="M2707" s="16" t="s">
        <v>3609</v>
      </c>
    </row>
    <row r="2708" spans="1:13" ht="25" customHeight="1" x14ac:dyDescent="0.45">
      <c r="A2708" s="18">
        <v>46331</v>
      </c>
      <c r="B2708" s="19" t="s">
        <v>2827</v>
      </c>
      <c r="C2708" s="23" t="s">
        <v>9</v>
      </c>
      <c r="D2708" s="53" t="str">
        <f t="shared" si="319"/>
        <v>Cream</v>
      </c>
      <c r="E2708" s="21" t="s">
        <v>1849</v>
      </c>
      <c r="F2708" s="21" t="str">
        <f ca="1">IFERROR(__xludf.DUMMYFUNCTION("IFERROR(REGEXEXTRACT(O761, ""\n([A-Za-z ]+)$""), """")
"),"United States")</f>
        <v>United States</v>
      </c>
      <c r="G2708" s="4" t="str">
        <f t="shared" si="318"/>
        <v>Romper Short</v>
      </c>
      <c r="H2708" s="38">
        <f t="shared" si="313"/>
        <v>11</v>
      </c>
      <c r="I2708" s="54">
        <f t="shared" si="320"/>
        <v>45</v>
      </c>
      <c r="J2708" s="14" t="str">
        <f t="shared" si="315"/>
        <v>Christmas</v>
      </c>
      <c r="K2708" s="16" t="str">
        <f t="shared" si="316"/>
        <v>3-6</v>
      </c>
      <c r="L2708" s="14" t="str">
        <f t="shared" si="317"/>
        <v>Romper Short | 3-6 | Cream</v>
      </c>
      <c r="M2708" s="16" t="s">
        <v>3609</v>
      </c>
    </row>
    <row r="2709" spans="1:13" ht="25" customHeight="1" x14ac:dyDescent="0.45">
      <c r="A2709" s="18">
        <v>46332</v>
      </c>
      <c r="B2709" s="19" t="s">
        <v>2828</v>
      </c>
      <c r="C2709" s="23" t="s">
        <v>9</v>
      </c>
      <c r="D2709" s="53" t="str">
        <f t="shared" si="319"/>
        <v>Cream</v>
      </c>
      <c r="E2709" s="21" t="s">
        <v>1831</v>
      </c>
      <c r="F2709" s="21" t="str">
        <f ca="1">IFERROR(__xludf.DUMMYFUNCTION("IFERROR(REGEXEXTRACT(O761, ""\n([A-Za-z ]+)$""), """")
"),"United States")</f>
        <v>United States</v>
      </c>
      <c r="G2709" s="4" t="str">
        <f t="shared" si="318"/>
        <v>Romper Longer</v>
      </c>
      <c r="H2709" s="38">
        <f t="shared" si="313"/>
        <v>11</v>
      </c>
      <c r="I2709" s="54">
        <f t="shared" si="320"/>
        <v>45</v>
      </c>
      <c r="J2709" s="14" t="str">
        <f t="shared" si="315"/>
        <v>Christmas</v>
      </c>
      <c r="K2709" s="16" t="str">
        <f t="shared" si="316"/>
        <v>0-3</v>
      </c>
      <c r="L2709" s="14" t="str">
        <f t="shared" si="317"/>
        <v>Romper Longer | 0-3 | Cream</v>
      </c>
      <c r="M2709" s="16" t="s">
        <v>3609</v>
      </c>
    </row>
    <row r="2710" spans="1:13" ht="25" customHeight="1" x14ac:dyDescent="0.45">
      <c r="A2710" s="18">
        <v>46333</v>
      </c>
      <c r="B2710" s="19" t="s">
        <v>2829</v>
      </c>
      <c r="C2710" s="23" t="s">
        <v>9</v>
      </c>
      <c r="D2710" s="53" t="str">
        <f t="shared" si="319"/>
        <v>Cream</v>
      </c>
      <c r="E2710" s="21" t="s">
        <v>1841</v>
      </c>
      <c r="F2710" s="21" t="str">
        <f ca="1">IFERROR(__xludf.DUMMYFUNCTION("IFERROR(REGEXEXTRACT(O761, ""\n([A-Za-z ]+)$""), """")
"),"United States")</f>
        <v>United States</v>
      </c>
      <c r="G2710" s="4" t="str">
        <f t="shared" si="318"/>
        <v>Romper Longer</v>
      </c>
      <c r="H2710" s="38">
        <f t="shared" si="313"/>
        <v>11</v>
      </c>
      <c r="I2710" s="54">
        <f t="shared" si="320"/>
        <v>45</v>
      </c>
      <c r="J2710" s="14" t="str">
        <f t="shared" si="315"/>
        <v>Christmas</v>
      </c>
      <c r="K2710" s="16" t="str">
        <f t="shared" si="316"/>
        <v>6-12</v>
      </c>
      <c r="L2710" s="14" t="str">
        <f t="shared" si="317"/>
        <v>Romper Longer | 6-12 | Cream</v>
      </c>
      <c r="M2710" s="16" t="s">
        <v>3611</v>
      </c>
    </row>
    <row r="2711" spans="1:13" ht="25" customHeight="1" x14ac:dyDescent="0.45">
      <c r="A2711" s="18">
        <v>46334</v>
      </c>
      <c r="B2711" s="19" t="s">
        <v>2830</v>
      </c>
      <c r="C2711" s="23" t="s">
        <v>110</v>
      </c>
      <c r="D2711" s="53" t="str">
        <f t="shared" si="319"/>
        <v>Sage Green</v>
      </c>
      <c r="E2711" s="21" t="s">
        <v>1828</v>
      </c>
      <c r="F2711" s="21" t="str">
        <f ca="1">IFERROR(__xludf.DUMMYFUNCTION("IFERROR(REGEXEXTRACT(O761, ""\n([A-Za-z ]+)$""), """")
"),"United States")</f>
        <v>United States</v>
      </c>
      <c r="G2711" s="4" t="str">
        <f t="shared" si="318"/>
        <v>Romper Longer</v>
      </c>
      <c r="H2711" s="38">
        <f t="shared" si="313"/>
        <v>11</v>
      </c>
      <c r="I2711" s="54">
        <f t="shared" si="320"/>
        <v>46</v>
      </c>
      <c r="J2711" s="14" t="str">
        <f t="shared" si="315"/>
        <v>Christmas</v>
      </c>
      <c r="K2711" s="16" t="str">
        <f t="shared" si="316"/>
        <v>3-6</v>
      </c>
      <c r="L2711" s="14" t="str">
        <f t="shared" si="317"/>
        <v>Romper Longer | 3-6 | Sage Green</v>
      </c>
      <c r="M2711" s="16" t="s">
        <v>3611</v>
      </c>
    </row>
    <row r="2712" spans="1:13" ht="25" customHeight="1" x14ac:dyDescent="0.45">
      <c r="A2712" s="18">
        <v>46335</v>
      </c>
      <c r="B2712" s="19" t="s">
        <v>2831</v>
      </c>
      <c r="C2712" s="23" t="s">
        <v>9</v>
      </c>
      <c r="D2712" s="53" t="str">
        <f t="shared" si="319"/>
        <v>Cream</v>
      </c>
      <c r="E2712" s="21" t="s">
        <v>1834</v>
      </c>
      <c r="F2712" s="21" t="str">
        <f ca="1">IFERROR(__xludf.DUMMYFUNCTION("IFERROR(REGEXEXTRACT(O761, ""\n([A-Za-z ]+)$""), """")
"),"United States")</f>
        <v>United States</v>
      </c>
      <c r="G2712" s="4" t="str">
        <f t="shared" si="318"/>
        <v>Romper Short</v>
      </c>
      <c r="H2712" s="38">
        <f t="shared" si="313"/>
        <v>11</v>
      </c>
      <c r="I2712" s="54">
        <f t="shared" si="320"/>
        <v>46</v>
      </c>
      <c r="J2712" s="14" t="str">
        <f t="shared" si="315"/>
        <v>Christmas</v>
      </c>
      <c r="K2712" s="16" t="str">
        <f t="shared" si="316"/>
        <v>0-3</v>
      </c>
      <c r="L2712" s="14" t="str">
        <f t="shared" si="317"/>
        <v>Romper Short | 0-3 | Cream</v>
      </c>
      <c r="M2712" s="16" t="s">
        <v>3609</v>
      </c>
    </row>
    <row r="2713" spans="1:13" ht="25" customHeight="1" x14ac:dyDescent="0.45">
      <c r="A2713" s="18">
        <v>46336</v>
      </c>
      <c r="B2713" s="19" t="s">
        <v>2832</v>
      </c>
      <c r="C2713" s="23" t="s">
        <v>9</v>
      </c>
      <c r="D2713" s="53" t="str">
        <f t="shared" si="319"/>
        <v>Cream</v>
      </c>
      <c r="E2713" s="21" t="s">
        <v>1550</v>
      </c>
      <c r="F2713" s="21" t="str">
        <f ca="1">IFERROR(__xludf.DUMMYFUNCTION("IFERROR(REGEXEXTRACT(O761, ""\n([A-Za-z ]+)$""), """")
"),"United States")</f>
        <v>United States</v>
      </c>
      <c r="G2713" s="4" t="str">
        <f t="shared" si="318"/>
        <v>Romper Longer</v>
      </c>
      <c r="H2713" s="38">
        <f t="shared" si="313"/>
        <v>11</v>
      </c>
      <c r="I2713" s="54">
        <f t="shared" si="320"/>
        <v>46</v>
      </c>
      <c r="J2713" s="14" t="str">
        <f t="shared" si="315"/>
        <v>Christmas</v>
      </c>
      <c r="K2713" s="16" t="str">
        <f t="shared" si="316"/>
        <v>12-18</v>
      </c>
      <c r="L2713" s="14" t="str">
        <f t="shared" si="317"/>
        <v>Romper Longer | 12-18 | Cream</v>
      </c>
      <c r="M2713" s="16" t="s">
        <v>3610</v>
      </c>
    </row>
    <row r="2714" spans="1:13" ht="25" customHeight="1" x14ac:dyDescent="0.45">
      <c r="A2714" s="18">
        <v>46337</v>
      </c>
      <c r="B2714" s="19" t="s">
        <v>2833</v>
      </c>
      <c r="C2714" s="23" t="s">
        <v>110</v>
      </c>
      <c r="D2714" s="53" t="str">
        <f t="shared" si="319"/>
        <v>Sage Green</v>
      </c>
      <c r="E2714" s="21" t="s">
        <v>1834</v>
      </c>
      <c r="F2714" s="21" t="str">
        <f ca="1">IFERROR(__xludf.DUMMYFUNCTION("IFERROR(REGEXEXTRACT(O761, ""\n([A-Za-z ]+)$""), """")
"),"United States")</f>
        <v>United States</v>
      </c>
      <c r="G2714" s="4" t="str">
        <f t="shared" si="318"/>
        <v>Romper Short</v>
      </c>
      <c r="H2714" s="38">
        <f t="shared" si="313"/>
        <v>11</v>
      </c>
      <c r="I2714" s="54">
        <f t="shared" si="320"/>
        <v>46</v>
      </c>
      <c r="J2714" s="14" t="str">
        <f t="shared" si="315"/>
        <v>Christmas</v>
      </c>
      <c r="K2714" s="16" t="str">
        <f t="shared" si="316"/>
        <v>0-3</v>
      </c>
      <c r="L2714" s="14" t="str">
        <f t="shared" si="317"/>
        <v>Romper Short | 0-3 | Sage Green</v>
      </c>
      <c r="M2714" s="16" t="s">
        <v>3610</v>
      </c>
    </row>
    <row r="2715" spans="1:13" ht="25" customHeight="1" x14ac:dyDescent="0.45">
      <c r="A2715" s="18">
        <v>46338</v>
      </c>
      <c r="B2715" s="19" t="s">
        <v>2834</v>
      </c>
      <c r="C2715" s="23" t="s">
        <v>9</v>
      </c>
      <c r="D2715" s="53" t="str">
        <f t="shared" si="319"/>
        <v>Cream</v>
      </c>
      <c r="E2715" s="21" t="s">
        <v>1834</v>
      </c>
      <c r="F2715" s="21" t="str">
        <f ca="1">IFERROR(__xludf.DUMMYFUNCTION("IFERROR(REGEXEXTRACT(O761, ""\n([A-Za-z ]+)$""), """")
"),"United States")</f>
        <v>United States</v>
      </c>
      <c r="G2715" s="4" t="str">
        <f t="shared" si="318"/>
        <v>Romper Short</v>
      </c>
      <c r="H2715" s="38">
        <f t="shared" si="313"/>
        <v>11</v>
      </c>
      <c r="I2715" s="54">
        <f t="shared" si="320"/>
        <v>46</v>
      </c>
      <c r="J2715" s="14" t="str">
        <f t="shared" si="315"/>
        <v>Christmas</v>
      </c>
      <c r="K2715" s="16" t="str">
        <f t="shared" si="316"/>
        <v>0-3</v>
      </c>
      <c r="L2715" s="14" t="str">
        <f t="shared" si="317"/>
        <v>Romper Short | 0-3 | Cream</v>
      </c>
      <c r="M2715" s="16" t="s">
        <v>3609</v>
      </c>
    </row>
    <row r="2716" spans="1:13" ht="25" customHeight="1" x14ac:dyDescent="0.45">
      <c r="A2716" s="18">
        <v>46339</v>
      </c>
      <c r="B2716" s="19" t="s">
        <v>2835</v>
      </c>
      <c r="C2716" s="23" t="s">
        <v>9</v>
      </c>
      <c r="D2716" s="53" t="str">
        <f t="shared" si="319"/>
        <v>Cream</v>
      </c>
      <c r="E2716" s="21" t="s">
        <v>1831</v>
      </c>
      <c r="F2716" s="21" t="str">
        <f ca="1">IFERROR(__xludf.DUMMYFUNCTION("IFERROR(REGEXEXTRACT(O761, ""\n([A-Za-z ]+)$""), """")
"),"United States")</f>
        <v>United States</v>
      </c>
      <c r="G2716" s="4" t="str">
        <f t="shared" si="318"/>
        <v>Romper Longer</v>
      </c>
      <c r="H2716" s="38">
        <f t="shared" si="313"/>
        <v>11</v>
      </c>
      <c r="I2716" s="54">
        <f t="shared" si="320"/>
        <v>46</v>
      </c>
      <c r="J2716" s="14" t="str">
        <f t="shared" si="315"/>
        <v>Christmas</v>
      </c>
      <c r="K2716" s="16" t="str">
        <f t="shared" si="316"/>
        <v>0-3</v>
      </c>
      <c r="L2716" s="14" t="str">
        <f t="shared" si="317"/>
        <v>Romper Longer | 0-3 | Cream</v>
      </c>
      <c r="M2716" s="16" t="s">
        <v>3609</v>
      </c>
    </row>
    <row r="2717" spans="1:13" ht="25" customHeight="1" x14ac:dyDescent="0.45">
      <c r="A2717" s="18">
        <v>46340</v>
      </c>
      <c r="B2717" s="19" t="s">
        <v>2836</v>
      </c>
      <c r="C2717" s="23" t="s">
        <v>79</v>
      </c>
      <c r="D2717" s="53" t="str">
        <f t="shared" si="319"/>
        <v>White</v>
      </c>
      <c r="E2717" s="21" t="s">
        <v>1834</v>
      </c>
      <c r="F2717" s="21" t="str">
        <f ca="1">IFERROR(__xludf.DUMMYFUNCTION("IFERROR(REGEXEXTRACT(O761, ""\n([A-Za-z ]+)$""), """")
"),"United States")</f>
        <v>United States</v>
      </c>
      <c r="G2717" s="4" t="str">
        <f t="shared" si="318"/>
        <v>Romper Short</v>
      </c>
      <c r="H2717" s="38">
        <f t="shared" si="313"/>
        <v>11</v>
      </c>
      <c r="I2717" s="54">
        <f t="shared" si="320"/>
        <v>46</v>
      </c>
      <c r="J2717" s="14" t="str">
        <f t="shared" si="315"/>
        <v>Christmas</v>
      </c>
      <c r="K2717" s="16" t="str">
        <f t="shared" si="316"/>
        <v>0-3</v>
      </c>
      <c r="L2717" s="14" t="str">
        <f t="shared" si="317"/>
        <v>Romper Short | 0-3 | White</v>
      </c>
      <c r="M2717" s="16" t="s">
        <v>3610</v>
      </c>
    </row>
    <row r="2718" spans="1:13" ht="25" customHeight="1" x14ac:dyDescent="0.45">
      <c r="A2718" s="18">
        <v>46341</v>
      </c>
      <c r="B2718" s="19" t="s">
        <v>2837</v>
      </c>
      <c r="C2718" s="23" t="s">
        <v>81</v>
      </c>
      <c r="D2718" s="53" t="str">
        <f t="shared" si="319"/>
        <v>Dusty Pink</v>
      </c>
      <c r="E2718" s="21" t="s">
        <v>1841</v>
      </c>
      <c r="F2718" s="21" t="str">
        <f ca="1">IFERROR(__xludf.DUMMYFUNCTION("IFERROR(REGEXEXTRACT(O761, ""\n([A-Za-z ]+)$""), """")
"),"United States")</f>
        <v>United States</v>
      </c>
      <c r="G2718" s="4" t="str">
        <f t="shared" si="318"/>
        <v>Romper Longer</v>
      </c>
      <c r="H2718" s="38">
        <f t="shared" si="313"/>
        <v>11</v>
      </c>
      <c r="I2718" s="54">
        <f t="shared" si="320"/>
        <v>47</v>
      </c>
      <c r="J2718" s="14" t="str">
        <f t="shared" si="315"/>
        <v>Christmas</v>
      </c>
      <c r="K2718" s="16" t="str">
        <f t="shared" si="316"/>
        <v>6-12</v>
      </c>
      <c r="L2718" s="14" t="str">
        <f t="shared" si="317"/>
        <v>Romper Longer | 6-12 | Dusty Pink</v>
      </c>
      <c r="M2718" s="16" t="s">
        <v>3610</v>
      </c>
    </row>
    <row r="2719" spans="1:13" ht="25" customHeight="1" x14ac:dyDescent="0.45">
      <c r="A2719" s="18">
        <v>46342</v>
      </c>
      <c r="B2719" s="19" t="s">
        <v>2592</v>
      </c>
      <c r="C2719" s="23" t="s">
        <v>76</v>
      </c>
      <c r="D2719" s="53" t="str">
        <f t="shared" si="319"/>
        <v>Caldet Blue</v>
      </c>
      <c r="E2719" s="21" t="s">
        <v>1831</v>
      </c>
      <c r="F2719" s="21" t="str">
        <f ca="1">IFERROR(__xludf.DUMMYFUNCTION("IFERROR(REGEXEXTRACT(O761, ""\n([A-Za-z ]+)$""), """")
"),"United States")</f>
        <v>United States</v>
      </c>
      <c r="G2719" s="4" t="str">
        <f t="shared" si="318"/>
        <v>Romper Longer</v>
      </c>
      <c r="H2719" s="38">
        <f t="shared" si="313"/>
        <v>11</v>
      </c>
      <c r="I2719" s="54">
        <f t="shared" si="320"/>
        <v>47</v>
      </c>
      <c r="J2719" s="14" t="str">
        <f t="shared" si="315"/>
        <v>Christmas</v>
      </c>
      <c r="K2719" s="16" t="str">
        <f t="shared" si="316"/>
        <v>0-3</v>
      </c>
      <c r="L2719" s="14" t="str">
        <f t="shared" si="317"/>
        <v>Romper Longer | 0-3 | Caldet Blue</v>
      </c>
      <c r="M2719" s="16" t="s">
        <v>3610</v>
      </c>
    </row>
    <row r="2720" spans="1:13" ht="25" customHeight="1" x14ac:dyDescent="0.45">
      <c r="A2720" s="18">
        <v>46343</v>
      </c>
      <c r="B2720" s="19" t="s">
        <v>2838</v>
      </c>
      <c r="C2720" s="23" t="s">
        <v>9</v>
      </c>
      <c r="D2720" s="53" t="str">
        <f t="shared" si="319"/>
        <v>Cream</v>
      </c>
      <c r="E2720" s="21" t="s">
        <v>1831</v>
      </c>
      <c r="F2720" s="21" t="str">
        <f ca="1">IFERROR(__xludf.DUMMYFUNCTION("IFERROR(REGEXEXTRACT(O761, ""\n([A-Za-z ]+)$""), """")
"),"United States")</f>
        <v>United States</v>
      </c>
      <c r="G2720" s="4" t="str">
        <f t="shared" si="318"/>
        <v>Romper Longer</v>
      </c>
      <c r="H2720" s="38">
        <f t="shared" si="313"/>
        <v>11</v>
      </c>
      <c r="I2720" s="54">
        <f t="shared" si="320"/>
        <v>47</v>
      </c>
      <c r="J2720" s="14" t="str">
        <f t="shared" si="315"/>
        <v>Christmas</v>
      </c>
      <c r="K2720" s="16" t="str">
        <f t="shared" si="316"/>
        <v>0-3</v>
      </c>
      <c r="L2720" s="14" t="str">
        <f t="shared" si="317"/>
        <v>Romper Longer | 0-3 | Cream</v>
      </c>
      <c r="M2720" s="16" t="s">
        <v>3609</v>
      </c>
    </row>
    <row r="2721" spans="1:13" ht="25" customHeight="1" x14ac:dyDescent="0.45">
      <c r="A2721" s="18">
        <v>46344</v>
      </c>
      <c r="B2721" s="19" t="s">
        <v>2839</v>
      </c>
      <c r="C2721" s="23" t="s">
        <v>9</v>
      </c>
      <c r="D2721" s="53" t="str">
        <f t="shared" si="319"/>
        <v>Cream</v>
      </c>
      <c r="E2721" s="21" t="s">
        <v>1849</v>
      </c>
      <c r="F2721" s="21" t="str">
        <f ca="1">IFERROR(__xludf.DUMMYFUNCTION("IFERROR(REGEXEXTRACT(O761, ""\n([A-Za-z ]+)$""), """")
"),"United States")</f>
        <v>United States</v>
      </c>
      <c r="G2721" s="4" t="str">
        <f t="shared" si="318"/>
        <v>Romper Short</v>
      </c>
      <c r="H2721" s="38">
        <f t="shared" si="313"/>
        <v>11</v>
      </c>
      <c r="I2721" s="54">
        <f t="shared" si="320"/>
        <v>47</v>
      </c>
      <c r="J2721" s="14" t="str">
        <f t="shared" si="315"/>
        <v>Christmas</v>
      </c>
      <c r="K2721" s="16" t="str">
        <f t="shared" si="316"/>
        <v>3-6</v>
      </c>
      <c r="L2721" s="14" t="str">
        <f t="shared" si="317"/>
        <v>Romper Short | 3-6 | Cream</v>
      </c>
      <c r="M2721" s="16" t="s">
        <v>3609</v>
      </c>
    </row>
    <row r="2722" spans="1:13" ht="25" customHeight="1" x14ac:dyDescent="0.45">
      <c r="A2722" s="18">
        <v>46345</v>
      </c>
      <c r="B2722" s="19" t="s">
        <v>2840</v>
      </c>
      <c r="C2722" s="23" t="s">
        <v>9</v>
      </c>
      <c r="D2722" s="53" t="str">
        <f t="shared" si="319"/>
        <v>Cream</v>
      </c>
      <c r="E2722" s="21" t="s">
        <v>1420</v>
      </c>
      <c r="F2722" s="21" t="str">
        <f ca="1">IFERROR(__xludf.DUMMYFUNCTION("IFERROR(REGEXEXTRACT(O761, ""\n([A-Za-z ]+)$""), """")
"),"United States")</f>
        <v>United States</v>
      </c>
      <c r="G2722" s="4" t="str">
        <f t="shared" si="318"/>
        <v>Romper Short</v>
      </c>
      <c r="H2722" s="38">
        <f t="shared" si="313"/>
        <v>11</v>
      </c>
      <c r="I2722" s="54">
        <f>WEEKNUM(A2722)</f>
        <v>47</v>
      </c>
      <c r="J2722" s="14" t="str">
        <f t="shared" si="315"/>
        <v>Christmas</v>
      </c>
      <c r="K2722" s="16" t="str">
        <f t="shared" si="316"/>
        <v>6-12</v>
      </c>
      <c r="L2722" s="14" t="str">
        <f t="shared" si="317"/>
        <v>Romper Short | 6-12 | Cream</v>
      </c>
      <c r="M2722" s="16" t="s">
        <v>3611</v>
      </c>
    </row>
    <row r="2723" spans="1:13" ht="25" customHeight="1" x14ac:dyDescent="0.45">
      <c r="A2723" s="18">
        <v>46346</v>
      </c>
      <c r="B2723" s="19" t="s">
        <v>2841</v>
      </c>
      <c r="C2723" s="23" t="s">
        <v>9</v>
      </c>
      <c r="D2723" s="53" t="str">
        <f t="shared" si="319"/>
        <v>Cream</v>
      </c>
      <c r="E2723" s="21" t="s">
        <v>1849</v>
      </c>
      <c r="F2723" s="21" t="str">
        <f ca="1">IFERROR(__xludf.DUMMYFUNCTION("IFERROR(REGEXEXTRACT(O761, ""\n([A-Za-z ]+)$""), """")
"),"United States")</f>
        <v>United States</v>
      </c>
      <c r="G2723" s="4" t="str">
        <f t="shared" si="318"/>
        <v>Romper Short</v>
      </c>
      <c r="H2723" s="38">
        <f t="shared" si="313"/>
        <v>11</v>
      </c>
      <c r="I2723" s="54">
        <f>WEEKNUM(A2723)</f>
        <v>47</v>
      </c>
      <c r="J2723" s="14" t="str">
        <f t="shared" si="315"/>
        <v>Christmas</v>
      </c>
      <c r="K2723" s="16" t="str">
        <f t="shared" si="316"/>
        <v>3-6</v>
      </c>
      <c r="L2723" s="14" t="str">
        <f t="shared" si="317"/>
        <v>Romper Short | 3-6 | Cream</v>
      </c>
      <c r="M2723" s="16" t="s">
        <v>3609</v>
      </c>
    </row>
    <row r="2724" spans="1:13" ht="25" customHeight="1" x14ac:dyDescent="0.45">
      <c r="A2724" s="18">
        <v>46347</v>
      </c>
      <c r="B2724" s="19" t="s">
        <v>2842</v>
      </c>
      <c r="C2724" s="23" t="s">
        <v>110</v>
      </c>
      <c r="D2724" s="53" t="str">
        <f t="shared" si="319"/>
        <v>Sage Green</v>
      </c>
      <c r="E2724" s="21" t="s">
        <v>1831</v>
      </c>
      <c r="F2724" s="21" t="str">
        <f ca="1">IFERROR(__xludf.DUMMYFUNCTION("IFERROR(REGEXEXTRACT(O761, ""\n([A-Za-z ]+)$""), """")
"),"United States")</f>
        <v>United States</v>
      </c>
      <c r="G2724" s="4" t="str">
        <f t="shared" si="318"/>
        <v>Romper Longer</v>
      </c>
      <c r="H2724" s="38">
        <f t="shared" si="313"/>
        <v>11</v>
      </c>
      <c r="I2724" s="54">
        <f>WEEKNUM(A2724)</f>
        <v>47</v>
      </c>
      <c r="J2724" s="14" t="str">
        <f t="shared" si="315"/>
        <v>Christmas</v>
      </c>
      <c r="K2724" s="16" t="str">
        <f t="shared" si="316"/>
        <v>0-3</v>
      </c>
      <c r="L2724" s="14" t="str">
        <f t="shared" si="317"/>
        <v>Romper Longer | 0-3 | Sage Green</v>
      </c>
      <c r="M2724" s="16" t="s">
        <v>3611</v>
      </c>
    </row>
    <row r="2725" spans="1:13" ht="25" customHeight="1" x14ac:dyDescent="0.45">
      <c r="A2725" s="18">
        <v>46348</v>
      </c>
      <c r="B2725" s="19" t="s">
        <v>2843</v>
      </c>
      <c r="C2725" s="23" t="s">
        <v>9</v>
      </c>
      <c r="D2725" s="53" t="str">
        <f t="shared" si="319"/>
        <v>Cream</v>
      </c>
      <c r="E2725" s="21" t="s">
        <v>1838</v>
      </c>
      <c r="F2725" s="21" t="str">
        <f ca="1">IFERROR(__xludf.DUMMYFUNCTION("IFERROR(REGEXEXTRACT(O761, ""\n([A-Za-z ]+)$""), """")
"),"United States")</f>
        <v>United States</v>
      </c>
      <c r="G2725" s="4" t="str">
        <f t="shared" si="318"/>
        <v>Romper Short</v>
      </c>
      <c r="H2725" s="38">
        <f t="shared" si="313"/>
        <v>11</v>
      </c>
      <c r="I2725" s="54">
        <f>WEEKNUM(A2725)</f>
        <v>48</v>
      </c>
      <c r="J2725" s="14" t="str">
        <f t="shared" si="315"/>
        <v>Christmas</v>
      </c>
      <c r="K2725" s="16" t="str">
        <f t="shared" si="316"/>
        <v>12-18</v>
      </c>
      <c r="L2725" s="14" t="str">
        <f t="shared" si="317"/>
        <v>Romper Short | 12-18 | Cream</v>
      </c>
      <c r="M2725" s="16" t="s">
        <v>3610</v>
      </c>
    </row>
    <row r="2726" spans="1:13" ht="25" customHeight="1" x14ac:dyDescent="0.45">
      <c r="A2726" s="18">
        <v>46349</v>
      </c>
      <c r="B2726" s="19" t="s">
        <v>2844</v>
      </c>
      <c r="C2726" s="23" t="s">
        <v>110</v>
      </c>
      <c r="D2726" s="53" t="str">
        <f t="shared" si="319"/>
        <v>Sage Green</v>
      </c>
      <c r="E2726" s="21" t="s">
        <v>1841</v>
      </c>
      <c r="F2726" s="21" t="str">
        <f ca="1">IFERROR(__xludf.DUMMYFUNCTION("IFERROR(REGEXEXTRACT(O761, ""\n([A-Za-z ]+)$""), """")
"),"United States")</f>
        <v>United States</v>
      </c>
      <c r="G2726" s="4" t="str">
        <f t="shared" si="318"/>
        <v>Romper Longer</v>
      </c>
      <c r="H2726" s="38">
        <f t="shared" si="313"/>
        <v>11</v>
      </c>
      <c r="I2726" s="54">
        <f>WEEKNUM(A2726)</f>
        <v>48</v>
      </c>
      <c r="J2726" s="14" t="str">
        <f t="shared" si="315"/>
        <v>Christmas</v>
      </c>
      <c r="K2726" s="16" t="str">
        <f t="shared" si="316"/>
        <v>6-12</v>
      </c>
      <c r="L2726" s="14" t="str">
        <f t="shared" si="317"/>
        <v>Romper Longer | 6-12 | Sage Green</v>
      </c>
      <c r="M2726" s="16" t="s">
        <v>3610</v>
      </c>
    </row>
    <row r="2727" spans="1:13" ht="25" customHeight="1" x14ac:dyDescent="0.45">
      <c r="A2727" s="18">
        <v>46350</v>
      </c>
      <c r="B2727" s="19" t="s">
        <v>2845</v>
      </c>
      <c r="C2727" s="23" t="s">
        <v>81</v>
      </c>
      <c r="D2727" s="53" t="str">
        <f t="shared" si="319"/>
        <v>Dusty Pink</v>
      </c>
      <c r="E2727" s="21" t="s">
        <v>1420</v>
      </c>
      <c r="F2727" s="21" t="str">
        <f ca="1">IFERROR(__xludf.DUMMYFUNCTION("IFERROR(REGEXEXTRACT(O761, ""\n([A-Za-z ]+)$""), """")
"),"United States")</f>
        <v>United States</v>
      </c>
      <c r="G2727" s="4" t="str">
        <f t="shared" si="318"/>
        <v>Romper Short</v>
      </c>
      <c r="H2727" s="38">
        <f t="shared" si="313"/>
        <v>11</v>
      </c>
      <c r="I2727" s="54">
        <f t="shared" ref="I2727:I2748" si="321">WEEKNUM(A2727)</f>
        <v>48</v>
      </c>
      <c r="J2727" s="14" t="str">
        <f t="shared" si="315"/>
        <v>Christmas</v>
      </c>
      <c r="K2727" s="16" t="str">
        <f t="shared" si="316"/>
        <v>6-12</v>
      </c>
      <c r="L2727" s="14" t="str">
        <f t="shared" si="317"/>
        <v>Romper Short | 6-12 | Dusty Pink</v>
      </c>
      <c r="M2727" s="16" t="s">
        <v>3610</v>
      </c>
    </row>
    <row r="2728" spans="1:13" ht="25" customHeight="1" x14ac:dyDescent="0.45">
      <c r="A2728" s="18">
        <v>46351</v>
      </c>
      <c r="B2728" s="19" t="s">
        <v>2846</v>
      </c>
      <c r="C2728" s="23" t="s">
        <v>9</v>
      </c>
      <c r="D2728" s="53" t="str">
        <f t="shared" si="319"/>
        <v>Cream</v>
      </c>
      <c r="E2728" s="21" t="s">
        <v>1849</v>
      </c>
      <c r="F2728" s="21" t="str">
        <f ca="1">IFERROR(__xludf.DUMMYFUNCTION("IFERROR(REGEXEXTRACT(O761, ""\n([A-Za-z ]+)$""), """")
"),"United States")</f>
        <v>United States</v>
      </c>
      <c r="G2728" s="4" t="str">
        <f t="shared" si="318"/>
        <v>Romper Short</v>
      </c>
      <c r="H2728" s="38">
        <f t="shared" si="313"/>
        <v>11</v>
      </c>
      <c r="I2728" s="54">
        <f t="shared" si="321"/>
        <v>48</v>
      </c>
      <c r="J2728" s="14" t="str">
        <f t="shared" si="315"/>
        <v>Christmas</v>
      </c>
      <c r="K2728" s="16" t="str">
        <f t="shared" si="316"/>
        <v>3-6</v>
      </c>
      <c r="L2728" s="14" t="str">
        <f t="shared" si="317"/>
        <v>Romper Short | 3-6 | Cream</v>
      </c>
      <c r="M2728" s="16" t="s">
        <v>3609</v>
      </c>
    </row>
    <row r="2729" spans="1:13" ht="25" customHeight="1" x14ac:dyDescent="0.45">
      <c r="A2729" s="18">
        <v>46352</v>
      </c>
      <c r="B2729" s="19" t="s">
        <v>2847</v>
      </c>
      <c r="C2729" s="23" t="s">
        <v>9</v>
      </c>
      <c r="D2729" s="53" t="str">
        <f t="shared" si="319"/>
        <v>Cream</v>
      </c>
      <c r="E2729" s="21" t="s">
        <v>1849</v>
      </c>
      <c r="F2729" s="21" t="str">
        <f ca="1">IFERROR(__xludf.DUMMYFUNCTION("IFERROR(REGEXEXTRACT(O761, ""\n([A-Za-z ]+)$""), """")
"),"United States")</f>
        <v>United States</v>
      </c>
      <c r="G2729" s="4" t="str">
        <f t="shared" si="318"/>
        <v>Romper Short</v>
      </c>
      <c r="H2729" s="38">
        <f t="shared" si="313"/>
        <v>11</v>
      </c>
      <c r="I2729" s="54">
        <f t="shared" si="321"/>
        <v>48</v>
      </c>
      <c r="J2729" s="14" t="str">
        <f t="shared" si="315"/>
        <v>Christmas</v>
      </c>
      <c r="K2729" s="16" t="str">
        <f t="shared" si="316"/>
        <v>3-6</v>
      </c>
      <c r="L2729" s="14" t="str">
        <f t="shared" si="317"/>
        <v>Romper Short | 3-6 | Cream</v>
      </c>
      <c r="M2729" s="16" t="s">
        <v>3609</v>
      </c>
    </row>
    <row r="2730" spans="1:13" ht="25" customHeight="1" x14ac:dyDescent="0.45">
      <c r="A2730" s="18">
        <v>46353</v>
      </c>
      <c r="B2730" s="19" t="s">
        <v>2848</v>
      </c>
      <c r="C2730" s="23" t="s">
        <v>9</v>
      </c>
      <c r="D2730" s="53" t="str">
        <f t="shared" si="319"/>
        <v>Cream</v>
      </c>
      <c r="E2730" s="21" t="s">
        <v>1841</v>
      </c>
      <c r="F2730" s="21" t="str">
        <f ca="1">IFERROR(__xludf.DUMMYFUNCTION("IFERROR(REGEXEXTRACT(O761, ""\n([A-Za-z ]+)$""), """")
"),"United States")</f>
        <v>United States</v>
      </c>
      <c r="G2730" s="4" t="str">
        <f t="shared" si="318"/>
        <v>Romper Longer</v>
      </c>
      <c r="H2730" s="38">
        <f t="shared" si="313"/>
        <v>11</v>
      </c>
      <c r="I2730" s="54">
        <f t="shared" si="321"/>
        <v>48</v>
      </c>
      <c r="J2730" s="14" t="str">
        <f t="shared" si="315"/>
        <v>Christmas</v>
      </c>
      <c r="K2730" s="16" t="str">
        <f t="shared" si="316"/>
        <v>6-12</v>
      </c>
      <c r="L2730" s="14" t="str">
        <f t="shared" si="317"/>
        <v>Romper Longer | 6-12 | Cream</v>
      </c>
      <c r="M2730" s="16" t="s">
        <v>3611</v>
      </c>
    </row>
    <row r="2731" spans="1:13" ht="25" customHeight="1" x14ac:dyDescent="0.45">
      <c r="A2731" s="18">
        <v>46354</v>
      </c>
      <c r="B2731" s="19" t="s">
        <v>2849</v>
      </c>
      <c r="C2731" s="23" t="s">
        <v>76</v>
      </c>
      <c r="D2731" s="53" t="str">
        <f t="shared" si="319"/>
        <v>Caldet Blue</v>
      </c>
      <c r="E2731" s="21" t="s">
        <v>1841</v>
      </c>
      <c r="F2731" s="21" t="str">
        <f ca="1">IFERROR(__xludf.DUMMYFUNCTION("IFERROR(REGEXEXTRACT(O761, ""\n([A-Za-z ]+)$""), """")
"),"United States")</f>
        <v>United States</v>
      </c>
      <c r="G2731" s="4" t="str">
        <f t="shared" si="318"/>
        <v>Romper Longer</v>
      </c>
      <c r="H2731" s="38">
        <f t="shared" si="313"/>
        <v>11</v>
      </c>
      <c r="I2731" s="54">
        <f t="shared" si="321"/>
        <v>48</v>
      </c>
      <c r="J2731" s="14" t="str">
        <f t="shared" si="315"/>
        <v>Christmas</v>
      </c>
      <c r="K2731" s="16" t="str">
        <f t="shared" si="316"/>
        <v>6-12</v>
      </c>
      <c r="L2731" s="14" t="str">
        <f t="shared" si="317"/>
        <v>Romper Longer | 6-12 | Caldet Blue</v>
      </c>
      <c r="M2731" s="16" t="s">
        <v>3610</v>
      </c>
    </row>
    <row r="2732" spans="1:13" ht="25" customHeight="1" x14ac:dyDescent="0.45">
      <c r="A2732" s="18">
        <v>46355</v>
      </c>
      <c r="B2732" s="19" t="s">
        <v>2850</v>
      </c>
      <c r="C2732" s="23" t="s">
        <v>9</v>
      </c>
      <c r="D2732" s="53" t="str">
        <f t="shared" si="319"/>
        <v>Cream</v>
      </c>
      <c r="E2732" s="21" t="s">
        <v>1849</v>
      </c>
      <c r="F2732" s="21" t="str">
        <f ca="1">IFERROR(__xludf.DUMMYFUNCTION("IFERROR(REGEXEXTRACT(O761, ""\n([A-Za-z ]+)$""), """")
"),"United States")</f>
        <v>United States</v>
      </c>
      <c r="G2732" s="4" t="str">
        <f t="shared" si="318"/>
        <v>Romper Short</v>
      </c>
      <c r="H2732" s="38">
        <f t="shared" si="313"/>
        <v>11</v>
      </c>
      <c r="I2732" s="54">
        <f t="shared" si="321"/>
        <v>49</v>
      </c>
      <c r="J2732" s="14" t="str">
        <f t="shared" si="315"/>
        <v>Christmas</v>
      </c>
      <c r="K2732" s="16" t="str">
        <f t="shared" si="316"/>
        <v>3-6</v>
      </c>
      <c r="L2732" s="14" t="str">
        <f t="shared" si="317"/>
        <v>Romper Short | 3-6 | Cream</v>
      </c>
      <c r="M2732" s="16" t="s">
        <v>3609</v>
      </c>
    </row>
    <row r="2733" spans="1:13" ht="25" customHeight="1" x14ac:dyDescent="0.45">
      <c r="A2733" s="18">
        <v>46356</v>
      </c>
      <c r="B2733" s="19" t="s">
        <v>2851</v>
      </c>
      <c r="C2733" s="23" t="s">
        <v>76</v>
      </c>
      <c r="D2733" s="53" t="str">
        <f t="shared" si="319"/>
        <v>Caldet Blue</v>
      </c>
      <c r="E2733" s="21" t="s">
        <v>1841</v>
      </c>
      <c r="F2733" s="21" t="str">
        <f ca="1">IFERROR(__xludf.DUMMYFUNCTION("IFERROR(REGEXEXTRACT(O761, ""\n([A-Za-z ]+)$""), """")
"),"United States")</f>
        <v>United States</v>
      </c>
      <c r="G2733" s="4" t="str">
        <f t="shared" si="318"/>
        <v>Romper Longer</v>
      </c>
      <c r="H2733" s="38">
        <f t="shared" si="313"/>
        <v>11</v>
      </c>
      <c r="I2733" s="54">
        <f t="shared" si="321"/>
        <v>49</v>
      </c>
      <c r="J2733" s="14" t="str">
        <f t="shared" si="315"/>
        <v>Christmas</v>
      </c>
      <c r="K2733" s="16" t="str">
        <f t="shared" si="316"/>
        <v>6-12</v>
      </c>
      <c r="L2733" s="14" t="str">
        <f t="shared" si="317"/>
        <v>Romper Longer | 6-12 | Caldet Blue</v>
      </c>
      <c r="M2733" s="16" t="s">
        <v>3610</v>
      </c>
    </row>
    <row r="2734" spans="1:13" ht="25" customHeight="1" x14ac:dyDescent="0.45">
      <c r="A2734" s="18">
        <v>46357</v>
      </c>
      <c r="B2734" s="19" t="s">
        <v>2852</v>
      </c>
      <c r="C2734" s="23" t="s">
        <v>85</v>
      </c>
      <c r="D2734" s="53" t="str">
        <f t="shared" si="319"/>
        <v>Forest Green</v>
      </c>
      <c r="E2734" s="21" t="s">
        <v>1838</v>
      </c>
      <c r="F2734" s="21" t="str">
        <f ca="1">IFERROR(__xludf.DUMMYFUNCTION("IFERROR(REGEXEXTRACT(O761, ""\n([A-Za-z ]+)$""), """")
"),"United States")</f>
        <v>United States</v>
      </c>
      <c r="G2734" s="4" t="str">
        <f t="shared" si="318"/>
        <v>Romper Short</v>
      </c>
      <c r="H2734" s="38">
        <f t="shared" si="313"/>
        <v>12</v>
      </c>
      <c r="I2734" s="54">
        <f t="shared" si="321"/>
        <v>49</v>
      </c>
      <c r="J2734" s="14" t="str">
        <f t="shared" si="315"/>
        <v>Christmas</v>
      </c>
      <c r="K2734" s="16" t="str">
        <f t="shared" si="316"/>
        <v>12-18</v>
      </c>
      <c r="L2734" s="14" t="str">
        <f t="shared" si="317"/>
        <v>Romper Short | 12-18 | Forest Green</v>
      </c>
      <c r="M2734" s="16" t="s">
        <v>3610</v>
      </c>
    </row>
    <row r="2735" spans="1:13" ht="25" customHeight="1" x14ac:dyDescent="0.45">
      <c r="A2735" s="18">
        <v>46358</v>
      </c>
      <c r="B2735" s="19" t="s">
        <v>2853</v>
      </c>
      <c r="C2735" s="23" t="s">
        <v>85</v>
      </c>
      <c r="D2735" s="53" t="str">
        <f t="shared" si="319"/>
        <v>Forest Green</v>
      </c>
      <c r="E2735" s="21" t="s">
        <v>1550</v>
      </c>
      <c r="F2735" s="21" t="str">
        <f ca="1">IFERROR(__xludf.DUMMYFUNCTION("IFERROR(REGEXEXTRACT(O761, ""\n([A-Za-z ]+)$""), """")
"),"United States")</f>
        <v>United States</v>
      </c>
      <c r="G2735" s="4" t="str">
        <f t="shared" si="318"/>
        <v>Romper Longer</v>
      </c>
      <c r="H2735" s="38">
        <f t="shared" si="313"/>
        <v>12</v>
      </c>
      <c r="I2735" s="54">
        <f t="shared" si="321"/>
        <v>49</v>
      </c>
      <c r="J2735" s="14" t="str">
        <f t="shared" si="315"/>
        <v>Christmas</v>
      </c>
      <c r="K2735" s="16" t="str">
        <f t="shared" si="316"/>
        <v>12-18</v>
      </c>
      <c r="L2735" s="14" t="str">
        <f t="shared" si="317"/>
        <v>Romper Longer | 12-18 | Forest Green</v>
      </c>
      <c r="M2735" s="16" t="s">
        <v>3610</v>
      </c>
    </row>
    <row r="2736" spans="1:13" ht="25" customHeight="1" x14ac:dyDescent="0.45">
      <c r="A2736" s="18">
        <v>46359</v>
      </c>
      <c r="B2736" s="19" t="s">
        <v>2854</v>
      </c>
      <c r="C2736" s="23" t="s">
        <v>9</v>
      </c>
      <c r="D2736" s="53" t="str">
        <f t="shared" si="319"/>
        <v>Cream</v>
      </c>
      <c r="E2736" s="21" t="s">
        <v>1834</v>
      </c>
      <c r="F2736" s="21" t="str">
        <f ca="1">IFERROR(__xludf.DUMMYFUNCTION("IFERROR(REGEXEXTRACT(O761, ""\n([A-Za-z ]+)$""), """")
"),"United States")</f>
        <v>United States</v>
      </c>
      <c r="G2736" s="4" t="str">
        <f t="shared" si="318"/>
        <v>Romper Short</v>
      </c>
      <c r="H2736" s="38">
        <f t="shared" si="313"/>
        <v>12</v>
      </c>
      <c r="I2736" s="54">
        <f t="shared" si="321"/>
        <v>49</v>
      </c>
      <c r="J2736" s="14" t="str">
        <f t="shared" si="315"/>
        <v>Christmas</v>
      </c>
      <c r="K2736" s="16" t="str">
        <f t="shared" si="316"/>
        <v>0-3</v>
      </c>
      <c r="L2736" s="14" t="str">
        <f t="shared" si="317"/>
        <v>Romper Short | 0-3 | Cream</v>
      </c>
      <c r="M2736" s="16" t="s">
        <v>3609</v>
      </c>
    </row>
    <row r="2737" spans="1:13" ht="25" customHeight="1" x14ac:dyDescent="0.45">
      <c r="A2737" s="18">
        <v>46360</v>
      </c>
      <c r="B2737" s="19" t="s">
        <v>2855</v>
      </c>
      <c r="C2737" s="23" t="s">
        <v>76</v>
      </c>
      <c r="D2737" s="53" t="str">
        <f t="shared" si="319"/>
        <v>Caldet Blue</v>
      </c>
      <c r="E2737" s="21" t="s">
        <v>1834</v>
      </c>
      <c r="F2737" s="21" t="str">
        <f ca="1">IFERROR(__xludf.DUMMYFUNCTION("IFERROR(REGEXEXTRACT(O761, ""\n([A-Za-z ]+)$""), """")
"),"United States")</f>
        <v>United States</v>
      </c>
      <c r="G2737" s="4" t="str">
        <f t="shared" si="318"/>
        <v>Romper Short</v>
      </c>
      <c r="H2737" s="38">
        <f t="shared" si="313"/>
        <v>12</v>
      </c>
      <c r="I2737" s="54">
        <f t="shared" si="321"/>
        <v>49</v>
      </c>
      <c r="J2737" s="14" t="str">
        <f t="shared" si="315"/>
        <v>Christmas</v>
      </c>
      <c r="K2737" s="16" t="str">
        <f t="shared" si="316"/>
        <v>0-3</v>
      </c>
      <c r="L2737" s="14" t="str">
        <f t="shared" si="317"/>
        <v>Romper Short | 0-3 | Caldet Blue</v>
      </c>
      <c r="M2737" s="16" t="s">
        <v>3610</v>
      </c>
    </row>
    <row r="2738" spans="1:13" ht="25" customHeight="1" x14ac:dyDescent="0.45">
      <c r="A2738" s="18">
        <v>46361</v>
      </c>
      <c r="B2738" s="19" t="s">
        <v>2856</v>
      </c>
      <c r="C2738" s="23" t="s">
        <v>110</v>
      </c>
      <c r="D2738" s="53" t="str">
        <f t="shared" si="319"/>
        <v>Sage Green</v>
      </c>
      <c r="E2738" s="21" t="s">
        <v>1834</v>
      </c>
      <c r="F2738" s="21" t="str">
        <f ca="1">IFERROR(__xludf.DUMMYFUNCTION("IFERROR(REGEXEXTRACT(O761, ""\n([A-Za-z ]+)$""), """")
"),"United States")</f>
        <v>United States</v>
      </c>
      <c r="G2738" s="4" t="str">
        <f t="shared" si="318"/>
        <v>Romper Short</v>
      </c>
      <c r="H2738" s="38">
        <f t="shared" si="313"/>
        <v>12</v>
      </c>
      <c r="I2738" s="54">
        <f t="shared" si="321"/>
        <v>49</v>
      </c>
      <c r="J2738" s="14" t="str">
        <f t="shared" si="315"/>
        <v>Christmas</v>
      </c>
      <c r="K2738" s="16" t="str">
        <f t="shared" si="316"/>
        <v>0-3</v>
      </c>
      <c r="L2738" s="14" t="str">
        <f t="shared" si="317"/>
        <v>Romper Short | 0-3 | Sage Green</v>
      </c>
      <c r="M2738" s="16" t="s">
        <v>3610</v>
      </c>
    </row>
    <row r="2739" spans="1:13" ht="25" customHeight="1" x14ac:dyDescent="0.45">
      <c r="A2739" s="18">
        <v>46362</v>
      </c>
      <c r="B2739" s="19" t="s">
        <v>2857</v>
      </c>
      <c r="C2739" s="23" t="s">
        <v>76</v>
      </c>
      <c r="D2739" s="53" t="str">
        <f t="shared" si="319"/>
        <v>Caldet Blue</v>
      </c>
      <c r="E2739" s="21" t="s">
        <v>1849</v>
      </c>
      <c r="F2739" s="21" t="str">
        <f ca="1">IFERROR(__xludf.DUMMYFUNCTION("IFERROR(REGEXEXTRACT(O761, ""\n([A-Za-z ]+)$""), """")
"),"United States")</f>
        <v>United States</v>
      </c>
      <c r="G2739" s="4" t="str">
        <f t="shared" si="318"/>
        <v>Romper Short</v>
      </c>
      <c r="H2739" s="38">
        <f t="shared" si="313"/>
        <v>12</v>
      </c>
      <c r="I2739" s="54">
        <f t="shared" si="321"/>
        <v>50</v>
      </c>
      <c r="J2739" s="14" t="str">
        <f t="shared" si="315"/>
        <v>Christmas</v>
      </c>
      <c r="K2739" s="16" t="str">
        <f t="shared" si="316"/>
        <v>3-6</v>
      </c>
      <c r="L2739" s="14" t="str">
        <f t="shared" si="317"/>
        <v>Romper Short | 3-6 | Caldet Blue</v>
      </c>
      <c r="M2739" s="16" t="s">
        <v>3610</v>
      </c>
    </row>
    <row r="2740" spans="1:13" ht="25" customHeight="1" x14ac:dyDescent="0.45">
      <c r="A2740" s="18">
        <v>46363</v>
      </c>
      <c r="B2740" s="19" t="s">
        <v>2858</v>
      </c>
      <c r="C2740" s="23" t="s">
        <v>81</v>
      </c>
      <c r="D2740" s="53" t="str">
        <f t="shared" si="319"/>
        <v>Dusty Pink</v>
      </c>
      <c r="E2740" s="21" t="s">
        <v>1828</v>
      </c>
      <c r="F2740" s="21" t="str">
        <f ca="1">IFERROR(__xludf.DUMMYFUNCTION("IFERROR(REGEXEXTRACT(O761, ""\n([A-Za-z ]+)$""), """")
"),"United States")</f>
        <v>United States</v>
      </c>
      <c r="G2740" s="4" t="str">
        <f t="shared" si="318"/>
        <v>Romper Longer</v>
      </c>
      <c r="H2740" s="38">
        <f t="shared" si="313"/>
        <v>12</v>
      </c>
      <c r="I2740" s="54">
        <f t="shared" si="321"/>
        <v>50</v>
      </c>
      <c r="J2740" s="14" t="str">
        <f t="shared" si="315"/>
        <v>Christmas</v>
      </c>
      <c r="K2740" s="16" t="str">
        <f t="shared" si="316"/>
        <v>3-6</v>
      </c>
      <c r="L2740" s="14" t="str">
        <f t="shared" si="317"/>
        <v>Romper Longer | 3-6 | Dusty Pink</v>
      </c>
      <c r="M2740" s="16" t="s">
        <v>3610</v>
      </c>
    </row>
    <row r="2741" spans="1:13" ht="25" customHeight="1" x14ac:dyDescent="0.45">
      <c r="A2741" s="18">
        <v>46364</v>
      </c>
      <c r="B2741" s="19" t="s">
        <v>2859</v>
      </c>
      <c r="C2741" s="23" t="s">
        <v>110</v>
      </c>
      <c r="D2741" s="53" t="str">
        <f t="shared" si="319"/>
        <v>Sage Green</v>
      </c>
      <c r="E2741" s="21" t="s">
        <v>1831</v>
      </c>
      <c r="F2741" s="21" t="str">
        <f ca="1">IFERROR(__xludf.DUMMYFUNCTION("IFERROR(REGEXEXTRACT(O761, ""\n([A-Za-z ]+)$""), """")
"),"United States")</f>
        <v>United States</v>
      </c>
      <c r="G2741" s="4" t="str">
        <f t="shared" si="318"/>
        <v>Romper Longer</v>
      </c>
      <c r="H2741" s="38">
        <f t="shared" si="313"/>
        <v>12</v>
      </c>
      <c r="I2741" s="54">
        <f t="shared" si="321"/>
        <v>50</v>
      </c>
      <c r="J2741" s="14" t="str">
        <f t="shared" si="315"/>
        <v>Christmas</v>
      </c>
      <c r="K2741" s="16" t="str">
        <f t="shared" si="316"/>
        <v>0-3</v>
      </c>
      <c r="L2741" s="14" t="str">
        <f t="shared" si="317"/>
        <v>Romper Longer | 0-3 | Sage Green</v>
      </c>
      <c r="M2741" s="16" t="s">
        <v>3611</v>
      </c>
    </row>
    <row r="2742" spans="1:13" ht="25" customHeight="1" x14ac:dyDescent="0.45">
      <c r="A2742" s="18">
        <v>46365</v>
      </c>
      <c r="B2742" s="19" t="s">
        <v>2860</v>
      </c>
      <c r="C2742" s="23" t="s">
        <v>9</v>
      </c>
      <c r="D2742" s="53" t="str">
        <f t="shared" si="319"/>
        <v>Cream</v>
      </c>
      <c r="E2742" s="21" t="s">
        <v>1831</v>
      </c>
      <c r="F2742" s="21" t="str">
        <f ca="1">IFERROR(__xludf.DUMMYFUNCTION("IFERROR(REGEXEXTRACT(O761, ""\n([A-Za-z ]+)$""), """")
"),"United States")</f>
        <v>United States</v>
      </c>
      <c r="G2742" s="4" t="str">
        <f t="shared" si="318"/>
        <v>Romper Longer</v>
      </c>
      <c r="H2742" s="38">
        <f t="shared" si="313"/>
        <v>12</v>
      </c>
      <c r="I2742" s="54">
        <f t="shared" si="321"/>
        <v>50</v>
      </c>
      <c r="J2742" s="14" t="str">
        <f t="shared" si="315"/>
        <v>Christmas</v>
      </c>
      <c r="K2742" s="16" t="str">
        <f t="shared" si="316"/>
        <v>0-3</v>
      </c>
      <c r="L2742" s="14" t="str">
        <f t="shared" si="317"/>
        <v>Romper Longer | 0-3 | Cream</v>
      </c>
      <c r="M2742" s="16" t="s">
        <v>3609</v>
      </c>
    </row>
    <row r="2743" spans="1:13" ht="25" customHeight="1" x14ac:dyDescent="0.45">
      <c r="A2743" s="18">
        <v>46366</v>
      </c>
      <c r="B2743" s="19" t="s">
        <v>2861</v>
      </c>
      <c r="C2743" s="23" t="s">
        <v>110</v>
      </c>
      <c r="D2743" s="53" t="str">
        <f t="shared" si="319"/>
        <v>Sage Green</v>
      </c>
      <c r="E2743" s="21" t="s">
        <v>1849</v>
      </c>
      <c r="F2743" s="21" t="str">
        <f ca="1">IFERROR(__xludf.DUMMYFUNCTION("IFERROR(REGEXEXTRACT(O761, ""\n([A-Za-z ]+)$""), """")
"),"United States")</f>
        <v>United States</v>
      </c>
      <c r="G2743" s="4" t="str">
        <f t="shared" si="318"/>
        <v>Romper Short</v>
      </c>
      <c r="H2743" s="38">
        <f t="shared" si="313"/>
        <v>12</v>
      </c>
      <c r="I2743" s="54">
        <f t="shared" si="321"/>
        <v>50</v>
      </c>
      <c r="J2743" s="14" t="str">
        <f t="shared" si="315"/>
        <v>Christmas</v>
      </c>
      <c r="K2743" s="16" t="str">
        <f t="shared" si="316"/>
        <v>3-6</v>
      </c>
      <c r="L2743" s="14" t="str">
        <f t="shared" si="317"/>
        <v>Romper Short | 3-6 | Sage Green</v>
      </c>
      <c r="M2743" s="16" t="s">
        <v>3611</v>
      </c>
    </row>
    <row r="2744" spans="1:13" ht="25" customHeight="1" x14ac:dyDescent="0.45">
      <c r="A2744" s="18">
        <v>46367</v>
      </c>
      <c r="B2744" s="19" t="s">
        <v>2862</v>
      </c>
      <c r="C2744" s="23" t="s">
        <v>9</v>
      </c>
      <c r="D2744" s="53" t="str">
        <f t="shared" si="319"/>
        <v>Cream</v>
      </c>
      <c r="E2744" s="21" t="s">
        <v>1420</v>
      </c>
      <c r="F2744" s="21" t="str">
        <f ca="1">IFERROR(__xludf.DUMMYFUNCTION("IFERROR(REGEXEXTRACT(O761, ""\n([A-Za-z ]+)$""), """")
"),"United States")</f>
        <v>United States</v>
      </c>
      <c r="G2744" s="4" t="str">
        <f t="shared" si="318"/>
        <v>Romper Short</v>
      </c>
      <c r="H2744" s="38">
        <f t="shared" ref="H2744:H2807" si="322">MONTH(A2744)</f>
        <v>12</v>
      </c>
      <c r="I2744" s="54">
        <f t="shared" si="321"/>
        <v>50</v>
      </c>
      <c r="J2744" s="14" t="str">
        <f t="shared" ref="J2744:J2807" si="323">IF(H2744=1,"NewYear",
IF(H2744=2,"Valentine",
IF(OR(H2744=3,H2744=4),"Easter",
IF(H2744=5,"MothersDay",
IF(H2744=6,"FathersDay",
IF(OR(H2744=7,H2744=8),"Summer",
IF(H2744=10,"Halloween",
IF(OR(H2744=11,H2744=12),"Christmas","Normal"))))))))</f>
        <v>Christmas</v>
      </c>
      <c r="K2744" s="16" t="str">
        <f t="shared" ref="K2744:K2807" si="324">TRIM(LEFT(E2744,FIND("(",E2744&amp;"(")-3))</f>
        <v>6-12</v>
      </c>
      <c r="L2744" s="14" t="str">
        <f t="shared" si="317"/>
        <v>Romper Short | 6-12 | Cream</v>
      </c>
      <c r="M2744" s="16" t="s">
        <v>3611</v>
      </c>
    </row>
    <row r="2745" spans="1:13" ht="25" customHeight="1" x14ac:dyDescent="0.45">
      <c r="A2745" s="18">
        <v>46368</v>
      </c>
      <c r="B2745" s="19" t="s">
        <v>2863</v>
      </c>
      <c r="C2745" s="23" t="s">
        <v>9</v>
      </c>
      <c r="D2745" s="53" t="str">
        <f t="shared" si="319"/>
        <v>Cream</v>
      </c>
      <c r="E2745" s="21" t="s">
        <v>1834</v>
      </c>
      <c r="F2745" s="21" t="str">
        <f ca="1">IFERROR(__xludf.DUMMYFUNCTION("IFERROR(REGEXEXTRACT(O761, ""\n([A-Za-z ]+)$""), """")
"),"United States")</f>
        <v>United States</v>
      </c>
      <c r="G2745" s="4" t="str">
        <f t="shared" si="318"/>
        <v>Romper Short</v>
      </c>
      <c r="H2745" s="38">
        <f t="shared" si="322"/>
        <v>12</v>
      </c>
      <c r="I2745" s="54">
        <f t="shared" si="321"/>
        <v>50</v>
      </c>
      <c r="J2745" s="14" t="str">
        <f t="shared" si="323"/>
        <v>Christmas</v>
      </c>
      <c r="K2745" s="16" t="str">
        <f t="shared" si="324"/>
        <v>0-3</v>
      </c>
      <c r="L2745" s="14" t="str">
        <f t="shared" si="317"/>
        <v>Romper Short | 0-3 | Cream</v>
      </c>
      <c r="M2745" s="16" t="s">
        <v>3609</v>
      </c>
    </row>
    <row r="2746" spans="1:13" ht="25" customHeight="1" x14ac:dyDescent="0.45">
      <c r="A2746" s="18">
        <v>46369</v>
      </c>
      <c r="B2746" s="19" t="s">
        <v>2864</v>
      </c>
      <c r="C2746" s="23" t="s">
        <v>9</v>
      </c>
      <c r="D2746" s="53" t="str">
        <f t="shared" si="319"/>
        <v>Cream</v>
      </c>
      <c r="E2746" s="21" t="s">
        <v>1834</v>
      </c>
      <c r="F2746" s="21" t="str">
        <f ca="1">IFERROR(__xludf.DUMMYFUNCTION("IFERROR(REGEXEXTRACT(O761, ""\n([A-Za-z ]+)$""), """")
"),"United States")</f>
        <v>United States</v>
      </c>
      <c r="G2746" s="4" t="str">
        <f t="shared" si="318"/>
        <v>Romper Short</v>
      </c>
      <c r="H2746" s="38">
        <f t="shared" si="322"/>
        <v>12</v>
      </c>
      <c r="I2746" s="54">
        <f t="shared" si="321"/>
        <v>51</v>
      </c>
      <c r="J2746" s="14" t="str">
        <f t="shared" si="323"/>
        <v>Christmas</v>
      </c>
      <c r="K2746" s="16" t="str">
        <f t="shared" si="324"/>
        <v>0-3</v>
      </c>
      <c r="L2746" s="14" t="str">
        <f t="shared" si="317"/>
        <v>Romper Short | 0-3 | Cream</v>
      </c>
      <c r="M2746" s="16" t="s">
        <v>3609</v>
      </c>
    </row>
    <row r="2747" spans="1:13" ht="25" customHeight="1" x14ac:dyDescent="0.45">
      <c r="A2747" s="18">
        <v>46370</v>
      </c>
      <c r="B2747" s="19" t="s">
        <v>2865</v>
      </c>
      <c r="C2747" s="23" t="s">
        <v>71</v>
      </c>
      <c r="D2747" s="53" t="str">
        <f t="shared" si="319"/>
        <v>Coffee</v>
      </c>
      <c r="E2747" s="21" t="s">
        <v>1834</v>
      </c>
      <c r="F2747" s="21" t="str">
        <f ca="1">IFERROR(__xludf.DUMMYFUNCTION("IFERROR(REGEXEXTRACT(O761, ""\n([A-Za-z ]+)$""), """")
"),"United States")</f>
        <v>United States</v>
      </c>
      <c r="G2747" s="4" t="str">
        <f t="shared" si="318"/>
        <v>Romper Short</v>
      </c>
      <c r="H2747" s="38">
        <f t="shared" si="322"/>
        <v>12</v>
      </c>
      <c r="I2747" s="54">
        <f t="shared" si="321"/>
        <v>51</v>
      </c>
      <c r="J2747" s="14" t="str">
        <f t="shared" si="323"/>
        <v>Christmas</v>
      </c>
      <c r="K2747" s="16" t="str">
        <f t="shared" si="324"/>
        <v>0-3</v>
      </c>
      <c r="L2747" s="14" t="str">
        <f t="shared" si="317"/>
        <v>Romper Short | 0-3 | Coffee</v>
      </c>
      <c r="M2747" s="16" t="s">
        <v>3610</v>
      </c>
    </row>
    <row r="2748" spans="1:13" ht="25" customHeight="1" x14ac:dyDescent="0.45">
      <c r="A2748" s="18">
        <v>46371</v>
      </c>
      <c r="B2748" s="19" t="s">
        <v>2866</v>
      </c>
      <c r="C2748" s="23" t="s">
        <v>9</v>
      </c>
      <c r="D2748" s="53" t="str">
        <f t="shared" si="319"/>
        <v>Cream</v>
      </c>
      <c r="E2748" s="21" t="s">
        <v>1831</v>
      </c>
      <c r="F2748" s="21" t="str">
        <f ca="1">IFERROR(__xludf.DUMMYFUNCTION("IFERROR(REGEXEXTRACT(O761, ""\n([A-Za-z ]+)$""), """")
"),"United States")</f>
        <v>United States</v>
      </c>
      <c r="G2748" s="4" t="str">
        <f t="shared" si="318"/>
        <v>Romper Longer</v>
      </c>
      <c r="H2748" s="38">
        <f t="shared" si="322"/>
        <v>12</v>
      </c>
      <c r="I2748" s="54">
        <f t="shared" si="321"/>
        <v>51</v>
      </c>
      <c r="J2748" s="14" t="str">
        <f t="shared" si="323"/>
        <v>Christmas</v>
      </c>
      <c r="K2748" s="16" t="str">
        <f t="shared" si="324"/>
        <v>0-3</v>
      </c>
      <c r="L2748" s="14" t="str">
        <f t="shared" si="317"/>
        <v>Romper Longer | 0-3 | Cream</v>
      </c>
      <c r="M2748" s="16" t="s">
        <v>3609</v>
      </c>
    </row>
    <row r="2749" spans="1:13" ht="25" customHeight="1" x14ac:dyDescent="0.45">
      <c r="A2749" s="18">
        <v>46372</v>
      </c>
      <c r="B2749" s="19" t="s">
        <v>2867</v>
      </c>
      <c r="C2749" s="23" t="s">
        <v>110</v>
      </c>
      <c r="D2749" s="53" t="str">
        <f t="shared" si="319"/>
        <v>Sage Green</v>
      </c>
      <c r="E2749" s="21" t="s">
        <v>1831</v>
      </c>
      <c r="F2749" s="21" t="str">
        <f ca="1">IFERROR(__xludf.DUMMYFUNCTION("IFERROR(REGEXEXTRACT(O761, ""\n([A-Za-z ]+)$""), """")
"),"United States")</f>
        <v>United States</v>
      </c>
      <c r="G2749" s="4" t="str">
        <f t="shared" si="318"/>
        <v>Romper Longer</v>
      </c>
      <c r="H2749" s="38">
        <f t="shared" si="322"/>
        <v>12</v>
      </c>
      <c r="I2749" s="54">
        <f>WEEKNUM(A2749)</f>
        <v>51</v>
      </c>
      <c r="J2749" s="14" t="str">
        <f t="shared" si="323"/>
        <v>Christmas</v>
      </c>
      <c r="K2749" s="16" t="str">
        <f t="shared" si="324"/>
        <v>0-3</v>
      </c>
      <c r="L2749" s="14" t="str">
        <f t="shared" si="317"/>
        <v>Romper Longer | 0-3 | Sage Green</v>
      </c>
      <c r="M2749" s="16" t="s">
        <v>3611</v>
      </c>
    </row>
    <row r="2750" spans="1:13" ht="25" customHeight="1" x14ac:dyDescent="0.45">
      <c r="A2750" s="18">
        <v>46373</v>
      </c>
      <c r="B2750" s="19" t="s">
        <v>2868</v>
      </c>
      <c r="C2750" s="23" t="s">
        <v>9</v>
      </c>
      <c r="D2750" s="53" t="str">
        <f t="shared" si="319"/>
        <v>Cream</v>
      </c>
      <c r="E2750" s="21" t="s">
        <v>1831</v>
      </c>
      <c r="F2750" s="21" t="str">
        <f ca="1">IFERROR(__xludf.DUMMYFUNCTION("IFERROR(REGEXEXTRACT(O761, ""\n([A-Za-z ]+)$""), """")
"),"United States")</f>
        <v>United States</v>
      </c>
      <c r="G2750" s="4" t="str">
        <f t="shared" si="318"/>
        <v>Romper Longer</v>
      </c>
      <c r="H2750" s="38">
        <f t="shared" si="322"/>
        <v>12</v>
      </c>
      <c r="I2750" s="54">
        <f>WEEKNUM(A2750)</f>
        <v>51</v>
      </c>
      <c r="J2750" s="14" t="str">
        <f t="shared" si="323"/>
        <v>Christmas</v>
      </c>
      <c r="K2750" s="16" t="str">
        <f t="shared" si="324"/>
        <v>0-3</v>
      </c>
      <c r="L2750" s="14" t="str">
        <f t="shared" si="317"/>
        <v>Romper Longer | 0-3 | Cream</v>
      </c>
      <c r="M2750" s="16" t="s">
        <v>3609</v>
      </c>
    </row>
    <row r="2751" spans="1:13" ht="25" customHeight="1" x14ac:dyDescent="0.45">
      <c r="A2751" s="18">
        <v>46374</v>
      </c>
      <c r="B2751" s="19" t="s">
        <v>2869</v>
      </c>
      <c r="C2751" s="23" t="s">
        <v>85</v>
      </c>
      <c r="D2751" s="53" t="str">
        <f t="shared" si="319"/>
        <v>Forest Green</v>
      </c>
      <c r="E2751" s="21" t="s">
        <v>1838</v>
      </c>
      <c r="F2751" s="21" t="str">
        <f ca="1">IFERROR(__xludf.DUMMYFUNCTION("IFERROR(REGEXEXTRACT(O761, ""\n([A-Za-z ]+)$""), """")
"),"United States")</f>
        <v>United States</v>
      </c>
      <c r="G2751" s="4" t="str">
        <f t="shared" si="318"/>
        <v>Romper Short</v>
      </c>
      <c r="H2751" s="38">
        <f t="shared" si="322"/>
        <v>12</v>
      </c>
      <c r="I2751" s="54">
        <f>WEEKNUM(A2751)</f>
        <v>51</v>
      </c>
      <c r="J2751" s="14" t="str">
        <f t="shared" si="323"/>
        <v>Christmas</v>
      </c>
      <c r="K2751" s="16" t="str">
        <f t="shared" si="324"/>
        <v>12-18</v>
      </c>
      <c r="L2751" s="14" t="str">
        <f t="shared" si="317"/>
        <v>Romper Short | 12-18 | Forest Green</v>
      </c>
      <c r="M2751" s="16" t="s">
        <v>3610</v>
      </c>
    </row>
    <row r="2752" spans="1:13" ht="25" customHeight="1" x14ac:dyDescent="0.45">
      <c r="A2752" s="18">
        <v>46375</v>
      </c>
      <c r="B2752" s="19" t="s">
        <v>2870</v>
      </c>
      <c r="C2752" s="23" t="s">
        <v>110</v>
      </c>
      <c r="D2752" s="53" t="str">
        <f t="shared" si="319"/>
        <v>Sage Green</v>
      </c>
      <c r="E2752" s="21" t="s">
        <v>1828</v>
      </c>
      <c r="F2752" s="21" t="str">
        <f ca="1">IFERROR(__xludf.DUMMYFUNCTION("IFERROR(REGEXEXTRACT(O761, ""\n([A-Za-z ]+)$""), """")
"),"United States")</f>
        <v>United States</v>
      </c>
      <c r="G2752" s="4" t="str">
        <f t="shared" si="318"/>
        <v>Romper Longer</v>
      </c>
      <c r="H2752" s="38">
        <f t="shared" si="322"/>
        <v>12</v>
      </c>
      <c r="I2752" s="54">
        <f>WEEKNUM(A2752)</f>
        <v>51</v>
      </c>
      <c r="J2752" s="14" t="str">
        <f t="shared" si="323"/>
        <v>Christmas</v>
      </c>
      <c r="K2752" s="16" t="str">
        <f t="shared" si="324"/>
        <v>3-6</v>
      </c>
      <c r="L2752" s="14" t="str">
        <f t="shared" si="317"/>
        <v>Romper Longer | 3-6 | Sage Green</v>
      </c>
      <c r="M2752" s="16" t="s">
        <v>3611</v>
      </c>
    </row>
    <row r="2753" spans="1:13" ht="25" customHeight="1" x14ac:dyDescent="0.45">
      <c r="A2753" s="18">
        <v>46376</v>
      </c>
      <c r="B2753" s="19" t="s">
        <v>2871</v>
      </c>
      <c r="C2753" s="23" t="s">
        <v>9</v>
      </c>
      <c r="D2753" s="53" t="str">
        <f t="shared" si="319"/>
        <v>Cream</v>
      </c>
      <c r="E2753" s="21" t="s">
        <v>1831</v>
      </c>
      <c r="F2753" s="21" t="str">
        <f ca="1">IFERROR(__xludf.DUMMYFUNCTION("IFERROR(REGEXEXTRACT(O761, ""\n([A-Za-z ]+)$""), """")
"),"United States")</f>
        <v>United States</v>
      </c>
      <c r="G2753" s="4" t="str">
        <f t="shared" si="318"/>
        <v>Romper Longer</v>
      </c>
      <c r="H2753" s="38">
        <f t="shared" si="322"/>
        <v>12</v>
      </c>
      <c r="I2753" s="54">
        <f>WEEKNUM(A2753)</f>
        <v>52</v>
      </c>
      <c r="J2753" s="14" t="str">
        <f t="shared" si="323"/>
        <v>Christmas</v>
      </c>
      <c r="K2753" s="16" t="str">
        <f t="shared" si="324"/>
        <v>0-3</v>
      </c>
      <c r="L2753" s="14" t="str">
        <f t="shared" si="317"/>
        <v>Romper Longer | 0-3 | Cream</v>
      </c>
      <c r="M2753" s="16" t="s">
        <v>3609</v>
      </c>
    </row>
    <row r="2754" spans="1:13" ht="25" customHeight="1" x14ac:dyDescent="0.45">
      <c r="A2754" s="18">
        <v>46377</v>
      </c>
      <c r="B2754" s="19" t="s">
        <v>2872</v>
      </c>
      <c r="C2754" s="23" t="s">
        <v>110</v>
      </c>
      <c r="D2754" s="53" t="str">
        <f t="shared" si="319"/>
        <v>Sage Green</v>
      </c>
      <c r="E2754" s="21" t="s">
        <v>1420</v>
      </c>
      <c r="F2754" s="21" t="str">
        <f ca="1">IFERROR(__xludf.DUMMYFUNCTION("IFERROR(REGEXEXTRACT(O761, ""\n([A-Za-z ]+)$""), """")
"),"United States")</f>
        <v>United States</v>
      </c>
      <c r="G2754" s="4" t="str">
        <f t="shared" si="318"/>
        <v>Romper Short</v>
      </c>
      <c r="H2754" s="38">
        <f t="shared" si="322"/>
        <v>12</v>
      </c>
      <c r="I2754" s="54">
        <f t="shared" ref="I2754:I2775" si="325">WEEKNUM(A2754)</f>
        <v>52</v>
      </c>
      <c r="J2754" s="14" t="str">
        <f t="shared" si="323"/>
        <v>Christmas</v>
      </c>
      <c r="K2754" s="16" t="str">
        <f t="shared" si="324"/>
        <v>6-12</v>
      </c>
      <c r="L2754" s="14" t="str">
        <f t="shared" ref="L2754:L2817" si="326">TRIM(G2754)&amp;" | "&amp;TRIM(K2754)&amp;" | "&amp;PROPER(TRIM(D2754))</f>
        <v>Romper Short | 6-12 | Sage Green</v>
      </c>
      <c r="M2754" s="16" t="s">
        <v>3610</v>
      </c>
    </row>
    <row r="2755" spans="1:13" ht="25" customHeight="1" x14ac:dyDescent="0.45">
      <c r="A2755" s="18">
        <v>46378</v>
      </c>
      <c r="B2755" s="19" t="s">
        <v>2873</v>
      </c>
      <c r="C2755" s="23" t="s">
        <v>110</v>
      </c>
      <c r="D2755" s="53" t="str">
        <f t="shared" si="319"/>
        <v>Sage Green</v>
      </c>
      <c r="E2755" s="21" t="s">
        <v>1831</v>
      </c>
      <c r="F2755" s="21" t="str">
        <f ca="1">IFERROR(__xludf.DUMMYFUNCTION("IFERROR(REGEXEXTRACT(O761, ""\n([A-Za-z ]+)$""), """")
"),"United States")</f>
        <v>United States</v>
      </c>
      <c r="G2755" s="4" t="str">
        <f t="shared" si="318"/>
        <v>Romper Longer</v>
      </c>
      <c r="H2755" s="38">
        <f t="shared" si="322"/>
        <v>12</v>
      </c>
      <c r="I2755" s="54">
        <f t="shared" si="325"/>
        <v>52</v>
      </c>
      <c r="J2755" s="14" t="str">
        <f t="shared" si="323"/>
        <v>Christmas</v>
      </c>
      <c r="K2755" s="16" t="str">
        <f t="shared" si="324"/>
        <v>0-3</v>
      </c>
      <c r="L2755" s="14" t="str">
        <f t="shared" si="326"/>
        <v>Romper Longer | 0-3 | Sage Green</v>
      </c>
      <c r="M2755" s="16" t="s">
        <v>3611</v>
      </c>
    </row>
    <row r="2756" spans="1:13" ht="25" customHeight="1" x14ac:dyDescent="0.45">
      <c r="A2756" s="18">
        <v>46379</v>
      </c>
      <c r="B2756" s="19" t="s">
        <v>2874</v>
      </c>
      <c r="C2756" s="23" t="s">
        <v>9</v>
      </c>
      <c r="D2756" s="53" t="str">
        <f t="shared" si="319"/>
        <v>Cream</v>
      </c>
      <c r="E2756" s="21" t="s">
        <v>1828</v>
      </c>
      <c r="F2756" s="21" t="str">
        <f ca="1">IFERROR(__xludf.DUMMYFUNCTION("IFERROR(REGEXEXTRACT(O761, ""\n([A-Za-z ]+)$""), """")
"),"United States")</f>
        <v>United States</v>
      </c>
      <c r="G2756" s="4" t="str">
        <f t="shared" si="318"/>
        <v>Romper Longer</v>
      </c>
      <c r="H2756" s="38">
        <f t="shared" si="322"/>
        <v>12</v>
      </c>
      <c r="I2756" s="54">
        <f t="shared" si="325"/>
        <v>52</v>
      </c>
      <c r="J2756" s="14" t="str">
        <f t="shared" si="323"/>
        <v>Christmas</v>
      </c>
      <c r="K2756" s="16" t="str">
        <f t="shared" si="324"/>
        <v>3-6</v>
      </c>
      <c r="L2756" s="14" t="str">
        <f t="shared" si="326"/>
        <v>Romper Longer | 3-6 | Cream</v>
      </c>
      <c r="M2756" s="16" t="s">
        <v>3609</v>
      </c>
    </row>
    <row r="2757" spans="1:13" ht="25" customHeight="1" x14ac:dyDescent="0.45">
      <c r="A2757" s="18">
        <v>46380</v>
      </c>
      <c r="B2757" s="19" t="s">
        <v>2875</v>
      </c>
      <c r="C2757" s="23" t="s">
        <v>74</v>
      </c>
      <c r="D2757" s="53" t="str">
        <f t="shared" si="319"/>
        <v>Watermelon</v>
      </c>
      <c r="E2757" s="21" t="s">
        <v>1834</v>
      </c>
      <c r="F2757" s="21" t="str">
        <f ca="1">IFERROR(__xludf.DUMMYFUNCTION("IFERROR(REGEXEXTRACT(O761, ""\n([A-Za-z ]+)$""), """")
"),"United States")</f>
        <v>United States</v>
      </c>
      <c r="G2757" s="4" t="str">
        <f t="shared" si="318"/>
        <v>Romper Short</v>
      </c>
      <c r="H2757" s="38">
        <f t="shared" si="322"/>
        <v>12</v>
      </c>
      <c r="I2757" s="54">
        <f t="shared" si="325"/>
        <v>52</v>
      </c>
      <c r="J2757" s="14" t="str">
        <f t="shared" si="323"/>
        <v>Christmas</v>
      </c>
      <c r="K2757" s="16" t="str">
        <f t="shared" si="324"/>
        <v>0-3</v>
      </c>
      <c r="L2757" s="14" t="str">
        <f t="shared" si="326"/>
        <v>Romper Short | 0-3 | Watermelon</v>
      </c>
      <c r="M2757" s="16" t="s">
        <v>3610</v>
      </c>
    </row>
    <row r="2758" spans="1:13" ht="25" customHeight="1" x14ac:dyDescent="0.45">
      <c r="A2758" s="18">
        <v>46381</v>
      </c>
      <c r="B2758" s="19" t="s">
        <v>2876</v>
      </c>
      <c r="C2758" s="23" t="s">
        <v>9</v>
      </c>
      <c r="D2758" s="53" t="str">
        <f t="shared" si="319"/>
        <v>Cream</v>
      </c>
      <c r="E2758" s="21" t="s">
        <v>1838</v>
      </c>
      <c r="F2758" s="21" t="str">
        <f ca="1">IFERROR(__xludf.DUMMYFUNCTION("IFERROR(REGEXEXTRACT(O761, ""\n([A-Za-z ]+)$""), """")
"),"United States")</f>
        <v>United States</v>
      </c>
      <c r="G2758" s="4" t="str">
        <f t="shared" si="318"/>
        <v>Romper Short</v>
      </c>
      <c r="H2758" s="38">
        <f t="shared" si="322"/>
        <v>12</v>
      </c>
      <c r="I2758" s="54">
        <f t="shared" si="325"/>
        <v>52</v>
      </c>
      <c r="J2758" s="14" t="str">
        <f t="shared" si="323"/>
        <v>Christmas</v>
      </c>
      <c r="K2758" s="16" t="str">
        <f t="shared" si="324"/>
        <v>12-18</v>
      </c>
      <c r="L2758" s="14" t="str">
        <f t="shared" si="326"/>
        <v>Romper Short | 12-18 | Cream</v>
      </c>
      <c r="M2758" s="16" t="s">
        <v>3610</v>
      </c>
    </row>
    <row r="2759" spans="1:13" ht="25" customHeight="1" x14ac:dyDescent="0.45">
      <c r="A2759" s="18">
        <v>46382</v>
      </c>
      <c r="B2759" s="19" t="s">
        <v>2877</v>
      </c>
      <c r="C2759" s="23" t="s">
        <v>76</v>
      </c>
      <c r="D2759" s="53" t="str">
        <f t="shared" si="319"/>
        <v>Caldet Blue</v>
      </c>
      <c r="E2759" s="21" t="s">
        <v>1831</v>
      </c>
      <c r="F2759" s="21" t="str">
        <f ca="1">IFERROR(__xludf.DUMMYFUNCTION("IFERROR(REGEXEXTRACT(O761, ""\n([A-Za-z ]+)$""), """")
"),"United States")</f>
        <v>United States</v>
      </c>
      <c r="G2759" s="4" t="str">
        <f t="shared" si="318"/>
        <v>Romper Longer</v>
      </c>
      <c r="H2759" s="38">
        <f t="shared" si="322"/>
        <v>12</v>
      </c>
      <c r="I2759" s="54">
        <f t="shared" si="325"/>
        <v>52</v>
      </c>
      <c r="J2759" s="14" t="str">
        <f t="shared" si="323"/>
        <v>Christmas</v>
      </c>
      <c r="K2759" s="16" t="str">
        <f t="shared" si="324"/>
        <v>0-3</v>
      </c>
      <c r="L2759" s="14" t="str">
        <f t="shared" si="326"/>
        <v>Romper Longer | 0-3 | Caldet Blue</v>
      </c>
      <c r="M2759" s="16" t="s">
        <v>3610</v>
      </c>
    </row>
    <row r="2760" spans="1:13" ht="25" customHeight="1" x14ac:dyDescent="0.45">
      <c r="A2760" s="18">
        <v>46383</v>
      </c>
      <c r="B2760" s="19" t="s">
        <v>2878</v>
      </c>
      <c r="C2760" s="23" t="s">
        <v>110</v>
      </c>
      <c r="D2760" s="53" t="str">
        <f t="shared" si="319"/>
        <v>Sage Green</v>
      </c>
      <c r="E2760" s="21" t="s">
        <v>1828</v>
      </c>
      <c r="F2760" s="21" t="str">
        <f ca="1">IFERROR(__xludf.DUMMYFUNCTION("IFERROR(REGEXEXTRACT(O761, ""\n([A-Za-z ]+)$""), """")
"),"United States")</f>
        <v>United States</v>
      </c>
      <c r="G2760" s="4" t="str">
        <f t="shared" si="318"/>
        <v>Romper Longer</v>
      </c>
      <c r="H2760" s="38">
        <f t="shared" si="322"/>
        <v>12</v>
      </c>
      <c r="I2760" s="54">
        <f t="shared" si="325"/>
        <v>53</v>
      </c>
      <c r="J2760" s="14" t="str">
        <f t="shared" si="323"/>
        <v>Christmas</v>
      </c>
      <c r="K2760" s="16" t="str">
        <f t="shared" si="324"/>
        <v>3-6</v>
      </c>
      <c r="L2760" s="14" t="str">
        <f t="shared" si="326"/>
        <v>Romper Longer | 3-6 | Sage Green</v>
      </c>
      <c r="M2760" s="16" t="s">
        <v>3611</v>
      </c>
    </row>
    <row r="2761" spans="1:13" ht="25" customHeight="1" x14ac:dyDescent="0.45">
      <c r="A2761" s="18">
        <v>46384</v>
      </c>
      <c r="B2761" s="19" t="s">
        <v>2879</v>
      </c>
      <c r="C2761" s="23" t="s">
        <v>9</v>
      </c>
      <c r="D2761" s="53" t="str">
        <f t="shared" si="319"/>
        <v>Cream</v>
      </c>
      <c r="E2761" s="21" t="s">
        <v>1828</v>
      </c>
      <c r="F2761" s="21" t="str">
        <f ca="1">IFERROR(__xludf.DUMMYFUNCTION("IFERROR(REGEXEXTRACT(O761, ""\n([A-Za-z ]+)$""), """")
"),"United States")</f>
        <v>United States</v>
      </c>
      <c r="G2761" s="4" t="str">
        <f t="shared" si="318"/>
        <v>Romper Longer</v>
      </c>
      <c r="H2761" s="38">
        <f t="shared" si="322"/>
        <v>12</v>
      </c>
      <c r="I2761" s="54">
        <f t="shared" si="325"/>
        <v>53</v>
      </c>
      <c r="J2761" s="14" t="str">
        <f t="shared" si="323"/>
        <v>Christmas</v>
      </c>
      <c r="K2761" s="16" t="str">
        <f t="shared" si="324"/>
        <v>3-6</v>
      </c>
      <c r="L2761" s="14" t="str">
        <f t="shared" si="326"/>
        <v>Romper Longer | 3-6 | Cream</v>
      </c>
      <c r="M2761" s="16" t="s">
        <v>3609</v>
      </c>
    </row>
    <row r="2762" spans="1:13" ht="25" customHeight="1" x14ac:dyDescent="0.45">
      <c r="A2762" s="18">
        <v>46385</v>
      </c>
      <c r="B2762" s="19" t="s">
        <v>2880</v>
      </c>
      <c r="C2762" s="23" t="s">
        <v>224</v>
      </c>
      <c r="D2762" s="53" t="str">
        <f t="shared" si="319"/>
        <v>Salmon</v>
      </c>
      <c r="E2762" s="21" t="s">
        <v>1849</v>
      </c>
      <c r="F2762" s="21" t="str">
        <f ca="1">IFERROR(__xludf.DUMMYFUNCTION("IFERROR(REGEXEXTRACT(O761, ""\n([A-Za-z ]+)$""), """")
"),"United States")</f>
        <v>United States</v>
      </c>
      <c r="G2762" s="4" t="str">
        <f t="shared" si="318"/>
        <v>Romper Short</v>
      </c>
      <c r="H2762" s="38">
        <f t="shared" si="322"/>
        <v>12</v>
      </c>
      <c r="I2762" s="54">
        <f t="shared" si="325"/>
        <v>53</v>
      </c>
      <c r="J2762" s="14" t="str">
        <f t="shared" si="323"/>
        <v>Christmas</v>
      </c>
      <c r="K2762" s="16" t="str">
        <f t="shared" si="324"/>
        <v>3-6</v>
      </c>
      <c r="L2762" s="14" t="str">
        <f t="shared" si="326"/>
        <v>Romper Short | 3-6 | Salmon</v>
      </c>
      <c r="M2762" s="16" t="s">
        <v>3610</v>
      </c>
    </row>
    <row r="2763" spans="1:13" ht="25" customHeight="1" x14ac:dyDescent="0.45">
      <c r="A2763" s="18">
        <v>46386</v>
      </c>
      <c r="B2763" s="19" t="s">
        <v>2881</v>
      </c>
      <c r="C2763" s="23" t="s">
        <v>110</v>
      </c>
      <c r="D2763" s="53" t="str">
        <f t="shared" si="319"/>
        <v>Sage Green</v>
      </c>
      <c r="E2763" s="21" t="s">
        <v>1420</v>
      </c>
      <c r="F2763" s="21" t="str">
        <f ca="1">IFERROR(__xludf.DUMMYFUNCTION("IFERROR(REGEXEXTRACT(O761, ""\n([A-Za-z ]+)$""), """")
"),"United States")</f>
        <v>United States</v>
      </c>
      <c r="G2763" s="4" t="str">
        <f t="shared" si="318"/>
        <v>Romper Short</v>
      </c>
      <c r="H2763" s="38">
        <f t="shared" si="322"/>
        <v>12</v>
      </c>
      <c r="I2763" s="54">
        <f t="shared" si="325"/>
        <v>53</v>
      </c>
      <c r="J2763" s="14" t="str">
        <f t="shared" si="323"/>
        <v>Christmas</v>
      </c>
      <c r="K2763" s="16" t="str">
        <f t="shared" si="324"/>
        <v>6-12</v>
      </c>
      <c r="L2763" s="14" t="str">
        <f t="shared" si="326"/>
        <v>Romper Short | 6-12 | Sage Green</v>
      </c>
      <c r="M2763" s="16" t="s">
        <v>3610</v>
      </c>
    </row>
    <row r="2764" spans="1:13" ht="25" customHeight="1" x14ac:dyDescent="0.45">
      <c r="A2764" s="18">
        <v>46387</v>
      </c>
      <c r="B2764" s="19" t="s">
        <v>2882</v>
      </c>
      <c r="C2764" s="23" t="s">
        <v>9</v>
      </c>
      <c r="D2764" s="53" t="str">
        <f t="shared" si="319"/>
        <v>Cream</v>
      </c>
      <c r="E2764" s="21" t="s">
        <v>1831</v>
      </c>
      <c r="F2764" s="21" t="str">
        <f ca="1">IFERROR(__xludf.DUMMYFUNCTION("IFERROR(REGEXEXTRACT(O761, ""\n([A-Za-z ]+)$""), """")
"),"United States")</f>
        <v>United States</v>
      </c>
      <c r="G2764" s="4" t="str">
        <f t="shared" si="318"/>
        <v>Romper Longer</v>
      </c>
      <c r="H2764" s="38">
        <f t="shared" si="322"/>
        <v>12</v>
      </c>
      <c r="I2764" s="54">
        <f t="shared" si="325"/>
        <v>53</v>
      </c>
      <c r="J2764" s="14" t="str">
        <f t="shared" si="323"/>
        <v>Christmas</v>
      </c>
      <c r="K2764" s="16" t="str">
        <f t="shared" si="324"/>
        <v>0-3</v>
      </c>
      <c r="L2764" s="14" t="str">
        <f t="shared" si="326"/>
        <v>Romper Longer | 0-3 | Cream</v>
      </c>
      <c r="M2764" s="16" t="s">
        <v>3609</v>
      </c>
    </row>
    <row r="2765" spans="1:13" ht="25" customHeight="1" x14ac:dyDescent="0.45">
      <c r="A2765" s="18">
        <v>46388</v>
      </c>
      <c r="B2765" s="19" t="s">
        <v>2883</v>
      </c>
      <c r="C2765" s="23" t="s">
        <v>110</v>
      </c>
      <c r="D2765" s="53" t="str">
        <f t="shared" si="319"/>
        <v>Sage Green</v>
      </c>
      <c r="E2765" s="21" t="s">
        <v>1828</v>
      </c>
      <c r="F2765" s="21" t="str">
        <f ca="1">IFERROR(__xludf.DUMMYFUNCTION("IFERROR(REGEXEXTRACT(O761, ""\n([A-Za-z ]+)$""), """")
"),"United States")</f>
        <v>United States</v>
      </c>
      <c r="G2765" s="4" t="str">
        <f t="shared" si="318"/>
        <v>Romper Longer</v>
      </c>
      <c r="H2765" s="38">
        <f t="shared" si="322"/>
        <v>1</v>
      </c>
      <c r="I2765" s="54">
        <f t="shared" si="325"/>
        <v>1</v>
      </c>
      <c r="J2765" s="14" t="str">
        <f t="shared" si="323"/>
        <v>NewYear</v>
      </c>
      <c r="K2765" s="16" t="str">
        <f t="shared" si="324"/>
        <v>3-6</v>
      </c>
      <c r="L2765" s="14" t="str">
        <f t="shared" si="326"/>
        <v>Romper Longer | 3-6 | Sage Green</v>
      </c>
      <c r="M2765" s="16" t="s">
        <v>3611</v>
      </c>
    </row>
    <row r="2766" spans="1:13" ht="25" customHeight="1" x14ac:dyDescent="0.45">
      <c r="A2766" s="18">
        <v>46389</v>
      </c>
      <c r="B2766" s="19" t="s">
        <v>2884</v>
      </c>
      <c r="C2766" s="23" t="s">
        <v>110</v>
      </c>
      <c r="D2766" s="53" t="str">
        <f t="shared" si="319"/>
        <v>Sage Green</v>
      </c>
      <c r="E2766" s="21" t="s">
        <v>1834</v>
      </c>
      <c r="F2766" s="21" t="str">
        <f ca="1">IFERROR(__xludf.DUMMYFUNCTION("IFERROR(REGEXEXTRACT(O761, ""\n([A-Za-z ]+)$""), """")
"),"United States")</f>
        <v>United States</v>
      </c>
      <c r="G2766" s="4" t="str">
        <f t="shared" si="318"/>
        <v>Romper Short</v>
      </c>
      <c r="H2766" s="38">
        <f t="shared" si="322"/>
        <v>1</v>
      </c>
      <c r="I2766" s="54">
        <f t="shared" si="325"/>
        <v>1</v>
      </c>
      <c r="J2766" s="14" t="str">
        <f t="shared" si="323"/>
        <v>NewYear</v>
      </c>
      <c r="K2766" s="16" t="str">
        <f t="shared" si="324"/>
        <v>0-3</v>
      </c>
      <c r="L2766" s="14" t="str">
        <f t="shared" si="326"/>
        <v>Romper Short | 0-3 | Sage Green</v>
      </c>
      <c r="M2766" s="16" t="s">
        <v>3610</v>
      </c>
    </row>
    <row r="2767" spans="1:13" ht="25" customHeight="1" x14ac:dyDescent="0.45">
      <c r="A2767" s="18">
        <v>46390</v>
      </c>
      <c r="B2767" s="19" t="s">
        <v>2885</v>
      </c>
      <c r="C2767" s="23" t="s">
        <v>110</v>
      </c>
      <c r="D2767" s="53" t="str">
        <f t="shared" si="319"/>
        <v>Sage Green</v>
      </c>
      <c r="E2767" s="21" t="s">
        <v>1834</v>
      </c>
      <c r="F2767" s="21" t="str">
        <f ca="1">IFERROR(__xludf.DUMMYFUNCTION("IFERROR(REGEXEXTRACT(O761, ""\n([A-Za-z ]+)$""), """")
"),"United States")</f>
        <v>United States</v>
      </c>
      <c r="G2767" s="4" t="str">
        <f t="shared" ref="G2767:G2830" si="327">IF(ISNUMBER(SEARCH("LONG",E2767)),"Romper Longer",IF(ISNUMBER(SEARCH("SHORT",E2767)),"Romper Short","Bodysuit"))</f>
        <v>Romper Short</v>
      </c>
      <c r="H2767" s="38">
        <f t="shared" si="322"/>
        <v>1</v>
      </c>
      <c r="I2767" s="54">
        <f t="shared" si="325"/>
        <v>2</v>
      </c>
      <c r="J2767" s="14" t="str">
        <f t="shared" si="323"/>
        <v>NewYear</v>
      </c>
      <c r="K2767" s="16" t="str">
        <f t="shared" si="324"/>
        <v>0-3</v>
      </c>
      <c r="L2767" s="14" t="str">
        <f t="shared" si="326"/>
        <v>Romper Short | 0-3 | Sage Green</v>
      </c>
      <c r="M2767" s="16" t="s">
        <v>3610</v>
      </c>
    </row>
    <row r="2768" spans="1:13" ht="25" customHeight="1" x14ac:dyDescent="0.45">
      <c r="A2768" s="18">
        <v>46391</v>
      </c>
      <c r="B2768" s="19" t="s">
        <v>2886</v>
      </c>
      <c r="C2768" s="23" t="s">
        <v>85</v>
      </c>
      <c r="D2768" s="53" t="str">
        <f t="shared" si="319"/>
        <v>Forest Green</v>
      </c>
      <c r="E2768" s="21" t="s">
        <v>1828</v>
      </c>
      <c r="F2768" s="21" t="str">
        <f ca="1">IFERROR(__xludf.DUMMYFUNCTION("IFERROR(REGEXEXTRACT(O761, ""\n([A-Za-z ]+)$""), """")
"),"United States")</f>
        <v>United States</v>
      </c>
      <c r="G2768" s="4" t="str">
        <f t="shared" si="327"/>
        <v>Romper Longer</v>
      </c>
      <c r="H2768" s="38">
        <f t="shared" si="322"/>
        <v>1</v>
      </c>
      <c r="I2768" s="54">
        <f t="shared" si="325"/>
        <v>2</v>
      </c>
      <c r="J2768" s="14" t="str">
        <f t="shared" si="323"/>
        <v>NewYear</v>
      </c>
      <c r="K2768" s="16" t="str">
        <f t="shared" si="324"/>
        <v>3-6</v>
      </c>
      <c r="L2768" s="14" t="str">
        <f t="shared" si="326"/>
        <v>Romper Longer | 3-6 | Forest Green</v>
      </c>
      <c r="M2768" s="16" t="s">
        <v>3610</v>
      </c>
    </row>
    <row r="2769" spans="1:13" ht="25" customHeight="1" x14ac:dyDescent="0.45">
      <c r="A2769" s="18">
        <v>46392</v>
      </c>
      <c r="B2769" s="19" t="s">
        <v>2887</v>
      </c>
      <c r="C2769" s="23" t="s">
        <v>79</v>
      </c>
      <c r="D2769" s="53" t="str">
        <f t="shared" si="319"/>
        <v>White</v>
      </c>
      <c r="E2769" s="21" t="s">
        <v>1831</v>
      </c>
      <c r="F2769" s="21" t="str">
        <f ca="1">IFERROR(__xludf.DUMMYFUNCTION("IFERROR(REGEXEXTRACT(O761, ""\n([A-Za-z ]+)$""), """")
"),"United States")</f>
        <v>United States</v>
      </c>
      <c r="G2769" s="4" t="str">
        <f t="shared" si="327"/>
        <v>Romper Longer</v>
      </c>
      <c r="H2769" s="38">
        <f t="shared" si="322"/>
        <v>1</v>
      </c>
      <c r="I2769" s="54">
        <f t="shared" si="325"/>
        <v>2</v>
      </c>
      <c r="J2769" s="14" t="str">
        <f t="shared" si="323"/>
        <v>NewYear</v>
      </c>
      <c r="K2769" s="16" t="str">
        <f t="shared" si="324"/>
        <v>0-3</v>
      </c>
      <c r="L2769" s="14" t="str">
        <f t="shared" si="326"/>
        <v>Romper Longer | 0-3 | White</v>
      </c>
      <c r="M2769" s="16" t="s">
        <v>3610</v>
      </c>
    </row>
    <row r="2770" spans="1:13" ht="25" customHeight="1" x14ac:dyDescent="0.45">
      <c r="A2770" s="18">
        <v>46393</v>
      </c>
      <c r="B2770" s="19" t="s">
        <v>2888</v>
      </c>
      <c r="C2770" s="23" t="s">
        <v>79</v>
      </c>
      <c r="D2770" s="53" t="str">
        <f t="shared" si="319"/>
        <v>White</v>
      </c>
      <c r="E2770" s="21" t="s">
        <v>1831</v>
      </c>
      <c r="F2770" s="21" t="str">
        <f ca="1">IFERROR(__xludf.DUMMYFUNCTION("IFERROR(REGEXEXTRACT(O761, ""\n([A-Za-z ]+)$""), """")
"),"United States")</f>
        <v>United States</v>
      </c>
      <c r="G2770" s="4" t="str">
        <f t="shared" si="327"/>
        <v>Romper Longer</v>
      </c>
      <c r="H2770" s="38">
        <f t="shared" si="322"/>
        <v>1</v>
      </c>
      <c r="I2770" s="54">
        <f t="shared" si="325"/>
        <v>2</v>
      </c>
      <c r="J2770" s="14" t="str">
        <f t="shared" si="323"/>
        <v>NewYear</v>
      </c>
      <c r="K2770" s="16" t="str">
        <f t="shared" si="324"/>
        <v>0-3</v>
      </c>
      <c r="L2770" s="14" t="str">
        <f t="shared" si="326"/>
        <v>Romper Longer | 0-3 | White</v>
      </c>
      <c r="M2770" s="16" t="s">
        <v>3610</v>
      </c>
    </row>
    <row r="2771" spans="1:13" ht="25" customHeight="1" x14ac:dyDescent="0.45">
      <c r="A2771" s="18">
        <v>46394</v>
      </c>
      <c r="B2771" s="19" t="s">
        <v>2889</v>
      </c>
      <c r="C2771" s="23" t="s">
        <v>9</v>
      </c>
      <c r="D2771" s="53" t="str">
        <f t="shared" ref="D2771:D2834" si="328">PROPER(C2771)</f>
        <v>Cream</v>
      </c>
      <c r="E2771" s="21" t="s">
        <v>1834</v>
      </c>
      <c r="F2771" s="21" t="str">
        <f ca="1">IFERROR(__xludf.DUMMYFUNCTION("IFERROR(REGEXEXTRACT(O761, ""\n([A-Za-z ]+)$""), """")
"),"United States")</f>
        <v>United States</v>
      </c>
      <c r="G2771" s="4" t="str">
        <f t="shared" si="327"/>
        <v>Romper Short</v>
      </c>
      <c r="H2771" s="38">
        <f t="shared" si="322"/>
        <v>1</v>
      </c>
      <c r="I2771" s="54">
        <f t="shared" si="325"/>
        <v>2</v>
      </c>
      <c r="J2771" s="14" t="str">
        <f t="shared" si="323"/>
        <v>NewYear</v>
      </c>
      <c r="K2771" s="16" t="str">
        <f t="shared" si="324"/>
        <v>0-3</v>
      </c>
      <c r="L2771" s="14" t="str">
        <f t="shared" si="326"/>
        <v>Romper Short | 0-3 | Cream</v>
      </c>
      <c r="M2771" s="16" t="s">
        <v>3609</v>
      </c>
    </row>
    <row r="2772" spans="1:13" ht="25" customHeight="1" x14ac:dyDescent="0.45">
      <c r="A2772" s="18">
        <v>46395</v>
      </c>
      <c r="B2772" s="19" t="s">
        <v>2890</v>
      </c>
      <c r="C2772" s="23" t="s">
        <v>76</v>
      </c>
      <c r="D2772" s="53" t="str">
        <f t="shared" si="328"/>
        <v>Caldet Blue</v>
      </c>
      <c r="E2772" s="21" t="s">
        <v>1849</v>
      </c>
      <c r="F2772" s="21" t="str">
        <f ca="1">IFERROR(__xludf.DUMMYFUNCTION("IFERROR(REGEXEXTRACT(O761, ""\n([A-Za-z ]+)$""), """")
"),"United States")</f>
        <v>United States</v>
      </c>
      <c r="G2772" s="4" t="str">
        <f t="shared" si="327"/>
        <v>Romper Short</v>
      </c>
      <c r="H2772" s="38">
        <f t="shared" si="322"/>
        <v>1</v>
      </c>
      <c r="I2772" s="54">
        <f t="shared" si="325"/>
        <v>2</v>
      </c>
      <c r="J2772" s="14" t="str">
        <f t="shared" si="323"/>
        <v>NewYear</v>
      </c>
      <c r="K2772" s="16" t="str">
        <f t="shared" si="324"/>
        <v>3-6</v>
      </c>
      <c r="L2772" s="14" t="str">
        <f t="shared" si="326"/>
        <v>Romper Short | 3-6 | Caldet Blue</v>
      </c>
      <c r="M2772" s="16" t="s">
        <v>3610</v>
      </c>
    </row>
    <row r="2773" spans="1:13" ht="25" customHeight="1" x14ac:dyDescent="0.45">
      <c r="A2773" s="18">
        <v>46396</v>
      </c>
      <c r="B2773" s="19" t="s">
        <v>2891</v>
      </c>
      <c r="C2773" s="23" t="s">
        <v>9</v>
      </c>
      <c r="D2773" s="53" t="str">
        <f t="shared" si="328"/>
        <v>Cream</v>
      </c>
      <c r="E2773" s="21" t="s">
        <v>1831</v>
      </c>
      <c r="F2773" s="21" t="str">
        <f ca="1">IFERROR(__xludf.DUMMYFUNCTION("IFERROR(REGEXEXTRACT(O761, ""\n([A-Za-z ]+)$""), """")
"),"United States")</f>
        <v>United States</v>
      </c>
      <c r="G2773" s="4" t="str">
        <f t="shared" si="327"/>
        <v>Romper Longer</v>
      </c>
      <c r="H2773" s="38">
        <f t="shared" si="322"/>
        <v>1</v>
      </c>
      <c r="I2773" s="54">
        <f t="shared" si="325"/>
        <v>2</v>
      </c>
      <c r="J2773" s="14" t="str">
        <f t="shared" si="323"/>
        <v>NewYear</v>
      </c>
      <c r="K2773" s="16" t="str">
        <f t="shared" si="324"/>
        <v>0-3</v>
      </c>
      <c r="L2773" s="14" t="str">
        <f t="shared" si="326"/>
        <v>Romper Longer | 0-3 | Cream</v>
      </c>
      <c r="M2773" s="16" t="s">
        <v>3609</v>
      </c>
    </row>
    <row r="2774" spans="1:13" ht="25" customHeight="1" x14ac:dyDescent="0.45">
      <c r="A2774" s="18">
        <v>46397</v>
      </c>
      <c r="B2774" s="19" t="s">
        <v>2892</v>
      </c>
      <c r="C2774" s="23" t="s">
        <v>9</v>
      </c>
      <c r="D2774" s="53" t="str">
        <f t="shared" si="328"/>
        <v>Cream</v>
      </c>
      <c r="E2774" s="21" t="s">
        <v>1828</v>
      </c>
      <c r="F2774" s="21" t="str">
        <f ca="1">IFERROR(__xludf.DUMMYFUNCTION("IFERROR(REGEXEXTRACT(O761, ""\n([A-Za-z ]+)$""), """")
"),"United States")</f>
        <v>United States</v>
      </c>
      <c r="G2774" s="4" t="str">
        <f t="shared" si="327"/>
        <v>Romper Longer</v>
      </c>
      <c r="H2774" s="38">
        <f t="shared" si="322"/>
        <v>1</v>
      </c>
      <c r="I2774" s="54">
        <f t="shared" si="325"/>
        <v>3</v>
      </c>
      <c r="J2774" s="14" t="str">
        <f t="shared" si="323"/>
        <v>NewYear</v>
      </c>
      <c r="K2774" s="16" t="str">
        <f t="shared" si="324"/>
        <v>3-6</v>
      </c>
      <c r="L2774" s="14" t="str">
        <f t="shared" si="326"/>
        <v>Romper Longer | 3-6 | Cream</v>
      </c>
      <c r="M2774" s="16" t="s">
        <v>3609</v>
      </c>
    </row>
    <row r="2775" spans="1:13" ht="25" customHeight="1" x14ac:dyDescent="0.45">
      <c r="A2775" s="18">
        <v>46398</v>
      </c>
      <c r="B2775" s="19" t="s">
        <v>2893</v>
      </c>
      <c r="C2775" s="23" t="s">
        <v>110</v>
      </c>
      <c r="D2775" s="53" t="str">
        <f t="shared" si="328"/>
        <v>Sage Green</v>
      </c>
      <c r="E2775" s="21" t="s">
        <v>1420</v>
      </c>
      <c r="F2775" s="21" t="str">
        <f ca="1">IFERROR(__xludf.DUMMYFUNCTION("IFERROR(REGEXEXTRACT(O761, ""\n([A-Za-z ]+)$""), """")
"),"United States")</f>
        <v>United States</v>
      </c>
      <c r="G2775" s="4" t="str">
        <f t="shared" si="327"/>
        <v>Romper Short</v>
      </c>
      <c r="H2775" s="38">
        <f t="shared" si="322"/>
        <v>1</v>
      </c>
      <c r="I2775" s="54">
        <f t="shared" si="325"/>
        <v>3</v>
      </c>
      <c r="J2775" s="14" t="str">
        <f t="shared" si="323"/>
        <v>NewYear</v>
      </c>
      <c r="K2775" s="16" t="str">
        <f t="shared" si="324"/>
        <v>6-12</v>
      </c>
      <c r="L2775" s="14" t="str">
        <f t="shared" si="326"/>
        <v>Romper Short | 6-12 | Sage Green</v>
      </c>
      <c r="M2775" s="16" t="s">
        <v>3610</v>
      </c>
    </row>
    <row r="2776" spans="1:13" ht="25" customHeight="1" x14ac:dyDescent="0.45">
      <c r="A2776" s="18">
        <v>46399</v>
      </c>
      <c r="B2776" s="19" t="s">
        <v>2894</v>
      </c>
      <c r="C2776" s="23" t="s">
        <v>224</v>
      </c>
      <c r="D2776" s="53" t="str">
        <f t="shared" si="328"/>
        <v>Salmon</v>
      </c>
      <c r="E2776" s="21" t="s">
        <v>1550</v>
      </c>
      <c r="F2776" s="21" t="str">
        <f ca="1">IFERROR(__xludf.DUMMYFUNCTION("IFERROR(REGEXEXTRACT(O761, ""\n([A-Za-z ]+)$""), """")
"),"United States")</f>
        <v>United States</v>
      </c>
      <c r="G2776" s="4" t="str">
        <f t="shared" si="327"/>
        <v>Romper Longer</v>
      </c>
      <c r="H2776" s="38">
        <f t="shared" si="322"/>
        <v>1</v>
      </c>
      <c r="I2776" s="54">
        <f t="shared" ref="I2776:I2782" si="329">WEEKNUM(A2776)</f>
        <v>3</v>
      </c>
      <c r="J2776" s="14" t="str">
        <f t="shared" si="323"/>
        <v>NewYear</v>
      </c>
      <c r="K2776" s="16" t="str">
        <f t="shared" si="324"/>
        <v>12-18</v>
      </c>
      <c r="L2776" s="14" t="str">
        <f t="shared" si="326"/>
        <v>Romper Longer | 12-18 | Salmon</v>
      </c>
      <c r="M2776" s="16" t="s">
        <v>3610</v>
      </c>
    </row>
    <row r="2777" spans="1:13" ht="25" customHeight="1" x14ac:dyDescent="0.45">
      <c r="A2777" s="18">
        <v>46400</v>
      </c>
      <c r="B2777" s="19" t="s">
        <v>2895</v>
      </c>
      <c r="C2777" s="23" t="s">
        <v>110</v>
      </c>
      <c r="D2777" s="53" t="str">
        <f t="shared" si="328"/>
        <v>Sage Green</v>
      </c>
      <c r="E2777" s="21" t="s">
        <v>1834</v>
      </c>
      <c r="F2777" s="21" t="str">
        <f ca="1">IFERROR(__xludf.DUMMYFUNCTION("IFERROR(REGEXEXTRACT(O761, ""\n([A-Za-z ]+)$""), """")
"),"United States")</f>
        <v>United States</v>
      </c>
      <c r="G2777" s="4" t="str">
        <f t="shared" si="327"/>
        <v>Romper Short</v>
      </c>
      <c r="H2777" s="38">
        <f t="shared" si="322"/>
        <v>1</v>
      </c>
      <c r="I2777" s="54">
        <f t="shared" si="329"/>
        <v>3</v>
      </c>
      <c r="J2777" s="14" t="str">
        <f t="shared" si="323"/>
        <v>NewYear</v>
      </c>
      <c r="K2777" s="16" t="str">
        <f t="shared" si="324"/>
        <v>0-3</v>
      </c>
      <c r="L2777" s="14" t="str">
        <f t="shared" si="326"/>
        <v>Romper Short | 0-3 | Sage Green</v>
      </c>
      <c r="M2777" s="16" t="s">
        <v>3610</v>
      </c>
    </row>
    <row r="2778" spans="1:13" ht="25" customHeight="1" x14ac:dyDescent="0.45">
      <c r="A2778" s="18">
        <v>46401</v>
      </c>
      <c r="B2778" s="19" t="s">
        <v>2896</v>
      </c>
      <c r="C2778" s="23" t="s">
        <v>76</v>
      </c>
      <c r="D2778" s="53" t="str">
        <f t="shared" si="328"/>
        <v>Caldet Blue</v>
      </c>
      <c r="E2778" s="21" t="s">
        <v>1841</v>
      </c>
      <c r="F2778" s="21" t="str">
        <f ca="1">IFERROR(__xludf.DUMMYFUNCTION("IFERROR(REGEXEXTRACT(O761, ""\n([A-Za-z ]+)$""), """")
"),"United States")</f>
        <v>United States</v>
      </c>
      <c r="G2778" s="4" t="str">
        <f t="shared" si="327"/>
        <v>Romper Longer</v>
      </c>
      <c r="H2778" s="38">
        <f t="shared" si="322"/>
        <v>1</v>
      </c>
      <c r="I2778" s="54">
        <f t="shared" si="329"/>
        <v>3</v>
      </c>
      <c r="J2778" s="14" t="str">
        <f t="shared" si="323"/>
        <v>NewYear</v>
      </c>
      <c r="K2778" s="16" t="str">
        <f t="shared" si="324"/>
        <v>6-12</v>
      </c>
      <c r="L2778" s="14" t="str">
        <f t="shared" si="326"/>
        <v>Romper Longer | 6-12 | Caldet Blue</v>
      </c>
      <c r="M2778" s="16" t="s">
        <v>3610</v>
      </c>
    </row>
    <row r="2779" spans="1:13" ht="25" customHeight="1" x14ac:dyDescent="0.45">
      <c r="A2779" s="18">
        <v>46402</v>
      </c>
      <c r="B2779" s="19" t="s">
        <v>2897</v>
      </c>
      <c r="C2779" s="23" t="s">
        <v>9</v>
      </c>
      <c r="D2779" s="53" t="str">
        <f t="shared" si="328"/>
        <v>Cream</v>
      </c>
      <c r="E2779" s="21" t="s">
        <v>1550</v>
      </c>
      <c r="F2779" s="21" t="str">
        <f ca="1">IFERROR(__xludf.DUMMYFUNCTION("IFERROR(REGEXEXTRACT(O761, ""\n([A-Za-z ]+)$""), """")
"),"United States")</f>
        <v>United States</v>
      </c>
      <c r="G2779" s="4" t="str">
        <f t="shared" si="327"/>
        <v>Romper Longer</v>
      </c>
      <c r="H2779" s="38">
        <f t="shared" si="322"/>
        <v>1</v>
      </c>
      <c r="I2779" s="54">
        <f t="shared" si="329"/>
        <v>3</v>
      </c>
      <c r="J2779" s="14" t="str">
        <f t="shared" si="323"/>
        <v>NewYear</v>
      </c>
      <c r="K2779" s="16" t="str">
        <f t="shared" si="324"/>
        <v>12-18</v>
      </c>
      <c r="L2779" s="14" t="str">
        <f t="shared" si="326"/>
        <v>Romper Longer | 12-18 | Cream</v>
      </c>
      <c r="M2779" s="16" t="s">
        <v>3610</v>
      </c>
    </row>
    <row r="2780" spans="1:13" ht="25" customHeight="1" x14ac:dyDescent="0.45">
      <c r="A2780" s="18">
        <v>46403</v>
      </c>
      <c r="B2780" s="19" t="s">
        <v>2898</v>
      </c>
      <c r="C2780" s="23" t="s">
        <v>85</v>
      </c>
      <c r="D2780" s="53" t="str">
        <f t="shared" si="328"/>
        <v>Forest Green</v>
      </c>
      <c r="E2780" s="21" t="s">
        <v>1838</v>
      </c>
      <c r="F2780" s="21" t="str">
        <f ca="1">IFERROR(__xludf.DUMMYFUNCTION("IFERROR(REGEXEXTRACT(O761, ""\n([A-Za-z ]+)$""), """")
"),"United States")</f>
        <v>United States</v>
      </c>
      <c r="G2780" s="4" t="str">
        <f t="shared" si="327"/>
        <v>Romper Short</v>
      </c>
      <c r="H2780" s="38">
        <f t="shared" si="322"/>
        <v>1</v>
      </c>
      <c r="I2780" s="54">
        <f t="shared" si="329"/>
        <v>3</v>
      </c>
      <c r="J2780" s="14" t="str">
        <f t="shared" si="323"/>
        <v>NewYear</v>
      </c>
      <c r="K2780" s="16" t="str">
        <f t="shared" si="324"/>
        <v>12-18</v>
      </c>
      <c r="L2780" s="14" t="str">
        <f t="shared" si="326"/>
        <v>Romper Short | 12-18 | Forest Green</v>
      </c>
      <c r="M2780" s="16" t="s">
        <v>3610</v>
      </c>
    </row>
    <row r="2781" spans="1:13" ht="25" customHeight="1" x14ac:dyDescent="0.45">
      <c r="A2781" s="18">
        <v>46404</v>
      </c>
      <c r="B2781" s="19" t="s">
        <v>2899</v>
      </c>
      <c r="C2781" s="23" t="s">
        <v>85</v>
      </c>
      <c r="D2781" s="53" t="str">
        <f t="shared" si="328"/>
        <v>Forest Green</v>
      </c>
      <c r="E2781" s="21" t="s">
        <v>1420</v>
      </c>
      <c r="F2781" s="21" t="str">
        <f ca="1">IFERROR(__xludf.DUMMYFUNCTION("IFERROR(REGEXEXTRACT(O761, ""\n([A-Za-z ]+)$""), """")
"),"United States")</f>
        <v>United States</v>
      </c>
      <c r="G2781" s="4" t="str">
        <f t="shared" si="327"/>
        <v>Romper Short</v>
      </c>
      <c r="H2781" s="38">
        <f t="shared" si="322"/>
        <v>1</v>
      </c>
      <c r="I2781" s="54">
        <f t="shared" si="329"/>
        <v>4</v>
      </c>
      <c r="J2781" s="14" t="str">
        <f t="shared" si="323"/>
        <v>NewYear</v>
      </c>
      <c r="K2781" s="16" t="str">
        <f t="shared" si="324"/>
        <v>6-12</v>
      </c>
      <c r="L2781" s="14" t="str">
        <f t="shared" si="326"/>
        <v>Romper Short | 6-12 | Forest Green</v>
      </c>
      <c r="M2781" s="16" t="s">
        <v>3610</v>
      </c>
    </row>
    <row r="2782" spans="1:13" ht="25" customHeight="1" x14ac:dyDescent="0.45">
      <c r="A2782" s="18">
        <v>46405</v>
      </c>
      <c r="B2782" s="19" t="s">
        <v>2900</v>
      </c>
      <c r="C2782" s="23" t="s">
        <v>74</v>
      </c>
      <c r="D2782" s="53" t="str">
        <f t="shared" si="328"/>
        <v>Watermelon</v>
      </c>
      <c r="E2782" s="21" t="s">
        <v>1834</v>
      </c>
      <c r="F2782" s="21" t="str">
        <f ca="1">IFERROR(__xludf.DUMMYFUNCTION("IFERROR(REGEXEXTRACT(O761, ""\n([A-Za-z ]+)$""), """")
"),"United States")</f>
        <v>United States</v>
      </c>
      <c r="G2782" s="4" t="str">
        <f t="shared" si="327"/>
        <v>Romper Short</v>
      </c>
      <c r="H2782" s="38">
        <f t="shared" si="322"/>
        <v>1</v>
      </c>
      <c r="I2782" s="54">
        <f t="shared" si="329"/>
        <v>4</v>
      </c>
      <c r="J2782" s="14" t="str">
        <f t="shared" si="323"/>
        <v>NewYear</v>
      </c>
      <c r="K2782" s="16" t="str">
        <f t="shared" si="324"/>
        <v>0-3</v>
      </c>
      <c r="L2782" s="14" t="str">
        <f t="shared" si="326"/>
        <v>Romper Short | 0-3 | Watermelon</v>
      </c>
      <c r="M2782" s="16" t="s">
        <v>3610</v>
      </c>
    </row>
    <row r="2783" spans="1:13" ht="25" customHeight="1" x14ac:dyDescent="0.45">
      <c r="A2783" s="18">
        <v>46406</v>
      </c>
      <c r="B2783" s="19" t="s">
        <v>2901</v>
      </c>
      <c r="C2783" s="23" t="s">
        <v>110</v>
      </c>
      <c r="D2783" s="53" t="str">
        <f t="shared" si="328"/>
        <v>Sage Green</v>
      </c>
      <c r="E2783" s="21" t="s">
        <v>1834</v>
      </c>
      <c r="F2783" s="21" t="str">
        <f ca="1">IFERROR(__xludf.DUMMYFUNCTION("IFERROR(REGEXEXTRACT(O761, ""\n([A-Za-z ]+)$""), """")
"),"United States")</f>
        <v>United States</v>
      </c>
      <c r="G2783" s="4" t="str">
        <f t="shared" si="327"/>
        <v>Romper Short</v>
      </c>
      <c r="H2783" s="38">
        <f t="shared" si="322"/>
        <v>1</v>
      </c>
      <c r="I2783" s="54">
        <f t="shared" ref="I2783:I2804" si="330">WEEKNUM(A2783)</f>
        <v>4</v>
      </c>
      <c r="J2783" s="14" t="str">
        <f t="shared" si="323"/>
        <v>NewYear</v>
      </c>
      <c r="K2783" s="16" t="str">
        <f t="shared" si="324"/>
        <v>0-3</v>
      </c>
      <c r="L2783" s="14" t="str">
        <f t="shared" si="326"/>
        <v>Romper Short | 0-3 | Sage Green</v>
      </c>
      <c r="M2783" s="16" t="s">
        <v>3610</v>
      </c>
    </row>
    <row r="2784" spans="1:13" ht="25" customHeight="1" x14ac:dyDescent="0.45">
      <c r="A2784" s="18">
        <v>46407</v>
      </c>
      <c r="B2784" s="19" t="s">
        <v>2902</v>
      </c>
      <c r="C2784" s="23" t="s">
        <v>85</v>
      </c>
      <c r="D2784" s="53" t="str">
        <f t="shared" si="328"/>
        <v>Forest Green</v>
      </c>
      <c r="E2784" s="21" t="s">
        <v>1828</v>
      </c>
      <c r="F2784" s="21" t="str">
        <f ca="1">IFERROR(__xludf.DUMMYFUNCTION("IFERROR(REGEXEXTRACT(O761, ""\n([A-Za-z ]+)$""), """")
"),"United States")</f>
        <v>United States</v>
      </c>
      <c r="G2784" s="4" t="str">
        <f t="shared" si="327"/>
        <v>Romper Longer</v>
      </c>
      <c r="H2784" s="38">
        <f t="shared" si="322"/>
        <v>1</v>
      </c>
      <c r="I2784" s="54">
        <f t="shared" si="330"/>
        <v>4</v>
      </c>
      <c r="J2784" s="14" t="str">
        <f t="shared" si="323"/>
        <v>NewYear</v>
      </c>
      <c r="K2784" s="16" t="str">
        <f t="shared" si="324"/>
        <v>3-6</v>
      </c>
      <c r="L2784" s="14" t="str">
        <f t="shared" si="326"/>
        <v>Romper Longer | 3-6 | Forest Green</v>
      </c>
      <c r="M2784" s="16" t="s">
        <v>3610</v>
      </c>
    </row>
    <row r="2785" spans="1:13" ht="25" customHeight="1" x14ac:dyDescent="0.45">
      <c r="A2785" s="18">
        <v>46408</v>
      </c>
      <c r="B2785" s="19" t="s">
        <v>2903</v>
      </c>
      <c r="C2785" s="23" t="s">
        <v>224</v>
      </c>
      <c r="D2785" s="53" t="str">
        <f t="shared" si="328"/>
        <v>Salmon</v>
      </c>
      <c r="E2785" s="21" t="s">
        <v>1831</v>
      </c>
      <c r="F2785" s="21" t="str">
        <f ca="1">IFERROR(__xludf.DUMMYFUNCTION("IFERROR(REGEXEXTRACT(O761, ""\n([A-Za-z ]+)$""), """")
"),"United States")</f>
        <v>United States</v>
      </c>
      <c r="G2785" s="4" t="str">
        <f t="shared" si="327"/>
        <v>Romper Longer</v>
      </c>
      <c r="H2785" s="38">
        <f t="shared" si="322"/>
        <v>1</v>
      </c>
      <c r="I2785" s="54">
        <f t="shared" si="330"/>
        <v>4</v>
      </c>
      <c r="J2785" s="14" t="str">
        <f t="shared" si="323"/>
        <v>NewYear</v>
      </c>
      <c r="K2785" s="16" t="str">
        <f t="shared" si="324"/>
        <v>0-3</v>
      </c>
      <c r="L2785" s="14" t="str">
        <f t="shared" si="326"/>
        <v>Romper Longer | 0-3 | Salmon</v>
      </c>
      <c r="M2785" s="16" t="s">
        <v>3610</v>
      </c>
    </row>
    <row r="2786" spans="1:13" ht="25" customHeight="1" x14ac:dyDescent="0.45">
      <c r="A2786" s="18">
        <v>46409</v>
      </c>
      <c r="B2786" s="19" t="s">
        <v>2904</v>
      </c>
      <c r="C2786" s="23" t="s">
        <v>9</v>
      </c>
      <c r="D2786" s="53" t="str">
        <f t="shared" si="328"/>
        <v>Cream</v>
      </c>
      <c r="E2786" s="21" t="s">
        <v>1831</v>
      </c>
      <c r="F2786" s="21" t="str">
        <f ca="1">IFERROR(__xludf.DUMMYFUNCTION("IFERROR(REGEXEXTRACT(O761, ""\n([A-Za-z ]+)$""), """")
"),"United States")</f>
        <v>United States</v>
      </c>
      <c r="G2786" s="4" t="str">
        <f t="shared" si="327"/>
        <v>Romper Longer</v>
      </c>
      <c r="H2786" s="38">
        <f t="shared" si="322"/>
        <v>1</v>
      </c>
      <c r="I2786" s="54">
        <f t="shared" si="330"/>
        <v>4</v>
      </c>
      <c r="J2786" s="14" t="str">
        <f t="shared" si="323"/>
        <v>NewYear</v>
      </c>
      <c r="K2786" s="16" t="str">
        <f t="shared" si="324"/>
        <v>0-3</v>
      </c>
      <c r="L2786" s="14" t="str">
        <f t="shared" si="326"/>
        <v>Romper Longer | 0-3 | Cream</v>
      </c>
      <c r="M2786" s="16" t="s">
        <v>3609</v>
      </c>
    </row>
    <row r="2787" spans="1:13" ht="25" customHeight="1" x14ac:dyDescent="0.45">
      <c r="A2787" s="18">
        <v>46410</v>
      </c>
      <c r="B2787" s="19" t="s">
        <v>2905</v>
      </c>
      <c r="C2787" s="23" t="s">
        <v>110</v>
      </c>
      <c r="D2787" s="53" t="str">
        <f t="shared" si="328"/>
        <v>Sage Green</v>
      </c>
      <c r="E2787" s="21" t="s">
        <v>1834</v>
      </c>
      <c r="F2787" s="21" t="str">
        <f ca="1">IFERROR(__xludf.DUMMYFUNCTION("IFERROR(REGEXEXTRACT(O761, ""\n([A-Za-z ]+)$""), """")
"),"United States")</f>
        <v>United States</v>
      </c>
      <c r="G2787" s="4" t="str">
        <f t="shared" si="327"/>
        <v>Romper Short</v>
      </c>
      <c r="H2787" s="38">
        <f t="shared" si="322"/>
        <v>1</v>
      </c>
      <c r="I2787" s="54">
        <f t="shared" si="330"/>
        <v>4</v>
      </c>
      <c r="J2787" s="14" t="str">
        <f t="shared" si="323"/>
        <v>NewYear</v>
      </c>
      <c r="K2787" s="16" t="str">
        <f t="shared" si="324"/>
        <v>0-3</v>
      </c>
      <c r="L2787" s="14" t="str">
        <f t="shared" si="326"/>
        <v>Romper Short | 0-3 | Sage Green</v>
      </c>
      <c r="M2787" s="16" t="s">
        <v>3610</v>
      </c>
    </row>
    <row r="2788" spans="1:13" ht="25" customHeight="1" x14ac:dyDescent="0.45">
      <c r="A2788" s="18">
        <v>46411</v>
      </c>
      <c r="B2788" s="19" t="s">
        <v>2906</v>
      </c>
      <c r="C2788" s="23" t="s">
        <v>110</v>
      </c>
      <c r="D2788" s="53" t="str">
        <f t="shared" si="328"/>
        <v>Sage Green</v>
      </c>
      <c r="E2788" s="21" t="s">
        <v>1841</v>
      </c>
      <c r="F2788" s="21" t="str">
        <f ca="1">IFERROR(__xludf.DUMMYFUNCTION("IFERROR(REGEXEXTRACT(O761, ""\n([A-Za-z ]+)$""), """")
"),"United States")</f>
        <v>United States</v>
      </c>
      <c r="G2788" s="4" t="str">
        <f t="shared" si="327"/>
        <v>Romper Longer</v>
      </c>
      <c r="H2788" s="38">
        <f t="shared" si="322"/>
        <v>1</v>
      </c>
      <c r="I2788" s="54">
        <f t="shared" si="330"/>
        <v>5</v>
      </c>
      <c r="J2788" s="14" t="str">
        <f t="shared" si="323"/>
        <v>NewYear</v>
      </c>
      <c r="K2788" s="16" t="str">
        <f t="shared" si="324"/>
        <v>6-12</v>
      </c>
      <c r="L2788" s="14" t="str">
        <f t="shared" si="326"/>
        <v>Romper Longer | 6-12 | Sage Green</v>
      </c>
      <c r="M2788" s="16" t="s">
        <v>3610</v>
      </c>
    </row>
    <row r="2789" spans="1:13" ht="25" customHeight="1" x14ac:dyDescent="0.45">
      <c r="A2789" s="18">
        <v>46412</v>
      </c>
      <c r="B2789" s="19" t="s">
        <v>2907</v>
      </c>
      <c r="C2789" s="23" t="s">
        <v>110</v>
      </c>
      <c r="D2789" s="53" t="str">
        <f t="shared" si="328"/>
        <v>Sage Green</v>
      </c>
      <c r="E2789" s="21" t="s">
        <v>1831</v>
      </c>
      <c r="F2789" s="21" t="str">
        <f ca="1">IFERROR(__xludf.DUMMYFUNCTION("IFERROR(REGEXEXTRACT(O761, ""\n([A-Za-z ]+)$""), """")
"),"United States")</f>
        <v>United States</v>
      </c>
      <c r="G2789" s="4" t="str">
        <f t="shared" si="327"/>
        <v>Romper Longer</v>
      </c>
      <c r="H2789" s="38">
        <f t="shared" si="322"/>
        <v>1</v>
      </c>
      <c r="I2789" s="54">
        <f t="shared" si="330"/>
        <v>5</v>
      </c>
      <c r="J2789" s="14" t="str">
        <f t="shared" si="323"/>
        <v>NewYear</v>
      </c>
      <c r="K2789" s="16" t="str">
        <f t="shared" si="324"/>
        <v>0-3</v>
      </c>
      <c r="L2789" s="14" t="str">
        <f t="shared" si="326"/>
        <v>Romper Longer | 0-3 | Sage Green</v>
      </c>
      <c r="M2789" s="16" t="s">
        <v>3611</v>
      </c>
    </row>
    <row r="2790" spans="1:13" ht="25" customHeight="1" x14ac:dyDescent="0.45">
      <c r="A2790" s="18">
        <v>46413</v>
      </c>
      <c r="B2790" s="19" t="s">
        <v>2908</v>
      </c>
      <c r="C2790" s="23" t="s">
        <v>81</v>
      </c>
      <c r="D2790" s="53" t="str">
        <f t="shared" si="328"/>
        <v>Dusty Pink</v>
      </c>
      <c r="E2790" s="21" t="s">
        <v>1841</v>
      </c>
      <c r="F2790" s="21" t="str">
        <f ca="1">IFERROR(__xludf.DUMMYFUNCTION("IFERROR(REGEXEXTRACT(O761, ""\n([A-Za-z ]+)$""), """")
"),"United States")</f>
        <v>United States</v>
      </c>
      <c r="G2790" s="4" t="str">
        <f t="shared" si="327"/>
        <v>Romper Longer</v>
      </c>
      <c r="H2790" s="38">
        <f t="shared" si="322"/>
        <v>1</v>
      </c>
      <c r="I2790" s="54">
        <f t="shared" si="330"/>
        <v>5</v>
      </c>
      <c r="J2790" s="14" t="str">
        <f t="shared" si="323"/>
        <v>NewYear</v>
      </c>
      <c r="K2790" s="16" t="str">
        <f t="shared" si="324"/>
        <v>6-12</v>
      </c>
      <c r="L2790" s="14" t="str">
        <f t="shared" si="326"/>
        <v>Romper Longer | 6-12 | Dusty Pink</v>
      </c>
      <c r="M2790" s="16" t="s">
        <v>3610</v>
      </c>
    </row>
    <row r="2791" spans="1:13" ht="25" customHeight="1" x14ac:dyDescent="0.45">
      <c r="A2791" s="18">
        <v>46414</v>
      </c>
      <c r="B2791" s="19" t="s">
        <v>2909</v>
      </c>
      <c r="C2791" s="23" t="s">
        <v>81</v>
      </c>
      <c r="D2791" s="53" t="str">
        <f t="shared" si="328"/>
        <v>Dusty Pink</v>
      </c>
      <c r="E2791" s="21" t="s">
        <v>1828</v>
      </c>
      <c r="F2791" s="21" t="str">
        <f ca="1">IFERROR(__xludf.DUMMYFUNCTION("IFERROR(REGEXEXTRACT(O761, ""\n([A-Za-z ]+)$""), """")
"),"United States")</f>
        <v>United States</v>
      </c>
      <c r="G2791" s="4" t="str">
        <f t="shared" si="327"/>
        <v>Romper Longer</v>
      </c>
      <c r="H2791" s="38">
        <f t="shared" si="322"/>
        <v>1</v>
      </c>
      <c r="I2791" s="54">
        <f t="shared" si="330"/>
        <v>5</v>
      </c>
      <c r="J2791" s="14" t="str">
        <f t="shared" si="323"/>
        <v>NewYear</v>
      </c>
      <c r="K2791" s="16" t="str">
        <f t="shared" si="324"/>
        <v>3-6</v>
      </c>
      <c r="L2791" s="14" t="str">
        <f t="shared" si="326"/>
        <v>Romper Longer | 3-6 | Dusty Pink</v>
      </c>
      <c r="M2791" s="16" t="s">
        <v>3610</v>
      </c>
    </row>
    <row r="2792" spans="1:13" ht="25" customHeight="1" x14ac:dyDescent="0.45">
      <c r="A2792" s="18">
        <v>46415</v>
      </c>
      <c r="B2792" s="19" t="s">
        <v>2910</v>
      </c>
      <c r="C2792" s="23" t="s">
        <v>110</v>
      </c>
      <c r="D2792" s="53" t="str">
        <f t="shared" si="328"/>
        <v>Sage Green</v>
      </c>
      <c r="E2792" s="21" t="s">
        <v>1849</v>
      </c>
      <c r="F2792" s="21" t="str">
        <f ca="1">IFERROR(__xludf.DUMMYFUNCTION("IFERROR(REGEXEXTRACT(O761, ""\n([A-Za-z ]+)$""), """")
"),"United States")</f>
        <v>United States</v>
      </c>
      <c r="G2792" s="4" t="str">
        <f t="shared" si="327"/>
        <v>Romper Short</v>
      </c>
      <c r="H2792" s="38">
        <f t="shared" si="322"/>
        <v>1</v>
      </c>
      <c r="I2792" s="54">
        <f t="shared" si="330"/>
        <v>5</v>
      </c>
      <c r="J2792" s="14" t="str">
        <f t="shared" si="323"/>
        <v>NewYear</v>
      </c>
      <c r="K2792" s="16" t="str">
        <f t="shared" si="324"/>
        <v>3-6</v>
      </c>
      <c r="L2792" s="14" t="str">
        <f t="shared" si="326"/>
        <v>Romper Short | 3-6 | Sage Green</v>
      </c>
      <c r="M2792" s="16" t="s">
        <v>3611</v>
      </c>
    </row>
    <row r="2793" spans="1:13" ht="25" customHeight="1" x14ac:dyDescent="0.45">
      <c r="A2793" s="18">
        <v>46416</v>
      </c>
      <c r="B2793" s="19" t="s">
        <v>2911</v>
      </c>
      <c r="C2793" s="23" t="s">
        <v>110</v>
      </c>
      <c r="D2793" s="53" t="str">
        <f t="shared" si="328"/>
        <v>Sage Green</v>
      </c>
      <c r="E2793" s="21" t="s">
        <v>1831</v>
      </c>
      <c r="F2793" s="21" t="str">
        <f ca="1">IFERROR(__xludf.DUMMYFUNCTION("IFERROR(REGEXEXTRACT(O761, ""\n([A-Za-z ]+)$""), """")
"),"United States")</f>
        <v>United States</v>
      </c>
      <c r="G2793" s="4" t="str">
        <f t="shared" si="327"/>
        <v>Romper Longer</v>
      </c>
      <c r="H2793" s="38">
        <f t="shared" si="322"/>
        <v>1</v>
      </c>
      <c r="I2793" s="54">
        <f t="shared" si="330"/>
        <v>5</v>
      </c>
      <c r="J2793" s="14" t="str">
        <f t="shared" si="323"/>
        <v>NewYear</v>
      </c>
      <c r="K2793" s="16" t="str">
        <f t="shared" si="324"/>
        <v>0-3</v>
      </c>
      <c r="L2793" s="14" t="str">
        <f t="shared" si="326"/>
        <v>Romper Longer | 0-3 | Sage Green</v>
      </c>
      <c r="M2793" s="16" t="s">
        <v>3611</v>
      </c>
    </row>
    <row r="2794" spans="1:13" ht="25" customHeight="1" x14ac:dyDescent="0.45">
      <c r="A2794" s="18">
        <v>46417</v>
      </c>
      <c r="B2794" s="19" t="s">
        <v>2912</v>
      </c>
      <c r="C2794" s="23" t="s">
        <v>81</v>
      </c>
      <c r="D2794" s="53" t="str">
        <f t="shared" si="328"/>
        <v>Dusty Pink</v>
      </c>
      <c r="E2794" s="21" t="s">
        <v>1831</v>
      </c>
      <c r="F2794" s="21" t="str">
        <f ca="1">IFERROR(__xludf.DUMMYFUNCTION("IFERROR(REGEXEXTRACT(O761, ""\n([A-Za-z ]+)$""), """")
"),"United States")</f>
        <v>United States</v>
      </c>
      <c r="G2794" s="4" t="str">
        <f t="shared" si="327"/>
        <v>Romper Longer</v>
      </c>
      <c r="H2794" s="38">
        <f t="shared" si="322"/>
        <v>1</v>
      </c>
      <c r="I2794" s="54">
        <f t="shared" si="330"/>
        <v>5</v>
      </c>
      <c r="J2794" s="14" t="str">
        <f t="shared" si="323"/>
        <v>NewYear</v>
      </c>
      <c r="K2794" s="16" t="str">
        <f t="shared" si="324"/>
        <v>0-3</v>
      </c>
      <c r="L2794" s="14" t="str">
        <f t="shared" si="326"/>
        <v>Romper Longer | 0-3 | Dusty Pink</v>
      </c>
      <c r="M2794" s="16" t="s">
        <v>3610</v>
      </c>
    </row>
    <row r="2795" spans="1:13" ht="25" customHeight="1" x14ac:dyDescent="0.45">
      <c r="A2795" s="18">
        <v>46418</v>
      </c>
      <c r="B2795" s="19" t="s">
        <v>2913</v>
      </c>
      <c r="C2795" s="23" t="s">
        <v>85</v>
      </c>
      <c r="D2795" s="53" t="str">
        <f t="shared" si="328"/>
        <v>Forest Green</v>
      </c>
      <c r="E2795" s="21" t="s">
        <v>1828</v>
      </c>
      <c r="F2795" s="21" t="str">
        <f ca="1">IFERROR(__xludf.DUMMYFUNCTION("IFERROR(REGEXEXTRACT(O761, ""\n([A-Za-z ]+)$""), """")
"),"United States")</f>
        <v>United States</v>
      </c>
      <c r="G2795" s="4" t="str">
        <f t="shared" si="327"/>
        <v>Romper Longer</v>
      </c>
      <c r="H2795" s="38">
        <f t="shared" si="322"/>
        <v>1</v>
      </c>
      <c r="I2795" s="54">
        <f t="shared" si="330"/>
        <v>6</v>
      </c>
      <c r="J2795" s="14" t="str">
        <f t="shared" si="323"/>
        <v>NewYear</v>
      </c>
      <c r="K2795" s="16" t="str">
        <f t="shared" si="324"/>
        <v>3-6</v>
      </c>
      <c r="L2795" s="14" t="str">
        <f t="shared" si="326"/>
        <v>Romper Longer | 3-6 | Forest Green</v>
      </c>
      <c r="M2795" s="16" t="s">
        <v>3610</v>
      </c>
    </row>
    <row r="2796" spans="1:13" ht="25" customHeight="1" x14ac:dyDescent="0.45">
      <c r="A2796" s="18">
        <v>46419</v>
      </c>
      <c r="B2796" s="19" t="s">
        <v>2914</v>
      </c>
      <c r="C2796" s="23" t="s">
        <v>71</v>
      </c>
      <c r="D2796" s="53" t="str">
        <f t="shared" si="328"/>
        <v>Coffee</v>
      </c>
      <c r="E2796" s="21" t="s">
        <v>1831</v>
      </c>
      <c r="F2796" s="21" t="str">
        <f ca="1">IFERROR(__xludf.DUMMYFUNCTION("IFERROR(REGEXEXTRACT(O761, ""\n([A-Za-z ]+)$""), """")
"),"United States")</f>
        <v>United States</v>
      </c>
      <c r="G2796" s="4" t="str">
        <f t="shared" si="327"/>
        <v>Romper Longer</v>
      </c>
      <c r="H2796" s="38">
        <f t="shared" si="322"/>
        <v>2</v>
      </c>
      <c r="I2796" s="54">
        <f t="shared" si="330"/>
        <v>6</v>
      </c>
      <c r="J2796" s="14" t="str">
        <f t="shared" si="323"/>
        <v>Valentine</v>
      </c>
      <c r="K2796" s="16" t="str">
        <f t="shared" si="324"/>
        <v>0-3</v>
      </c>
      <c r="L2796" s="14" t="str">
        <f t="shared" si="326"/>
        <v>Romper Longer | 0-3 | Coffee</v>
      </c>
      <c r="M2796" s="16" t="s">
        <v>3610</v>
      </c>
    </row>
    <row r="2797" spans="1:13" ht="25" customHeight="1" x14ac:dyDescent="0.45">
      <c r="A2797" s="18">
        <v>46420</v>
      </c>
      <c r="B2797" s="19" t="s">
        <v>2915</v>
      </c>
      <c r="C2797" s="23" t="s">
        <v>9</v>
      </c>
      <c r="D2797" s="53" t="str">
        <f t="shared" si="328"/>
        <v>Cream</v>
      </c>
      <c r="E2797" s="21" t="s">
        <v>1831</v>
      </c>
      <c r="F2797" s="21" t="str">
        <f ca="1">IFERROR(__xludf.DUMMYFUNCTION("IFERROR(REGEXEXTRACT(O761, ""\n([A-Za-z ]+)$""), """")
"),"United States")</f>
        <v>United States</v>
      </c>
      <c r="G2797" s="4" t="str">
        <f t="shared" si="327"/>
        <v>Romper Longer</v>
      </c>
      <c r="H2797" s="38">
        <f t="shared" si="322"/>
        <v>2</v>
      </c>
      <c r="I2797" s="54">
        <f t="shared" si="330"/>
        <v>6</v>
      </c>
      <c r="J2797" s="14" t="str">
        <f t="shared" si="323"/>
        <v>Valentine</v>
      </c>
      <c r="K2797" s="16" t="str">
        <f t="shared" si="324"/>
        <v>0-3</v>
      </c>
      <c r="L2797" s="14" t="str">
        <f t="shared" si="326"/>
        <v>Romper Longer | 0-3 | Cream</v>
      </c>
      <c r="M2797" s="16" t="s">
        <v>3609</v>
      </c>
    </row>
    <row r="2798" spans="1:13" ht="25" customHeight="1" x14ac:dyDescent="0.45">
      <c r="A2798" s="18">
        <v>46421</v>
      </c>
      <c r="B2798" s="19" t="s">
        <v>2916</v>
      </c>
      <c r="C2798" s="23" t="s">
        <v>85</v>
      </c>
      <c r="D2798" s="53" t="str">
        <f t="shared" si="328"/>
        <v>Forest Green</v>
      </c>
      <c r="E2798" s="21" t="s">
        <v>1828</v>
      </c>
      <c r="F2798" s="21" t="str">
        <f ca="1">IFERROR(__xludf.DUMMYFUNCTION("IFERROR(REGEXEXTRACT(O761, ""\n([A-Za-z ]+)$""), """")
"),"United States")</f>
        <v>United States</v>
      </c>
      <c r="G2798" s="4" t="str">
        <f t="shared" si="327"/>
        <v>Romper Longer</v>
      </c>
      <c r="H2798" s="38">
        <f t="shared" si="322"/>
        <v>2</v>
      </c>
      <c r="I2798" s="54">
        <f t="shared" si="330"/>
        <v>6</v>
      </c>
      <c r="J2798" s="14" t="str">
        <f t="shared" si="323"/>
        <v>Valentine</v>
      </c>
      <c r="K2798" s="16" t="str">
        <f t="shared" si="324"/>
        <v>3-6</v>
      </c>
      <c r="L2798" s="14" t="str">
        <f t="shared" si="326"/>
        <v>Romper Longer | 3-6 | Forest Green</v>
      </c>
      <c r="M2798" s="16" t="s">
        <v>3610</v>
      </c>
    </row>
    <row r="2799" spans="1:13" ht="25" customHeight="1" x14ac:dyDescent="0.45">
      <c r="A2799" s="18">
        <v>46422</v>
      </c>
      <c r="B2799" s="19" t="s">
        <v>2917</v>
      </c>
      <c r="C2799" s="23" t="s">
        <v>9</v>
      </c>
      <c r="D2799" s="53" t="str">
        <f t="shared" si="328"/>
        <v>Cream</v>
      </c>
      <c r="E2799" s="21" t="s">
        <v>1831</v>
      </c>
      <c r="F2799" s="21" t="str">
        <f ca="1">IFERROR(__xludf.DUMMYFUNCTION("IFERROR(REGEXEXTRACT(O761, ""\n([A-Za-z ]+)$""), """")
"),"United States")</f>
        <v>United States</v>
      </c>
      <c r="G2799" s="4" t="str">
        <f t="shared" si="327"/>
        <v>Romper Longer</v>
      </c>
      <c r="H2799" s="38">
        <f t="shared" si="322"/>
        <v>2</v>
      </c>
      <c r="I2799" s="54">
        <f t="shared" si="330"/>
        <v>6</v>
      </c>
      <c r="J2799" s="14" t="str">
        <f t="shared" si="323"/>
        <v>Valentine</v>
      </c>
      <c r="K2799" s="16" t="str">
        <f t="shared" si="324"/>
        <v>0-3</v>
      </c>
      <c r="L2799" s="14" t="str">
        <f t="shared" si="326"/>
        <v>Romper Longer | 0-3 | Cream</v>
      </c>
      <c r="M2799" s="16" t="s">
        <v>3609</v>
      </c>
    </row>
    <row r="2800" spans="1:13" ht="25" customHeight="1" x14ac:dyDescent="0.45">
      <c r="A2800" s="18">
        <v>46423</v>
      </c>
      <c r="B2800" s="19" t="s">
        <v>2918</v>
      </c>
      <c r="C2800" s="23" t="s">
        <v>110</v>
      </c>
      <c r="D2800" s="53" t="str">
        <f t="shared" si="328"/>
        <v>Sage Green</v>
      </c>
      <c r="E2800" s="21" t="s">
        <v>1849</v>
      </c>
      <c r="F2800" s="21" t="str">
        <f ca="1">IFERROR(__xludf.DUMMYFUNCTION("IFERROR(REGEXEXTRACT(O761, ""\n([A-Za-z ]+)$""), """")
"),"United States")</f>
        <v>United States</v>
      </c>
      <c r="G2800" s="4" t="str">
        <f t="shared" si="327"/>
        <v>Romper Short</v>
      </c>
      <c r="H2800" s="38">
        <f t="shared" si="322"/>
        <v>2</v>
      </c>
      <c r="I2800" s="54">
        <f t="shared" si="330"/>
        <v>6</v>
      </c>
      <c r="J2800" s="14" t="str">
        <f t="shared" si="323"/>
        <v>Valentine</v>
      </c>
      <c r="K2800" s="16" t="str">
        <f t="shared" si="324"/>
        <v>3-6</v>
      </c>
      <c r="L2800" s="14" t="str">
        <f t="shared" si="326"/>
        <v>Romper Short | 3-6 | Sage Green</v>
      </c>
      <c r="M2800" s="16" t="s">
        <v>3611</v>
      </c>
    </row>
    <row r="2801" spans="1:13" ht="25" customHeight="1" x14ac:dyDescent="0.45">
      <c r="A2801" s="18">
        <v>46424</v>
      </c>
      <c r="B2801" s="19" t="s">
        <v>2919</v>
      </c>
      <c r="C2801" s="23" t="s">
        <v>9</v>
      </c>
      <c r="D2801" s="53" t="str">
        <f t="shared" si="328"/>
        <v>Cream</v>
      </c>
      <c r="E2801" s="21" t="s">
        <v>1841</v>
      </c>
      <c r="F2801" s="21" t="str">
        <f ca="1">IFERROR(__xludf.DUMMYFUNCTION("IFERROR(REGEXEXTRACT(O761, ""\n([A-Za-z ]+)$""), """")
"),"United States")</f>
        <v>United States</v>
      </c>
      <c r="G2801" s="4" t="str">
        <f t="shared" si="327"/>
        <v>Romper Longer</v>
      </c>
      <c r="H2801" s="38">
        <f t="shared" si="322"/>
        <v>2</v>
      </c>
      <c r="I2801" s="54">
        <f t="shared" si="330"/>
        <v>6</v>
      </c>
      <c r="J2801" s="14" t="str">
        <f t="shared" si="323"/>
        <v>Valentine</v>
      </c>
      <c r="K2801" s="16" t="str">
        <f t="shared" si="324"/>
        <v>6-12</v>
      </c>
      <c r="L2801" s="14" t="str">
        <f t="shared" si="326"/>
        <v>Romper Longer | 6-12 | Cream</v>
      </c>
      <c r="M2801" s="16" t="s">
        <v>3611</v>
      </c>
    </row>
    <row r="2802" spans="1:13" ht="25" customHeight="1" x14ac:dyDescent="0.45">
      <c r="A2802" s="18">
        <v>46425</v>
      </c>
      <c r="B2802" s="19" t="s">
        <v>2920</v>
      </c>
      <c r="C2802" s="23" t="s">
        <v>224</v>
      </c>
      <c r="D2802" s="53" t="str">
        <f t="shared" si="328"/>
        <v>Salmon</v>
      </c>
      <c r="E2802" s="21" t="s">
        <v>1834</v>
      </c>
      <c r="F2802" s="21" t="str">
        <f ca="1">IFERROR(__xludf.DUMMYFUNCTION("IFERROR(REGEXEXTRACT(O761, ""\n([A-Za-z ]+)$""), """")
"),"United States")</f>
        <v>United States</v>
      </c>
      <c r="G2802" s="4" t="str">
        <f t="shared" si="327"/>
        <v>Romper Short</v>
      </c>
      <c r="H2802" s="38">
        <f t="shared" si="322"/>
        <v>2</v>
      </c>
      <c r="I2802" s="54">
        <f t="shared" si="330"/>
        <v>7</v>
      </c>
      <c r="J2802" s="14" t="str">
        <f t="shared" si="323"/>
        <v>Valentine</v>
      </c>
      <c r="K2802" s="16" t="str">
        <f t="shared" si="324"/>
        <v>0-3</v>
      </c>
      <c r="L2802" s="14" t="str">
        <f t="shared" si="326"/>
        <v>Romper Short | 0-3 | Salmon</v>
      </c>
      <c r="M2802" s="16" t="s">
        <v>3610</v>
      </c>
    </row>
    <row r="2803" spans="1:13" ht="25" customHeight="1" x14ac:dyDescent="0.45">
      <c r="A2803" s="18">
        <v>46426</v>
      </c>
      <c r="B2803" s="19" t="s">
        <v>2921</v>
      </c>
      <c r="C2803" s="23" t="s">
        <v>79</v>
      </c>
      <c r="D2803" s="53" t="str">
        <f t="shared" si="328"/>
        <v>White</v>
      </c>
      <c r="E2803" s="21" t="s">
        <v>1828</v>
      </c>
      <c r="F2803" s="21" t="str">
        <f ca="1">IFERROR(__xludf.DUMMYFUNCTION("IFERROR(REGEXEXTRACT(O761, ""\n([A-Za-z ]+)$""), """")
"),"United States")</f>
        <v>United States</v>
      </c>
      <c r="G2803" s="4" t="str">
        <f t="shared" si="327"/>
        <v>Romper Longer</v>
      </c>
      <c r="H2803" s="38">
        <f t="shared" si="322"/>
        <v>2</v>
      </c>
      <c r="I2803" s="54">
        <f t="shared" si="330"/>
        <v>7</v>
      </c>
      <c r="J2803" s="14" t="str">
        <f t="shared" si="323"/>
        <v>Valentine</v>
      </c>
      <c r="K2803" s="16" t="str">
        <f t="shared" si="324"/>
        <v>3-6</v>
      </c>
      <c r="L2803" s="14" t="str">
        <f t="shared" si="326"/>
        <v>Romper Longer | 3-6 | White</v>
      </c>
      <c r="M2803" s="16" t="s">
        <v>3610</v>
      </c>
    </row>
    <row r="2804" spans="1:13" ht="25" customHeight="1" x14ac:dyDescent="0.45">
      <c r="A2804" s="18">
        <v>46427</v>
      </c>
      <c r="B2804" s="19" t="s">
        <v>2922</v>
      </c>
      <c r="C2804" s="23" t="s">
        <v>9</v>
      </c>
      <c r="D2804" s="53" t="str">
        <f t="shared" si="328"/>
        <v>Cream</v>
      </c>
      <c r="E2804" s="21" t="s">
        <v>1420</v>
      </c>
      <c r="F2804" s="21" t="str">
        <f ca="1">IFERROR(__xludf.DUMMYFUNCTION("IFERROR(REGEXEXTRACT(O761, ""\n([A-Za-z ]+)$""), """")
"),"United States")</f>
        <v>United States</v>
      </c>
      <c r="G2804" s="4" t="str">
        <f t="shared" si="327"/>
        <v>Romper Short</v>
      </c>
      <c r="H2804" s="38">
        <f t="shared" si="322"/>
        <v>2</v>
      </c>
      <c r="I2804" s="54">
        <f t="shared" si="330"/>
        <v>7</v>
      </c>
      <c r="J2804" s="14" t="str">
        <f t="shared" si="323"/>
        <v>Valentine</v>
      </c>
      <c r="K2804" s="16" t="str">
        <f t="shared" si="324"/>
        <v>6-12</v>
      </c>
      <c r="L2804" s="14" t="str">
        <f t="shared" si="326"/>
        <v>Romper Short | 6-12 | Cream</v>
      </c>
      <c r="M2804" s="16" t="s">
        <v>3611</v>
      </c>
    </row>
    <row r="2805" spans="1:13" ht="25" customHeight="1" x14ac:dyDescent="0.45">
      <c r="A2805" s="18">
        <v>46428</v>
      </c>
      <c r="B2805" s="19" t="s">
        <v>2923</v>
      </c>
      <c r="C2805" s="23" t="s">
        <v>85</v>
      </c>
      <c r="D2805" s="53" t="str">
        <f t="shared" si="328"/>
        <v>Forest Green</v>
      </c>
      <c r="E2805" s="21" t="s">
        <v>1849</v>
      </c>
      <c r="F2805" s="21" t="str">
        <f ca="1">IFERROR(__xludf.DUMMYFUNCTION("IFERROR(REGEXEXTRACT(O761, ""\n([A-Za-z ]+)$""), """")
"),"United States")</f>
        <v>United States</v>
      </c>
      <c r="G2805" s="4" t="str">
        <f t="shared" si="327"/>
        <v>Romper Short</v>
      </c>
      <c r="H2805" s="38">
        <f t="shared" si="322"/>
        <v>2</v>
      </c>
      <c r="I2805" s="54">
        <f>WEEKNUM(A2805)</f>
        <v>7</v>
      </c>
      <c r="J2805" s="14" t="str">
        <f t="shared" si="323"/>
        <v>Valentine</v>
      </c>
      <c r="K2805" s="16" t="str">
        <f t="shared" si="324"/>
        <v>3-6</v>
      </c>
      <c r="L2805" s="14" t="str">
        <f t="shared" si="326"/>
        <v>Romper Short | 3-6 | Forest Green</v>
      </c>
      <c r="M2805" s="16" t="s">
        <v>3610</v>
      </c>
    </row>
    <row r="2806" spans="1:13" ht="25" customHeight="1" x14ac:dyDescent="0.45">
      <c r="A2806" s="18">
        <v>46429</v>
      </c>
      <c r="B2806" s="19" t="s">
        <v>2924</v>
      </c>
      <c r="C2806" s="23" t="s">
        <v>110</v>
      </c>
      <c r="D2806" s="53" t="str">
        <f t="shared" si="328"/>
        <v>Sage Green</v>
      </c>
      <c r="E2806" s="21" t="s">
        <v>1841</v>
      </c>
      <c r="F2806" s="21" t="str">
        <f ca="1">IFERROR(__xludf.DUMMYFUNCTION("IFERROR(REGEXEXTRACT(O761, ""\n([A-Za-z ]+)$""), """")
"),"United States")</f>
        <v>United States</v>
      </c>
      <c r="G2806" s="4" t="str">
        <f t="shared" si="327"/>
        <v>Romper Longer</v>
      </c>
      <c r="H2806" s="38">
        <f t="shared" si="322"/>
        <v>2</v>
      </c>
      <c r="I2806" s="54">
        <f>WEEKNUM(A2806)</f>
        <v>7</v>
      </c>
      <c r="J2806" s="14" t="str">
        <f t="shared" si="323"/>
        <v>Valentine</v>
      </c>
      <c r="K2806" s="16" t="str">
        <f t="shared" si="324"/>
        <v>6-12</v>
      </c>
      <c r="L2806" s="14" t="str">
        <f t="shared" si="326"/>
        <v>Romper Longer | 6-12 | Sage Green</v>
      </c>
      <c r="M2806" s="16" t="s">
        <v>3610</v>
      </c>
    </row>
    <row r="2807" spans="1:13" ht="25" customHeight="1" x14ac:dyDescent="0.45">
      <c r="A2807" s="18">
        <v>46430</v>
      </c>
      <c r="B2807" s="26" t="s">
        <v>2925</v>
      </c>
      <c r="C2807" s="26" t="s">
        <v>76</v>
      </c>
      <c r="D2807" s="53" t="str">
        <f t="shared" si="328"/>
        <v>Caldet Blue</v>
      </c>
      <c r="E2807" s="27" t="s">
        <v>1838</v>
      </c>
      <c r="F2807" s="21" t="str">
        <f ca="1">IFERROR(__xludf.DUMMYFUNCTION("IFERROR(REGEXEXTRACT(O761, ""\n([A-Za-z ]+)$""), """")
"),"United States")</f>
        <v>United States</v>
      </c>
      <c r="G2807" s="4" t="str">
        <f t="shared" si="327"/>
        <v>Romper Short</v>
      </c>
      <c r="H2807" s="38">
        <f t="shared" si="322"/>
        <v>2</v>
      </c>
      <c r="I2807" s="54">
        <f>WEEKNUM(A2807)</f>
        <v>7</v>
      </c>
      <c r="J2807" s="14" t="str">
        <f t="shared" si="323"/>
        <v>Valentine</v>
      </c>
      <c r="K2807" s="16" t="str">
        <f t="shared" si="324"/>
        <v>12-18</v>
      </c>
      <c r="L2807" s="14" t="str">
        <f t="shared" si="326"/>
        <v>Romper Short | 12-18 | Caldet Blue</v>
      </c>
      <c r="M2807" s="16" t="s">
        <v>3610</v>
      </c>
    </row>
    <row r="2808" spans="1:13" ht="25" customHeight="1" x14ac:dyDescent="0.45">
      <c r="A2808" s="18">
        <v>46431</v>
      </c>
      <c r="B2808" s="19" t="s">
        <v>2926</v>
      </c>
      <c r="C2808" s="23" t="s">
        <v>81</v>
      </c>
      <c r="D2808" s="53" t="str">
        <f t="shared" si="328"/>
        <v>Dusty Pink</v>
      </c>
      <c r="E2808" s="21" t="s">
        <v>1828</v>
      </c>
      <c r="F2808" s="21" t="str">
        <f ca="1">IFERROR(__xludf.DUMMYFUNCTION("IFERROR(REGEXEXTRACT(O761, ""\n([A-Za-z ]+)$""), """")
"),"United States")</f>
        <v>United States</v>
      </c>
      <c r="G2808" s="4" t="str">
        <f t="shared" si="327"/>
        <v>Romper Longer</v>
      </c>
      <c r="H2808" s="38">
        <f t="shared" ref="H2808:H2871" si="331">MONTH(A2808)</f>
        <v>2</v>
      </c>
      <c r="I2808" s="54">
        <f>WEEKNUM(A2808)</f>
        <v>7</v>
      </c>
      <c r="J2808" s="14" t="str">
        <f t="shared" ref="J2808:J2871" si="332">IF(H2808=1,"NewYear",
IF(H2808=2,"Valentine",
IF(OR(H2808=3,H2808=4),"Easter",
IF(H2808=5,"MothersDay",
IF(H2808=6,"FathersDay",
IF(OR(H2808=7,H2808=8),"Summer",
IF(H2808=10,"Halloween",
IF(OR(H2808=11,H2808=12),"Christmas","Normal"))))))))</f>
        <v>Valentine</v>
      </c>
      <c r="K2808" s="16" t="str">
        <f t="shared" ref="K2808:K2871" si="333">TRIM(LEFT(E2808,FIND("(",E2808&amp;"(")-3))</f>
        <v>3-6</v>
      </c>
      <c r="L2808" s="14" t="str">
        <f t="shared" si="326"/>
        <v>Romper Longer | 3-6 | Dusty Pink</v>
      </c>
      <c r="M2808" s="16" t="s">
        <v>3610</v>
      </c>
    </row>
    <row r="2809" spans="1:13" ht="25" customHeight="1" x14ac:dyDescent="0.45">
      <c r="A2809" s="18">
        <v>46432</v>
      </c>
      <c r="B2809" s="19" t="s">
        <v>2927</v>
      </c>
      <c r="C2809" s="23" t="s">
        <v>9</v>
      </c>
      <c r="D2809" s="53" t="str">
        <f t="shared" si="328"/>
        <v>Cream</v>
      </c>
      <c r="E2809" s="21" t="s">
        <v>1841</v>
      </c>
      <c r="F2809" s="21" t="str">
        <f ca="1">IFERROR(__xludf.DUMMYFUNCTION("IFERROR(REGEXEXTRACT(O761, ""\n([A-Za-z ]+)$""), """")
"),"United States")</f>
        <v>United States</v>
      </c>
      <c r="G2809" s="4" t="str">
        <f t="shared" si="327"/>
        <v>Romper Longer</v>
      </c>
      <c r="H2809" s="38">
        <f t="shared" si="331"/>
        <v>2</v>
      </c>
      <c r="I2809" s="54">
        <f>WEEKNUM(A2809)</f>
        <v>8</v>
      </c>
      <c r="J2809" s="14" t="str">
        <f t="shared" si="332"/>
        <v>Valentine</v>
      </c>
      <c r="K2809" s="16" t="str">
        <f t="shared" si="333"/>
        <v>6-12</v>
      </c>
      <c r="L2809" s="14" t="str">
        <f t="shared" si="326"/>
        <v>Romper Longer | 6-12 | Cream</v>
      </c>
      <c r="M2809" s="16" t="s">
        <v>3611</v>
      </c>
    </row>
    <row r="2810" spans="1:13" ht="25" customHeight="1" x14ac:dyDescent="0.45">
      <c r="A2810" s="18">
        <v>46433</v>
      </c>
      <c r="B2810" s="19" t="s">
        <v>2928</v>
      </c>
      <c r="C2810" s="23" t="s">
        <v>178</v>
      </c>
      <c r="D2810" s="53" t="str">
        <f t="shared" si="328"/>
        <v>Mauve Taupe</v>
      </c>
      <c r="E2810" s="21" t="s">
        <v>1420</v>
      </c>
      <c r="F2810" s="21" t="str">
        <f ca="1">IFERROR(__xludf.DUMMYFUNCTION("IFERROR(REGEXEXTRACT(O761, ""\n([A-Za-z ]+)$""), """")
"),"United States")</f>
        <v>United States</v>
      </c>
      <c r="G2810" s="4" t="str">
        <f t="shared" si="327"/>
        <v>Romper Short</v>
      </c>
      <c r="H2810" s="38">
        <f t="shared" si="331"/>
        <v>2</v>
      </c>
      <c r="I2810" s="54">
        <f t="shared" ref="I2810:I2824" si="334">WEEKNUM(A2810)</f>
        <v>8</v>
      </c>
      <c r="J2810" s="14" t="str">
        <f t="shared" si="332"/>
        <v>Valentine</v>
      </c>
      <c r="K2810" s="16" t="str">
        <f t="shared" si="333"/>
        <v>6-12</v>
      </c>
      <c r="L2810" s="14" t="str">
        <f t="shared" si="326"/>
        <v>Romper Short | 6-12 | Mauve Taupe</v>
      </c>
      <c r="M2810" s="16" t="s">
        <v>3610</v>
      </c>
    </row>
    <row r="2811" spans="1:13" ht="25" customHeight="1" x14ac:dyDescent="0.45">
      <c r="A2811" s="18">
        <v>46434</v>
      </c>
      <c r="B2811" s="19" t="s">
        <v>2929</v>
      </c>
      <c r="C2811" s="23" t="s">
        <v>81</v>
      </c>
      <c r="D2811" s="53" t="str">
        <f t="shared" si="328"/>
        <v>Dusty Pink</v>
      </c>
      <c r="E2811" s="21" t="s">
        <v>1831</v>
      </c>
      <c r="F2811" s="21" t="str">
        <f ca="1">IFERROR(__xludf.DUMMYFUNCTION("IFERROR(REGEXEXTRACT(O761, ""\n([A-Za-z ]+)$""), """")
"),"United States")</f>
        <v>United States</v>
      </c>
      <c r="G2811" s="4" t="str">
        <f t="shared" si="327"/>
        <v>Romper Longer</v>
      </c>
      <c r="H2811" s="38">
        <f t="shared" si="331"/>
        <v>2</v>
      </c>
      <c r="I2811" s="54">
        <f t="shared" si="334"/>
        <v>8</v>
      </c>
      <c r="J2811" s="14" t="str">
        <f t="shared" si="332"/>
        <v>Valentine</v>
      </c>
      <c r="K2811" s="16" t="str">
        <f t="shared" si="333"/>
        <v>0-3</v>
      </c>
      <c r="L2811" s="14" t="str">
        <f t="shared" si="326"/>
        <v>Romper Longer | 0-3 | Dusty Pink</v>
      </c>
      <c r="M2811" s="16" t="s">
        <v>3610</v>
      </c>
    </row>
    <row r="2812" spans="1:13" ht="25" customHeight="1" x14ac:dyDescent="0.45">
      <c r="A2812" s="18">
        <v>46435</v>
      </c>
      <c r="B2812" s="19" t="s">
        <v>2930</v>
      </c>
      <c r="C2812" s="23" t="s">
        <v>224</v>
      </c>
      <c r="D2812" s="53" t="str">
        <f t="shared" si="328"/>
        <v>Salmon</v>
      </c>
      <c r="E2812" s="21" t="s">
        <v>1550</v>
      </c>
      <c r="F2812" s="21" t="str">
        <f ca="1">IFERROR(__xludf.DUMMYFUNCTION("IFERROR(REGEXEXTRACT(O761, ""\n([A-Za-z ]+)$""), """")
"),"United States")</f>
        <v>United States</v>
      </c>
      <c r="G2812" s="4" t="str">
        <f t="shared" si="327"/>
        <v>Romper Longer</v>
      </c>
      <c r="H2812" s="38">
        <f t="shared" si="331"/>
        <v>2</v>
      </c>
      <c r="I2812" s="54">
        <f t="shared" si="334"/>
        <v>8</v>
      </c>
      <c r="J2812" s="14" t="str">
        <f t="shared" si="332"/>
        <v>Valentine</v>
      </c>
      <c r="K2812" s="16" t="str">
        <f t="shared" si="333"/>
        <v>12-18</v>
      </c>
      <c r="L2812" s="14" t="str">
        <f t="shared" si="326"/>
        <v>Romper Longer | 12-18 | Salmon</v>
      </c>
      <c r="M2812" s="16" t="s">
        <v>3610</v>
      </c>
    </row>
    <row r="2813" spans="1:13" ht="25" customHeight="1" x14ac:dyDescent="0.45">
      <c r="A2813" s="18">
        <v>46436</v>
      </c>
      <c r="B2813" s="19" t="s">
        <v>2931</v>
      </c>
      <c r="C2813" s="23" t="s">
        <v>81</v>
      </c>
      <c r="D2813" s="53" t="str">
        <f t="shared" si="328"/>
        <v>Dusty Pink</v>
      </c>
      <c r="E2813" s="21" t="s">
        <v>1849</v>
      </c>
      <c r="F2813" s="21" t="str">
        <f ca="1">IFERROR(__xludf.DUMMYFUNCTION("IFERROR(REGEXEXTRACT(O761, ""\n([A-Za-z ]+)$""), """")
"),"United States")</f>
        <v>United States</v>
      </c>
      <c r="G2813" s="4" t="str">
        <f t="shared" si="327"/>
        <v>Romper Short</v>
      </c>
      <c r="H2813" s="38">
        <f t="shared" si="331"/>
        <v>2</v>
      </c>
      <c r="I2813" s="54">
        <f t="shared" si="334"/>
        <v>8</v>
      </c>
      <c r="J2813" s="14" t="str">
        <f t="shared" si="332"/>
        <v>Valentine</v>
      </c>
      <c r="K2813" s="16" t="str">
        <f t="shared" si="333"/>
        <v>3-6</v>
      </c>
      <c r="L2813" s="14" t="str">
        <f t="shared" si="326"/>
        <v>Romper Short | 3-6 | Dusty Pink</v>
      </c>
      <c r="M2813" s="16" t="s">
        <v>3610</v>
      </c>
    </row>
    <row r="2814" spans="1:13" ht="25" customHeight="1" x14ac:dyDescent="0.45">
      <c r="A2814" s="18">
        <v>46437</v>
      </c>
      <c r="B2814" s="19" t="s">
        <v>2932</v>
      </c>
      <c r="C2814" s="23" t="s">
        <v>110</v>
      </c>
      <c r="D2814" s="53" t="str">
        <f t="shared" si="328"/>
        <v>Sage Green</v>
      </c>
      <c r="E2814" s="21" t="s">
        <v>1841</v>
      </c>
      <c r="F2814" s="21" t="str">
        <f ca="1">IFERROR(__xludf.DUMMYFUNCTION("IFERROR(REGEXEXTRACT(O761, ""\n([A-Za-z ]+)$""), """")
"),"United States")</f>
        <v>United States</v>
      </c>
      <c r="G2814" s="4" t="str">
        <f t="shared" si="327"/>
        <v>Romper Longer</v>
      </c>
      <c r="H2814" s="38">
        <f t="shared" si="331"/>
        <v>2</v>
      </c>
      <c r="I2814" s="54">
        <f t="shared" si="334"/>
        <v>8</v>
      </c>
      <c r="J2814" s="14" t="str">
        <f t="shared" si="332"/>
        <v>Valentine</v>
      </c>
      <c r="K2814" s="16" t="str">
        <f t="shared" si="333"/>
        <v>6-12</v>
      </c>
      <c r="L2814" s="14" t="str">
        <f t="shared" si="326"/>
        <v>Romper Longer | 6-12 | Sage Green</v>
      </c>
      <c r="M2814" s="16" t="s">
        <v>3610</v>
      </c>
    </row>
    <row r="2815" spans="1:13" ht="25" customHeight="1" x14ac:dyDescent="0.45">
      <c r="A2815" s="18">
        <v>46438</v>
      </c>
      <c r="B2815" s="19" t="s">
        <v>2933</v>
      </c>
      <c r="C2815" s="23" t="s">
        <v>9</v>
      </c>
      <c r="D2815" s="53" t="str">
        <f t="shared" si="328"/>
        <v>Cream</v>
      </c>
      <c r="E2815" s="21" t="s">
        <v>1831</v>
      </c>
      <c r="F2815" s="21" t="str">
        <f ca="1">IFERROR(__xludf.DUMMYFUNCTION("IFERROR(REGEXEXTRACT(O761, ""\n([A-Za-z ]+)$""), """")
"),"United States")</f>
        <v>United States</v>
      </c>
      <c r="G2815" s="4" t="str">
        <f t="shared" si="327"/>
        <v>Romper Longer</v>
      </c>
      <c r="H2815" s="38">
        <f t="shared" si="331"/>
        <v>2</v>
      </c>
      <c r="I2815" s="54">
        <f t="shared" si="334"/>
        <v>8</v>
      </c>
      <c r="J2815" s="14" t="str">
        <f t="shared" si="332"/>
        <v>Valentine</v>
      </c>
      <c r="K2815" s="16" t="str">
        <f t="shared" si="333"/>
        <v>0-3</v>
      </c>
      <c r="L2815" s="14" t="str">
        <f t="shared" si="326"/>
        <v>Romper Longer | 0-3 | Cream</v>
      </c>
      <c r="M2815" s="16" t="s">
        <v>3609</v>
      </c>
    </row>
    <row r="2816" spans="1:13" ht="25" customHeight="1" x14ac:dyDescent="0.45">
      <c r="A2816" s="18">
        <v>46439</v>
      </c>
      <c r="B2816" s="19" t="s">
        <v>2934</v>
      </c>
      <c r="C2816" s="23" t="s">
        <v>79</v>
      </c>
      <c r="D2816" s="53" t="str">
        <f t="shared" si="328"/>
        <v>White</v>
      </c>
      <c r="E2816" s="21" t="s">
        <v>1831</v>
      </c>
      <c r="F2816" s="21" t="str">
        <f ca="1">IFERROR(__xludf.DUMMYFUNCTION("IFERROR(REGEXEXTRACT(O761, ""\n([A-Za-z ]+)$""), """")
"),"United States")</f>
        <v>United States</v>
      </c>
      <c r="G2816" s="4" t="str">
        <f t="shared" si="327"/>
        <v>Romper Longer</v>
      </c>
      <c r="H2816" s="38">
        <f t="shared" si="331"/>
        <v>2</v>
      </c>
      <c r="I2816" s="54">
        <f t="shared" si="334"/>
        <v>9</v>
      </c>
      <c r="J2816" s="14" t="str">
        <f t="shared" si="332"/>
        <v>Valentine</v>
      </c>
      <c r="K2816" s="16" t="str">
        <f t="shared" si="333"/>
        <v>0-3</v>
      </c>
      <c r="L2816" s="14" t="str">
        <f t="shared" si="326"/>
        <v>Romper Longer | 0-3 | White</v>
      </c>
      <c r="M2816" s="16" t="s">
        <v>3610</v>
      </c>
    </row>
    <row r="2817" spans="1:13" ht="25" customHeight="1" x14ac:dyDescent="0.45">
      <c r="A2817" s="18">
        <v>46440</v>
      </c>
      <c r="B2817" s="19" t="s">
        <v>2935</v>
      </c>
      <c r="C2817" s="23" t="s">
        <v>9</v>
      </c>
      <c r="D2817" s="53" t="str">
        <f t="shared" si="328"/>
        <v>Cream</v>
      </c>
      <c r="E2817" s="21" t="s">
        <v>1849</v>
      </c>
      <c r="F2817" s="21" t="str">
        <f ca="1">IFERROR(__xludf.DUMMYFUNCTION("IFERROR(REGEXEXTRACT(O761, ""\n([A-Za-z ]+)$""), """")
"),"United States")</f>
        <v>United States</v>
      </c>
      <c r="G2817" s="4" t="str">
        <f t="shared" si="327"/>
        <v>Romper Short</v>
      </c>
      <c r="H2817" s="38">
        <f t="shared" si="331"/>
        <v>2</v>
      </c>
      <c r="I2817" s="54">
        <f t="shared" si="334"/>
        <v>9</v>
      </c>
      <c r="J2817" s="14" t="str">
        <f t="shared" si="332"/>
        <v>Valentine</v>
      </c>
      <c r="K2817" s="16" t="str">
        <f t="shared" si="333"/>
        <v>3-6</v>
      </c>
      <c r="L2817" s="14" t="str">
        <f t="shared" si="326"/>
        <v>Romper Short | 3-6 | Cream</v>
      </c>
      <c r="M2817" s="16" t="s">
        <v>3609</v>
      </c>
    </row>
    <row r="2818" spans="1:13" ht="25" customHeight="1" x14ac:dyDescent="0.45">
      <c r="A2818" s="18">
        <v>46441</v>
      </c>
      <c r="B2818" s="19" t="s">
        <v>2936</v>
      </c>
      <c r="C2818" s="23" t="s">
        <v>79</v>
      </c>
      <c r="D2818" s="53" t="str">
        <f t="shared" si="328"/>
        <v>White</v>
      </c>
      <c r="E2818" s="21" t="s">
        <v>1834</v>
      </c>
      <c r="F2818" s="21" t="str">
        <f ca="1">IFERROR(__xludf.DUMMYFUNCTION("IFERROR(REGEXEXTRACT(O761, ""\n([A-Za-z ]+)$""), """")
"),"United States")</f>
        <v>United States</v>
      </c>
      <c r="G2818" s="4" t="str">
        <f t="shared" si="327"/>
        <v>Romper Short</v>
      </c>
      <c r="H2818" s="38">
        <f t="shared" si="331"/>
        <v>2</v>
      </c>
      <c r="I2818" s="54">
        <f t="shared" si="334"/>
        <v>9</v>
      </c>
      <c r="J2818" s="14" t="str">
        <f t="shared" si="332"/>
        <v>Valentine</v>
      </c>
      <c r="K2818" s="16" t="str">
        <f t="shared" si="333"/>
        <v>0-3</v>
      </c>
      <c r="L2818" s="14" t="str">
        <f t="shared" ref="L2818:L2881" si="335">TRIM(G2818)&amp;" | "&amp;TRIM(K2818)&amp;" | "&amp;PROPER(TRIM(D2818))</f>
        <v>Romper Short | 0-3 | White</v>
      </c>
      <c r="M2818" s="16" t="s">
        <v>3610</v>
      </c>
    </row>
    <row r="2819" spans="1:13" ht="25" customHeight="1" x14ac:dyDescent="0.45">
      <c r="A2819" s="18">
        <v>46442</v>
      </c>
      <c r="B2819" s="19" t="s">
        <v>2937</v>
      </c>
      <c r="C2819" s="23" t="s">
        <v>74</v>
      </c>
      <c r="D2819" s="53" t="str">
        <f t="shared" si="328"/>
        <v>Watermelon</v>
      </c>
      <c r="E2819" s="21" t="s">
        <v>1849</v>
      </c>
      <c r="F2819" s="21" t="str">
        <f ca="1">IFERROR(__xludf.DUMMYFUNCTION("IFERROR(REGEXEXTRACT(O761, ""\n([A-Za-z ]+)$""), """")
"),"United States")</f>
        <v>United States</v>
      </c>
      <c r="G2819" s="4" t="str">
        <f t="shared" si="327"/>
        <v>Romper Short</v>
      </c>
      <c r="H2819" s="38">
        <f t="shared" si="331"/>
        <v>2</v>
      </c>
      <c r="I2819" s="54">
        <f t="shared" si="334"/>
        <v>9</v>
      </c>
      <c r="J2819" s="14" t="str">
        <f t="shared" si="332"/>
        <v>Valentine</v>
      </c>
      <c r="K2819" s="16" t="str">
        <f t="shared" si="333"/>
        <v>3-6</v>
      </c>
      <c r="L2819" s="14" t="str">
        <f t="shared" si="335"/>
        <v>Romper Short | 3-6 | Watermelon</v>
      </c>
      <c r="M2819" s="16" t="s">
        <v>3610</v>
      </c>
    </row>
    <row r="2820" spans="1:13" ht="25" customHeight="1" x14ac:dyDescent="0.45">
      <c r="A2820" s="18">
        <v>46443</v>
      </c>
      <c r="B2820" s="19" t="s">
        <v>2938</v>
      </c>
      <c r="C2820" s="23" t="s">
        <v>81</v>
      </c>
      <c r="D2820" s="53" t="str">
        <f t="shared" si="328"/>
        <v>Dusty Pink</v>
      </c>
      <c r="E2820" s="21" t="s">
        <v>1841</v>
      </c>
      <c r="F2820" s="21" t="str">
        <f ca="1">IFERROR(__xludf.DUMMYFUNCTION("IFERROR(REGEXEXTRACT(O761, ""\n([A-Za-z ]+)$""), """")
"),"United States")</f>
        <v>United States</v>
      </c>
      <c r="G2820" s="4" t="str">
        <f t="shared" si="327"/>
        <v>Romper Longer</v>
      </c>
      <c r="H2820" s="38">
        <f t="shared" si="331"/>
        <v>2</v>
      </c>
      <c r="I2820" s="54">
        <f t="shared" si="334"/>
        <v>9</v>
      </c>
      <c r="J2820" s="14" t="str">
        <f t="shared" si="332"/>
        <v>Valentine</v>
      </c>
      <c r="K2820" s="16" t="str">
        <f t="shared" si="333"/>
        <v>6-12</v>
      </c>
      <c r="L2820" s="14" t="str">
        <f t="shared" si="335"/>
        <v>Romper Longer | 6-12 | Dusty Pink</v>
      </c>
      <c r="M2820" s="16" t="s">
        <v>3610</v>
      </c>
    </row>
    <row r="2821" spans="1:13" ht="25" customHeight="1" x14ac:dyDescent="0.45">
      <c r="A2821" s="18">
        <v>46444</v>
      </c>
      <c r="B2821" s="19" t="s">
        <v>2939</v>
      </c>
      <c r="C2821" s="23" t="s">
        <v>9</v>
      </c>
      <c r="D2821" s="53" t="str">
        <f t="shared" si="328"/>
        <v>Cream</v>
      </c>
      <c r="E2821" s="21" t="s">
        <v>1834</v>
      </c>
      <c r="F2821" s="21" t="str">
        <f ca="1">IFERROR(__xludf.DUMMYFUNCTION("IFERROR(REGEXEXTRACT(O761, ""\n([A-Za-z ]+)$""), """")
"),"United States")</f>
        <v>United States</v>
      </c>
      <c r="G2821" s="4" t="str">
        <f t="shared" si="327"/>
        <v>Romper Short</v>
      </c>
      <c r="H2821" s="38">
        <f t="shared" si="331"/>
        <v>2</v>
      </c>
      <c r="I2821" s="54">
        <f t="shared" si="334"/>
        <v>9</v>
      </c>
      <c r="J2821" s="14" t="str">
        <f t="shared" si="332"/>
        <v>Valentine</v>
      </c>
      <c r="K2821" s="16" t="str">
        <f t="shared" si="333"/>
        <v>0-3</v>
      </c>
      <c r="L2821" s="14" t="str">
        <f t="shared" si="335"/>
        <v>Romper Short | 0-3 | Cream</v>
      </c>
      <c r="M2821" s="16" t="s">
        <v>3609</v>
      </c>
    </row>
    <row r="2822" spans="1:13" ht="25" customHeight="1" x14ac:dyDescent="0.45">
      <c r="A2822" s="18">
        <v>46445</v>
      </c>
      <c r="B2822" s="19" t="s">
        <v>2940</v>
      </c>
      <c r="C2822" s="23" t="s">
        <v>71</v>
      </c>
      <c r="D2822" s="53" t="str">
        <f t="shared" si="328"/>
        <v>Coffee</v>
      </c>
      <c r="E2822" s="21" t="s">
        <v>1849</v>
      </c>
      <c r="F2822" s="21" t="str">
        <f ca="1">IFERROR(__xludf.DUMMYFUNCTION("IFERROR(REGEXEXTRACT(O761, ""\n([A-Za-z ]+)$""), """")
"),"United States")</f>
        <v>United States</v>
      </c>
      <c r="G2822" s="4" t="str">
        <f t="shared" si="327"/>
        <v>Romper Short</v>
      </c>
      <c r="H2822" s="38">
        <f t="shared" si="331"/>
        <v>2</v>
      </c>
      <c r="I2822" s="54">
        <f t="shared" si="334"/>
        <v>9</v>
      </c>
      <c r="J2822" s="14" t="str">
        <f t="shared" si="332"/>
        <v>Valentine</v>
      </c>
      <c r="K2822" s="16" t="str">
        <f t="shared" si="333"/>
        <v>3-6</v>
      </c>
      <c r="L2822" s="14" t="str">
        <f t="shared" si="335"/>
        <v>Romper Short | 3-6 | Coffee</v>
      </c>
      <c r="M2822" s="16" t="s">
        <v>3610</v>
      </c>
    </row>
    <row r="2823" spans="1:13" ht="25" customHeight="1" x14ac:dyDescent="0.45">
      <c r="A2823" s="18">
        <v>46446</v>
      </c>
      <c r="B2823" s="19" t="s">
        <v>2941</v>
      </c>
      <c r="C2823" s="23" t="s">
        <v>9</v>
      </c>
      <c r="D2823" s="53" t="str">
        <f t="shared" si="328"/>
        <v>Cream</v>
      </c>
      <c r="E2823" s="21" t="s">
        <v>1550</v>
      </c>
      <c r="F2823" s="21" t="str">
        <f ca="1">IFERROR(__xludf.DUMMYFUNCTION("IFERROR(REGEXEXTRACT(O761, ""\n([A-Za-z ]+)$""), """")
"),"United States")</f>
        <v>United States</v>
      </c>
      <c r="G2823" s="4" t="str">
        <f t="shared" si="327"/>
        <v>Romper Longer</v>
      </c>
      <c r="H2823" s="38">
        <f t="shared" si="331"/>
        <v>2</v>
      </c>
      <c r="I2823" s="54">
        <f t="shared" si="334"/>
        <v>10</v>
      </c>
      <c r="J2823" s="14" t="str">
        <f t="shared" si="332"/>
        <v>Valentine</v>
      </c>
      <c r="K2823" s="16" t="str">
        <f t="shared" si="333"/>
        <v>12-18</v>
      </c>
      <c r="L2823" s="14" t="str">
        <f t="shared" si="335"/>
        <v>Romper Longer | 12-18 | Cream</v>
      </c>
      <c r="M2823" s="16" t="s">
        <v>3610</v>
      </c>
    </row>
    <row r="2824" spans="1:13" ht="25" customHeight="1" x14ac:dyDescent="0.45">
      <c r="A2824" s="18">
        <v>46447</v>
      </c>
      <c r="B2824" s="19" t="s">
        <v>2942</v>
      </c>
      <c r="C2824" s="23" t="s">
        <v>81</v>
      </c>
      <c r="D2824" s="53" t="str">
        <f t="shared" si="328"/>
        <v>Dusty Pink</v>
      </c>
      <c r="E2824" s="21" t="s">
        <v>1838</v>
      </c>
      <c r="F2824" s="21" t="str">
        <f ca="1">IFERROR(__xludf.DUMMYFUNCTION("IFERROR(REGEXEXTRACT(O761, ""\n([A-Za-z ]+)$""), """")
"),"United States")</f>
        <v>United States</v>
      </c>
      <c r="G2824" s="4" t="str">
        <f t="shared" si="327"/>
        <v>Romper Short</v>
      </c>
      <c r="H2824" s="38">
        <f t="shared" si="331"/>
        <v>3</v>
      </c>
      <c r="I2824" s="54">
        <f t="shared" si="334"/>
        <v>10</v>
      </c>
      <c r="J2824" s="14" t="str">
        <f t="shared" si="332"/>
        <v>Easter</v>
      </c>
      <c r="K2824" s="16" t="str">
        <f t="shared" si="333"/>
        <v>12-18</v>
      </c>
      <c r="L2824" s="14" t="str">
        <f t="shared" si="335"/>
        <v>Romper Short | 12-18 | Dusty Pink</v>
      </c>
      <c r="M2824" s="16" t="s">
        <v>3610</v>
      </c>
    </row>
    <row r="2825" spans="1:13" ht="25" customHeight="1" x14ac:dyDescent="0.45">
      <c r="A2825" s="18">
        <v>46448</v>
      </c>
      <c r="B2825" s="19" t="s">
        <v>2943</v>
      </c>
      <c r="C2825" s="23" t="s">
        <v>74</v>
      </c>
      <c r="D2825" s="53" t="str">
        <f t="shared" si="328"/>
        <v>Watermelon</v>
      </c>
      <c r="E2825" s="21" t="s">
        <v>1831</v>
      </c>
      <c r="F2825" s="21" t="str">
        <f ca="1">IFERROR(__xludf.DUMMYFUNCTION("IFERROR(REGEXEXTRACT(O761, ""\n([A-Za-z ]+)$""), """")
"),"United States")</f>
        <v>United States</v>
      </c>
      <c r="G2825" s="4" t="str">
        <f t="shared" si="327"/>
        <v>Romper Longer</v>
      </c>
      <c r="H2825" s="38">
        <f t="shared" si="331"/>
        <v>3</v>
      </c>
      <c r="I2825" s="54">
        <f>WEEKNUM(A2825)</f>
        <v>10</v>
      </c>
      <c r="J2825" s="14" t="str">
        <f t="shared" si="332"/>
        <v>Easter</v>
      </c>
      <c r="K2825" s="16" t="str">
        <f t="shared" si="333"/>
        <v>0-3</v>
      </c>
      <c r="L2825" s="14" t="str">
        <f t="shared" si="335"/>
        <v>Romper Longer | 0-3 | Watermelon</v>
      </c>
      <c r="M2825" s="16" t="s">
        <v>3610</v>
      </c>
    </row>
    <row r="2826" spans="1:13" ht="25" customHeight="1" x14ac:dyDescent="0.45">
      <c r="A2826" s="18">
        <v>46449</v>
      </c>
      <c r="B2826" s="19" t="s">
        <v>2944</v>
      </c>
      <c r="C2826" s="23" t="s">
        <v>9</v>
      </c>
      <c r="D2826" s="53" t="str">
        <f t="shared" si="328"/>
        <v>Cream</v>
      </c>
      <c r="E2826" s="21" t="s">
        <v>1831</v>
      </c>
      <c r="F2826" s="21" t="str">
        <f ca="1">IFERROR(__xludf.DUMMYFUNCTION("IFERROR(REGEXEXTRACT(O761, ""\n([A-Za-z ]+)$""), """")
"),"United States")</f>
        <v>United States</v>
      </c>
      <c r="G2826" s="4" t="str">
        <f t="shared" si="327"/>
        <v>Romper Longer</v>
      </c>
      <c r="H2826" s="38">
        <f t="shared" si="331"/>
        <v>3</v>
      </c>
      <c r="I2826" s="54">
        <f>WEEKNUM(A2826)</f>
        <v>10</v>
      </c>
      <c r="J2826" s="14" t="str">
        <f t="shared" si="332"/>
        <v>Easter</v>
      </c>
      <c r="K2826" s="16" t="str">
        <f t="shared" si="333"/>
        <v>0-3</v>
      </c>
      <c r="L2826" s="14" t="str">
        <f t="shared" si="335"/>
        <v>Romper Longer | 0-3 | Cream</v>
      </c>
      <c r="M2826" s="16" t="s">
        <v>3609</v>
      </c>
    </row>
    <row r="2827" spans="1:13" ht="25" customHeight="1" x14ac:dyDescent="0.45">
      <c r="A2827" s="18">
        <v>46450</v>
      </c>
      <c r="B2827" s="19" t="s">
        <v>2945</v>
      </c>
      <c r="C2827" s="23" t="s">
        <v>224</v>
      </c>
      <c r="D2827" s="53" t="str">
        <f t="shared" si="328"/>
        <v>Salmon</v>
      </c>
      <c r="E2827" s="21" t="s">
        <v>1831</v>
      </c>
      <c r="F2827" s="21" t="str">
        <f ca="1">IFERROR(__xludf.DUMMYFUNCTION("IFERROR(REGEXEXTRACT(O761, ""\n([A-Za-z ]+)$""), """")
"),"United States")</f>
        <v>United States</v>
      </c>
      <c r="G2827" s="4" t="str">
        <f t="shared" si="327"/>
        <v>Romper Longer</v>
      </c>
      <c r="H2827" s="38">
        <f t="shared" si="331"/>
        <v>3</v>
      </c>
      <c r="I2827" s="54">
        <f>WEEKNUM(A2827)</f>
        <v>10</v>
      </c>
      <c r="J2827" s="14" t="str">
        <f t="shared" si="332"/>
        <v>Easter</v>
      </c>
      <c r="K2827" s="16" t="str">
        <f t="shared" si="333"/>
        <v>0-3</v>
      </c>
      <c r="L2827" s="14" t="str">
        <f t="shared" si="335"/>
        <v>Romper Longer | 0-3 | Salmon</v>
      </c>
      <c r="M2827" s="16" t="s">
        <v>3610</v>
      </c>
    </row>
    <row r="2828" spans="1:13" ht="25" customHeight="1" x14ac:dyDescent="0.45">
      <c r="A2828" s="18">
        <v>46451</v>
      </c>
      <c r="B2828" s="19" t="s">
        <v>2946</v>
      </c>
      <c r="C2828" s="23" t="s">
        <v>81</v>
      </c>
      <c r="D2828" s="53" t="str">
        <f t="shared" si="328"/>
        <v>Dusty Pink</v>
      </c>
      <c r="E2828" s="21" t="s">
        <v>1828</v>
      </c>
      <c r="F2828" s="21" t="str">
        <f ca="1">IFERROR(__xludf.DUMMYFUNCTION("IFERROR(REGEXEXTRACT(O761, ""\n([A-Za-z ]+)$""), """")
"),"United States")</f>
        <v>United States</v>
      </c>
      <c r="G2828" s="4" t="str">
        <f t="shared" si="327"/>
        <v>Romper Longer</v>
      </c>
      <c r="H2828" s="38">
        <f t="shared" si="331"/>
        <v>3</v>
      </c>
      <c r="I2828" s="54">
        <f>WEEKNUM(A2828)</f>
        <v>10</v>
      </c>
      <c r="J2828" s="14" t="str">
        <f t="shared" si="332"/>
        <v>Easter</v>
      </c>
      <c r="K2828" s="16" t="str">
        <f t="shared" si="333"/>
        <v>3-6</v>
      </c>
      <c r="L2828" s="14" t="str">
        <f t="shared" si="335"/>
        <v>Romper Longer | 3-6 | Dusty Pink</v>
      </c>
      <c r="M2828" s="16" t="s">
        <v>3610</v>
      </c>
    </row>
    <row r="2829" spans="1:13" ht="25" customHeight="1" x14ac:dyDescent="0.45">
      <c r="A2829" s="18">
        <v>46452</v>
      </c>
      <c r="B2829" s="19" t="s">
        <v>2947</v>
      </c>
      <c r="C2829" s="23" t="s">
        <v>85</v>
      </c>
      <c r="D2829" s="53" t="str">
        <f t="shared" si="328"/>
        <v>Forest Green</v>
      </c>
      <c r="E2829" s="21" t="s">
        <v>1828</v>
      </c>
      <c r="F2829" s="21" t="str">
        <f ca="1">IFERROR(__xludf.DUMMYFUNCTION("IFERROR(REGEXEXTRACT(O761, ""\n([A-Za-z ]+)$""), """")
"),"United States")</f>
        <v>United States</v>
      </c>
      <c r="G2829" s="4" t="str">
        <f t="shared" si="327"/>
        <v>Romper Longer</v>
      </c>
      <c r="H2829" s="38">
        <f t="shared" si="331"/>
        <v>3</v>
      </c>
      <c r="I2829" s="54">
        <f>WEEKNUM(A2829)</f>
        <v>10</v>
      </c>
      <c r="J2829" s="14" t="str">
        <f t="shared" si="332"/>
        <v>Easter</v>
      </c>
      <c r="K2829" s="16" t="str">
        <f t="shared" si="333"/>
        <v>3-6</v>
      </c>
      <c r="L2829" s="14" t="str">
        <f t="shared" si="335"/>
        <v>Romper Longer | 3-6 | Forest Green</v>
      </c>
      <c r="M2829" s="16" t="s">
        <v>3610</v>
      </c>
    </row>
    <row r="2830" spans="1:13" ht="25" customHeight="1" x14ac:dyDescent="0.45">
      <c r="A2830" s="18">
        <v>46453</v>
      </c>
      <c r="B2830" s="19" t="s">
        <v>2948</v>
      </c>
      <c r="C2830" s="23" t="s">
        <v>76</v>
      </c>
      <c r="D2830" s="53" t="str">
        <f t="shared" si="328"/>
        <v>Caldet Blue</v>
      </c>
      <c r="E2830" s="21" t="s">
        <v>1828</v>
      </c>
      <c r="F2830" s="21" t="str">
        <f ca="1">IFERROR(__xludf.DUMMYFUNCTION("IFERROR(REGEXEXTRACT(O761, ""\n([A-Za-z ]+)$""), """")
"),"United States")</f>
        <v>United States</v>
      </c>
      <c r="G2830" s="4" t="str">
        <f t="shared" si="327"/>
        <v>Romper Longer</v>
      </c>
      <c r="H2830" s="38">
        <f t="shared" si="331"/>
        <v>3</v>
      </c>
      <c r="I2830" s="54">
        <f t="shared" ref="I2830:I2840" si="336">WEEKNUM(A2830)</f>
        <v>11</v>
      </c>
      <c r="J2830" s="14" t="str">
        <f t="shared" si="332"/>
        <v>Easter</v>
      </c>
      <c r="K2830" s="16" t="str">
        <f t="shared" si="333"/>
        <v>3-6</v>
      </c>
      <c r="L2830" s="14" t="str">
        <f t="shared" si="335"/>
        <v>Romper Longer | 3-6 | Caldet Blue</v>
      </c>
      <c r="M2830" s="16" t="s">
        <v>3610</v>
      </c>
    </row>
    <row r="2831" spans="1:13" ht="25" customHeight="1" x14ac:dyDescent="0.45">
      <c r="A2831" s="18">
        <v>46454</v>
      </c>
      <c r="B2831" s="19" t="s">
        <v>2949</v>
      </c>
      <c r="C2831" s="23" t="s">
        <v>81</v>
      </c>
      <c r="D2831" s="53" t="str">
        <f t="shared" si="328"/>
        <v>Dusty Pink</v>
      </c>
      <c r="E2831" s="21" t="s">
        <v>1828</v>
      </c>
      <c r="F2831" s="21" t="str">
        <f ca="1">IFERROR(__xludf.DUMMYFUNCTION("IFERROR(REGEXEXTRACT(O761, ""\n([A-Za-z ]+)$""), """")
"),"United States")</f>
        <v>United States</v>
      </c>
      <c r="G2831" s="4" t="str">
        <f t="shared" ref="G2831:G2894" si="337">IF(ISNUMBER(SEARCH("LONG",E2831)),"Romper Longer",IF(ISNUMBER(SEARCH("SHORT",E2831)),"Romper Short","Bodysuit"))</f>
        <v>Romper Longer</v>
      </c>
      <c r="H2831" s="38">
        <f t="shared" si="331"/>
        <v>3</v>
      </c>
      <c r="I2831" s="54">
        <f t="shared" si="336"/>
        <v>11</v>
      </c>
      <c r="J2831" s="14" t="str">
        <f t="shared" si="332"/>
        <v>Easter</v>
      </c>
      <c r="K2831" s="16" t="str">
        <f t="shared" si="333"/>
        <v>3-6</v>
      </c>
      <c r="L2831" s="14" t="str">
        <f t="shared" si="335"/>
        <v>Romper Longer | 3-6 | Dusty Pink</v>
      </c>
      <c r="M2831" s="16" t="s">
        <v>3610</v>
      </c>
    </row>
    <row r="2832" spans="1:13" ht="25" customHeight="1" x14ac:dyDescent="0.45">
      <c r="A2832" s="18">
        <v>46455</v>
      </c>
      <c r="B2832" s="19" t="s">
        <v>2950</v>
      </c>
      <c r="C2832" s="23" t="s">
        <v>71</v>
      </c>
      <c r="D2832" s="53" t="str">
        <f t="shared" si="328"/>
        <v>Coffee</v>
      </c>
      <c r="E2832" s="21" t="s">
        <v>1841</v>
      </c>
      <c r="F2832" s="21" t="str">
        <f ca="1">IFERROR(__xludf.DUMMYFUNCTION("IFERROR(REGEXEXTRACT(O761, ""\n([A-Za-z ]+)$""), """")
"),"United States")</f>
        <v>United States</v>
      </c>
      <c r="G2832" s="4" t="str">
        <f t="shared" si="337"/>
        <v>Romper Longer</v>
      </c>
      <c r="H2832" s="38">
        <f t="shared" si="331"/>
        <v>3</v>
      </c>
      <c r="I2832" s="54">
        <f t="shared" si="336"/>
        <v>11</v>
      </c>
      <c r="J2832" s="14" t="str">
        <f t="shared" si="332"/>
        <v>Easter</v>
      </c>
      <c r="K2832" s="16" t="str">
        <f t="shared" si="333"/>
        <v>6-12</v>
      </c>
      <c r="L2832" s="14" t="str">
        <f t="shared" si="335"/>
        <v>Romper Longer | 6-12 | Coffee</v>
      </c>
      <c r="M2832" s="16" t="s">
        <v>3610</v>
      </c>
    </row>
    <row r="2833" spans="1:13" ht="25" customHeight="1" x14ac:dyDescent="0.45">
      <c r="A2833" s="18">
        <v>46456</v>
      </c>
      <c r="B2833" s="19" t="s">
        <v>2951</v>
      </c>
      <c r="C2833" s="23" t="s">
        <v>76</v>
      </c>
      <c r="D2833" s="53" t="str">
        <f t="shared" si="328"/>
        <v>Caldet Blue</v>
      </c>
      <c r="E2833" s="21" t="s">
        <v>1831</v>
      </c>
      <c r="F2833" s="21" t="str">
        <f ca="1">IFERROR(__xludf.DUMMYFUNCTION("IFERROR(REGEXEXTRACT(O761, ""\n([A-Za-z ]+)$""), """")
"),"United States")</f>
        <v>United States</v>
      </c>
      <c r="G2833" s="4" t="str">
        <f t="shared" si="337"/>
        <v>Romper Longer</v>
      </c>
      <c r="H2833" s="38">
        <f t="shared" si="331"/>
        <v>3</v>
      </c>
      <c r="I2833" s="54">
        <f t="shared" si="336"/>
        <v>11</v>
      </c>
      <c r="J2833" s="14" t="str">
        <f t="shared" si="332"/>
        <v>Easter</v>
      </c>
      <c r="K2833" s="16" t="str">
        <f t="shared" si="333"/>
        <v>0-3</v>
      </c>
      <c r="L2833" s="14" t="str">
        <f t="shared" si="335"/>
        <v>Romper Longer | 0-3 | Caldet Blue</v>
      </c>
      <c r="M2833" s="16" t="s">
        <v>3610</v>
      </c>
    </row>
    <row r="2834" spans="1:13" ht="25" customHeight="1" x14ac:dyDescent="0.45">
      <c r="A2834" s="18">
        <v>46457</v>
      </c>
      <c r="B2834" s="19" t="s">
        <v>2952</v>
      </c>
      <c r="C2834" s="23" t="s">
        <v>81</v>
      </c>
      <c r="D2834" s="53" t="str">
        <f t="shared" si="328"/>
        <v>Dusty Pink</v>
      </c>
      <c r="E2834" s="21" t="s">
        <v>1370</v>
      </c>
      <c r="F2834" s="21" t="str">
        <f ca="1">IFERROR(__xludf.DUMMYFUNCTION("IFERROR(REGEXEXTRACT(O761, ""\n([A-Za-z ]+)$""), """")
"),"United States")</f>
        <v>United States</v>
      </c>
      <c r="G2834" s="4" t="str">
        <f t="shared" si="337"/>
        <v>Romper Short</v>
      </c>
      <c r="H2834" s="38">
        <f t="shared" si="331"/>
        <v>3</v>
      </c>
      <c r="I2834" s="54">
        <f t="shared" si="336"/>
        <v>11</v>
      </c>
      <c r="J2834" s="14" t="str">
        <f t="shared" si="332"/>
        <v>Easter</v>
      </c>
      <c r="K2834" s="16" t="str">
        <f t="shared" si="333"/>
        <v>18-24</v>
      </c>
      <c r="L2834" s="14" t="str">
        <f t="shared" si="335"/>
        <v>Romper Short | 18-24 | Dusty Pink</v>
      </c>
      <c r="M2834" s="16" t="s">
        <v>3610</v>
      </c>
    </row>
    <row r="2835" spans="1:13" ht="25" customHeight="1" x14ac:dyDescent="0.45">
      <c r="A2835" s="18">
        <v>46458</v>
      </c>
      <c r="B2835" s="19" t="s">
        <v>2953</v>
      </c>
      <c r="C2835" s="23" t="s">
        <v>110</v>
      </c>
      <c r="D2835" s="53" t="str">
        <f t="shared" ref="D2835:D2898" si="338">PROPER(C2835)</f>
        <v>Sage Green</v>
      </c>
      <c r="E2835" s="21" t="s">
        <v>1828</v>
      </c>
      <c r="F2835" s="21" t="str">
        <f ca="1">IFERROR(__xludf.DUMMYFUNCTION("IFERROR(REGEXEXTRACT(O761, ""\n([A-Za-z ]+)$""), """")
"),"United States")</f>
        <v>United States</v>
      </c>
      <c r="G2835" s="4" t="str">
        <f t="shared" si="337"/>
        <v>Romper Longer</v>
      </c>
      <c r="H2835" s="38">
        <f t="shared" si="331"/>
        <v>3</v>
      </c>
      <c r="I2835" s="54">
        <f t="shared" si="336"/>
        <v>11</v>
      </c>
      <c r="J2835" s="14" t="str">
        <f t="shared" si="332"/>
        <v>Easter</v>
      </c>
      <c r="K2835" s="16" t="str">
        <f t="shared" si="333"/>
        <v>3-6</v>
      </c>
      <c r="L2835" s="14" t="str">
        <f t="shared" si="335"/>
        <v>Romper Longer | 3-6 | Sage Green</v>
      </c>
      <c r="M2835" s="16" t="s">
        <v>3611</v>
      </c>
    </row>
    <row r="2836" spans="1:13" ht="25" customHeight="1" x14ac:dyDescent="0.45">
      <c r="A2836" s="18">
        <v>46459</v>
      </c>
      <c r="B2836" s="19" t="s">
        <v>2954</v>
      </c>
      <c r="C2836" s="23" t="s">
        <v>9</v>
      </c>
      <c r="D2836" s="53" t="str">
        <f t="shared" si="338"/>
        <v>Cream</v>
      </c>
      <c r="E2836" s="21" t="s">
        <v>1834</v>
      </c>
      <c r="F2836" s="21" t="str">
        <f ca="1">IFERROR(__xludf.DUMMYFUNCTION("IFERROR(REGEXEXTRACT(O761, ""\n([A-Za-z ]+)$""), """")
"),"United States")</f>
        <v>United States</v>
      </c>
      <c r="G2836" s="4" t="str">
        <f t="shared" si="337"/>
        <v>Romper Short</v>
      </c>
      <c r="H2836" s="38">
        <f t="shared" si="331"/>
        <v>3</v>
      </c>
      <c r="I2836" s="54">
        <f t="shared" si="336"/>
        <v>11</v>
      </c>
      <c r="J2836" s="14" t="str">
        <f t="shared" si="332"/>
        <v>Easter</v>
      </c>
      <c r="K2836" s="16" t="str">
        <f t="shared" si="333"/>
        <v>0-3</v>
      </c>
      <c r="L2836" s="14" t="str">
        <f t="shared" si="335"/>
        <v>Romper Short | 0-3 | Cream</v>
      </c>
      <c r="M2836" s="16" t="s">
        <v>3609</v>
      </c>
    </row>
    <row r="2837" spans="1:13" ht="25" customHeight="1" x14ac:dyDescent="0.45">
      <c r="A2837" s="18">
        <v>46460</v>
      </c>
      <c r="B2837" s="19" t="s">
        <v>2955</v>
      </c>
      <c r="C2837" s="23" t="s">
        <v>9</v>
      </c>
      <c r="D2837" s="53" t="str">
        <f t="shared" si="338"/>
        <v>Cream</v>
      </c>
      <c r="E2837" s="21" t="s">
        <v>1831</v>
      </c>
      <c r="F2837" s="21" t="str">
        <f ca="1">IFERROR(__xludf.DUMMYFUNCTION("IFERROR(REGEXEXTRACT(O761, ""\n([A-Za-z ]+)$""), """")
"),"United States")</f>
        <v>United States</v>
      </c>
      <c r="G2837" s="4" t="str">
        <f t="shared" si="337"/>
        <v>Romper Longer</v>
      </c>
      <c r="H2837" s="38">
        <f t="shared" si="331"/>
        <v>3</v>
      </c>
      <c r="I2837" s="54">
        <f t="shared" si="336"/>
        <v>12</v>
      </c>
      <c r="J2837" s="14" t="str">
        <f t="shared" si="332"/>
        <v>Easter</v>
      </c>
      <c r="K2837" s="16" t="str">
        <f t="shared" si="333"/>
        <v>0-3</v>
      </c>
      <c r="L2837" s="14" t="str">
        <f t="shared" si="335"/>
        <v>Romper Longer | 0-3 | Cream</v>
      </c>
      <c r="M2837" s="16" t="s">
        <v>3609</v>
      </c>
    </row>
    <row r="2838" spans="1:13" ht="25" customHeight="1" x14ac:dyDescent="0.45">
      <c r="A2838" s="18">
        <v>46461</v>
      </c>
      <c r="B2838" s="19" t="s">
        <v>2956</v>
      </c>
      <c r="C2838" s="23" t="s">
        <v>74</v>
      </c>
      <c r="D2838" s="53" t="str">
        <f t="shared" si="338"/>
        <v>Watermelon</v>
      </c>
      <c r="E2838" s="21" t="s">
        <v>1550</v>
      </c>
      <c r="F2838" s="21" t="str">
        <f ca="1">IFERROR(__xludf.DUMMYFUNCTION("IFERROR(REGEXEXTRACT(O761, ""\n([A-Za-z ]+)$""), """")
"),"United States")</f>
        <v>United States</v>
      </c>
      <c r="G2838" s="4" t="str">
        <f t="shared" si="337"/>
        <v>Romper Longer</v>
      </c>
      <c r="H2838" s="38">
        <f t="shared" si="331"/>
        <v>3</v>
      </c>
      <c r="I2838" s="54">
        <f t="shared" si="336"/>
        <v>12</v>
      </c>
      <c r="J2838" s="14" t="str">
        <f t="shared" si="332"/>
        <v>Easter</v>
      </c>
      <c r="K2838" s="16" t="str">
        <f t="shared" si="333"/>
        <v>12-18</v>
      </c>
      <c r="L2838" s="14" t="str">
        <f t="shared" si="335"/>
        <v>Romper Longer | 12-18 | Watermelon</v>
      </c>
      <c r="M2838" s="16" t="s">
        <v>3610</v>
      </c>
    </row>
    <row r="2839" spans="1:13" ht="25" customHeight="1" x14ac:dyDescent="0.45">
      <c r="A2839" s="18">
        <v>46462</v>
      </c>
      <c r="B2839" s="19" t="s">
        <v>2957</v>
      </c>
      <c r="C2839" s="23" t="s">
        <v>81</v>
      </c>
      <c r="D2839" s="53" t="str">
        <f t="shared" si="338"/>
        <v>Dusty Pink</v>
      </c>
      <c r="E2839" s="21" t="s">
        <v>1831</v>
      </c>
      <c r="F2839" s="21" t="str">
        <f ca="1">IFERROR(__xludf.DUMMYFUNCTION("IFERROR(REGEXEXTRACT(O761, ""\n([A-Za-z ]+)$""), """")
"),"United States")</f>
        <v>United States</v>
      </c>
      <c r="G2839" s="4" t="str">
        <f t="shared" si="337"/>
        <v>Romper Longer</v>
      </c>
      <c r="H2839" s="38">
        <f t="shared" si="331"/>
        <v>3</v>
      </c>
      <c r="I2839" s="54">
        <f t="shared" si="336"/>
        <v>12</v>
      </c>
      <c r="J2839" s="14" t="str">
        <f t="shared" si="332"/>
        <v>Easter</v>
      </c>
      <c r="K2839" s="16" t="str">
        <f t="shared" si="333"/>
        <v>0-3</v>
      </c>
      <c r="L2839" s="14" t="str">
        <f t="shared" si="335"/>
        <v>Romper Longer | 0-3 | Dusty Pink</v>
      </c>
      <c r="M2839" s="16" t="s">
        <v>3610</v>
      </c>
    </row>
    <row r="2840" spans="1:13" ht="25" customHeight="1" x14ac:dyDescent="0.45">
      <c r="A2840" s="18">
        <v>46463</v>
      </c>
      <c r="B2840" s="19" t="s">
        <v>2958</v>
      </c>
      <c r="C2840" s="23" t="s">
        <v>407</v>
      </c>
      <c r="D2840" s="53" t="str">
        <f t="shared" si="338"/>
        <v>Texas Orange</v>
      </c>
      <c r="E2840" s="21" t="s">
        <v>1831</v>
      </c>
      <c r="F2840" s="21" t="str">
        <f ca="1">IFERROR(__xludf.DUMMYFUNCTION("IFERROR(REGEXEXTRACT(O761, ""\n([A-Za-z ]+)$""), """")
"),"United States")</f>
        <v>United States</v>
      </c>
      <c r="G2840" s="4" t="str">
        <f t="shared" si="337"/>
        <v>Romper Longer</v>
      </c>
      <c r="H2840" s="38">
        <f t="shared" si="331"/>
        <v>3</v>
      </c>
      <c r="I2840" s="54">
        <f t="shared" si="336"/>
        <v>12</v>
      </c>
      <c r="J2840" s="14" t="str">
        <f t="shared" si="332"/>
        <v>Easter</v>
      </c>
      <c r="K2840" s="16" t="str">
        <f t="shared" si="333"/>
        <v>0-3</v>
      </c>
      <c r="L2840" s="14" t="str">
        <f t="shared" si="335"/>
        <v>Romper Longer | 0-3 | Texas Orange</v>
      </c>
      <c r="M2840" s="16" t="s">
        <v>3610</v>
      </c>
    </row>
    <row r="2841" spans="1:13" ht="25" customHeight="1" x14ac:dyDescent="0.45">
      <c r="A2841" s="18">
        <v>46464</v>
      </c>
      <c r="B2841" s="19" t="s">
        <v>2959</v>
      </c>
      <c r="C2841" s="23" t="s">
        <v>9</v>
      </c>
      <c r="D2841" s="53" t="str">
        <f t="shared" si="338"/>
        <v>Cream</v>
      </c>
      <c r="E2841" s="21" t="s">
        <v>1420</v>
      </c>
      <c r="F2841" s="21" t="str">
        <f ca="1">IFERROR(__xludf.DUMMYFUNCTION("IFERROR(REGEXEXTRACT(O761, ""\n([A-Za-z ]+)$""), """")
"),"United States")</f>
        <v>United States</v>
      </c>
      <c r="G2841" s="4" t="str">
        <f t="shared" si="337"/>
        <v>Romper Short</v>
      </c>
      <c r="H2841" s="38">
        <f t="shared" si="331"/>
        <v>3</v>
      </c>
      <c r="I2841" s="54">
        <f>WEEKNUM(A2841)</f>
        <v>12</v>
      </c>
      <c r="J2841" s="14" t="str">
        <f t="shared" si="332"/>
        <v>Easter</v>
      </c>
      <c r="K2841" s="16" t="str">
        <f t="shared" si="333"/>
        <v>6-12</v>
      </c>
      <c r="L2841" s="14" t="str">
        <f t="shared" si="335"/>
        <v>Romper Short | 6-12 | Cream</v>
      </c>
      <c r="M2841" s="16" t="s">
        <v>3611</v>
      </c>
    </row>
    <row r="2842" spans="1:13" ht="25" customHeight="1" x14ac:dyDescent="0.45">
      <c r="A2842" s="18">
        <v>46465</v>
      </c>
      <c r="B2842" s="19" t="s">
        <v>2960</v>
      </c>
      <c r="C2842" s="23" t="s">
        <v>110</v>
      </c>
      <c r="D2842" s="53" t="str">
        <f t="shared" si="338"/>
        <v>Sage Green</v>
      </c>
      <c r="E2842" s="21" t="s">
        <v>1841</v>
      </c>
      <c r="F2842" s="21" t="str">
        <f ca="1">IFERROR(__xludf.DUMMYFUNCTION("IFERROR(REGEXEXTRACT(O761, ""\n([A-Za-z ]+)$""), """")
"),"United States")</f>
        <v>United States</v>
      </c>
      <c r="G2842" s="4" t="str">
        <f t="shared" si="337"/>
        <v>Romper Longer</v>
      </c>
      <c r="H2842" s="38">
        <f t="shared" si="331"/>
        <v>3</v>
      </c>
      <c r="I2842" s="54">
        <f>WEEKNUM(A2842)</f>
        <v>12</v>
      </c>
      <c r="J2842" s="14" t="str">
        <f t="shared" si="332"/>
        <v>Easter</v>
      </c>
      <c r="K2842" s="16" t="str">
        <f t="shared" si="333"/>
        <v>6-12</v>
      </c>
      <c r="L2842" s="14" t="str">
        <f t="shared" si="335"/>
        <v>Romper Longer | 6-12 | Sage Green</v>
      </c>
      <c r="M2842" s="16" t="s">
        <v>3610</v>
      </c>
    </row>
    <row r="2843" spans="1:13" ht="25" customHeight="1" x14ac:dyDescent="0.45">
      <c r="A2843" s="18">
        <v>46466</v>
      </c>
      <c r="B2843" s="19" t="s">
        <v>2961</v>
      </c>
      <c r="C2843" s="23" t="s">
        <v>9</v>
      </c>
      <c r="D2843" s="53" t="str">
        <f t="shared" si="338"/>
        <v>Cream</v>
      </c>
      <c r="E2843" s="21" t="s">
        <v>1849</v>
      </c>
      <c r="F2843" s="21" t="str">
        <f ca="1">IFERROR(__xludf.DUMMYFUNCTION("IFERROR(REGEXEXTRACT(O761, ""\n([A-Za-z ]+)$""), """")
"),"United States")</f>
        <v>United States</v>
      </c>
      <c r="G2843" s="4" t="str">
        <f t="shared" si="337"/>
        <v>Romper Short</v>
      </c>
      <c r="H2843" s="38">
        <f t="shared" si="331"/>
        <v>3</v>
      </c>
      <c r="I2843" s="54">
        <f>WEEKNUM(A2843)</f>
        <v>12</v>
      </c>
      <c r="J2843" s="14" t="str">
        <f t="shared" si="332"/>
        <v>Easter</v>
      </c>
      <c r="K2843" s="16" t="str">
        <f t="shared" si="333"/>
        <v>3-6</v>
      </c>
      <c r="L2843" s="14" t="str">
        <f t="shared" si="335"/>
        <v>Romper Short | 3-6 | Cream</v>
      </c>
      <c r="M2843" s="16" t="s">
        <v>3609</v>
      </c>
    </row>
    <row r="2844" spans="1:13" ht="25" customHeight="1" x14ac:dyDescent="0.45">
      <c r="A2844" s="18">
        <v>46467</v>
      </c>
      <c r="B2844" s="19" t="s">
        <v>2962</v>
      </c>
      <c r="C2844" s="23" t="s">
        <v>110</v>
      </c>
      <c r="D2844" s="53" t="str">
        <f t="shared" si="338"/>
        <v>Sage Green</v>
      </c>
      <c r="E2844" s="21" t="s">
        <v>1849</v>
      </c>
      <c r="F2844" s="21" t="str">
        <f ca="1">IFERROR(__xludf.DUMMYFUNCTION("IFERROR(REGEXEXTRACT(O761, ""\n([A-Za-z ]+)$""), """")
"),"United States")</f>
        <v>United States</v>
      </c>
      <c r="G2844" s="4" t="str">
        <f t="shared" si="337"/>
        <v>Romper Short</v>
      </c>
      <c r="H2844" s="38">
        <f t="shared" si="331"/>
        <v>3</v>
      </c>
      <c r="I2844" s="54">
        <f>WEEKNUM(A2844)</f>
        <v>13</v>
      </c>
      <c r="J2844" s="14" t="str">
        <f t="shared" si="332"/>
        <v>Easter</v>
      </c>
      <c r="K2844" s="16" t="str">
        <f t="shared" si="333"/>
        <v>3-6</v>
      </c>
      <c r="L2844" s="14" t="str">
        <f t="shared" si="335"/>
        <v>Romper Short | 3-6 | Sage Green</v>
      </c>
      <c r="M2844" s="16" t="s">
        <v>3611</v>
      </c>
    </row>
    <row r="2845" spans="1:13" ht="25" customHeight="1" x14ac:dyDescent="0.45">
      <c r="A2845" s="18">
        <v>46468</v>
      </c>
      <c r="B2845" s="19" t="s">
        <v>2963</v>
      </c>
      <c r="C2845" s="23" t="s">
        <v>9</v>
      </c>
      <c r="D2845" s="53" t="str">
        <f t="shared" si="338"/>
        <v>Cream</v>
      </c>
      <c r="E2845" s="21" t="s">
        <v>1841</v>
      </c>
      <c r="F2845" s="21" t="str">
        <f ca="1">IFERROR(__xludf.DUMMYFUNCTION("IFERROR(REGEXEXTRACT(O761, ""\n([A-Za-z ]+)$""), """")
"),"United States")</f>
        <v>United States</v>
      </c>
      <c r="G2845" s="4" t="str">
        <f t="shared" si="337"/>
        <v>Romper Longer</v>
      </c>
      <c r="H2845" s="38">
        <f t="shared" si="331"/>
        <v>3</v>
      </c>
      <c r="I2845" s="54">
        <f>WEEKNUM(A2845)</f>
        <v>13</v>
      </c>
      <c r="J2845" s="14" t="str">
        <f t="shared" si="332"/>
        <v>Easter</v>
      </c>
      <c r="K2845" s="16" t="str">
        <f t="shared" si="333"/>
        <v>6-12</v>
      </c>
      <c r="L2845" s="14" t="str">
        <f t="shared" si="335"/>
        <v>Romper Longer | 6-12 | Cream</v>
      </c>
      <c r="M2845" s="16" t="s">
        <v>3611</v>
      </c>
    </row>
    <row r="2846" spans="1:13" ht="25" customHeight="1" x14ac:dyDescent="0.45">
      <c r="A2846" s="18">
        <v>46469</v>
      </c>
      <c r="B2846" s="19" t="s">
        <v>2964</v>
      </c>
      <c r="C2846" s="23" t="s">
        <v>110</v>
      </c>
      <c r="D2846" s="53" t="str">
        <f t="shared" si="338"/>
        <v>Sage Green</v>
      </c>
      <c r="E2846" s="21" t="s">
        <v>1849</v>
      </c>
      <c r="F2846" s="21" t="str">
        <f ca="1">IFERROR(__xludf.DUMMYFUNCTION("IFERROR(REGEXEXTRACT(O761, ""\n([A-Za-z ]+)$""), """")
"),"United States")</f>
        <v>United States</v>
      </c>
      <c r="G2846" s="4" t="str">
        <f t="shared" si="337"/>
        <v>Romper Short</v>
      </c>
      <c r="H2846" s="38">
        <f t="shared" si="331"/>
        <v>3</v>
      </c>
      <c r="I2846" s="54">
        <f t="shared" ref="I2846:I2853" si="339">WEEKNUM(A2846)</f>
        <v>13</v>
      </c>
      <c r="J2846" s="14" t="str">
        <f t="shared" si="332"/>
        <v>Easter</v>
      </c>
      <c r="K2846" s="16" t="str">
        <f t="shared" si="333"/>
        <v>3-6</v>
      </c>
      <c r="L2846" s="14" t="str">
        <f t="shared" si="335"/>
        <v>Romper Short | 3-6 | Sage Green</v>
      </c>
      <c r="M2846" s="16" t="s">
        <v>3611</v>
      </c>
    </row>
    <row r="2847" spans="1:13" ht="25" customHeight="1" x14ac:dyDescent="0.45">
      <c r="A2847" s="18">
        <v>46470</v>
      </c>
      <c r="B2847" s="19" t="s">
        <v>2965</v>
      </c>
      <c r="C2847" s="23" t="s">
        <v>9</v>
      </c>
      <c r="D2847" s="53" t="str">
        <f t="shared" si="338"/>
        <v>Cream</v>
      </c>
      <c r="E2847" s="21" t="s">
        <v>1828</v>
      </c>
      <c r="F2847" s="21" t="str">
        <f ca="1">IFERROR(__xludf.DUMMYFUNCTION("IFERROR(REGEXEXTRACT(O761, ""\n([A-Za-z ]+)$""), """")
"),"United States")</f>
        <v>United States</v>
      </c>
      <c r="G2847" s="4" t="str">
        <f t="shared" si="337"/>
        <v>Romper Longer</v>
      </c>
      <c r="H2847" s="38">
        <f t="shared" si="331"/>
        <v>3</v>
      </c>
      <c r="I2847" s="54">
        <f t="shared" si="339"/>
        <v>13</v>
      </c>
      <c r="J2847" s="14" t="str">
        <f t="shared" si="332"/>
        <v>Easter</v>
      </c>
      <c r="K2847" s="16" t="str">
        <f t="shared" si="333"/>
        <v>3-6</v>
      </c>
      <c r="L2847" s="14" t="str">
        <f t="shared" si="335"/>
        <v>Romper Longer | 3-6 | Cream</v>
      </c>
      <c r="M2847" s="16" t="s">
        <v>3609</v>
      </c>
    </row>
    <row r="2848" spans="1:13" ht="25" customHeight="1" x14ac:dyDescent="0.45">
      <c r="A2848" s="18">
        <v>46471</v>
      </c>
      <c r="B2848" s="19" t="s">
        <v>2966</v>
      </c>
      <c r="C2848" s="23" t="s">
        <v>79</v>
      </c>
      <c r="D2848" s="53" t="str">
        <f t="shared" si="338"/>
        <v>White</v>
      </c>
      <c r="E2848" s="21" t="s">
        <v>1831</v>
      </c>
      <c r="F2848" s="21" t="str">
        <f ca="1">IFERROR(__xludf.DUMMYFUNCTION("IFERROR(REGEXEXTRACT(O761, ""\n([A-Za-z ]+)$""), """")
"),"United States")</f>
        <v>United States</v>
      </c>
      <c r="G2848" s="4" t="str">
        <f t="shared" si="337"/>
        <v>Romper Longer</v>
      </c>
      <c r="H2848" s="38">
        <f t="shared" si="331"/>
        <v>3</v>
      </c>
      <c r="I2848" s="54">
        <f t="shared" si="339"/>
        <v>13</v>
      </c>
      <c r="J2848" s="14" t="str">
        <f t="shared" si="332"/>
        <v>Easter</v>
      </c>
      <c r="K2848" s="16" t="str">
        <f t="shared" si="333"/>
        <v>0-3</v>
      </c>
      <c r="L2848" s="14" t="str">
        <f t="shared" si="335"/>
        <v>Romper Longer | 0-3 | White</v>
      </c>
      <c r="M2848" s="16" t="s">
        <v>3610</v>
      </c>
    </row>
    <row r="2849" spans="1:13" ht="25" customHeight="1" x14ac:dyDescent="0.45">
      <c r="A2849" s="18">
        <v>46472</v>
      </c>
      <c r="B2849" s="19" t="s">
        <v>2967</v>
      </c>
      <c r="C2849" s="23" t="s">
        <v>9</v>
      </c>
      <c r="D2849" s="53" t="str">
        <f t="shared" si="338"/>
        <v>Cream</v>
      </c>
      <c r="E2849" s="21" t="s">
        <v>1831</v>
      </c>
      <c r="F2849" s="21" t="str">
        <f ca="1">IFERROR(__xludf.DUMMYFUNCTION("IFERROR(REGEXEXTRACT(O761, ""\n([A-Za-z ]+)$""), """")
"),"United States")</f>
        <v>United States</v>
      </c>
      <c r="G2849" s="4" t="str">
        <f t="shared" si="337"/>
        <v>Romper Longer</v>
      </c>
      <c r="H2849" s="38">
        <f t="shared" si="331"/>
        <v>3</v>
      </c>
      <c r="I2849" s="54">
        <f t="shared" si="339"/>
        <v>13</v>
      </c>
      <c r="J2849" s="14" t="str">
        <f t="shared" si="332"/>
        <v>Easter</v>
      </c>
      <c r="K2849" s="16" t="str">
        <f t="shared" si="333"/>
        <v>0-3</v>
      </c>
      <c r="L2849" s="14" t="str">
        <f t="shared" si="335"/>
        <v>Romper Longer | 0-3 | Cream</v>
      </c>
      <c r="M2849" s="16" t="s">
        <v>3609</v>
      </c>
    </row>
    <row r="2850" spans="1:13" ht="25" customHeight="1" x14ac:dyDescent="0.45">
      <c r="A2850" s="18">
        <v>46473</v>
      </c>
      <c r="B2850" s="19" t="s">
        <v>2968</v>
      </c>
      <c r="C2850" s="23" t="s">
        <v>110</v>
      </c>
      <c r="D2850" s="53" t="str">
        <f t="shared" si="338"/>
        <v>Sage Green</v>
      </c>
      <c r="E2850" s="21" t="s">
        <v>1831</v>
      </c>
      <c r="F2850" s="21" t="str">
        <f ca="1">IFERROR(__xludf.DUMMYFUNCTION("IFERROR(REGEXEXTRACT(O761, ""\n([A-Za-z ]+)$""), """")
"),"United States")</f>
        <v>United States</v>
      </c>
      <c r="G2850" s="4" t="str">
        <f t="shared" si="337"/>
        <v>Romper Longer</v>
      </c>
      <c r="H2850" s="38">
        <f t="shared" si="331"/>
        <v>3</v>
      </c>
      <c r="I2850" s="54">
        <f t="shared" si="339"/>
        <v>13</v>
      </c>
      <c r="J2850" s="14" t="str">
        <f t="shared" si="332"/>
        <v>Easter</v>
      </c>
      <c r="K2850" s="16" t="str">
        <f t="shared" si="333"/>
        <v>0-3</v>
      </c>
      <c r="L2850" s="14" t="str">
        <f t="shared" si="335"/>
        <v>Romper Longer | 0-3 | Sage Green</v>
      </c>
      <c r="M2850" s="16" t="s">
        <v>3611</v>
      </c>
    </row>
    <row r="2851" spans="1:13" ht="25" customHeight="1" x14ac:dyDescent="0.45">
      <c r="A2851" s="18">
        <v>46474</v>
      </c>
      <c r="B2851" s="19" t="s">
        <v>2969</v>
      </c>
      <c r="C2851" s="23" t="s">
        <v>9</v>
      </c>
      <c r="D2851" s="53" t="str">
        <f t="shared" si="338"/>
        <v>Cream</v>
      </c>
      <c r="E2851" s="21" t="s">
        <v>1550</v>
      </c>
      <c r="F2851" s="21" t="str">
        <f ca="1">IFERROR(__xludf.DUMMYFUNCTION("IFERROR(REGEXEXTRACT(O761, ""\n([A-Za-z ]+)$""), """")
"),"United States")</f>
        <v>United States</v>
      </c>
      <c r="G2851" s="4" t="str">
        <f t="shared" si="337"/>
        <v>Romper Longer</v>
      </c>
      <c r="H2851" s="38">
        <f t="shared" si="331"/>
        <v>3</v>
      </c>
      <c r="I2851" s="54">
        <f t="shared" si="339"/>
        <v>14</v>
      </c>
      <c r="J2851" s="14" t="str">
        <f t="shared" si="332"/>
        <v>Easter</v>
      </c>
      <c r="K2851" s="16" t="str">
        <f t="shared" si="333"/>
        <v>12-18</v>
      </c>
      <c r="L2851" s="14" t="str">
        <f t="shared" si="335"/>
        <v>Romper Longer | 12-18 | Cream</v>
      </c>
      <c r="M2851" s="16" t="s">
        <v>3610</v>
      </c>
    </row>
    <row r="2852" spans="1:13" ht="25" customHeight="1" x14ac:dyDescent="0.45">
      <c r="A2852" s="18">
        <v>46475</v>
      </c>
      <c r="B2852" s="19" t="s">
        <v>2970</v>
      </c>
      <c r="C2852" s="23" t="s">
        <v>9</v>
      </c>
      <c r="D2852" s="53" t="str">
        <f t="shared" si="338"/>
        <v>Cream</v>
      </c>
      <c r="E2852" s="21" t="s">
        <v>1831</v>
      </c>
      <c r="F2852" s="21" t="str">
        <f ca="1">IFERROR(__xludf.DUMMYFUNCTION("IFERROR(REGEXEXTRACT(O761, ""\n([A-Za-z ]+)$""), """")
"),"United States")</f>
        <v>United States</v>
      </c>
      <c r="G2852" s="4" t="str">
        <f t="shared" si="337"/>
        <v>Romper Longer</v>
      </c>
      <c r="H2852" s="38">
        <f t="shared" si="331"/>
        <v>3</v>
      </c>
      <c r="I2852" s="54">
        <f t="shared" si="339"/>
        <v>14</v>
      </c>
      <c r="J2852" s="14" t="str">
        <f t="shared" si="332"/>
        <v>Easter</v>
      </c>
      <c r="K2852" s="16" t="str">
        <f t="shared" si="333"/>
        <v>0-3</v>
      </c>
      <c r="L2852" s="14" t="str">
        <f t="shared" si="335"/>
        <v>Romper Longer | 0-3 | Cream</v>
      </c>
      <c r="M2852" s="16" t="s">
        <v>3609</v>
      </c>
    </row>
    <row r="2853" spans="1:13" ht="25" customHeight="1" x14ac:dyDescent="0.45">
      <c r="A2853" s="18">
        <v>46476</v>
      </c>
      <c r="B2853" s="19" t="s">
        <v>2971</v>
      </c>
      <c r="C2853" s="23" t="s">
        <v>224</v>
      </c>
      <c r="D2853" s="53" t="str">
        <f t="shared" si="338"/>
        <v>Salmon</v>
      </c>
      <c r="E2853" s="21" t="s">
        <v>1849</v>
      </c>
      <c r="F2853" s="21" t="str">
        <f ca="1">IFERROR(__xludf.DUMMYFUNCTION("IFERROR(REGEXEXTRACT(O761, ""\n([A-Za-z ]+)$""), """")
"),"United States")</f>
        <v>United States</v>
      </c>
      <c r="G2853" s="4" t="str">
        <f t="shared" si="337"/>
        <v>Romper Short</v>
      </c>
      <c r="H2853" s="38">
        <f t="shared" si="331"/>
        <v>3</v>
      </c>
      <c r="I2853" s="54">
        <f t="shared" si="339"/>
        <v>14</v>
      </c>
      <c r="J2853" s="14" t="str">
        <f t="shared" si="332"/>
        <v>Easter</v>
      </c>
      <c r="K2853" s="16" t="str">
        <f t="shared" si="333"/>
        <v>3-6</v>
      </c>
      <c r="L2853" s="14" t="str">
        <f t="shared" si="335"/>
        <v>Romper Short | 3-6 | Salmon</v>
      </c>
      <c r="M2853" s="16" t="s">
        <v>3610</v>
      </c>
    </row>
    <row r="2854" spans="1:13" ht="25" customHeight="1" x14ac:dyDescent="0.45">
      <c r="A2854" s="18">
        <v>46477</v>
      </c>
      <c r="B2854" s="19" t="s">
        <v>2972</v>
      </c>
      <c r="C2854" s="23" t="s">
        <v>110</v>
      </c>
      <c r="D2854" s="53" t="str">
        <f t="shared" si="338"/>
        <v>Sage Green</v>
      </c>
      <c r="E2854" s="21" t="s">
        <v>1849</v>
      </c>
      <c r="F2854" s="21" t="str">
        <f ca="1">IFERROR(__xludf.DUMMYFUNCTION("IFERROR(REGEXEXTRACT(O761, ""\n([A-Za-z ]+)$""), """")
"),"United States")</f>
        <v>United States</v>
      </c>
      <c r="G2854" s="4" t="str">
        <f t="shared" si="337"/>
        <v>Romper Short</v>
      </c>
      <c r="H2854" s="38">
        <f t="shared" si="331"/>
        <v>3</v>
      </c>
      <c r="I2854" s="54">
        <f>WEEKNUM(A2854)</f>
        <v>14</v>
      </c>
      <c r="J2854" s="14" t="str">
        <f t="shared" si="332"/>
        <v>Easter</v>
      </c>
      <c r="K2854" s="16" t="str">
        <f t="shared" si="333"/>
        <v>3-6</v>
      </c>
      <c r="L2854" s="14" t="str">
        <f t="shared" si="335"/>
        <v>Romper Short | 3-6 | Sage Green</v>
      </c>
      <c r="M2854" s="16" t="s">
        <v>3611</v>
      </c>
    </row>
    <row r="2855" spans="1:13" ht="25" customHeight="1" x14ac:dyDescent="0.45">
      <c r="A2855" s="18">
        <v>46478</v>
      </c>
      <c r="B2855" s="19" t="s">
        <v>2973</v>
      </c>
      <c r="C2855" s="23" t="s">
        <v>85</v>
      </c>
      <c r="D2855" s="53" t="str">
        <f t="shared" si="338"/>
        <v>Forest Green</v>
      </c>
      <c r="E2855" s="21" t="s">
        <v>1849</v>
      </c>
      <c r="F2855" s="21" t="str">
        <f ca="1">IFERROR(__xludf.DUMMYFUNCTION("IFERROR(REGEXEXTRACT(O761, ""\n([A-Za-z ]+)$""), """")
"),"United States")</f>
        <v>United States</v>
      </c>
      <c r="G2855" s="4" t="str">
        <f t="shared" si="337"/>
        <v>Romper Short</v>
      </c>
      <c r="H2855" s="38">
        <f t="shared" si="331"/>
        <v>4</v>
      </c>
      <c r="I2855" s="54">
        <f>WEEKNUM(A2855)</f>
        <v>14</v>
      </c>
      <c r="J2855" s="14" t="str">
        <f t="shared" si="332"/>
        <v>Easter</v>
      </c>
      <c r="K2855" s="16" t="str">
        <f t="shared" si="333"/>
        <v>3-6</v>
      </c>
      <c r="L2855" s="14" t="str">
        <f t="shared" si="335"/>
        <v>Romper Short | 3-6 | Forest Green</v>
      </c>
      <c r="M2855" s="16" t="s">
        <v>3610</v>
      </c>
    </row>
    <row r="2856" spans="1:13" ht="25" customHeight="1" x14ac:dyDescent="0.45">
      <c r="A2856" s="18">
        <v>46479</v>
      </c>
      <c r="B2856" s="19" t="s">
        <v>2974</v>
      </c>
      <c r="C2856" s="23" t="s">
        <v>76</v>
      </c>
      <c r="D2856" s="53" t="str">
        <f t="shared" si="338"/>
        <v>Caldet Blue</v>
      </c>
      <c r="E2856" s="21" t="s">
        <v>1420</v>
      </c>
      <c r="F2856" s="21" t="str">
        <f ca="1">IFERROR(__xludf.DUMMYFUNCTION("IFERROR(REGEXEXTRACT(O761, ""\n([A-Za-z ]+)$""), """")
"),"United States")</f>
        <v>United States</v>
      </c>
      <c r="G2856" s="4" t="str">
        <f t="shared" si="337"/>
        <v>Romper Short</v>
      </c>
      <c r="H2856" s="38">
        <f t="shared" si="331"/>
        <v>4</v>
      </c>
      <c r="I2856" s="54">
        <f>WEEKNUM(A2856)</f>
        <v>14</v>
      </c>
      <c r="J2856" s="14" t="str">
        <f t="shared" si="332"/>
        <v>Easter</v>
      </c>
      <c r="K2856" s="16" t="str">
        <f t="shared" si="333"/>
        <v>6-12</v>
      </c>
      <c r="L2856" s="14" t="str">
        <f t="shared" si="335"/>
        <v>Romper Short | 6-12 | Caldet Blue</v>
      </c>
      <c r="M2856" s="16" t="s">
        <v>3610</v>
      </c>
    </row>
    <row r="2857" spans="1:13" ht="25" customHeight="1" x14ac:dyDescent="0.45">
      <c r="A2857" s="18">
        <v>46480</v>
      </c>
      <c r="B2857" s="19" t="s">
        <v>2975</v>
      </c>
      <c r="C2857" s="23" t="s">
        <v>9</v>
      </c>
      <c r="D2857" s="53" t="str">
        <f t="shared" si="338"/>
        <v>Cream</v>
      </c>
      <c r="E2857" s="21" t="s">
        <v>1828</v>
      </c>
      <c r="F2857" s="21" t="str">
        <f ca="1">IFERROR(__xludf.DUMMYFUNCTION("IFERROR(REGEXEXTRACT(O761, ""\n([A-Za-z ]+)$""), """")
"),"United States")</f>
        <v>United States</v>
      </c>
      <c r="G2857" s="4" t="str">
        <f t="shared" si="337"/>
        <v>Romper Longer</v>
      </c>
      <c r="H2857" s="38">
        <f t="shared" si="331"/>
        <v>4</v>
      </c>
      <c r="I2857" s="54">
        <f>WEEKNUM(A2857)</f>
        <v>14</v>
      </c>
      <c r="J2857" s="14" t="str">
        <f t="shared" si="332"/>
        <v>Easter</v>
      </c>
      <c r="K2857" s="16" t="str">
        <f t="shared" si="333"/>
        <v>3-6</v>
      </c>
      <c r="L2857" s="14" t="str">
        <f t="shared" si="335"/>
        <v>Romper Longer | 3-6 | Cream</v>
      </c>
      <c r="M2857" s="16" t="s">
        <v>3609</v>
      </c>
    </row>
    <row r="2858" spans="1:13" ht="25" customHeight="1" x14ac:dyDescent="0.45">
      <c r="A2858" s="18">
        <v>46481</v>
      </c>
      <c r="B2858" s="19" t="s">
        <v>2976</v>
      </c>
      <c r="C2858" s="23" t="s">
        <v>110</v>
      </c>
      <c r="D2858" s="53" t="str">
        <f t="shared" si="338"/>
        <v>Sage Green</v>
      </c>
      <c r="E2858" s="21" t="s">
        <v>1849</v>
      </c>
      <c r="F2858" s="21" t="str">
        <f ca="1">IFERROR(__xludf.DUMMYFUNCTION("IFERROR(REGEXEXTRACT(O761, ""\n([A-Za-z ]+)$""), """")
"),"United States")</f>
        <v>United States</v>
      </c>
      <c r="G2858" s="4" t="str">
        <f t="shared" si="337"/>
        <v>Romper Short</v>
      </c>
      <c r="H2858" s="38">
        <f t="shared" si="331"/>
        <v>4</v>
      </c>
      <c r="I2858" s="54">
        <f>WEEKNUM(A2858)</f>
        <v>15</v>
      </c>
      <c r="J2858" s="14" t="str">
        <f t="shared" si="332"/>
        <v>Easter</v>
      </c>
      <c r="K2858" s="16" t="str">
        <f t="shared" si="333"/>
        <v>3-6</v>
      </c>
      <c r="L2858" s="14" t="str">
        <f t="shared" si="335"/>
        <v>Romper Short | 3-6 | Sage Green</v>
      </c>
      <c r="M2858" s="16" t="s">
        <v>3611</v>
      </c>
    </row>
    <row r="2859" spans="1:13" ht="25" customHeight="1" x14ac:dyDescent="0.45">
      <c r="A2859" s="18">
        <v>46482</v>
      </c>
      <c r="B2859" s="19" t="s">
        <v>2977</v>
      </c>
      <c r="C2859" s="23" t="s">
        <v>9</v>
      </c>
      <c r="D2859" s="53" t="str">
        <f t="shared" si="338"/>
        <v>Cream</v>
      </c>
      <c r="E2859" s="21" t="s">
        <v>1849</v>
      </c>
      <c r="F2859" s="21" t="str">
        <f ca="1">IFERROR(__xludf.DUMMYFUNCTION("IFERROR(REGEXEXTRACT(O761, ""\n([A-Za-z ]+)$""), """")
"),"United States")</f>
        <v>United States</v>
      </c>
      <c r="G2859" s="4" t="str">
        <f t="shared" si="337"/>
        <v>Romper Short</v>
      </c>
      <c r="H2859" s="38">
        <f t="shared" si="331"/>
        <v>4</v>
      </c>
      <c r="I2859" s="54">
        <f t="shared" ref="I2859:I2879" si="340">WEEKNUM(A2859)</f>
        <v>15</v>
      </c>
      <c r="J2859" s="14" t="str">
        <f t="shared" si="332"/>
        <v>Easter</v>
      </c>
      <c r="K2859" s="16" t="str">
        <f t="shared" si="333"/>
        <v>3-6</v>
      </c>
      <c r="L2859" s="14" t="str">
        <f t="shared" si="335"/>
        <v>Romper Short | 3-6 | Cream</v>
      </c>
      <c r="M2859" s="16" t="s">
        <v>3609</v>
      </c>
    </row>
    <row r="2860" spans="1:13" ht="25" customHeight="1" x14ac:dyDescent="0.45">
      <c r="A2860" s="18">
        <v>46483</v>
      </c>
      <c r="B2860" s="19" t="s">
        <v>2978</v>
      </c>
      <c r="C2860" s="23" t="s">
        <v>9</v>
      </c>
      <c r="D2860" s="53" t="str">
        <f t="shared" si="338"/>
        <v>Cream</v>
      </c>
      <c r="E2860" s="21" t="s">
        <v>1841</v>
      </c>
      <c r="F2860" s="21" t="str">
        <f ca="1">IFERROR(__xludf.DUMMYFUNCTION("IFERROR(REGEXEXTRACT(O761, ""\n([A-Za-z ]+)$""), """")
"),"United States")</f>
        <v>United States</v>
      </c>
      <c r="G2860" s="4" t="str">
        <f t="shared" si="337"/>
        <v>Romper Longer</v>
      </c>
      <c r="H2860" s="38">
        <f t="shared" si="331"/>
        <v>4</v>
      </c>
      <c r="I2860" s="54">
        <f t="shared" si="340"/>
        <v>15</v>
      </c>
      <c r="J2860" s="14" t="str">
        <f t="shared" si="332"/>
        <v>Easter</v>
      </c>
      <c r="K2860" s="16" t="str">
        <f t="shared" si="333"/>
        <v>6-12</v>
      </c>
      <c r="L2860" s="14" t="str">
        <f t="shared" si="335"/>
        <v>Romper Longer | 6-12 | Cream</v>
      </c>
      <c r="M2860" s="16" t="s">
        <v>3611</v>
      </c>
    </row>
    <row r="2861" spans="1:13" ht="25" customHeight="1" x14ac:dyDescent="0.45">
      <c r="A2861" s="18">
        <v>46484</v>
      </c>
      <c r="B2861" s="19" t="s">
        <v>2979</v>
      </c>
      <c r="C2861" s="23" t="s">
        <v>110</v>
      </c>
      <c r="D2861" s="53" t="str">
        <f t="shared" si="338"/>
        <v>Sage Green</v>
      </c>
      <c r="E2861" s="21" t="s">
        <v>1828</v>
      </c>
      <c r="F2861" s="21" t="str">
        <f ca="1">IFERROR(__xludf.DUMMYFUNCTION("IFERROR(REGEXEXTRACT(O761, ""\n([A-Za-z ]+)$""), """")
"),"United States")</f>
        <v>United States</v>
      </c>
      <c r="G2861" s="4" t="str">
        <f t="shared" si="337"/>
        <v>Romper Longer</v>
      </c>
      <c r="H2861" s="38">
        <f t="shared" si="331"/>
        <v>4</v>
      </c>
      <c r="I2861" s="54">
        <f t="shared" si="340"/>
        <v>15</v>
      </c>
      <c r="J2861" s="14" t="str">
        <f t="shared" si="332"/>
        <v>Easter</v>
      </c>
      <c r="K2861" s="16" t="str">
        <f t="shared" si="333"/>
        <v>3-6</v>
      </c>
      <c r="L2861" s="14" t="str">
        <f t="shared" si="335"/>
        <v>Romper Longer | 3-6 | Sage Green</v>
      </c>
      <c r="M2861" s="16" t="s">
        <v>3611</v>
      </c>
    </row>
    <row r="2862" spans="1:13" ht="25" customHeight="1" x14ac:dyDescent="0.45">
      <c r="A2862" s="18">
        <v>46485</v>
      </c>
      <c r="B2862" s="19" t="s">
        <v>2980</v>
      </c>
      <c r="C2862" s="23" t="s">
        <v>9</v>
      </c>
      <c r="D2862" s="53" t="str">
        <f t="shared" si="338"/>
        <v>Cream</v>
      </c>
      <c r="E2862" s="21" t="s">
        <v>1841</v>
      </c>
      <c r="F2862" s="21" t="str">
        <f ca="1">IFERROR(__xludf.DUMMYFUNCTION("IFERROR(REGEXEXTRACT(O761, ""\n([A-Za-z ]+)$""), """")
"),"United States")</f>
        <v>United States</v>
      </c>
      <c r="G2862" s="4" t="str">
        <f t="shared" si="337"/>
        <v>Romper Longer</v>
      </c>
      <c r="H2862" s="38">
        <f t="shared" si="331"/>
        <v>4</v>
      </c>
      <c r="I2862" s="54">
        <f t="shared" si="340"/>
        <v>15</v>
      </c>
      <c r="J2862" s="14" t="str">
        <f t="shared" si="332"/>
        <v>Easter</v>
      </c>
      <c r="K2862" s="16" t="str">
        <f t="shared" si="333"/>
        <v>6-12</v>
      </c>
      <c r="L2862" s="14" t="str">
        <f t="shared" si="335"/>
        <v>Romper Longer | 6-12 | Cream</v>
      </c>
      <c r="M2862" s="16" t="s">
        <v>3611</v>
      </c>
    </row>
    <row r="2863" spans="1:13" ht="25" customHeight="1" x14ac:dyDescent="0.45">
      <c r="A2863" s="18">
        <v>46486</v>
      </c>
      <c r="B2863" s="19" t="s">
        <v>2981</v>
      </c>
      <c r="C2863" s="23" t="s">
        <v>81</v>
      </c>
      <c r="D2863" s="53" t="str">
        <f t="shared" si="338"/>
        <v>Dusty Pink</v>
      </c>
      <c r="E2863" s="21" t="s">
        <v>1849</v>
      </c>
      <c r="F2863" s="21" t="str">
        <f ca="1">IFERROR(__xludf.DUMMYFUNCTION("IFERROR(REGEXEXTRACT(O761, ""\n([A-Za-z ]+)$""), """")
"),"United States")</f>
        <v>United States</v>
      </c>
      <c r="G2863" s="4" t="str">
        <f t="shared" si="337"/>
        <v>Romper Short</v>
      </c>
      <c r="H2863" s="38">
        <f t="shared" si="331"/>
        <v>4</v>
      </c>
      <c r="I2863" s="54">
        <f t="shared" si="340"/>
        <v>15</v>
      </c>
      <c r="J2863" s="14" t="str">
        <f t="shared" si="332"/>
        <v>Easter</v>
      </c>
      <c r="K2863" s="16" t="str">
        <f t="shared" si="333"/>
        <v>3-6</v>
      </c>
      <c r="L2863" s="14" t="str">
        <f t="shared" si="335"/>
        <v>Romper Short | 3-6 | Dusty Pink</v>
      </c>
      <c r="M2863" s="16" t="s">
        <v>3610</v>
      </c>
    </row>
    <row r="2864" spans="1:13" ht="25" customHeight="1" x14ac:dyDescent="0.45">
      <c r="A2864" s="18">
        <v>46487</v>
      </c>
      <c r="B2864" s="19" t="s">
        <v>2982</v>
      </c>
      <c r="C2864" s="23" t="s">
        <v>9</v>
      </c>
      <c r="D2864" s="53" t="str">
        <f t="shared" si="338"/>
        <v>Cream</v>
      </c>
      <c r="E2864" s="21" t="s">
        <v>1834</v>
      </c>
      <c r="F2864" s="21" t="str">
        <f ca="1">IFERROR(__xludf.DUMMYFUNCTION("IFERROR(REGEXEXTRACT(O761, ""\n([A-Za-z ]+)$""), """")
"),"United States")</f>
        <v>United States</v>
      </c>
      <c r="G2864" s="4" t="str">
        <f t="shared" si="337"/>
        <v>Romper Short</v>
      </c>
      <c r="H2864" s="38">
        <f t="shared" si="331"/>
        <v>4</v>
      </c>
      <c r="I2864" s="54">
        <f t="shared" si="340"/>
        <v>15</v>
      </c>
      <c r="J2864" s="14" t="str">
        <f t="shared" si="332"/>
        <v>Easter</v>
      </c>
      <c r="K2864" s="16" t="str">
        <f t="shared" si="333"/>
        <v>0-3</v>
      </c>
      <c r="L2864" s="14" t="str">
        <f t="shared" si="335"/>
        <v>Romper Short | 0-3 | Cream</v>
      </c>
      <c r="M2864" s="16" t="s">
        <v>3609</v>
      </c>
    </row>
    <row r="2865" spans="1:13" ht="25" customHeight="1" x14ac:dyDescent="0.45">
      <c r="A2865" s="18">
        <v>46488</v>
      </c>
      <c r="B2865" s="19" t="s">
        <v>2983</v>
      </c>
      <c r="C2865" s="23" t="s">
        <v>81</v>
      </c>
      <c r="D2865" s="53" t="str">
        <f t="shared" si="338"/>
        <v>Dusty Pink</v>
      </c>
      <c r="E2865" s="21" t="s">
        <v>1420</v>
      </c>
      <c r="F2865" s="21" t="str">
        <f ca="1">IFERROR(__xludf.DUMMYFUNCTION("IFERROR(REGEXEXTRACT(O761, ""\n([A-Za-z ]+)$""), """")
"),"United States")</f>
        <v>United States</v>
      </c>
      <c r="G2865" s="4" t="str">
        <f t="shared" si="337"/>
        <v>Romper Short</v>
      </c>
      <c r="H2865" s="38">
        <f t="shared" si="331"/>
        <v>4</v>
      </c>
      <c r="I2865" s="54">
        <f t="shared" si="340"/>
        <v>16</v>
      </c>
      <c r="J2865" s="14" t="str">
        <f t="shared" si="332"/>
        <v>Easter</v>
      </c>
      <c r="K2865" s="16" t="str">
        <f t="shared" si="333"/>
        <v>6-12</v>
      </c>
      <c r="L2865" s="14" t="str">
        <f t="shared" si="335"/>
        <v>Romper Short | 6-12 | Dusty Pink</v>
      </c>
      <c r="M2865" s="16" t="s">
        <v>3610</v>
      </c>
    </row>
    <row r="2866" spans="1:13" ht="25" customHeight="1" x14ac:dyDescent="0.45">
      <c r="A2866" s="18">
        <v>45880</v>
      </c>
      <c r="B2866" s="19" t="s">
        <v>2984</v>
      </c>
      <c r="C2866" s="23" t="s">
        <v>9</v>
      </c>
      <c r="D2866" s="53" t="str">
        <f t="shared" si="338"/>
        <v>Cream</v>
      </c>
      <c r="E2866" s="21" t="s">
        <v>1831</v>
      </c>
      <c r="F2866" s="21" t="str">
        <f ca="1">IFERROR(__xludf.DUMMYFUNCTION("IFERROR(REGEXEXTRACT(O761, ""\n([A-Za-z ]+)$""), """")
"),"United States")</f>
        <v>United States</v>
      </c>
      <c r="G2866" s="4" t="str">
        <f t="shared" si="337"/>
        <v>Romper Longer</v>
      </c>
      <c r="H2866" s="38">
        <f t="shared" si="331"/>
        <v>8</v>
      </c>
      <c r="I2866" s="54">
        <f t="shared" si="340"/>
        <v>33</v>
      </c>
      <c r="J2866" s="14" t="str">
        <f t="shared" si="332"/>
        <v>Summer</v>
      </c>
      <c r="K2866" s="16" t="str">
        <f t="shared" si="333"/>
        <v>0-3</v>
      </c>
      <c r="L2866" s="14" t="str">
        <f t="shared" si="335"/>
        <v>Romper Longer | 0-3 | Cream</v>
      </c>
      <c r="M2866" s="16" t="s">
        <v>3609</v>
      </c>
    </row>
    <row r="2867" spans="1:13" ht="25" customHeight="1" x14ac:dyDescent="0.45">
      <c r="A2867" s="18">
        <v>45881</v>
      </c>
      <c r="B2867" s="19" t="s">
        <v>2985</v>
      </c>
      <c r="C2867" s="23" t="s">
        <v>81</v>
      </c>
      <c r="D2867" s="53" t="str">
        <f t="shared" si="338"/>
        <v>Dusty Pink</v>
      </c>
      <c r="E2867" s="21" t="s">
        <v>1834</v>
      </c>
      <c r="F2867" s="21" t="str">
        <f ca="1">IFERROR(__xludf.DUMMYFUNCTION("IFERROR(REGEXEXTRACT(O761, ""\n([A-Za-z ]+)$""), """")
"),"United States")</f>
        <v>United States</v>
      </c>
      <c r="G2867" s="4" t="str">
        <f t="shared" si="337"/>
        <v>Romper Short</v>
      </c>
      <c r="H2867" s="38">
        <f t="shared" si="331"/>
        <v>8</v>
      </c>
      <c r="I2867" s="54">
        <f t="shared" si="340"/>
        <v>33</v>
      </c>
      <c r="J2867" s="14" t="str">
        <f t="shared" si="332"/>
        <v>Summer</v>
      </c>
      <c r="K2867" s="16" t="str">
        <f t="shared" si="333"/>
        <v>0-3</v>
      </c>
      <c r="L2867" s="14" t="str">
        <f t="shared" si="335"/>
        <v>Romper Short | 0-3 | Dusty Pink</v>
      </c>
      <c r="M2867" s="16" t="s">
        <v>3610</v>
      </c>
    </row>
    <row r="2868" spans="1:13" ht="25" customHeight="1" x14ac:dyDescent="0.45">
      <c r="A2868" s="18">
        <v>45882</v>
      </c>
      <c r="B2868" s="19" t="s">
        <v>2986</v>
      </c>
      <c r="C2868" s="23" t="s">
        <v>9</v>
      </c>
      <c r="D2868" s="53" t="str">
        <f t="shared" si="338"/>
        <v>Cream</v>
      </c>
      <c r="E2868" s="21" t="s">
        <v>1828</v>
      </c>
      <c r="F2868" s="21" t="str">
        <f ca="1">IFERROR(__xludf.DUMMYFUNCTION("IFERROR(REGEXEXTRACT(O761, ""\n([A-Za-z ]+)$""), """")
"),"United States")</f>
        <v>United States</v>
      </c>
      <c r="G2868" s="4" t="str">
        <f t="shared" si="337"/>
        <v>Romper Longer</v>
      </c>
      <c r="H2868" s="38">
        <f t="shared" si="331"/>
        <v>8</v>
      </c>
      <c r="I2868" s="54">
        <f t="shared" si="340"/>
        <v>33</v>
      </c>
      <c r="J2868" s="14" t="str">
        <f t="shared" si="332"/>
        <v>Summer</v>
      </c>
      <c r="K2868" s="16" t="str">
        <f t="shared" si="333"/>
        <v>3-6</v>
      </c>
      <c r="L2868" s="14" t="str">
        <f t="shared" si="335"/>
        <v>Romper Longer | 3-6 | Cream</v>
      </c>
      <c r="M2868" s="16" t="s">
        <v>3609</v>
      </c>
    </row>
    <row r="2869" spans="1:13" ht="25" customHeight="1" x14ac:dyDescent="0.45">
      <c r="A2869" s="18">
        <v>45883</v>
      </c>
      <c r="B2869" s="19" t="s">
        <v>2987</v>
      </c>
      <c r="C2869" s="23" t="s">
        <v>81</v>
      </c>
      <c r="D2869" s="53" t="str">
        <f t="shared" si="338"/>
        <v>Dusty Pink</v>
      </c>
      <c r="E2869" s="21" t="s">
        <v>1841</v>
      </c>
      <c r="F2869" s="21" t="str">
        <f ca="1">IFERROR(__xludf.DUMMYFUNCTION("IFERROR(REGEXEXTRACT(O761, ""\n([A-Za-z ]+)$""), """")
"),"United States")</f>
        <v>United States</v>
      </c>
      <c r="G2869" s="4" t="str">
        <f t="shared" si="337"/>
        <v>Romper Longer</v>
      </c>
      <c r="H2869" s="38">
        <f t="shared" si="331"/>
        <v>8</v>
      </c>
      <c r="I2869" s="54">
        <f t="shared" si="340"/>
        <v>33</v>
      </c>
      <c r="J2869" s="14" t="str">
        <f t="shared" si="332"/>
        <v>Summer</v>
      </c>
      <c r="K2869" s="16" t="str">
        <f t="shared" si="333"/>
        <v>6-12</v>
      </c>
      <c r="L2869" s="14" t="str">
        <f t="shared" si="335"/>
        <v>Romper Longer | 6-12 | Dusty Pink</v>
      </c>
      <c r="M2869" s="16" t="s">
        <v>3610</v>
      </c>
    </row>
    <row r="2870" spans="1:13" ht="25" customHeight="1" x14ac:dyDescent="0.45">
      <c r="A2870" s="18">
        <v>45884</v>
      </c>
      <c r="B2870" s="19" t="s">
        <v>2988</v>
      </c>
      <c r="C2870" s="23" t="s">
        <v>76</v>
      </c>
      <c r="D2870" s="53" t="str">
        <f t="shared" si="338"/>
        <v>Caldet Blue</v>
      </c>
      <c r="E2870" s="21" t="s">
        <v>1828</v>
      </c>
      <c r="F2870" s="21" t="str">
        <f ca="1">IFERROR(__xludf.DUMMYFUNCTION("IFERROR(REGEXEXTRACT(O761, ""\n([A-Za-z ]+)$""), """")
"),"United States")</f>
        <v>United States</v>
      </c>
      <c r="G2870" s="4" t="str">
        <f t="shared" si="337"/>
        <v>Romper Longer</v>
      </c>
      <c r="H2870" s="38">
        <f t="shared" si="331"/>
        <v>8</v>
      </c>
      <c r="I2870" s="54">
        <f t="shared" si="340"/>
        <v>33</v>
      </c>
      <c r="J2870" s="14" t="str">
        <f t="shared" si="332"/>
        <v>Summer</v>
      </c>
      <c r="K2870" s="16" t="str">
        <f t="shared" si="333"/>
        <v>3-6</v>
      </c>
      <c r="L2870" s="14" t="str">
        <f t="shared" si="335"/>
        <v>Romper Longer | 3-6 | Caldet Blue</v>
      </c>
      <c r="M2870" s="16" t="s">
        <v>3610</v>
      </c>
    </row>
    <row r="2871" spans="1:13" ht="25" customHeight="1" x14ac:dyDescent="0.45">
      <c r="A2871" s="18">
        <v>45885</v>
      </c>
      <c r="B2871" s="19" t="s">
        <v>2989</v>
      </c>
      <c r="C2871" s="23" t="s">
        <v>81</v>
      </c>
      <c r="D2871" s="53" t="str">
        <f t="shared" si="338"/>
        <v>Dusty Pink</v>
      </c>
      <c r="E2871" s="21" t="s">
        <v>1828</v>
      </c>
      <c r="F2871" s="21" t="str">
        <f ca="1">IFERROR(__xludf.DUMMYFUNCTION("IFERROR(REGEXEXTRACT(O761, ""\n([A-Za-z ]+)$""), """")
"),"United States")</f>
        <v>United States</v>
      </c>
      <c r="G2871" s="4" t="str">
        <f t="shared" si="337"/>
        <v>Romper Longer</v>
      </c>
      <c r="H2871" s="38">
        <f t="shared" si="331"/>
        <v>8</v>
      </c>
      <c r="I2871" s="54">
        <f t="shared" si="340"/>
        <v>33</v>
      </c>
      <c r="J2871" s="14" t="str">
        <f t="shared" si="332"/>
        <v>Summer</v>
      </c>
      <c r="K2871" s="16" t="str">
        <f t="shared" si="333"/>
        <v>3-6</v>
      </c>
      <c r="L2871" s="14" t="str">
        <f t="shared" si="335"/>
        <v>Romper Longer | 3-6 | Dusty Pink</v>
      </c>
      <c r="M2871" s="16" t="s">
        <v>3610</v>
      </c>
    </row>
    <row r="2872" spans="1:13" ht="25" customHeight="1" x14ac:dyDescent="0.45">
      <c r="A2872" s="18">
        <v>45886</v>
      </c>
      <c r="B2872" s="19" t="s">
        <v>2990</v>
      </c>
      <c r="C2872" s="23" t="s">
        <v>76</v>
      </c>
      <c r="D2872" s="53" t="str">
        <f t="shared" si="338"/>
        <v>Caldet Blue</v>
      </c>
      <c r="E2872" s="21" t="s">
        <v>1841</v>
      </c>
      <c r="F2872" s="21" t="str">
        <f ca="1">IFERROR(__xludf.DUMMYFUNCTION("IFERROR(REGEXEXTRACT(O761, ""\n([A-Za-z ]+)$""), """")
"),"United States")</f>
        <v>United States</v>
      </c>
      <c r="G2872" s="4" t="str">
        <f t="shared" si="337"/>
        <v>Romper Longer</v>
      </c>
      <c r="H2872" s="38">
        <f t="shared" ref="H2872:H2935" si="341">MONTH(A2872)</f>
        <v>8</v>
      </c>
      <c r="I2872" s="54">
        <f t="shared" si="340"/>
        <v>34</v>
      </c>
      <c r="J2872" s="14" t="str">
        <f t="shared" ref="J2872:J2935" si="342">IF(H2872=1,"NewYear",
IF(H2872=2,"Valentine",
IF(OR(H2872=3,H2872=4),"Easter",
IF(H2872=5,"MothersDay",
IF(H2872=6,"FathersDay",
IF(OR(H2872=7,H2872=8),"Summer",
IF(H2872=10,"Halloween",
IF(OR(H2872=11,H2872=12),"Christmas","Normal"))))))))</f>
        <v>Summer</v>
      </c>
      <c r="K2872" s="16" t="str">
        <f t="shared" ref="K2872:K2935" si="343">TRIM(LEFT(E2872,FIND("(",E2872&amp;"(")-3))</f>
        <v>6-12</v>
      </c>
      <c r="L2872" s="14" t="str">
        <f t="shared" si="335"/>
        <v>Romper Longer | 6-12 | Caldet Blue</v>
      </c>
      <c r="M2872" s="16" t="s">
        <v>3610</v>
      </c>
    </row>
    <row r="2873" spans="1:13" ht="25" customHeight="1" x14ac:dyDescent="0.45">
      <c r="A2873" s="18">
        <v>45887</v>
      </c>
      <c r="B2873" s="19" t="s">
        <v>2991</v>
      </c>
      <c r="C2873" s="23" t="s">
        <v>9</v>
      </c>
      <c r="D2873" s="53" t="str">
        <f t="shared" si="338"/>
        <v>Cream</v>
      </c>
      <c r="E2873" s="21" t="s">
        <v>1828</v>
      </c>
      <c r="F2873" s="21" t="str">
        <f ca="1">IFERROR(__xludf.DUMMYFUNCTION("IFERROR(REGEXEXTRACT(O761, ""\n([A-Za-z ]+)$""), """")
"),"United States")</f>
        <v>United States</v>
      </c>
      <c r="G2873" s="4" t="str">
        <f t="shared" si="337"/>
        <v>Romper Longer</v>
      </c>
      <c r="H2873" s="38">
        <f t="shared" si="341"/>
        <v>8</v>
      </c>
      <c r="I2873" s="54">
        <f t="shared" si="340"/>
        <v>34</v>
      </c>
      <c r="J2873" s="14" t="str">
        <f t="shared" si="342"/>
        <v>Summer</v>
      </c>
      <c r="K2873" s="16" t="str">
        <f t="shared" si="343"/>
        <v>3-6</v>
      </c>
      <c r="L2873" s="14" t="str">
        <f t="shared" si="335"/>
        <v>Romper Longer | 3-6 | Cream</v>
      </c>
      <c r="M2873" s="16" t="s">
        <v>3609</v>
      </c>
    </row>
    <row r="2874" spans="1:13" ht="25" customHeight="1" x14ac:dyDescent="0.45">
      <c r="A2874" s="18">
        <v>45888</v>
      </c>
      <c r="B2874" s="19" t="s">
        <v>2992</v>
      </c>
      <c r="C2874" s="23" t="s">
        <v>9</v>
      </c>
      <c r="D2874" s="53" t="str">
        <f t="shared" si="338"/>
        <v>Cream</v>
      </c>
      <c r="E2874" s="21" t="s">
        <v>1831</v>
      </c>
      <c r="F2874" s="21" t="str">
        <f ca="1">IFERROR(__xludf.DUMMYFUNCTION("IFERROR(REGEXEXTRACT(O761, ""\n([A-Za-z ]+)$""), """")
"),"United States")</f>
        <v>United States</v>
      </c>
      <c r="G2874" s="4" t="str">
        <f t="shared" si="337"/>
        <v>Romper Longer</v>
      </c>
      <c r="H2874" s="38">
        <f t="shared" si="341"/>
        <v>8</v>
      </c>
      <c r="I2874" s="54">
        <f t="shared" si="340"/>
        <v>34</v>
      </c>
      <c r="J2874" s="14" t="str">
        <f t="shared" si="342"/>
        <v>Summer</v>
      </c>
      <c r="K2874" s="16" t="str">
        <f t="shared" si="343"/>
        <v>0-3</v>
      </c>
      <c r="L2874" s="14" t="str">
        <f t="shared" si="335"/>
        <v>Romper Longer | 0-3 | Cream</v>
      </c>
      <c r="M2874" s="16" t="s">
        <v>3609</v>
      </c>
    </row>
    <row r="2875" spans="1:13" ht="25" customHeight="1" x14ac:dyDescent="0.45">
      <c r="A2875" s="18">
        <v>45889</v>
      </c>
      <c r="B2875" s="19" t="s">
        <v>2836</v>
      </c>
      <c r="C2875" s="23" t="s">
        <v>79</v>
      </c>
      <c r="D2875" s="53" t="str">
        <f t="shared" si="338"/>
        <v>White</v>
      </c>
      <c r="E2875" s="21" t="s">
        <v>1834</v>
      </c>
      <c r="F2875" s="21" t="str">
        <f ca="1">IFERROR(__xludf.DUMMYFUNCTION("IFERROR(REGEXEXTRACT(O761, ""\n([A-Za-z ]+)$""), """")
"),"United States")</f>
        <v>United States</v>
      </c>
      <c r="G2875" s="4" t="str">
        <f t="shared" si="337"/>
        <v>Romper Short</v>
      </c>
      <c r="H2875" s="38">
        <f t="shared" si="341"/>
        <v>8</v>
      </c>
      <c r="I2875" s="54">
        <f t="shared" si="340"/>
        <v>34</v>
      </c>
      <c r="J2875" s="14" t="str">
        <f t="shared" si="342"/>
        <v>Summer</v>
      </c>
      <c r="K2875" s="16" t="str">
        <f t="shared" si="343"/>
        <v>0-3</v>
      </c>
      <c r="L2875" s="14" t="str">
        <f t="shared" si="335"/>
        <v>Romper Short | 0-3 | White</v>
      </c>
      <c r="M2875" s="16" t="s">
        <v>3610</v>
      </c>
    </row>
    <row r="2876" spans="1:13" ht="25" customHeight="1" x14ac:dyDescent="0.45">
      <c r="A2876" s="18">
        <v>45890</v>
      </c>
      <c r="B2876" s="19" t="s">
        <v>2836</v>
      </c>
      <c r="C2876" s="23" t="s">
        <v>79</v>
      </c>
      <c r="D2876" s="53" t="str">
        <f t="shared" si="338"/>
        <v>White</v>
      </c>
      <c r="E2876" s="21" t="s">
        <v>1834</v>
      </c>
      <c r="F2876" s="21" t="str">
        <f ca="1">IFERROR(__xludf.DUMMYFUNCTION("IFERROR(REGEXEXTRACT(O761, ""\n([A-Za-z ]+)$""), """")
"),"United States")</f>
        <v>United States</v>
      </c>
      <c r="G2876" s="4" t="str">
        <f t="shared" si="337"/>
        <v>Romper Short</v>
      </c>
      <c r="H2876" s="38">
        <f t="shared" si="341"/>
        <v>8</v>
      </c>
      <c r="I2876" s="54">
        <f t="shared" si="340"/>
        <v>34</v>
      </c>
      <c r="J2876" s="14" t="str">
        <f t="shared" si="342"/>
        <v>Summer</v>
      </c>
      <c r="K2876" s="16" t="str">
        <f t="shared" si="343"/>
        <v>0-3</v>
      </c>
      <c r="L2876" s="14" t="str">
        <f t="shared" si="335"/>
        <v>Romper Short | 0-3 | White</v>
      </c>
      <c r="M2876" s="16" t="s">
        <v>3610</v>
      </c>
    </row>
    <row r="2877" spans="1:13" ht="25" customHeight="1" x14ac:dyDescent="0.45">
      <c r="A2877" s="18">
        <v>45891</v>
      </c>
      <c r="B2877" s="19" t="s">
        <v>2993</v>
      </c>
      <c r="C2877" s="23" t="s">
        <v>74</v>
      </c>
      <c r="D2877" s="53" t="str">
        <f t="shared" si="338"/>
        <v>Watermelon</v>
      </c>
      <c r="E2877" s="21" t="s">
        <v>1831</v>
      </c>
      <c r="F2877" s="21" t="str">
        <f ca="1">IFERROR(__xludf.DUMMYFUNCTION("IFERROR(REGEXEXTRACT(O761, ""\n([A-Za-z ]+)$""), """")
"),"United States")</f>
        <v>United States</v>
      </c>
      <c r="G2877" s="4" t="str">
        <f t="shared" si="337"/>
        <v>Romper Longer</v>
      </c>
      <c r="H2877" s="38">
        <f t="shared" si="341"/>
        <v>8</v>
      </c>
      <c r="I2877" s="54">
        <f t="shared" si="340"/>
        <v>34</v>
      </c>
      <c r="J2877" s="14" t="str">
        <f t="shared" si="342"/>
        <v>Summer</v>
      </c>
      <c r="K2877" s="16" t="str">
        <f t="shared" si="343"/>
        <v>0-3</v>
      </c>
      <c r="L2877" s="14" t="str">
        <f t="shared" si="335"/>
        <v>Romper Longer | 0-3 | Watermelon</v>
      </c>
      <c r="M2877" s="16" t="s">
        <v>3610</v>
      </c>
    </row>
    <row r="2878" spans="1:13" ht="25" customHeight="1" x14ac:dyDescent="0.45">
      <c r="A2878" s="18">
        <v>45892</v>
      </c>
      <c r="B2878" s="19" t="s">
        <v>2864</v>
      </c>
      <c r="C2878" s="23" t="s">
        <v>9</v>
      </c>
      <c r="D2878" s="53" t="str">
        <f t="shared" si="338"/>
        <v>Cream</v>
      </c>
      <c r="E2878" s="21" t="s">
        <v>1834</v>
      </c>
      <c r="F2878" s="21" t="str">
        <f ca="1">IFERROR(__xludf.DUMMYFUNCTION("IFERROR(REGEXEXTRACT(O761, ""\n([A-Za-z ]+)$""), """")
"),"United States")</f>
        <v>United States</v>
      </c>
      <c r="G2878" s="4" t="str">
        <f t="shared" si="337"/>
        <v>Romper Short</v>
      </c>
      <c r="H2878" s="38">
        <f t="shared" si="341"/>
        <v>8</v>
      </c>
      <c r="I2878" s="54">
        <f t="shared" si="340"/>
        <v>34</v>
      </c>
      <c r="J2878" s="14" t="str">
        <f t="shared" si="342"/>
        <v>Summer</v>
      </c>
      <c r="K2878" s="16" t="str">
        <f t="shared" si="343"/>
        <v>0-3</v>
      </c>
      <c r="L2878" s="14" t="str">
        <f t="shared" si="335"/>
        <v>Romper Short | 0-3 | Cream</v>
      </c>
      <c r="M2878" s="16" t="s">
        <v>3609</v>
      </c>
    </row>
    <row r="2879" spans="1:13" ht="25" customHeight="1" x14ac:dyDescent="0.45">
      <c r="A2879" s="18">
        <v>45893</v>
      </c>
      <c r="B2879" s="19" t="s">
        <v>2994</v>
      </c>
      <c r="C2879" s="23" t="s">
        <v>85</v>
      </c>
      <c r="D2879" s="53" t="str">
        <f t="shared" si="338"/>
        <v>Forest Green</v>
      </c>
      <c r="E2879" s="21" t="s">
        <v>1849</v>
      </c>
      <c r="F2879" s="21" t="str">
        <f ca="1">IFERROR(__xludf.DUMMYFUNCTION("IFERROR(REGEXEXTRACT(O761, ""\n([A-Za-z ]+)$""), """")
"),"United States")</f>
        <v>United States</v>
      </c>
      <c r="G2879" s="4" t="str">
        <f t="shared" si="337"/>
        <v>Romper Short</v>
      </c>
      <c r="H2879" s="38">
        <f t="shared" si="341"/>
        <v>8</v>
      </c>
      <c r="I2879" s="54">
        <f t="shared" si="340"/>
        <v>35</v>
      </c>
      <c r="J2879" s="14" t="str">
        <f t="shared" si="342"/>
        <v>Summer</v>
      </c>
      <c r="K2879" s="16" t="str">
        <f t="shared" si="343"/>
        <v>3-6</v>
      </c>
      <c r="L2879" s="14" t="str">
        <f t="shared" si="335"/>
        <v>Romper Short | 3-6 | Forest Green</v>
      </c>
      <c r="M2879" s="16" t="s">
        <v>3610</v>
      </c>
    </row>
    <row r="2880" spans="1:13" ht="25" customHeight="1" x14ac:dyDescent="0.45">
      <c r="A2880" s="18">
        <v>45894</v>
      </c>
      <c r="B2880" s="19" t="s">
        <v>2995</v>
      </c>
      <c r="C2880" s="23" t="s">
        <v>76</v>
      </c>
      <c r="D2880" s="53" t="str">
        <f t="shared" si="338"/>
        <v>Caldet Blue</v>
      </c>
      <c r="E2880" s="21" t="s">
        <v>1834</v>
      </c>
      <c r="F2880" s="21" t="str">
        <f ca="1">IFERROR(__xludf.DUMMYFUNCTION("IFERROR(REGEXEXTRACT(O761, ""\n([A-Za-z ]+)$""), """")
"),"United States")</f>
        <v>United States</v>
      </c>
      <c r="G2880" s="4" t="str">
        <f t="shared" si="337"/>
        <v>Romper Short</v>
      </c>
      <c r="H2880" s="38">
        <f t="shared" si="341"/>
        <v>8</v>
      </c>
      <c r="I2880" s="54">
        <f>WEEKNUM(A2880)</f>
        <v>35</v>
      </c>
      <c r="J2880" s="14" t="str">
        <f t="shared" si="342"/>
        <v>Summer</v>
      </c>
      <c r="K2880" s="16" t="str">
        <f t="shared" si="343"/>
        <v>0-3</v>
      </c>
      <c r="L2880" s="14" t="str">
        <f t="shared" si="335"/>
        <v>Romper Short | 0-3 | Caldet Blue</v>
      </c>
      <c r="M2880" s="16" t="s">
        <v>3610</v>
      </c>
    </row>
    <row r="2881" spans="1:13" ht="25" customHeight="1" x14ac:dyDescent="0.45">
      <c r="A2881" s="18">
        <v>45895</v>
      </c>
      <c r="B2881" s="19" t="s">
        <v>2996</v>
      </c>
      <c r="C2881" s="23" t="s">
        <v>9</v>
      </c>
      <c r="D2881" s="53" t="str">
        <f t="shared" si="338"/>
        <v>Cream</v>
      </c>
      <c r="E2881" s="21" t="s">
        <v>1849</v>
      </c>
      <c r="F2881" s="21" t="str">
        <f ca="1">IFERROR(__xludf.DUMMYFUNCTION("IFERROR(REGEXEXTRACT(O761, ""\n([A-Za-z ]+)$""), """")
"),"United States")</f>
        <v>United States</v>
      </c>
      <c r="G2881" s="4" t="str">
        <f t="shared" si="337"/>
        <v>Romper Short</v>
      </c>
      <c r="H2881" s="38">
        <f t="shared" si="341"/>
        <v>8</v>
      </c>
      <c r="I2881" s="54">
        <f>WEEKNUM(A2881)</f>
        <v>35</v>
      </c>
      <c r="J2881" s="14" t="str">
        <f t="shared" si="342"/>
        <v>Summer</v>
      </c>
      <c r="K2881" s="16" t="str">
        <f t="shared" si="343"/>
        <v>3-6</v>
      </c>
      <c r="L2881" s="14" t="str">
        <f t="shared" si="335"/>
        <v>Romper Short | 3-6 | Cream</v>
      </c>
      <c r="M2881" s="16" t="s">
        <v>3609</v>
      </c>
    </row>
    <row r="2882" spans="1:13" ht="25" customHeight="1" x14ac:dyDescent="0.45">
      <c r="A2882" s="18">
        <v>45896</v>
      </c>
      <c r="B2882" s="19" t="s">
        <v>2997</v>
      </c>
      <c r="C2882" s="23" t="s">
        <v>71</v>
      </c>
      <c r="D2882" s="53" t="str">
        <f t="shared" si="338"/>
        <v>Coffee</v>
      </c>
      <c r="E2882" s="21" t="s">
        <v>1849</v>
      </c>
      <c r="F2882" s="21" t="str">
        <f ca="1">IFERROR(__xludf.DUMMYFUNCTION("IFERROR(REGEXEXTRACT(O761, ""\n([A-Za-z ]+)$""), """")
"),"United States")</f>
        <v>United States</v>
      </c>
      <c r="G2882" s="4" t="str">
        <f t="shared" si="337"/>
        <v>Romper Short</v>
      </c>
      <c r="H2882" s="38">
        <f t="shared" si="341"/>
        <v>8</v>
      </c>
      <c r="I2882" s="54">
        <f>WEEKNUM(A2882)</f>
        <v>35</v>
      </c>
      <c r="J2882" s="14" t="str">
        <f t="shared" si="342"/>
        <v>Summer</v>
      </c>
      <c r="K2882" s="16" t="str">
        <f t="shared" si="343"/>
        <v>3-6</v>
      </c>
      <c r="L2882" s="14" t="str">
        <f t="shared" ref="L2882:L2945" si="344">TRIM(G2882)&amp;" | "&amp;TRIM(K2882)&amp;" | "&amp;PROPER(TRIM(D2882))</f>
        <v>Romper Short | 3-6 | Coffee</v>
      </c>
      <c r="M2882" s="16" t="s">
        <v>3610</v>
      </c>
    </row>
    <row r="2883" spans="1:13" ht="25" customHeight="1" x14ac:dyDescent="0.45">
      <c r="A2883" s="18">
        <v>45897</v>
      </c>
      <c r="B2883" s="19" t="s">
        <v>2998</v>
      </c>
      <c r="C2883" s="23" t="s">
        <v>110</v>
      </c>
      <c r="D2883" s="53" t="str">
        <f t="shared" si="338"/>
        <v>Sage Green</v>
      </c>
      <c r="E2883" s="21" t="s">
        <v>1831</v>
      </c>
      <c r="F2883" s="21" t="str">
        <f ca="1">IFERROR(__xludf.DUMMYFUNCTION("IFERROR(REGEXEXTRACT(O761, ""\n([A-Za-z ]+)$""), """")
"),"United States")</f>
        <v>United States</v>
      </c>
      <c r="G2883" s="4" t="str">
        <f t="shared" si="337"/>
        <v>Romper Longer</v>
      </c>
      <c r="H2883" s="38">
        <f t="shared" si="341"/>
        <v>8</v>
      </c>
      <c r="I2883" s="54">
        <f>WEEKNUM(A2883)</f>
        <v>35</v>
      </c>
      <c r="J2883" s="14" t="str">
        <f t="shared" si="342"/>
        <v>Summer</v>
      </c>
      <c r="K2883" s="16" t="str">
        <f t="shared" si="343"/>
        <v>0-3</v>
      </c>
      <c r="L2883" s="14" t="str">
        <f t="shared" si="344"/>
        <v>Romper Longer | 0-3 | Sage Green</v>
      </c>
      <c r="M2883" s="16" t="s">
        <v>3611</v>
      </c>
    </row>
    <row r="2884" spans="1:13" ht="25" customHeight="1" x14ac:dyDescent="0.45">
      <c r="A2884" s="18">
        <v>45898</v>
      </c>
      <c r="B2884" s="19" t="s">
        <v>2999</v>
      </c>
      <c r="C2884" s="23" t="s">
        <v>110</v>
      </c>
      <c r="D2884" s="53" t="str">
        <f t="shared" si="338"/>
        <v>Sage Green</v>
      </c>
      <c r="E2884" s="21" t="s">
        <v>1849</v>
      </c>
      <c r="F2884" s="21" t="str">
        <f ca="1">IFERROR(__xludf.DUMMYFUNCTION("IFERROR(REGEXEXTRACT(O761, ""\n([A-Za-z ]+)$""), """")
"),"United States")</f>
        <v>United States</v>
      </c>
      <c r="G2884" s="4" t="str">
        <f t="shared" si="337"/>
        <v>Romper Short</v>
      </c>
      <c r="H2884" s="38">
        <f t="shared" si="341"/>
        <v>8</v>
      </c>
      <c r="I2884" s="54">
        <f>WEEKNUM(A2884)</f>
        <v>35</v>
      </c>
      <c r="J2884" s="14" t="str">
        <f t="shared" si="342"/>
        <v>Summer</v>
      </c>
      <c r="K2884" s="16" t="str">
        <f t="shared" si="343"/>
        <v>3-6</v>
      </c>
      <c r="L2884" s="14" t="str">
        <f t="shared" si="344"/>
        <v>Romper Short | 3-6 | Sage Green</v>
      </c>
      <c r="M2884" s="16" t="s">
        <v>3611</v>
      </c>
    </row>
    <row r="2885" spans="1:13" ht="25" customHeight="1" x14ac:dyDescent="0.45">
      <c r="A2885" s="18">
        <v>45899</v>
      </c>
      <c r="B2885" s="19" t="s">
        <v>3000</v>
      </c>
      <c r="C2885" s="23" t="s">
        <v>110</v>
      </c>
      <c r="D2885" s="53" t="str">
        <f t="shared" si="338"/>
        <v>Sage Green</v>
      </c>
      <c r="E2885" s="21" t="s">
        <v>1841</v>
      </c>
      <c r="F2885" s="21" t="str">
        <f ca="1">IFERROR(__xludf.DUMMYFUNCTION("IFERROR(REGEXEXTRACT(O761, ""\n([A-Za-z ]+)$""), """")
"),"United States")</f>
        <v>United States</v>
      </c>
      <c r="G2885" s="4" t="str">
        <f t="shared" si="337"/>
        <v>Romper Longer</v>
      </c>
      <c r="H2885" s="38">
        <f t="shared" si="341"/>
        <v>8</v>
      </c>
      <c r="I2885" s="54">
        <f t="shared" ref="I2885:I2901" si="345">WEEKNUM(A2885)</f>
        <v>35</v>
      </c>
      <c r="J2885" s="14" t="str">
        <f t="shared" si="342"/>
        <v>Summer</v>
      </c>
      <c r="K2885" s="16" t="str">
        <f t="shared" si="343"/>
        <v>6-12</v>
      </c>
      <c r="L2885" s="14" t="str">
        <f t="shared" si="344"/>
        <v>Romper Longer | 6-12 | Sage Green</v>
      </c>
      <c r="M2885" s="16" t="s">
        <v>3610</v>
      </c>
    </row>
    <row r="2886" spans="1:13" ht="25" customHeight="1" x14ac:dyDescent="0.45">
      <c r="A2886" s="18">
        <v>45900</v>
      </c>
      <c r="B2886" s="19" t="s">
        <v>3001</v>
      </c>
      <c r="C2886" s="23" t="s">
        <v>9</v>
      </c>
      <c r="D2886" s="53" t="str">
        <f t="shared" si="338"/>
        <v>Cream</v>
      </c>
      <c r="E2886" s="21" t="s">
        <v>1828</v>
      </c>
      <c r="F2886" s="21" t="str">
        <f ca="1">IFERROR(__xludf.DUMMYFUNCTION("IFERROR(REGEXEXTRACT(O761, ""\n([A-Za-z ]+)$""), """")
"),"United States")</f>
        <v>United States</v>
      </c>
      <c r="G2886" s="4" t="str">
        <f t="shared" si="337"/>
        <v>Romper Longer</v>
      </c>
      <c r="H2886" s="38">
        <f t="shared" si="341"/>
        <v>8</v>
      </c>
      <c r="I2886" s="54">
        <f t="shared" si="345"/>
        <v>36</v>
      </c>
      <c r="J2886" s="14" t="str">
        <f t="shared" si="342"/>
        <v>Summer</v>
      </c>
      <c r="K2886" s="16" t="str">
        <f t="shared" si="343"/>
        <v>3-6</v>
      </c>
      <c r="L2886" s="14" t="str">
        <f t="shared" si="344"/>
        <v>Romper Longer | 3-6 | Cream</v>
      </c>
      <c r="M2886" s="16" t="s">
        <v>3609</v>
      </c>
    </row>
    <row r="2887" spans="1:13" ht="25" customHeight="1" x14ac:dyDescent="0.45">
      <c r="A2887" s="18">
        <v>45901</v>
      </c>
      <c r="B2887" s="19" t="s">
        <v>3002</v>
      </c>
      <c r="C2887" s="23" t="s">
        <v>9</v>
      </c>
      <c r="D2887" s="53" t="str">
        <f t="shared" si="338"/>
        <v>Cream</v>
      </c>
      <c r="E2887" s="21" t="s">
        <v>1841</v>
      </c>
      <c r="F2887" s="21" t="str">
        <f ca="1">IFERROR(__xludf.DUMMYFUNCTION("IFERROR(REGEXEXTRACT(O761, ""\n([A-Za-z ]+)$""), """")
"),"United States")</f>
        <v>United States</v>
      </c>
      <c r="G2887" s="4" t="str">
        <f t="shared" si="337"/>
        <v>Romper Longer</v>
      </c>
      <c r="H2887" s="38">
        <f t="shared" si="341"/>
        <v>9</v>
      </c>
      <c r="I2887" s="54">
        <f t="shared" si="345"/>
        <v>36</v>
      </c>
      <c r="J2887" s="14" t="str">
        <f t="shared" si="342"/>
        <v>Normal</v>
      </c>
      <c r="K2887" s="16" t="str">
        <f t="shared" si="343"/>
        <v>6-12</v>
      </c>
      <c r="L2887" s="14" t="str">
        <f t="shared" si="344"/>
        <v>Romper Longer | 6-12 | Cream</v>
      </c>
      <c r="M2887" s="16" t="s">
        <v>3611</v>
      </c>
    </row>
    <row r="2888" spans="1:13" ht="25" customHeight="1" x14ac:dyDescent="0.45">
      <c r="A2888" s="18">
        <v>45902</v>
      </c>
      <c r="B2888" s="19" t="s">
        <v>3003</v>
      </c>
      <c r="C2888" s="23" t="s">
        <v>76</v>
      </c>
      <c r="D2888" s="53" t="str">
        <f t="shared" si="338"/>
        <v>Caldet Blue</v>
      </c>
      <c r="E2888" s="21" t="s">
        <v>1849</v>
      </c>
      <c r="F2888" s="21" t="str">
        <f ca="1">IFERROR(__xludf.DUMMYFUNCTION("IFERROR(REGEXEXTRACT(O761, ""\n([A-Za-z ]+)$""), """")
"),"United States")</f>
        <v>United States</v>
      </c>
      <c r="G2888" s="4" t="str">
        <f t="shared" si="337"/>
        <v>Romper Short</v>
      </c>
      <c r="H2888" s="38">
        <f t="shared" si="341"/>
        <v>9</v>
      </c>
      <c r="I2888" s="54">
        <f t="shared" si="345"/>
        <v>36</v>
      </c>
      <c r="J2888" s="14" t="str">
        <f t="shared" si="342"/>
        <v>Normal</v>
      </c>
      <c r="K2888" s="16" t="str">
        <f t="shared" si="343"/>
        <v>3-6</v>
      </c>
      <c r="L2888" s="14" t="str">
        <f t="shared" si="344"/>
        <v>Romper Short | 3-6 | Caldet Blue</v>
      </c>
      <c r="M2888" s="16" t="s">
        <v>3610</v>
      </c>
    </row>
    <row r="2889" spans="1:13" ht="25" customHeight="1" x14ac:dyDescent="0.45">
      <c r="A2889" s="18">
        <v>45903</v>
      </c>
      <c r="B2889" s="19" t="s">
        <v>3004</v>
      </c>
      <c r="C2889" s="23" t="s">
        <v>76</v>
      </c>
      <c r="D2889" s="53" t="str">
        <f t="shared" si="338"/>
        <v>Caldet Blue</v>
      </c>
      <c r="E2889" s="21" t="s">
        <v>1849</v>
      </c>
      <c r="F2889" s="21" t="str">
        <f ca="1">IFERROR(__xludf.DUMMYFUNCTION("IFERROR(REGEXEXTRACT(O761, ""\n([A-Za-z ]+)$""), """")
"),"United States")</f>
        <v>United States</v>
      </c>
      <c r="G2889" s="4" t="str">
        <f t="shared" si="337"/>
        <v>Romper Short</v>
      </c>
      <c r="H2889" s="38">
        <f t="shared" si="341"/>
        <v>9</v>
      </c>
      <c r="I2889" s="54">
        <f t="shared" si="345"/>
        <v>36</v>
      </c>
      <c r="J2889" s="14" t="str">
        <f t="shared" si="342"/>
        <v>Normal</v>
      </c>
      <c r="K2889" s="16" t="str">
        <f t="shared" si="343"/>
        <v>3-6</v>
      </c>
      <c r="L2889" s="14" t="str">
        <f t="shared" si="344"/>
        <v>Romper Short | 3-6 | Caldet Blue</v>
      </c>
      <c r="M2889" s="16" t="s">
        <v>3610</v>
      </c>
    </row>
    <row r="2890" spans="1:13" ht="25" customHeight="1" x14ac:dyDescent="0.45">
      <c r="A2890" s="18">
        <v>45904</v>
      </c>
      <c r="B2890" s="19" t="s">
        <v>3005</v>
      </c>
      <c r="C2890" s="23" t="s">
        <v>110</v>
      </c>
      <c r="D2890" s="53" t="str">
        <f t="shared" si="338"/>
        <v>Sage Green</v>
      </c>
      <c r="E2890" s="21" t="s">
        <v>1420</v>
      </c>
      <c r="F2890" s="21" t="str">
        <f ca="1">IFERROR(__xludf.DUMMYFUNCTION("IFERROR(REGEXEXTRACT(O761, ""\n([A-Za-z ]+)$""), """")
"),"United States")</f>
        <v>United States</v>
      </c>
      <c r="G2890" s="4" t="str">
        <f t="shared" si="337"/>
        <v>Romper Short</v>
      </c>
      <c r="H2890" s="38">
        <f t="shared" si="341"/>
        <v>9</v>
      </c>
      <c r="I2890" s="54">
        <f t="shared" si="345"/>
        <v>36</v>
      </c>
      <c r="J2890" s="14" t="str">
        <f t="shared" si="342"/>
        <v>Normal</v>
      </c>
      <c r="K2890" s="16" t="str">
        <f t="shared" si="343"/>
        <v>6-12</v>
      </c>
      <c r="L2890" s="14" t="str">
        <f t="shared" si="344"/>
        <v>Romper Short | 6-12 | Sage Green</v>
      </c>
      <c r="M2890" s="16" t="s">
        <v>3610</v>
      </c>
    </row>
    <row r="2891" spans="1:13" ht="25" customHeight="1" x14ac:dyDescent="0.45">
      <c r="A2891" s="18">
        <v>45905</v>
      </c>
      <c r="B2891" s="19" t="s">
        <v>3006</v>
      </c>
      <c r="C2891" s="23" t="s">
        <v>9</v>
      </c>
      <c r="D2891" s="53" t="str">
        <f t="shared" si="338"/>
        <v>Cream</v>
      </c>
      <c r="E2891" s="21" t="s">
        <v>1849</v>
      </c>
      <c r="F2891" s="21" t="str">
        <f ca="1">IFERROR(__xludf.DUMMYFUNCTION("IFERROR(REGEXEXTRACT(O761, ""\n([A-Za-z ]+)$""), """")
"),"United States")</f>
        <v>United States</v>
      </c>
      <c r="G2891" s="4" t="str">
        <f t="shared" si="337"/>
        <v>Romper Short</v>
      </c>
      <c r="H2891" s="38">
        <f t="shared" si="341"/>
        <v>9</v>
      </c>
      <c r="I2891" s="54">
        <f t="shared" si="345"/>
        <v>36</v>
      </c>
      <c r="J2891" s="14" t="str">
        <f t="shared" si="342"/>
        <v>Normal</v>
      </c>
      <c r="K2891" s="16" t="str">
        <f t="shared" si="343"/>
        <v>3-6</v>
      </c>
      <c r="L2891" s="14" t="str">
        <f t="shared" si="344"/>
        <v>Romper Short | 3-6 | Cream</v>
      </c>
      <c r="M2891" s="16" t="s">
        <v>3609</v>
      </c>
    </row>
    <row r="2892" spans="1:13" ht="25" customHeight="1" x14ac:dyDescent="0.45">
      <c r="A2892" s="18">
        <v>45906</v>
      </c>
      <c r="B2892" s="19" t="s">
        <v>3007</v>
      </c>
      <c r="C2892" s="23" t="s">
        <v>81</v>
      </c>
      <c r="D2892" s="53" t="str">
        <f t="shared" si="338"/>
        <v>Dusty Pink</v>
      </c>
      <c r="E2892" s="21" t="s">
        <v>1831</v>
      </c>
      <c r="F2892" s="21" t="str">
        <f ca="1">IFERROR(__xludf.DUMMYFUNCTION("IFERROR(REGEXEXTRACT(O761, ""\n([A-Za-z ]+)$""), """")
"),"United States")</f>
        <v>United States</v>
      </c>
      <c r="G2892" s="4" t="str">
        <f t="shared" si="337"/>
        <v>Romper Longer</v>
      </c>
      <c r="H2892" s="38">
        <f t="shared" si="341"/>
        <v>9</v>
      </c>
      <c r="I2892" s="54">
        <f t="shared" si="345"/>
        <v>36</v>
      </c>
      <c r="J2892" s="14" t="str">
        <f t="shared" si="342"/>
        <v>Normal</v>
      </c>
      <c r="K2892" s="16" t="str">
        <f t="shared" si="343"/>
        <v>0-3</v>
      </c>
      <c r="L2892" s="14" t="str">
        <f t="shared" si="344"/>
        <v>Romper Longer | 0-3 | Dusty Pink</v>
      </c>
      <c r="M2892" s="16" t="s">
        <v>3610</v>
      </c>
    </row>
    <row r="2893" spans="1:13" ht="25" customHeight="1" x14ac:dyDescent="0.45">
      <c r="A2893" s="18">
        <v>45907</v>
      </c>
      <c r="B2893" s="19" t="s">
        <v>3008</v>
      </c>
      <c r="C2893" s="23" t="s">
        <v>9</v>
      </c>
      <c r="D2893" s="53" t="str">
        <f t="shared" si="338"/>
        <v>Cream</v>
      </c>
      <c r="E2893" s="21" t="s">
        <v>1834</v>
      </c>
      <c r="F2893" s="21" t="str">
        <f ca="1">IFERROR(__xludf.DUMMYFUNCTION("IFERROR(REGEXEXTRACT(O761, ""\n([A-Za-z ]+)$""), """")
"),"United States")</f>
        <v>United States</v>
      </c>
      <c r="G2893" s="4" t="str">
        <f t="shared" si="337"/>
        <v>Romper Short</v>
      </c>
      <c r="H2893" s="38">
        <f t="shared" si="341"/>
        <v>9</v>
      </c>
      <c r="I2893" s="54">
        <f t="shared" si="345"/>
        <v>37</v>
      </c>
      <c r="J2893" s="14" t="str">
        <f t="shared" si="342"/>
        <v>Normal</v>
      </c>
      <c r="K2893" s="16" t="str">
        <f t="shared" si="343"/>
        <v>0-3</v>
      </c>
      <c r="L2893" s="14" t="str">
        <f t="shared" si="344"/>
        <v>Romper Short | 0-3 | Cream</v>
      </c>
      <c r="M2893" s="16" t="s">
        <v>3609</v>
      </c>
    </row>
    <row r="2894" spans="1:13" ht="25" customHeight="1" x14ac:dyDescent="0.45">
      <c r="A2894" s="18">
        <v>45908</v>
      </c>
      <c r="B2894" s="19" t="s">
        <v>3009</v>
      </c>
      <c r="C2894" s="23" t="s">
        <v>9</v>
      </c>
      <c r="D2894" s="53" t="str">
        <f t="shared" si="338"/>
        <v>Cream</v>
      </c>
      <c r="E2894" s="21" t="s">
        <v>1828</v>
      </c>
      <c r="F2894" s="21" t="str">
        <f ca="1">IFERROR(__xludf.DUMMYFUNCTION("IFERROR(REGEXEXTRACT(O761, ""\n([A-Za-z ]+)$""), """")
"),"United States")</f>
        <v>United States</v>
      </c>
      <c r="G2894" s="4" t="str">
        <f t="shared" si="337"/>
        <v>Romper Longer</v>
      </c>
      <c r="H2894" s="38">
        <f t="shared" si="341"/>
        <v>9</v>
      </c>
      <c r="I2894" s="54">
        <f t="shared" si="345"/>
        <v>37</v>
      </c>
      <c r="J2894" s="14" t="str">
        <f t="shared" si="342"/>
        <v>Normal</v>
      </c>
      <c r="K2894" s="16" t="str">
        <f t="shared" si="343"/>
        <v>3-6</v>
      </c>
      <c r="L2894" s="14" t="str">
        <f t="shared" si="344"/>
        <v>Romper Longer | 3-6 | Cream</v>
      </c>
      <c r="M2894" s="16" t="s">
        <v>3609</v>
      </c>
    </row>
    <row r="2895" spans="1:13" ht="25" customHeight="1" x14ac:dyDescent="0.45">
      <c r="A2895" s="18">
        <v>45909</v>
      </c>
      <c r="B2895" s="19" t="s">
        <v>3010</v>
      </c>
      <c r="C2895" s="23" t="s">
        <v>9</v>
      </c>
      <c r="D2895" s="53" t="str">
        <f t="shared" si="338"/>
        <v>Cream</v>
      </c>
      <c r="E2895" s="21" t="s">
        <v>1849</v>
      </c>
      <c r="F2895" s="21" t="str">
        <f ca="1">IFERROR(__xludf.DUMMYFUNCTION("IFERROR(REGEXEXTRACT(O761, ""\n([A-Za-z ]+)$""), """")
"),"United States")</f>
        <v>United States</v>
      </c>
      <c r="G2895" s="4" t="str">
        <f t="shared" ref="G2895:G2958" si="346">IF(ISNUMBER(SEARCH("LONG",E2895)),"Romper Longer",IF(ISNUMBER(SEARCH("SHORT",E2895)),"Romper Short","Bodysuit"))</f>
        <v>Romper Short</v>
      </c>
      <c r="H2895" s="38">
        <f t="shared" si="341"/>
        <v>9</v>
      </c>
      <c r="I2895" s="54">
        <f t="shared" si="345"/>
        <v>37</v>
      </c>
      <c r="J2895" s="14" t="str">
        <f t="shared" si="342"/>
        <v>Normal</v>
      </c>
      <c r="K2895" s="16" t="str">
        <f t="shared" si="343"/>
        <v>3-6</v>
      </c>
      <c r="L2895" s="14" t="str">
        <f t="shared" si="344"/>
        <v>Romper Short | 3-6 | Cream</v>
      </c>
      <c r="M2895" s="16" t="s">
        <v>3609</v>
      </c>
    </row>
    <row r="2896" spans="1:13" ht="25" customHeight="1" x14ac:dyDescent="0.45">
      <c r="A2896" s="18">
        <v>45910</v>
      </c>
      <c r="B2896" s="19" t="s">
        <v>3011</v>
      </c>
      <c r="C2896" s="23" t="s">
        <v>9</v>
      </c>
      <c r="D2896" s="53" t="str">
        <f t="shared" si="338"/>
        <v>Cream</v>
      </c>
      <c r="E2896" s="21" t="s">
        <v>1828</v>
      </c>
      <c r="F2896" s="21" t="str">
        <f ca="1">IFERROR(__xludf.DUMMYFUNCTION("IFERROR(REGEXEXTRACT(O761, ""\n([A-Za-z ]+)$""), """")
"),"United States")</f>
        <v>United States</v>
      </c>
      <c r="G2896" s="4" t="str">
        <f t="shared" si="346"/>
        <v>Romper Longer</v>
      </c>
      <c r="H2896" s="38">
        <f t="shared" si="341"/>
        <v>9</v>
      </c>
      <c r="I2896" s="54">
        <f t="shared" si="345"/>
        <v>37</v>
      </c>
      <c r="J2896" s="14" t="str">
        <f t="shared" si="342"/>
        <v>Normal</v>
      </c>
      <c r="K2896" s="16" t="str">
        <f t="shared" si="343"/>
        <v>3-6</v>
      </c>
      <c r="L2896" s="14" t="str">
        <f t="shared" si="344"/>
        <v>Romper Longer | 3-6 | Cream</v>
      </c>
      <c r="M2896" s="16" t="s">
        <v>3609</v>
      </c>
    </row>
    <row r="2897" spans="1:13" ht="25" customHeight="1" x14ac:dyDescent="0.45">
      <c r="A2897" s="18">
        <v>45911</v>
      </c>
      <c r="B2897" s="19" t="s">
        <v>3012</v>
      </c>
      <c r="C2897" s="23" t="s">
        <v>110</v>
      </c>
      <c r="D2897" s="53" t="str">
        <f t="shared" si="338"/>
        <v>Sage Green</v>
      </c>
      <c r="E2897" s="21" t="s">
        <v>1849</v>
      </c>
      <c r="F2897" s="21" t="str">
        <f ca="1">IFERROR(__xludf.DUMMYFUNCTION("IFERROR(REGEXEXTRACT(O761, ""\n([A-Za-z ]+)$""), """")
"),"United States")</f>
        <v>United States</v>
      </c>
      <c r="G2897" s="4" t="str">
        <f t="shared" si="346"/>
        <v>Romper Short</v>
      </c>
      <c r="H2897" s="38">
        <f t="shared" si="341"/>
        <v>9</v>
      </c>
      <c r="I2897" s="54">
        <f t="shared" si="345"/>
        <v>37</v>
      </c>
      <c r="J2897" s="14" t="str">
        <f t="shared" si="342"/>
        <v>Normal</v>
      </c>
      <c r="K2897" s="16" t="str">
        <f t="shared" si="343"/>
        <v>3-6</v>
      </c>
      <c r="L2897" s="14" t="str">
        <f t="shared" si="344"/>
        <v>Romper Short | 3-6 | Sage Green</v>
      </c>
      <c r="M2897" s="16" t="s">
        <v>3611</v>
      </c>
    </row>
    <row r="2898" spans="1:13" ht="25" customHeight="1" x14ac:dyDescent="0.45">
      <c r="A2898" s="18">
        <v>45912</v>
      </c>
      <c r="B2898" s="19" t="s">
        <v>3013</v>
      </c>
      <c r="C2898" s="23" t="s">
        <v>9</v>
      </c>
      <c r="D2898" s="53" t="str">
        <f t="shared" si="338"/>
        <v>Cream</v>
      </c>
      <c r="E2898" s="21" t="s">
        <v>1849</v>
      </c>
      <c r="F2898" s="21" t="str">
        <f ca="1">IFERROR(__xludf.DUMMYFUNCTION("IFERROR(REGEXEXTRACT(O761, ""\n([A-Za-z ]+)$""), """")
"),"United States")</f>
        <v>United States</v>
      </c>
      <c r="G2898" s="4" t="str">
        <f t="shared" si="346"/>
        <v>Romper Short</v>
      </c>
      <c r="H2898" s="38">
        <f t="shared" si="341"/>
        <v>9</v>
      </c>
      <c r="I2898" s="54">
        <f t="shared" si="345"/>
        <v>37</v>
      </c>
      <c r="J2898" s="14" t="str">
        <f t="shared" si="342"/>
        <v>Normal</v>
      </c>
      <c r="K2898" s="16" t="str">
        <f t="shared" si="343"/>
        <v>3-6</v>
      </c>
      <c r="L2898" s="14" t="str">
        <f t="shared" si="344"/>
        <v>Romper Short | 3-6 | Cream</v>
      </c>
      <c r="M2898" s="16" t="s">
        <v>3609</v>
      </c>
    </row>
    <row r="2899" spans="1:13" ht="25" customHeight="1" x14ac:dyDescent="0.45">
      <c r="A2899" s="18">
        <v>45913</v>
      </c>
      <c r="B2899" s="19" t="s">
        <v>3014</v>
      </c>
      <c r="C2899" s="23" t="s">
        <v>85</v>
      </c>
      <c r="D2899" s="53" t="str">
        <f t="shared" ref="D2899:D2962" si="347">PROPER(C2899)</f>
        <v>Forest Green</v>
      </c>
      <c r="E2899" s="21" t="s">
        <v>1841</v>
      </c>
      <c r="F2899" s="21" t="str">
        <f ca="1">IFERROR(__xludf.DUMMYFUNCTION("IFERROR(REGEXEXTRACT(O761, ""\n([A-Za-z ]+)$""), """")
"),"United States")</f>
        <v>United States</v>
      </c>
      <c r="G2899" s="4" t="str">
        <f t="shared" si="346"/>
        <v>Romper Longer</v>
      </c>
      <c r="H2899" s="38">
        <f t="shared" si="341"/>
        <v>9</v>
      </c>
      <c r="I2899" s="54">
        <f t="shared" si="345"/>
        <v>37</v>
      </c>
      <c r="J2899" s="14" t="str">
        <f t="shared" si="342"/>
        <v>Normal</v>
      </c>
      <c r="K2899" s="16" t="str">
        <f t="shared" si="343"/>
        <v>6-12</v>
      </c>
      <c r="L2899" s="14" t="str">
        <f t="shared" si="344"/>
        <v>Romper Longer | 6-12 | Forest Green</v>
      </c>
      <c r="M2899" s="16" t="s">
        <v>3610</v>
      </c>
    </row>
    <row r="2900" spans="1:13" ht="25" customHeight="1" x14ac:dyDescent="0.45">
      <c r="A2900" s="18">
        <v>45914</v>
      </c>
      <c r="B2900" s="19" t="s">
        <v>3015</v>
      </c>
      <c r="C2900" s="23" t="s">
        <v>81</v>
      </c>
      <c r="D2900" s="53" t="str">
        <f t="shared" si="347"/>
        <v>Dusty Pink</v>
      </c>
      <c r="E2900" s="21" t="s">
        <v>1831</v>
      </c>
      <c r="F2900" s="21" t="str">
        <f ca="1">IFERROR(__xludf.DUMMYFUNCTION("IFERROR(REGEXEXTRACT(O761, ""\n([A-Za-z ]+)$""), """")
"),"United States")</f>
        <v>United States</v>
      </c>
      <c r="G2900" s="4" t="str">
        <f t="shared" si="346"/>
        <v>Romper Longer</v>
      </c>
      <c r="H2900" s="38">
        <f t="shared" si="341"/>
        <v>9</v>
      </c>
      <c r="I2900" s="54">
        <f t="shared" si="345"/>
        <v>38</v>
      </c>
      <c r="J2900" s="14" t="str">
        <f t="shared" si="342"/>
        <v>Normal</v>
      </c>
      <c r="K2900" s="16" t="str">
        <f t="shared" si="343"/>
        <v>0-3</v>
      </c>
      <c r="L2900" s="14" t="str">
        <f t="shared" si="344"/>
        <v>Romper Longer | 0-3 | Dusty Pink</v>
      </c>
      <c r="M2900" s="16" t="s">
        <v>3610</v>
      </c>
    </row>
    <row r="2901" spans="1:13" ht="25" customHeight="1" x14ac:dyDescent="0.45">
      <c r="A2901" s="18">
        <v>45915</v>
      </c>
      <c r="B2901" s="19" t="s">
        <v>3016</v>
      </c>
      <c r="C2901" s="23" t="s">
        <v>81</v>
      </c>
      <c r="D2901" s="53" t="str">
        <f t="shared" si="347"/>
        <v>Dusty Pink</v>
      </c>
      <c r="E2901" s="21" t="s">
        <v>1831</v>
      </c>
      <c r="F2901" s="21" t="str">
        <f ca="1">IFERROR(__xludf.DUMMYFUNCTION("IFERROR(REGEXEXTRACT(O761, ""\n([A-Za-z ]+)$""), """")
"),"United States")</f>
        <v>United States</v>
      </c>
      <c r="G2901" s="4" t="str">
        <f t="shared" si="346"/>
        <v>Romper Longer</v>
      </c>
      <c r="H2901" s="38">
        <f t="shared" si="341"/>
        <v>9</v>
      </c>
      <c r="I2901" s="54">
        <f t="shared" si="345"/>
        <v>38</v>
      </c>
      <c r="J2901" s="14" t="str">
        <f t="shared" si="342"/>
        <v>Normal</v>
      </c>
      <c r="K2901" s="16" t="str">
        <f t="shared" si="343"/>
        <v>0-3</v>
      </c>
      <c r="L2901" s="14" t="str">
        <f t="shared" si="344"/>
        <v>Romper Longer | 0-3 | Dusty Pink</v>
      </c>
      <c r="M2901" s="16" t="s">
        <v>3610</v>
      </c>
    </row>
    <row r="2902" spans="1:13" ht="25" customHeight="1" x14ac:dyDescent="0.45">
      <c r="A2902" s="18">
        <v>45916</v>
      </c>
      <c r="B2902" s="19" t="s">
        <v>3017</v>
      </c>
      <c r="C2902" s="23" t="s">
        <v>9</v>
      </c>
      <c r="D2902" s="53" t="str">
        <f t="shared" si="347"/>
        <v>Cream</v>
      </c>
      <c r="E2902" s="21" t="s">
        <v>1834</v>
      </c>
      <c r="F2902" s="21" t="str">
        <f ca="1">IFERROR(__xludf.DUMMYFUNCTION("IFERROR(REGEXEXTRACT(O761, ""\n([A-Za-z ]+)$""), """")
"),"United States")</f>
        <v>United States</v>
      </c>
      <c r="G2902" s="4" t="str">
        <f t="shared" si="346"/>
        <v>Romper Short</v>
      </c>
      <c r="H2902" s="38">
        <f t="shared" si="341"/>
        <v>9</v>
      </c>
      <c r="I2902" s="54">
        <f>WEEKNUM(A2902)</f>
        <v>38</v>
      </c>
      <c r="J2902" s="14" t="str">
        <f t="shared" si="342"/>
        <v>Normal</v>
      </c>
      <c r="K2902" s="16" t="str">
        <f t="shared" si="343"/>
        <v>0-3</v>
      </c>
      <c r="L2902" s="14" t="str">
        <f t="shared" si="344"/>
        <v>Romper Short | 0-3 | Cream</v>
      </c>
      <c r="M2902" s="16" t="s">
        <v>3609</v>
      </c>
    </row>
    <row r="2903" spans="1:13" ht="25" customHeight="1" x14ac:dyDescent="0.45">
      <c r="A2903" s="18">
        <v>45917</v>
      </c>
      <c r="B2903" s="19" t="s">
        <v>3018</v>
      </c>
      <c r="C2903" s="23" t="s">
        <v>81</v>
      </c>
      <c r="D2903" s="53" t="str">
        <f t="shared" si="347"/>
        <v>Dusty Pink</v>
      </c>
      <c r="E2903" s="21" t="s">
        <v>1849</v>
      </c>
      <c r="F2903" s="21" t="str">
        <f ca="1">IFERROR(__xludf.DUMMYFUNCTION("IFERROR(REGEXEXTRACT(O761, ""\n([A-Za-z ]+)$""), """")
"),"United States")</f>
        <v>United States</v>
      </c>
      <c r="G2903" s="4" t="str">
        <f t="shared" si="346"/>
        <v>Romper Short</v>
      </c>
      <c r="H2903" s="38">
        <f t="shared" si="341"/>
        <v>9</v>
      </c>
      <c r="I2903" s="54">
        <f>WEEKNUM(A2903)</f>
        <v>38</v>
      </c>
      <c r="J2903" s="14" t="str">
        <f t="shared" si="342"/>
        <v>Normal</v>
      </c>
      <c r="K2903" s="16" t="str">
        <f t="shared" si="343"/>
        <v>3-6</v>
      </c>
      <c r="L2903" s="14" t="str">
        <f t="shared" si="344"/>
        <v>Romper Short | 3-6 | Dusty Pink</v>
      </c>
      <c r="M2903" s="16" t="s">
        <v>3610</v>
      </c>
    </row>
    <row r="2904" spans="1:13" ht="25" customHeight="1" x14ac:dyDescent="0.45">
      <c r="A2904" s="18">
        <v>45918</v>
      </c>
      <c r="B2904" s="19" t="s">
        <v>3019</v>
      </c>
      <c r="C2904" s="23" t="s">
        <v>85</v>
      </c>
      <c r="D2904" s="53" t="str">
        <f t="shared" si="347"/>
        <v>Forest Green</v>
      </c>
      <c r="E2904" s="21" t="s">
        <v>1828</v>
      </c>
      <c r="F2904" s="21" t="str">
        <f ca="1">IFERROR(__xludf.DUMMYFUNCTION("IFERROR(REGEXEXTRACT(O761, ""\n([A-Za-z ]+)$""), """")
"),"United States")</f>
        <v>United States</v>
      </c>
      <c r="G2904" s="4" t="str">
        <f t="shared" si="346"/>
        <v>Romper Longer</v>
      </c>
      <c r="H2904" s="38">
        <f t="shared" si="341"/>
        <v>9</v>
      </c>
      <c r="I2904" s="54">
        <f>WEEKNUM(A2904)</f>
        <v>38</v>
      </c>
      <c r="J2904" s="14" t="str">
        <f t="shared" si="342"/>
        <v>Normal</v>
      </c>
      <c r="K2904" s="16" t="str">
        <f t="shared" si="343"/>
        <v>3-6</v>
      </c>
      <c r="L2904" s="14" t="str">
        <f t="shared" si="344"/>
        <v>Romper Longer | 3-6 | Forest Green</v>
      </c>
      <c r="M2904" s="16" t="s">
        <v>3610</v>
      </c>
    </row>
    <row r="2905" spans="1:13" ht="25" customHeight="1" x14ac:dyDescent="0.45">
      <c r="A2905" s="18">
        <v>45919</v>
      </c>
      <c r="B2905" s="19" t="s">
        <v>3020</v>
      </c>
      <c r="C2905" s="23" t="s">
        <v>9</v>
      </c>
      <c r="D2905" s="53" t="str">
        <f t="shared" si="347"/>
        <v>Cream</v>
      </c>
      <c r="E2905" s="21" t="s">
        <v>1828</v>
      </c>
      <c r="F2905" s="21" t="str">
        <f ca="1">IFERROR(__xludf.DUMMYFUNCTION("IFERROR(REGEXEXTRACT(O761, ""\n([A-Za-z ]+)$""), """")
"),"United States")</f>
        <v>United States</v>
      </c>
      <c r="G2905" s="4" t="str">
        <f t="shared" si="346"/>
        <v>Romper Longer</v>
      </c>
      <c r="H2905" s="38">
        <f t="shared" si="341"/>
        <v>9</v>
      </c>
      <c r="I2905" s="54">
        <f>WEEKNUM(A2905)</f>
        <v>38</v>
      </c>
      <c r="J2905" s="14" t="str">
        <f t="shared" si="342"/>
        <v>Normal</v>
      </c>
      <c r="K2905" s="16" t="str">
        <f t="shared" si="343"/>
        <v>3-6</v>
      </c>
      <c r="L2905" s="14" t="str">
        <f t="shared" si="344"/>
        <v>Romper Longer | 3-6 | Cream</v>
      </c>
      <c r="M2905" s="16" t="s">
        <v>3609</v>
      </c>
    </row>
    <row r="2906" spans="1:13" ht="25" customHeight="1" x14ac:dyDescent="0.45">
      <c r="A2906" s="18">
        <v>45920</v>
      </c>
      <c r="B2906" s="19" t="s">
        <v>3021</v>
      </c>
      <c r="C2906" s="23" t="s">
        <v>9</v>
      </c>
      <c r="D2906" s="53" t="str">
        <f t="shared" si="347"/>
        <v>Cream</v>
      </c>
      <c r="E2906" s="21" t="s">
        <v>1828</v>
      </c>
      <c r="F2906" s="21" t="str">
        <f ca="1">IFERROR(__xludf.DUMMYFUNCTION("IFERROR(REGEXEXTRACT(O761, ""\n([A-Za-z ]+)$""), """")
"),"United States")</f>
        <v>United States</v>
      </c>
      <c r="G2906" s="4" t="str">
        <f t="shared" si="346"/>
        <v>Romper Longer</v>
      </c>
      <c r="H2906" s="38">
        <f t="shared" si="341"/>
        <v>9</v>
      </c>
      <c r="I2906" s="54">
        <f>WEEKNUM(A2906)</f>
        <v>38</v>
      </c>
      <c r="J2906" s="14" t="str">
        <f t="shared" si="342"/>
        <v>Normal</v>
      </c>
      <c r="K2906" s="16" t="str">
        <f t="shared" si="343"/>
        <v>3-6</v>
      </c>
      <c r="L2906" s="14" t="str">
        <f t="shared" si="344"/>
        <v>Romper Longer | 3-6 | Cream</v>
      </c>
      <c r="M2906" s="16" t="s">
        <v>3609</v>
      </c>
    </row>
    <row r="2907" spans="1:13" ht="25" customHeight="1" x14ac:dyDescent="0.45">
      <c r="A2907" s="18">
        <v>45921</v>
      </c>
      <c r="B2907" s="19" t="s">
        <v>3022</v>
      </c>
      <c r="C2907" s="23" t="s">
        <v>9</v>
      </c>
      <c r="D2907" s="53" t="str">
        <f t="shared" si="347"/>
        <v>Cream</v>
      </c>
      <c r="E2907" s="21" t="s">
        <v>1828</v>
      </c>
      <c r="F2907" s="21" t="str">
        <f ca="1">IFERROR(__xludf.DUMMYFUNCTION("IFERROR(REGEXEXTRACT(O761, ""\n([A-Za-z ]+)$""), """")
"),"United States")</f>
        <v>United States</v>
      </c>
      <c r="G2907" s="4" t="str">
        <f t="shared" si="346"/>
        <v>Romper Longer</v>
      </c>
      <c r="H2907" s="38">
        <f t="shared" si="341"/>
        <v>9</v>
      </c>
      <c r="I2907" s="54">
        <f t="shared" ref="I2907:I2923" si="348">WEEKNUM(A2907)</f>
        <v>39</v>
      </c>
      <c r="J2907" s="14" t="str">
        <f t="shared" si="342"/>
        <v>Normal</v>
      </c>
      <c r="K2907" s="16" t="str">
        <f t="shared" si="343"/>
        <v>3-6</v>
      </c>
      <c r="L2907" s="14" t="str">
        <f t="shared" si="344"/>
        <v>Romper Longer | 3-6 | Cream</v>
      </c>
      <c r="M2907" s="16" t="s">
        <v>3609</v>
      </c>
    </row>
    <row r="2908" spans="1:13" ht="25" customHeight="1" x14ac:dyDescent="0.45">
      <c r="A2908" s="18">
        <v>45922</v>
      </c>
      <c r="B2908" s="19" t="s">
        <v>3023</v>
      </c>
      <c r="C2908" s="23" t="s">
        <v>9</v>
      </c>
      <c r="D2908" s="53" t="str">
        <f t="shared" si="347"/>
        <v>Cream</v>
      </c>
      <c r="E2908" s="21" t="s">
        <v>1841</v>
      </c>
      <c r="F2908" s="21" t="str">
        <f ca="1">IFERROR(__xludf.DUMMYFUNCTION("IFERROR(REGEXEXTRACT(O761, ""\n([A-Za-z ]+)$""), """")
"),"United States")</f>
        <v>United States</v>
      </c>
      <c r="G2908" s="4" t="str">
        <f t="shared" si="346"/>
        <v>Romper Longer</v>
      </c>
      <c r="H2908" s="38">
        <f t="shared" si="341"/>
        <v>9</v>
      </c>
      <c r="I2908" s="54">
        <f t="shared" si="348"/>
        <v>39</v>
      </c>
      <c r="J2908" s="14" t="str">
        <f t="shared" si="342"/>
        <v>Normal</v>
      </c>
      <c r="K2908" s="16" t="str">
        <f t="shared" si="343"/>
        <v>6-12</v>
      </c>
      <c r="L2908" s="14" t="str">
        <f t="shared" si="344"/>
        <v>Romper Longer | 6-12 | Cream</v>
      </c>
      <c r="M2908" s="16" t="s">
        <v>3611</v>
      </c>
    </row>
    <row r="2909" spans="1:13" ht="25" customHeight="1" x14ac:dyDescent="0.45">
      <c r="A2909" s="18">
        <v>45923</v>
      </c>
      <c r="B2909" s="19" t="s">
        <v>3024</v>
      </c>
      <c r="C2909" s="23" t="s">
        <v>76</v>
      </c>
      <c r="D2909" s="53" t="str">
        <f t="shared" si="347"/>
        <v>Caldet Blue</v>
      </c>
      <c r="E2909" s="21" t="s">
        <v>1447</v>
      </c>
      <c r="F2909" s="21" t="str">
        <f ca="1">IFERROR(__xludf.DUMMYFUNCTION("IFERROR(REGEXEXTRACT(O761, ""\n([A-Za-z ]+)$""), """")
"),"United States")</f>
        <v>United States</v>
      </c>
      <c r="G2909" s="4" t="str">
        <f t="shared" si="346"/>
        <v>Romper Longer</v>
      </c>
      <c r="H2909" s="38">
        <f t="shared" si="341"/>
        <v>9</v>
      </c>
      <c r="I2909" s="54">
        <f t="shared" si="348"/>
        <v>39</v>
      </c>
      <c r="J2909" s="14" t="str">
        <f t="shared" si="342"/>
        <v>Normal</v>
      </c>
      <c r="K2909" s="16" t="str">
        <f t="shared" si="343"/>
        <v>18-24</v>
      </c>
      <c r="L2909" s="14" t="str">
        <f t="shared" si="344"/>
        <v>Romper Longer | 18-24 | Caldet Blue</v>
      </c>
      <c r="M2909" s="16" t="s">
        <v>3610</v>
      </c>
    </row>
    <row r="2910" spans="1:13" ht="25" customHeight="1" x14ac:dyDescent="0.45">
      <c r="A2910" s="18">
        <v>45924</v>
      </c>
      <c r="B2910" s="19" t="s">
        <v>3025</v>
      </c>
      <c r="C2910" s="23" t="s">
        <v>110</v>
      </c>
      <c r="D2910" s="53" t="str">
        <f t="shared" si="347"/>
        <v>Sage Green</v>
      </c>
      <c r="E2910" s="21" t="s">
        <v>1831</v>
      </c>
      <c r="F2910" s="21" t="str">
        <f ca="1">IFERROR(__xludf.DUMMYFUNCTION("IFERROR(REGEXEXTRACT(O761, ""\n([A-Za-z ]+)$""), """")
"),"United States")</f>
        <v>United States</v>
      </c>
      <c r="G2910" s="4" t="str">
        <f t="shared" si="346"/>
        <v>Romper Longer</v>
      </c>
      <c r="H2910" s="38">
        <f t="shared" si="341"/>
        <v>9</v>
      </c>
      <c r="I2910" s="54">
        <f t="shared" si="348"/>
        <v>39</v>
      </c>
      <c r="J2910" s="14" t="str">
        <f t="shared" si="342"/>
        <v>Normal</v>
      </c>
      <c r="K2910" s="16" t="str">
        <f t="shared" si="343"/>
        <v>0-3</v>
      </c>
      <c r="L2910" s="14" t="str">
        <f t="shared" si="344"/>
        <v>Romper Longer | 0-3 | Sage Green</v>
      </c>
      <c r="M2910" s="16" t="s">
        <v>3611</v>
      </c>
    </row>
    <row r="2911" spans="1:13" ht="25" customHeight="1" x14ac:dyDescent="0.45">
      <c r="A2911" s="18">
        <v>45925</v>
      </c>
      <c r="B2911" s="19" t="s">
        <v>3026</v>
      </c>
      <c r="C2911" s="23" t="s">
        <v>9</v>
      </c>
      <c r="D2911" s="53" t="str">
        <f t="shared" si="347"/>
        <v>Cream</v>
      </c>
      <c r="E2911" s="21" t="s">
        <v>1841</v>
      </c>
      <c r="F2911" s="21" t="str">
        <f ca="1">IFERROR(__xludf.DUMMYFUNCTION("IFERROR(REGEXEXTRACT(O761, ""\n([A-Za-z ]+)$""), """")
"),"United States")</f>
        <v>United States</v>
      </c>
      <c r="G2911" s="4" t="str">
        <f t="shared" si="346"/>
        <v>Romper Longer</v>
      </c>
      <c r="H2911" s="38">
        <f t="shared" si="341"/>
        <v>9</v>
      </c>
      <c r="I2911" s="54">
        <f t="shared" si="348"/>
        <v>39</v>
      </c>
      <c r="J2911" s="14" t="str">
        <f t="shared" si="342"/>
        <v>Normal</v>
      </c>
      <c r="K2911" s="16" t="str">
        <f t="shared" si="343"/>
        <v>6-12</v>
      </c>
      <c r="L2911" s="14" t="str">
        <f t="shared" si="344"/>
        <v>Romper Longer | 6-12 | Cream</v>
      </c>
      <c r="M2911" s="16" t="s">
        <v>3611</v>
      </c>
    </row>
    <row r="2912" spans="1:13" ht="25" customHeight="1" x14ac:dyDescent="0.45">
      <c r="A2912" s="18">
        <v>45926</v>
      </c>
      <c r="B2912" s="19" t="s">
        <v>3027</v>
      </c>
      <c r="C2912" s="23" t="s">
        <v>9</v>
      </c>
      <c r="D2912" s="53" t="str">
        <f t="shared" si="347"/>
        <v>Cream</v>
      </c>
      <c r="E2912" s="21" t="s">
        <v>1831</v>
      </c>
      <c r="F2912" s="21" t="str">
        <f ca="1">IFERROR(__xludf.DUMMYFUNCTION("IFERROR(REGEXEXTRACT(O761, ""\n([A-Za-z ]+)$""), """")
"),"United States")</f>
        <v>United States</v>
      </c>
      <c r="G2912" s="4" t="str">
        <f t="shared" si="346"/>
        <v>Romper Longer</v>
      </c>
      <c r="H2912" s="38">
        <f t="shared" si="341"/>
        <v>9</v>
      </c>
      <c r="I2912" s="54">
        <f t="shared" si="348"/>
        <v>39</v>
      </c>
      <c r="J2912" s="14" t="str">
        <f t="shared" si="342"/>
        <v>Normal</v>
      </c>
      <c r="K2912" s="16" t="str">
        <f t="shared" si="343"/>
        <v>0-3</v>
      </c>
      <c r="L2912" s="14" t="str">
        <f t="shared" si="344"/>
        <v>Romper Longer | 0-3 | Cream</v>
      </c>
      <c r="M2912" s="16" t="s">
        <v>3609</v>
      </c>
    </row>
    <row r="2913" spans="1:13" ht="25" customHeight="1" x14ac:dyDescent="0.45">
      <c r="A2913" s="18">
        <v>45927</v>
      </c>
      <c r="B2913" s="19" t="s">
        <v>3028</v>
      </c>
      <c r="C2913" s="23" t="s">
        <v>76</v>
      </c>
      <c r="D2913" s="53" t="str">
        <f t="shared" si="347"/>
        <v>Caldet Blue</v>
      </c>
      <c r="E2913" s="21" t="s">
        <v>1849</v>
      </c>
      <c r="F2913" s="21" t="str">
        <f ca="1">IFERROR(__xludf.DUMMYFUNCTION("IFERROR(REGEXEXTRACT(O761, ""\n([A-Za-z ]+)$""), """")
"),"United States")</f>
        <v>United States</v>
      </c>
      <c r="G2913" s="4" t="str">
        <f t="shared" si="346"/>
        <v>Romper Short</v>
      </c>
      <c r="H2913" s="38">
        <f t="shared" si="341"/>
        <v>9</v>
      </c>
      <c r="I2913" s="54">
        <f t="shared" si="348"/>
        <v>39</v>
      </c>
      <c r="J2913" s="14" t="str">
        <f t="shared" si="342"/>
        <v>Normal</v>
      </c>
      <c r="K2913" s="16" t="str">
        <f t="shared" si="343"/>
        <v>3-6</v>
      </c>
      <c r="L2913" s="14" t="str">
        <f t="shared" si="344"/>
        <v>Romper Short | 3-6 | Caldet Blue</v>
      </c>
      <c r="M2913" s="16" t="s">
        <v>3610</v>
      </c>
    </row>
    <row r="2914" spans="1:13" ht="25" customHeight="1" x14ac:dyDescent="0.45">
      <c r="A2914" s="18">
        <v>45928</v>
      </c>
      <c r="B2914" s="19" t="s">
        <v>3029</v>
      </c>
      <c r="C2914" s="23" t="s">
        <v>110</v>
      </c>
      <c r="D2914" s="53" t="str">
        <f t="shared" si="347"/>
        <v>Sage Green</v>
      </c>
      <c r="E2914" s="21" t="s">
        <v>1550</v>
      </c>
      <c r="F2914" s="21" t="str">
        <f ca="1">IFERROR(__xludf.DUMMYFUNCTION("IFERROR(REGEXEXTRACT(O761, ""\n([A-Za-z ]+)$""), """")
"),"United States")</f>
        <v>United States</v>
      </c>
      <c r="G2914" s="4" t="str">
        <f t="shared" si="346"/>
        <v>Romper Longer</v>
      </c>
      <c r="H2914" s="38">
        <f t="shared" si="341"/>
        <v>9</v>
      </c>
      <c r="I2914" s="54">
        <f t="shared" si="348"/>
        <v>40</v>
      </c>
      <c r="J2914" s="14" t="str">
        <f t="shared" si="342"/>
        <v>Normal</v>
      </c>
      <c r="K2914" s="16" t="str">
        <f t="shared" si="343"/>
        <v>12-18</v>
      </c>
      <c r="L2914" s="14" t="str">
        <f t="shared" si="344"/>
        <v>Romper Longer | 12-18 | Sage Green</v>
      </c>
      <c r="M2914" s="16" t="s">
        <v>3610</v>
      </c>
    </row>
    <row r="2915" spans="1:13" ht="25" customHeight="1" x14ac:dyDescent="0.45">
      <c r="A2915" s="18">
        <v>45929</v>
      </c>
      <c r="B2915" s="19" t="s">
        <v>3030</v>
      </c>
      <c r="C2915" s="23" t="s">
        <v>178</v>
      </c>
      <c r="D2915" s="53" t="str">
        <f t="shared" si="347"/>
        <v>Mauve Taupe</v>
      </c>
      <c r="E2915" s="21" t="s">
        <v>1828</v>
      </c>
      <c r="F2915" s="21" t="str">
        <f ca="1">IFERROR(__xludf.DUMMYFUNCTION("IFERROR(REGEXEXTRACT(O761, ""\n([A-Za-z ]+)$""), """")
"),"United States")</f>
        <v>United States</v>
      </c>
      <c r="G2915" s="4" t="str">
        <f t="shared" si="346"/>
        <v>Romper Longer</v>
      </c>
      <c r="H2915" s="38">
        <f t="shared" si="341"/>
        <v>9</v>
      </c>
      <c r="I2915" s="54">
        <f t="shared" si="348"/>
        <v>40</v>
      </c>
      <c r="J2915" s="14" t="str">
        <f t="shared" si="342"/>
        <v>Normal</v>
      </c>
      <c r="K2915" s="16" t="str">
        <f t="shared" si="343"/>
        <v>3-6</v>
      </c>
      <c r="L2915" s="14" t="str">
        <f t="shared" si="344"/>
        <v>Romper Longer | 3-6 | Mauve Taupe</v>
      </c>
      <c r="M2915" s="16" t="s">
        <v>3610</v>
      </c>
    </row>
    <row r="2916" spans="1:13" ht="25" customHeight="1" x14ac:dyDescent="0.45">
      <c r="A2916" s="18">
        <v>45930</v>
      </c>
      <c r="B2916" s="19" t="s">
        <v>3031</v>
      </c>
      <c r="C2916" s="23" t="s">
        <v>9</v>
      </c>
      <c r="D2916" s="53" t="str">
        <f t="shared" si="347"/>
        <v>Cream</v>
      </c>
      <c r="E2916" s="21" t="s">
        <v>1831</v>
      </c>
      <c r="F2916" s="21" t="str">
        <f ca="1">IFERROR(__xludf.DUMMYFUNCTION("IFERROR(REGEXEXTRACT(O761, ""\n([A-Za-z ]+)$""), """")
"),"United States")</f>
        <v>United States</v>
      </c>
      <c r="G2916" s="4" t="str">
        <f t="shared" si="346"/>
        <v>Romper Longer</v>
      </c>
      <c r="H2916" s="38">
        <f t="shared" si="341"/>
        <v>9</v>
      </c>
      <c r="I2916" s="54">
        <f t="shared" si="348"/>
        <v>40</v>
      </c>
      <c r="J2916" s="14" t="str">
        <f t="shared" si="342"/>
        <v>Normal</v>
      </c>
      <c r="K2916" s="16" t="str">
        <f t="shared" si="343"/>
        <v>0-3</v>
      </c>
      <c r="L2916" s="14" t="str">
        <f t="shared" si="344"/>
        <v>Romper Longer | 0-3 | Cream</v>
      </c>
      <c r="M2916" s="16" t="s">
        <v>3609</v>
      </c>
    </row>
    <row r="2917" spans="1:13" ht="25" customHeight="1" x14ac:dyDescent="0.45">
      <c r="A2917" s="18">
        <v>45931</v>
      </c>
      <c r="B2917" s="19" t="s">
        <v>3032</v>
      </c>
      <c r="C2917" s="23" t="s">
        <v>85</v>
      </c>
      <c r="D2917" s="53" t="str">
        <f t="shared" si="347"/>
        <v>Forest Green</v>
      </c>
      <c r="E2917" s="21" t="s">
        <v>1841</v>
      </c>
      <c r="F2917" s="21" t="str">
        <f ca="1">IFERROR(__xludf.DUMMYFUNCTION("IFERROR(REGEXEXTRACT(O761, ""\n([A-Za-z ]+)$""), """")
"),"United States")</f>
        <v>United States</v>
      </c>
      <c r="G2917" s="4" t="str">
        <f t="shared" si="346"/>
        <v>Romper Longer</v>
      </c>
      <c r="H2917" s="38">
        <f t="shared" si="341"/>
        <v>10</v>
      </c>
      <c r="I2917" s="54">
        <f t="shared" si="348"/>
        <v>40</v>
      </c>
      <c r="J2917" s="14" t="str">
        <f t="shared" si="342"/>
        <v>Halloween</v>
      </c>
      <c r="K2917" s="16" t="str">
        <f t="shared" si="343"/>
        <v>6-12</v>
      </c>
      <c r="L2917" s="14" t="str">
        <f t="shared" si="344"/>
        <v>Romper Longer | 6-12 | Forest Green</v>
      </c>
      <c r="M2917" s="16" t="s">
        <v>3610</v>
      </c>
    </row>
    <row r="2918" spans="1:13" ht="25" customHeight="1" x14ac:dyDescent="0.45">
      <c r="A2918" s="18">
        <v>45932</v>
      </c>
      <c r="B2918" s="19" t="s">
        <v>3033</v>
      </c>
      <c r="C2918" s="23" t="s">
        <v>9</v>
      </c>
      <c r="D2918" s="53" t="str">
        <f t="shared" si="347"/>
        <v>Cream</v>
      </c>
      <c r="E2918" s="21" t="s">
        <v>1831</v>
      </c>
      <c r="F2918" s="21" t="str">
        <f ca="1">IFERROR(__xludf.DUMMYFUNCTION("IFERROR(REGEXEXTRACT(O761, ""\n([A-Za-z ]+)$""), """")
"),"United States")</f>
        <v>United States</v>
      </c>
      <c r="G2918" s="4" t="str">
        <f t="shared" si="346"/>
        <v>Romper Longer</v>
      </c>
      <c r="H2918" s="38">
        <f t="shared" si="341"/>
        <v>10</v>
      </c>
      <c r="I2918" s="54">
        <f t="shared" si="348"/>
        <v>40</v>
      </c>
      <c r="J2918" s="14" t="str">
        <f t="shared" si="342"/>
        <v>Halloween</v>
      </c>
      <c r="K2918" s="16" t="str">
        <f t="shared" si="343"/>
        <v>0-3</v>
      </c>
      <c r="L2918" s="14" t="str">
        <f t="shared" si="344"/>
        <v>Romper Longer | 0-3 | Cream</v>
      </c>
      <c r="M2918" s="16" t="s">
        <v>3609</v>
      </c>
    </row>
    <row r="2919" spans="1:13" ht="25" customHeight="1" x14ac:dyDescent="0.45">
      <c r="A2919" s="18">
        <v>45933</v>
      </c>
      <c r="B2919" s="19" t="s">
        <v>3034</v>
      </c>
      <c r="C2919" s="23" t="s">
        <v>9</v>
      </c>
      <c r="D2919" s="53" t="str">
        <f t="shared" si="347"/>
        <v>Cream</v>
      </c>
      <c r="E2919" s="21" t="s">
        <v>1841</v>
      </c>
      <c r="F2919" s="21" t="str">
        <f ca="1">IFERROR(__xludf.DUMMYFUNCTION("IFERROR(REGEXEXTRACT(O761, ""\n([A-Za-z ]+)$""), """")
"),"United States")</f>
        <v>United States</v>
      </c>
      <c r="G2919" s="4" t="str">
        <f t="shared" si="346"/>
        <v>Romper Longer</v>
      </c>
      <c r="H2919" s="38">
        <f t="shared" si="341"/>
        <v>10</v>
      </c>
      <c r="I2919" s="54">
        <f t="shared" si="348"/>
        <v>40</v>
      </c>
      <c r="J2919" s="14" t="str">
        <f t="shared" si="342"/>
        <v>Halloween</v>
      </c>
      <c r="K2919" s="16" t="str">
        <f t="shared" si="343"/>
        <v>6-12</v>
      </c>
      <c r="L2919" s="14" t="str">
        <f t="shared" si="344"/>
        <v>Romper Longer | 6-12 | Cream</v>
      </c>
      <c r="M2919" s="16" t="s">
        <v>3611</v>
      </c>
    </row>
    <row r="2920" spans="1:13" ht="25" customHeight="1" x14ac:dyDescent="0.45">
      <c r="A2920" s="18">
        <v>45934</v>
      </c>
      <c r="B2920" s="19" t="s">
        <v>3035</v>
      </c>
      <c r="C2920" s="23" t="s">
        <v>9</v>
      </c>
      <c r="D2920" s="53" t="str">
        <f t="shared" si="347"/>
        <v>Cream</v>
      </c>
      <c r="E2920" s="21" t="s">
        <v>1831</v>
      </c>
      <c r="F2920" s="21" t="str">
        <f ca="1">IFERROR(__xludf.DUMMYFUNCTION("IFERROR(REGEXEXTRACT(O761, ""\n([A-Za-z ]+)$""), """")
"),"United States")</f>
        <v>United States</v>
      </c>
      <c r="G2920" s="4" t="str">
        <f t="shared" si="346"/>
        <v>Romper Longer</v>
      </c>
      <c r="H2920" s="38">
        <f t="shared" si="341"/>
        <v>10</v>
      </c>
      <c r="I2920" s="54">
        <f t="shared" si="348"/>
        <v>40</v>
      </c>
      <c r="J2920" s="14" t="str">
        <f t="shared" si="342"/>
        <v>Halloween</v>
      </c>
      <c r="K2920" s="16" t="str">
        <f t="shared" si="343"/>
        <v>0-3</v>
      </c>
      <c r="L2920" s="14" t="str">
        <f t="shared" si="344"/>
        <v>Romper Longer | 0-3 | Cream</v>
      </c>
      <c r="M2920" s="16" t="s">
        <v>3609</v>
      </c>
    </row>
    <row r="2921" spans="1:13" ht="25" customHeight="1" x14ac:dyDescent="0.45">
      <c r="A2921" s="18">
        <v>45935</v>
      </c>
      <c r="B2921" s="19" t="s">
        <v>3036</v>
      </c>
      <c r="C2921" s="23" t="s">
        <v>110</v>
      </c>
      <c r="D2921" s="53" t="str">
        <f t="shared" si="347"/>
        <v>Sage Green</v>
      </c>
      <c r="E2921" s="21" t="s">
        <v>1841</v>
      </c>
      <c r="F2921" s="21" t="str">
        <f ca="1">IFERROR(__xludf.DUMMYFUNCTION("IFERROR(REGEXEXTRACT(O761, ""\n([A-Za-z ]+)$""), """")
"),"United States")</f>
        <v>United States</v>
      </c>
      <c r="G2921" s="4" t="str">
        <f t="shared" si="346"/>
        <v>Romper Longer</v>
      </c>
      <c r="H2921" s="38">
        <f t="shared" si="341"/>
        <v>10</v>
      </c>
      <c r="I2921" s="54">
        <f t="shared" si="348"/>
        <v>41</v>
      </c>
      <c r="J2921" s="14" t="str">
        <f t="shared" si="342"/>
        <v>Halloween</v>
      </c>
      <c r="K2921" s="16" t="str">
        <f t="shared" si="343"/>
        <v>6-12</v>
      </c>
      <c r="L2921" s="14" t="str">
        <f t="shared" si="344"/>
        <v>Romper Longer | 6-12 | Sage Green</v>
      </c>
      <c r="M2921" s="16" t="s">
        <v>3610</v>
      </c>
    </row>
    <row r="2922" spans="1:13" ht="25" customHeight="1" x14ac:dyDescent="0.45">
      <c r="A2922" s="18">
        <v>45936</v>
      </c>
      <c r="B2922" s="19" t="s">
        <v>3037</v>
      </c>
      <c r="C2922" s="23" t="s">
        <v>85</v>
      </c>
      <c r="D2922" s="53" t="str">
        <f t="shared" si="347"/>
        <v>Forest Green</v>
      </c>
      <c r="E2922" s="21" t="s">
        <v>1834</v>
      </c>
      <c r="F2922" s="21" t="str">
        <f ca="1">IFERROR(__xludf.DUMMYFUNCTION("IFERROR(REGEXEXTRACT(O761, ""\n([A-Za-z ]+)$""), """")
"),"United States")</f>
        <v>United States</v>
      </c>
      <c r="G2922" s="4" t="str">
        <f t="shared" si="346"/>
        <v>Romper Short</v>
      </c>
      <c r="H2922" s="38">
        <f t="shared" si="341"/>
        <v>10</v>
      </c>
      <c r="I2922" s="54">
        <f t="shared" si="348"/>
        <v>41</v>
      </c>
      <c r="J2922" s="14" t="str">
        <f t="shared" si="342"/>
        <v>Halloween</v>
      </c>
      <c r="K2922" s="16" t="str">
        <f t="shared" si="343"/>
        <v>0-3</v>
      </c>
      <c r="L2922" s="14" t="str">
        <f t="shared" si="344"/>
        <v>Romper Short | 0-3 | Forest Green</v>
      </c>
      <c r="M2922" s="16" t="s">
        <v>3610</v>
      </c>
    </row>
    <row r="2923" spans="1:13" ht="25" customHeight="1" x14ac:dyDescent="0.45">
      <c r="A2923" s="18">
        <v>45937</v>
      </c>
      <c r="B2923" s="19" t="s">
        <v>3038</v>
      </c>
      <c r="C2923" s="23" t="s">
        <v>9</v>
      </c>
      <c r="D2923" s="53" t="str">
        <f t="shared" si="347"/>
        <v>Cream</v>
      </c>
      <c r="E2923" s="21" t="s">
        <v>1828</v>
      </c>
      <c r="F2923" s="21" t="str">
        <f ca="1">IFERROR(__xludf.DUMMYFUNCTION("IFERROR(REGEXEXTRACT(O761, ""\n([A-Za-z ]+)$""), """")
"),"United States")</f>
        <v>United States</v>
      </c>
      <c r="G2923" s="4" t="str">
        <f t="shared" si="346"/>
        <v>Romper Longer</v>
      </c>
      <c r="H2923" s="38">
        <f t="shared" si="341"/>
        <v>10</v>
      </c>
      <c r="I2923" s="54">
        <f t="shared" si="348"/>
        <v>41</v>
      </c>
      <c r="J2923" s="14" t="str">
        <f t="shared" si="342"/>
        <v>Halloween</v>
      </c>
      <c r="K2923" s="16" t="str">
        <f t="shared" si="343"/>
        <v>3-6</v>
      </c>
      <c r="L2923" s="14" t="str">
        <f t="shared" si="344"/>
        <v>Romper Longer | 3-6 | Cream</v>
      </c>
      <c r="M2923" s="16" t="s">
        <v>3609</v>
      </c>
    </row>
    <row r="2924" spans="1:13" ht="25" customHeight="1" x14ac:dyDescent="0.45">
      <c r="A2924" s="18">
        <v>45938</v>
      </c>
      <c r="B2924" s="19" t="s">
        <v>3039</v>
      </c>
      <c r="C2924" s="23" t="s">
        <v>76</v>
      </c>
      <c r="D2924" s="53" t="str">
        <f t="shared" si="347"/>
        <v>Caldet Blue</v>
      </c>
      <c r="E2924" s="21" t="s">
        <v>1831</v>
      </c>
      <c r="F2924" s="21" t="str">
        <f ca="1">IFERROR(__xludf.DUMMYFUNCTION("IFERROR(REGEXEXTRACT(O761, ""\n([A-Za-z ]+)$""), """")
"),"United States")</f>
        <v>United States</v>
      </c>
      <c r="G2924" s="4" t="str">
        <f t="shared" si="346"/>
        <v>Romper Longer</v>
      </c>
      <c r="H2924" s="38">
        <f t="shared" si="341"/>
        <v>10</v>
      </c>
      <c r="I2924" s="54">
        <f>WEEKNUM(A2924)</f>
        <v>41</v>
      </c>
      <c r="J2924" s="14" t="str">
        <f t="shared" si="342"/>
        <v>Halloween</v>
      </c>
      <c r="K2924" s="16" t="str">
        <f t="shared" si="343"/>
        <v>0-3</v>
      </c>
      <c r="L2924" s="14" t="str">
        <f t="shared" si="344"/>
        <v>Romper Longer | 0-3 | Caldet Blue</v>
      </c>
      <c r="M2924" s="16" t="s">
        <v>3610</v>
      </c>
    </row>
    <row r="2925" spans="1:13" ht="25" customHeight="1" x14ac:dyDescent="0.45">
      <c r="A2925" s="18">
        <v>45939</v>
      </c>
      <c r="B2925" s="19" t="s">
        <v>3040</v>
      </c>
      <c r="C2925" s="23" t="s">
        <v>9</v>
      </c>
      <c r="D2925" s="53" t="str">
        <f t="shared" si="347"/>
        <v>Cream</v>
      </c>
      <c r="E2925" s="21" t="s">
        <v>1550</v>
      </c>
      <c r="F2925" s="21" t="str">
        <f ca="1">IFERROR(__xludf.DUMMYFUNCTION("IFERROR(REGEXEXTRACT(O761, ""\n([A-Za-z ]+)$""), """")
"),"United States")</f>
        <v>United States</v>
      </c>
      <c r="G2925" s="4" t="str">
        <f t="shared" si="346"/>
        <v>Romper Longer</v>
      </c>
      <c r="H2925" s="38">
        <f t="shared" si="341"/>
        <v>10</v>
      </c>
      <c r="I2925" s="54">
        <f>WEEKNUM(A2925)</f>
        <v>41</v>
      </c>
      <c r="J2925" s="14" t="str">
        <f t="shared" si="342"/>
        <v>Halloween</v>
      </c>
      <c r="K2925" s="16" t="str">
        <f t="shared" si="343"/>
        <v>12-18</v>
      </c>
      <c r="L2925" s="14" t="str">
        <f t="shared" si="344"/>
        <v>Romper Longer | 12-18 | Cream</v>
      </c>
      <c r="M2925" s="16" t="s">
        <v>3610</v>
      </c>
    </row>
    <row r="2926" spans="1:13" ht="25" customHeight="1" x14ac:dyDescent="0.45">
      <c r="A2926" s="18">
        <v>45940</v>
      </c>
      <c r="B2926" s="19" t="s">
        <v>3041</v>
      </c>
      <c r="C2926" s="23" t="s">
        <v>85</v>
      </c>
      <c r="D2926" s="53" t="str">
        <f t="shared" si="347"/>
        <v>Forest Green</v>
      </c>
      <c r="E2926" s="21" t="s">
        <v>1831</v>
      </c>
      <c r="F2926" s="21" t="str">
        <f ca="1">IFERROR(__xludf.DUMMYFUNCTION("IFERROR(REGEXEXTRACT(O761, ""\n([A-Za-z ]+)$""), """")
"),"United States")</f>
        <v>United States</v>
      </c>
      <c r="G2926" s="4" t="str">
        <f t="shared" si="346"/>
        <v>Romper Longer</v>
      </c>
      <c r="H2926" s="38">
        <f t="shared" si="341"/>
        <v>10</v>
      </c>
      <c r="I2926" s="54">
        <f>WEEKNUM(A2926)</f>
        <v>41</v>
      </c>
      <c r="J2926" s="14" t="str">
        <f t="shared" si="342"/>
        <v>Halloween</v>
      </c>
      <c r="K2926" s="16" t="str">
        <f t="shared" si="343"/>
        <v>0-3</v>
      </c>
      <c r="L2926" s="14" t="str">
        <f t="shared" si="344"/>
        <v>Romper Longer | 0-3 | Forest Green</v>
      </c>
      <c r="M2926" s="16" t="s">
        <v>3610</v>
      </c>
    </row>
    <row r="2927" spans="1:13" ht="25" customHeight="1" x14ac:dyDescent="0.45">
      <c r="A2927" s="18">
        <v>45941</v>
      </c>
      <c r="B2927" s="19" t="s">
        <v>3042</v>
      </c>
      <c r="C2927" s="23" t="s">
        <v>110</v>
      </c>
      <c r="D2927" s="53" t="str">
        <f t="shared" si="347"/>
        <v>Sage Green</v>
      </c>
      <c r="E2927" s="21" t="s">
        <v>1841</v>
      </c>
      <c r="F2927" s="21" t="str">
        <f ca="1">IFERROR(__xludf.DUMMYFUNCTION("IFERROR(REGEXEXTRACT(O761, ""\n([A-Za-z ]+)$""), """")
"),"United States")</f>
        <v>United States</v>
      </c>
      <c r="G2927" s="4" t="str">
        <f t="shared" si="346"/>
        <v>Romper Longer</v>
      </c>
      <c r="H2927" s="38">
        <f t="shared" si="341"/>
        <v>10</v>
      </c>
      <c r="I2927" s="54">
        <f>WEEKNUM(A2927)</f>
        <v>41</v>
      </c>
      <c r="J2927" s="14" t="str">
        <f t="shared" si="342"/>
        <v>Halloween</v>
      </c>
      <c r="K2927" s="16" t="str">
        <f t="shared" si="343"/>
        <v>6-12</v>
      </c>
      <c r="L2927" s="14" t="str">
        <f t="shared" si="344"/>
        <v>Romper Longer | 6-12 | Sage Green</v>
      </c>
      <c r="M2927" s="16" t="s">
        <v>3610</v>
      </c>
    </row>
    <row r="2928" spans="1:13" ht="25" customHeight="1" x14ac:dyDescent="0.45">
      <c r="A2928" s="18">
        <v>45942</v>
      </c>
      <c r="B2928" s="19" t="s">
        <v>3043</v>
      </c>
      <c r="C2928" s="23" t="s">
        <v>9</v>
      </c>
      <c r="D2928" s="53" t="str">
        <f t="shared" si="347"/>
        <v>Cream</v>
      </c>
      <c r="E2928" s="21" t="s">
        <v>1841</v>
      </c>
      <c r="F2928" s="21" t="str">
        <f ca="1">IFERROR(__xludf.DUMMYFUNCTION("IFERROR(REGEXEXTRACT(O761, ""\n([A-Za-z ]+)$""), """")
"),"United States")</f>
        <v>United States</v>
      </c>
      <c r="G2928" s="4" t="str">
        <f t="shared" si="346"/>
        <v>Romper Longer</v>
      </c>
      <c r="H2928" s="38">
        <f t="shared" si="341"/>
        <v>10</v>
      </c>
      <c r="I2928" s="54">
        <f>WEEKNUM(A2928)</f>
        <v>42</v>
      </c>
      <c r="J2928" s="14" t="str">
        <f t="shared" si="342"/>
        <v>Halloween</v>
      </c>
      <c r="K2928" s="16" t="str">
        <f t="shared" si="343"/>
        <v>6-12</v>
      </c>
      <c r="L2928" s="14" t="str">
        <f t="shared" si="344"/>
        <v>Romper Longer | 6-12 | Cream</v>
      </c>
      <c r="M2928" s="16" t="s">
        <v>3611</v>
      </c>
    </row>
    <row r="2929" spans="1:13" ht="25" customHeight="1" x14ac:dyDescent="0.45">
      <c r="A2929" s="18">
        <v>45943</v>
      </c>
      <c r="B2929" s="19" t="s">
        <v>3044</v>
      </c>
      <c r="C2929" s="23" t="s">
        <v>9</v>
      </c>
      <c r="D2929" s="53" t="str">
        <f t="shared" si="347"/>
        <v>Cream</v>
      </c>
      <c r="E2929" s="21" t="s">
        <v>1834</v>
      </c>
      <c r="F2929" s="21" t="str">
        <f ca="1">IFERROR(__xludf.DUMMYFUNCTION("IFERROR(REGEXEXTRACT(O761, ""\n([A-Za-z ]+)$""), """")
"),"United States")</f>
        <v>United States</v>
      </c>
      <c r="G2929" s="4" t="str">
        <f t="shared" si="346"/>
        <v>Romper Short</v>
      </c>
      <c r="H2929" s="38">
        <f t="shared" si="341"/>
        <v>10</v>
      </c>
      <c r="I2929" s="54">
        <f t="shared" ref="I2929:I2946" si="349">WEEKNUM(A2929)</f>
        <v>42</v>
      </c>
      <c r="J2929" s="14" t="str">
        <f t="shared" si="342"/>
        <v>Halloween</v>
      </c>
      <c r="K2929" s="16" t="str">
        <f t="shared" si="343"/>
        <v>0-3</v>
      </c>
      <c r="L2929" s="14" t="str">
        <f t="shared" si="344"/>
        <v>Romper Short | 0-3 | Cream</v>
      </c>
      <c r="M2929" s="16" t="s">
        <v>3609</v>
      </c>
    </row>
    <row r="2930" spans="1:13" ht="25" customHeight="1" x14ac:dyDescent="0.45">
      <c r="A2930" s="18">
        <v>45944</v>
      </c>
      <c r="B2930" s="19" t="s">
        <v>3045</v>
      </c>
      <c r="C2930" s="23" t="s">
        <v>110</v>
      </c>
      <c r="D2930" s="53" t="str">
        <f t="shared" si="347"/>
        <v>Sage Green</v>
      </c>
      <c r="E2930" s="21" t="s">
        <v>1834</v>
      </c>
      <c r="F2930" s="21" t="str">
        <f ca="1">IFERROR(__xludf.DUMMYFUNCTION("IFERROR(REGEXEXTRACT(O761, ""\n([A-Za-z ]+)$""), """")
"),"United States")</f>
        <v>United States</v>
      </c>
      <c r="G2930" s="4" t="str">
        <f t="shared" si="346"/>
        <v>Romper Short</v>
      </c>
      <c r="H2930" s="38">
        <f t="shared" si="341"/>
        <v>10</v>
      </c>
      <c r="I2930" s="54">
        <f t="shared" si="349"/>
        <v>42</v>
      </c>
      <c r="J2930" s="14" t="str">
        <f t="shared" si="342"/>
        <v>Halloween</v>
      </c>
      <c r="K2930" s="16" t="str">
        <f t="shared" si="343"/>
        <v>0-3</v>
      </c>
      <c r="L2930" s="14" t="str">
        <f t="shared" si="344"/>
        <v>Romper Short | 0-3 | Sage Green</v>
      </c>
      <c r="M2930" s="16" t="s">
        <v>3610</v>
      </c>
    </row>
    <row r="2931" spans="1:13" ht="25" customHeight="1" x14ac:dyDescent="0.45">
      <c r="A2931" s="18">
        <v>45945</v>
      </c>
      <c r="B2931" s="19" t="s">
        <v>3046</v>
      </c>
      <c r="C2931" s="23" t="s">
        <v>76</v>
      </c>
      <c r="D2931" s="53" t="str">
        <f t="shared" si="347"/>
        <v>Caldet Blue</v>
      </c>
      <c r="E2931" s="21" t="s">
        <v>1831</v>
      </c>
      <c r="F2931" s="21" t="str">
        <f ca="1">IFERROR(__xludf.DUMMYFUNCTION("IFERROR(REGEXEXTRACT(O761, ""\n([A-Za-z ]+)$""), """")
"),"United States")</f>
        <v>United States</v>
      </c>
      <c r="G2931" s="4" t="str">
        <f t="shared" si="346"/>
        <v>Romper Longer</v>
      </c>
      <c r="H2931" s="38">
        <f t="shared" si="341"/>
        <v>10</v>
      </c>
      <c r="I2931" s="54">
        <f t="shared" si="349"/>
        <v>42</v>
      </c>
      <c r="J2931" s="14" t="str">
        <f t="shared" si="342"/>
        <v>Halloween</v>
      </c>
      <c r="K2931" s="16" t="str">
        <f t="shared" si="343"/>
        <v>0-3</v>
      </c>
      <c r="L2931" s="14" t="str">
        <f t="shared" si="344"/>
        <v>Romper Longer | 0-3 | Caldet Blue</v>
      </c>
      <c r="M2931" s="16" t="s">
        <v>3610</v>
      </c>
    </row>
    <row r="2932" spans="1:13" ht="25" customHeight="1" x14ac:dyDescent="0.45">
      <c r="A2932" s="18">
        <v>45946</v>
      </c>
      <c r="B2932" s="19" t="s">
        <v>3047</v>
      </c>
      <c r="C2932" s="23" t="s">
        <v>110</v>
      </c>
      <c r="D2932" s="53" t="str">
        <f t="shared" si="347"/>
        <v>Sage Green</v>
      </c>
      <c r="E2932" s="21" t="s">
        <v>1841</v>
      </c>
      <c r="F2932" s="21" t="str">
        <f ca="1">IFERROR(__xludf.DUMMYFUNCTION("IFERROR(REGEXEXTRACT(O761, ""\n([A-Za-z ]+)$""), """")
"),"United States")</f>
        <v>United States</v>
      </c>
      <c r="G2932" s="4" t="str">
        <f t="shared" si="346"/>
        <v>Romper Longer</v>
      </c>
      <c r="H2932" s="38">
        <f t="shared" si="341"/>
        <v>10</v>
      </c>
      <c r="I2932" s="54">
        <f t="shared" si="349"/>
        <v>42</v>
      </c>
      <c r="J2932" s="14" t="str">
        <f t="shared" si="342"/>
        <v>Halloween</v>
      </c>
      <c r="K2932" s="16" t="str">
        <f t="shared" si="343"/>
        <v>6-12</v>
      </c>
      <c r="L2932" s="14" t="str">
        <f t="shared" si="344"/>
        <v>Romper Longer | 6-12 | Sage Green</v>
      </c>
      <c r="M2932" s="16" t="s">
        <v>3610</v>
      </c>
    </row>
    <row r="2933" spans="1:13" ht="25" customHeight="1" x14ac:dyDescent="0.45">
      <c r="A2933" s="18">
        <v>45947</v>
      </c>
      <c r="B2933" s="19" t="s">
        <v>3048</v>
      </c>
      <c r="C2933" s="23" t="s">
        <v>9</v>
      </c>
      <c r="D2933" s="53" t="str">
        <f t="shared" si="347"/>
        <v>Cream</v>
      </c>
      <c r="E2933" s="21" t="s">
        <v>1849</v>
      </c>
      <c r="F2933" s="21" t="str">
        <f ca="1">IFERROR(__xludf.DUMMYFUNCTION("IFERROR(REGEXEXTRACT(O761, ""\n([A-Za-z ]+)$""), """")
"),"United States")</f>
        <v>United States</v>
      </c>
      <c r="G2933" s="4" t="str">
        <f t="shared" si="346"/>
        <v>Romper Short</v>
      </c>
      <c r="H2933" s="38">
        <f t="shared" si="341"/>
        <v>10</v>
      </c>
      <c r="I2933" s="54">
        <f t="shared" si="349"/>
        <v>42</v>
      </c>
      <c r="J2933" s="14" t="str">
        <f t="shared" si="342"/>
        <v>Halloween</v>
      </c>
      <c r="K2933" s="16" t="str">
        <f t="shared" si="343"/>
        <v>3-6</v>
      </c>
      <c r="L2933" s="14" t="str">
        <f t="shared" si="344"/>
        <v>Romper Short | 3-6 | Cream</v>
      </c>
      <c r="M2933" s="16" t="s">
        <v>3609</v>
      </c>
    </row>
    <row r="2934" spans="1:13" ht="25" customHeight="1" x14ac:dyDescent="0.45">
      <c r="A2934" s="18">
        <v>45948</v>
      </c>
      <c r="B2934" s="19" t="s">
        <v>3049</v>
      </c>
      <c r="C2934" s="23" t="s">
        <v>110</v>
      </c>
      <c r="D2934" s="53" t="str">
        <f t="shared" si="347"/>
        <v>Sage Green</v>
      </c>
      <c r="E2934" s="21" t="s">
        <v>1828</v>
      </c>
      <c r="F2934" s="21" t="str">
        <f ca="1">IFERROR(__xludf.DUMMYFUNCTION("IFERROR(REGEXEXTRACT(O761, ""\n([A-Za-z ]+)$""), """")
"),"United States")</f>
        <v>United States</v>
      </c>
      <c r="G2934" s="4" t="str">
        <f t="shared" si="346"/>
        <v>Romper Longer</v>
      </c>
      <c r="H2934" s="38">
        <f t="shared" si="341"/>
        <v>10</v>
      </c>
      <c r="I2934" s="54">
        <f t="shared" si="349"/>
        <v>42</v>
      </c>
      <c r="J2934" s="14" t="str">
        <f t="shared" si="342"/>
        <v>Halloween</v>
      </c>
      <c r="K2934" s="16" t="str">
        <f t="shared" si="343"/>
        <v>3-6</v>
      </c>
      <c r="L2934" s="14" t="str">
        <f t="shared" si="344"/>
        <v>Romper Longer | 3-6 | Sage Green</v>
      </c>
      <c r="M2934" s="16" t="s">
        <v>3611</v>
      </c>
    </row>
    <row r="2935" spans="1:13" ht="25" customHeight="1" x14ac:dyDescent="0.45">
      <c r="A2935" s="18">
        <v>45949</v>
      </c>
      <c r="B2935" s="19" t="s">
        <v>3050</v>
      </c>
      <c r="C2935" s="23" t="s">
        <v>9</v>
      </c>
      <c r="D2935" s="53" t="str">
        <f t="shared" si="347"/>
        <v>Cream</v>
      </c>
      <c r="E2935" s="21" t="s">
        <v>1841</v>
      </c>
      <c r="F2935" s="21" t="str">
        <f ca="1">IFERROR(__xludf.DUMMYFUNCTION("IFERROR(REGEXEXTRACT(O761, ""\n([A-Za-z ]+)$""), """")
"),"United States")</f>
        <v>United States</v>
      </c>
      <c r="G2935" s="4" t="str">
        <f t="shared" si="346"/>
        <v>Romper Longer</v>
      </c>
      <c r="H2935" s="38">
        <f t="shared" si="341"/>
        <v>10</v>
      </c>
      <c r="I2935" s="54">
        <f t="shared" si="349"/>
        <v>43</v>
      </c>
      <c r="J2935" s="14" t="str">
        <f t="shared" si="342"/>
        <v>Halloween</v>
      </c>
      <c r="K2935" s="16" t="str">
        <f t="shared" si="343"/>
        <v>6-12</v>
      </c>
      <c r="L2935" s="14" t="str">
        <f t="shared" si="344"/>
        <v>Romper Longer | 6-12 | Cream</v>
      </c>
      <c r="M2935" s="16" t="s">
        <v>3611</v>
      </c>
    </row>
    <row r="2936" spans="1:13" ht="25" customHeight="1" x14ac:dyDescent="0.45">
      <c r="A2936" s="18">
        <v>45950</v>
      </c>
      <c r="B2936" s="19" t="s">
        <v>3051</v>
      </c>
      <c r="C2936" s="23" t="s">
        <v>9</v>
      </c>
      <c r="D2936" s="53" t="str">
        <f t="shared" si="347"/>
        <v>Cream</v>
      </c>
      <c r="E2936" s="21" t="s">
        <v>1828</v>
      </c>
      <c r="F2936" s="21" t="str">
        <f ca="1">IFERROR(__xludf.DUMMYFUNCTION("IFERROR(REGEXEXTRACT(O761, ""\n([A-Za-z ]+)$""), """")
"),"United States")</f>
        <v>United States</v>
      </c>
      <c r="G2936" s="4" t="str">
        <f t="shared" si="346"/>
        <v>Romper Longer</v>
      </c>
      <c r="H2936" s="38">
        <f t="shared" ref="H2936:H2999" si="350">MONTH(A2936)</f>
        <v>10</v>
      </c>
      <c r="I2936" s="54">
        <f t="shared" si="349"/>
        <v>43</v>
      </c>
      <c r="J2936" s="14" t="str">
        <f t="shared" ref="J2936:J2999" si="351">IF(H2936=1,"NewYear",
IF(H2936=2,"Valentine",
IF(OR(H2936=3,H2936=4),"Easter",
IF(H2936=5,"MothersDay",
IF(H2936=6,"FathersDay",
IF(OR(H2936=7,H2936=8),"Summer",
IF(H2936=10,"Halloween",
IF(OR(H2936=11,H2936=12),"Christmas","Normal"))))))))</f>
        <v>Halloween</v>
      </c>
      <c r="K2936" s="16" t="str">
        <f t="shared" ref="K2936:K2999" si="352">TRIM(LEFT(E2936,FIND("(",E2936&amp;"(")-3))</f>
        <v>3-6</v>
      </c>
      <c r="L2936" s="14" t="str">
        <f t="shared" si="344"/>
        <v>Romper Longer | 3-6 | Cream</v>
      </c>
      <c r="M2936" s="16" t="s">
        <v>3609</v>
      </c>
    </row>
    <row r="2937" spans="1:13" ht="25" customHeight="1" x14ac:dyDescent="0.45">
      <c r="A2937" s="18">
        <v>45951</v>
      </c>
      <c r="B2937" s="19" t="s">
        <v>2657</v>
      </c>
      <c r="C2937" s="23" t="s">
        <v>71</v>
      </c>
      <c r="D2937" s="53" t="str">
        <f t="shared" si="347"/>
        <v>Coffee</v>
      </c>
      <c r="E2937" s="21" t="s">
        <v>1831</v>
      </c>
      <c r="F2937" s="21" t="str">
        <f ca="1">IFERROR(__xludf.DUMMYFUNCTION("IFERROR(REGEXEXTRACT(O761, ""\n([A-Za-z ]+)$""), """")
"),"United States")</f>
        <v>United States</v>
      </c>
      <c r="G2937" s="4" t="str">
        <f t="shared" si="346"/>
        <v>Romper Longer</v>
      </c>
      <c r="H2937" s="38">
        <f t="shared" si="350"/>
        <v>10</v>
      </c>
      <c r="I2937" s="54">
        <f t="shared" si="349"/>
        <v>43</v>
      </c>
      <c r="J2937" s="14" t="str">
        <f t="shared" si="351"/>
        <v>Halloween</v>
      </c>
      <c r="K2937" s="16" t="str">
        <f t="shared" si="352"/>
        <v>0-3</v>
      </c>
      <c r="L2937" s="14" t="str">
        <f t="shared" si="344"/>
        <v>Romper Longer | 0-3 | Coffee</v>
      </c>
      <c r="M2937" s="16" t="s">
        <v>3610</v>
      </c>
    </row>
    <row r="2938" spans="1:13" ht="25" customHeight="1" x14ac:dyDescent="0.45">
      <c r="A2938" s="18">
        <v>45952</v>
      </c>
      <c r="B2938" s="19" t="s">
        <v>3052</v>
      </c>
      <c r="C2938" s="23" t="s">
        <v>9</v>
      </c>
      <c r="D2938" s="53" t="str">
        <f t="shared" si="347"/>
        <v>Cream</v>
      </c>
      <c r="E2938" s="21" t="s">
        <v>1828</v>
      </c>
      <c r="F2938" s="21" t="str">
        <f ca="1">IFERROR(__xludf.DUMMYFUNCTION("IFERROR(REGEXEXTRACT(O761, ""\n([A-Za-z ]+)$""), """")
"),"United States")</f>
        <v>United States</v>
      </c>
      <c r="G2938" s="4" t="str">
        <f t="shared" si="346"/>
        <v>Romper Longer</v>
      </c>
      <c r="H2938" s="38">
        <f t="shared" si="350"/>
        <v>10</v>
      </c>
      <c r="I2938" s="54">
        <f t="shared" si="349"/>
        <v>43</v>
      </c>
      <c r="J2938" s="14" t="str">
        <f t="shared" si="351"/>
        <v>Halloween</v>
      </c>
      <c r="K2938" s="16" t="str">
        <f t="shared" si="352"/>
        <v>3-6</v>
      </c>
      <c r="L2938" s="14" t="str">
        <f t="shared" si="344"/>
        <v>Romper Longer | 3-6 | Cream</v>
      </c>
      <c r="M2938" s="16" t="s">
        <v>3609</v>
      </c>
    </row>
    <row r="2939" spans="1:13" ht="25" customHeight="1" x14ac:dyDescent="0.45">
      <c r="A2939" s="18">
        <v>45953</v>
      </c>
      <c r="B2939" s="19" t="s">
        <v>3053</v>
      </c>
      <c r="C2939" s="23" t="s">
        <v>9</v>
      </c>
      <c r="D2939" s="53" t="str">
        <f t="shared" si="347"/>
        <v>Cream</v>
      </c>
      <c r="E2939" s="21" t="s">
        <v>1831</v>
      </c>
      <c r="F2939" s="21" t="str">
        <f ca="1">IFERROR(__xludf.DUMMYFUNCTION("IFERROR(REGEXEXTRACT(O761, ""\n([A-Za-z ]+)$""), """")
"),"United States")</f>
        <v>United States</v>
      </c>
      <c r="G2939" s="4" t="str">
        <f t="shared" si="346"/>
        <v>Romper Longer</v>
      </c>
      <c r="H2939" s="38">
        <f t="shared" si="350"/>
        <v>10</v>
      </c>
      <c r="I2939" s="54">
        <f t="shared" si="349"/>
        <v>43</v>
      </c>
      <c r="J2939" s="14" t="str">
        <f t="shared" si="351"/>
        <v>Halloween</v>
      </c>
      <c r="K2939" s="16" t="str">
        <f t="shared" si="352"/>
        <v>0-3</v>
      </c>
      <c r="L2939" s="14" t="str">
        <f t="shared" si="344"/>
        <v>Romper Longer | 0-3 | Cream</v>
      </c>
      <c r="M2939" s="16" t="s">
        <v>3609</v>
      </c>
    </row>
    <row r="2940" spans="1:13" ht="25" customHeight="1" x14ac:dyDescent="0.45">
      <c r="A2940" s="18">
        <v>45954</v>
      </c>
      <c r="B2940" s="19" t="s">
        <v>3054</v>
      </c>
      <c r="C2940" s="23" t="s">
        <v>81</v>
      </c>
      <c r="D2940" s="53" t="str">
        <f t="shared" si="347"/>
        <v>Dusty Pink</v>
      </c>
      <c r="E2940" s="21" t="s">
        <v>1828</v>
      </c>
      <c r="F2940" s="21" t="str">
        <f ca="1">IFERROR(__xludf.DUMMYFUNCTION("IFERROR(REGEXEXTRACT(O761, ""\n([A-Za-z ]+)$""), """")
"),"United States")</f>
        <v>United States</v>
      </c>
      <c r="G2940" s="4" t="str">
        <f t="shared" si="346"/>
        <v>Romper Longer</v>
      </c>
      <c r="H2940" s="38">
        <f t="shared" si="350"/>
        <v>10</v>
      </c>
      <c r="I2940" s="54">
        <f t="shared" si="349"/>
        <v>43</v>
      </c>
      <c r="J2940" s="14" t="str">
        <f t="shared" si="351"/>
        <v>Halloween</v>
      </c>
      <c r="K2940" s="16" t="str">
        <f t="shared" si="352"/>
        <v>3-6</v>
      </c>
      <c r="L2940" s="14" t="str">
        <f t="shared" si="344"/>
        <v>Romper Longer | 3-6 | Dusty Pink</v>
      </c>
      <c r="M2940" s="16" t="s">
        <v>3610</v>
      </c>
    </row>
    <row r="2941" spans="1:13" ht="25" customHeight="1" x14ac:dyDescent="0.45">
      <c r="A2941" s="18">
        <v>45955</v>
      </c>
      <c r="B2941" s="19" t="s">
        <v>3055</v>
      </c>
      <c r="C2941" s="23" t="s">
        <v>9</v>
      </c>
      <c r="D2941" s="53" t="str">
        <f t="shared" si="347"/>
        <v>Cream</v>
      </c>
      <c r="E2941" s="21" t="s">
        <v>1831</v>
      </c>
      <c r="F2941" s="21" t="str">
        <f ca="1">IFERROR(__xludf.DUMMYFUNCTION("IFERROR(REGEXEXTRACT(O761, ""\n([A-Za-z ]+)$""), """")
"),"United States")</f>
        <v>United States</v>
      </c>
      <c r="G2941" s="4" t="str">
        <f t="shared" si="346"/>
        <v>Romper Longer</v>
      </c>
      <c r="H2941" s="38">
        <f t="shared" si="350"/>
        <v>10</v>
      </c>
      <c r="I2941" s="54">
        <f t="shared" si="349"/>
        <v>43</v>
      </c>
      <c r="J2941" s="14" t="str">
        <f t="shared" si="351"/>
        <v>Halloween</v>
      </c>
      <c r="K2941" s="16" t="str">
        <f t="shared" si="352"/>
        <v>0-3</v>
      </c>
      <c r="L2941" s="14" t="str">
        <f t="shared" si="344"/>
        <v>Romper Longer | 0-3 | Cream</v>
      </c>
      <c r="M2941" s="16" t="s">
        <v>3609</v>
      </c>
    </row>
    <row r="2942" spans="1:13" ht="25" customHeight="1" x14ac:dyDescent="0.45">
      <c r="A2942" s="18">
        <v>45956</v>
      </c>
      <c r="B2942" s="19" t="s">
        <v>3056</v>
      </c>
      <c r="C2942" s="23" t="s">
        <v>110</v>
      </c>
      <c r="D2942" s="53" t="str">
        <f t="shared" si="347"/>
        <v>Sage Green</v>
      </c>
      <c r="E2942" s="21" t="s">
        <v>1550</v>
      </c>
      <c r="F2942" s="21" t="str">
        <f ca="1">IFERROR(__xludf.DUMMYFUNCTION("IFERROR(REGEXEXTRACT(O761, ""\n([A-Za-z ]+)$""), """")
"),"United States")</f>
        <v>United States</v>
      </c>
      <c r="G2942" s="4" t="str">
        <f t="shared" si="346"/>
        <v>Romper Longer</v>
      </c>
      <c r="H2942" s="38">
        <f t="shared" si="350"/>
        <v>10</v>
      </c>
      <c r="I2942" s="54">
        <f t="shared" si="349"/>
        <v>44</v>
      </c>
      <c r="J2942" s="14" t="str">
        <f t="shared" si="351"/>
        <v>Halloween</v>
      </c>
      <c r="K2942" s="16" t="str">
        <f t="shared" si="352"/>
        <v>12-18</v>
      </c>
      <c r="L2942" s="14" t="str">
        <f t="shared" si="344"/>
        <v>Romper Longer | 12-18 | Sage Green</v>
      </c>
      <c r="M2942" s="16" t="s">
        <v>3610</v>
      </c>
    </row>
    <row r="2943" spans="1:13" ht="25" customHeight="1" x14ac:dyDescent="0.45">
      <c r="A2943" s="18">
        <v>45957</v>
      </c>
      <c r="B2943" s="19" t="s">
        <v>3057</v>
      </c>
      <c r="C2943" s="23" t="s">
        <v>9</v>
      </c>
      <c r="D2943" s="53" t="str">
        <f t="shared" si="347"/>
        <v>Cream</v>
      </c>
      <c r="E2943" s="21" t="s">
        <v>1831</v>
      </c>
      <c r="F2943" s="21" t="str">
        <f ca="1">IFERROR(__xludf.DUMMYFUNCTION("IFERROR(REGEXEXTRACT(O761, ""\n([A-Za-z ]+)$""), """")
"),"United States")</f>
        <v>United States</v>
      </c>
      <c r="G2943" s="4" t="str">
        <f t="shared" si="346"/>
        <v>Romper Longer</v>
      </c>
      <c r="H2943" s="38">
        <f t="shared" si="350"/>
        <v>10</v>
      </c>
      <c r="I2943" s="54">
        <f t="shared" si="349"/>
        <v>44</v>
      </c>
      <c r="J2943" s="14" t="str">
        <f t="shared" si="351"/>
        <v>Halloween</v>
      </c>
      <c r="K2943" s="16" t="str">
        <f t="shared" si="352"/>
        <v>0-3</v>
      </c>
      <c r="L2943" s="14" t="str">
        <f t="shared" si="344"/>
        <v>Romper Longer | 0-3 | Cream</v>
      </c>
      <c r="M2943" s="16" t="s">
        <v>3609</v>
      </c>
    </row>
    <row r="2944" spans="1:13" ht="25" customHeight="1" x14ac:dyDescent="0.45">
      <c r="A2944" s="18">
        <v>45958</v>
      </c>
      <c r="B2944" s="19" t="s">
        <v>3058</v>
      </c>
      <c r="C2944" s="23" t="s">
        <v>85</v>
      </c>
      <c r="D2944" s="53" t="str">
        <f t="shared" si="347"/>
        <v>Forest Green</v>
      </c>
      <c r="E2944" s="21" t="s">
        <v>1841</v>
      </c>
      <c r="F2944" s="21" t="str">
        <f ca="1">IFERROR(__xludf.DUMMYFUNCTION("IFERROR(REGEXEXTRACT(O761, ""\n([A-Za-z ]+)$""), """")
"),"United States")</f>
        <v>United States</v>
      </c>
      <c r="G2944" s="4" t="str">
        <f t="shared" si="346"/>
        <v>Romper Longer</v>
      </c>
      <c r="H2944" s="38">
        <f t="shared" si="350"/>
        <v>10</v>
      </c>
      <c r="I2944" s="54">
        <f t="shared" si="349"/>
        <v>44</v>
      </c>
      <c r="J2944" s="14" t="str">
        <f t="shared" si="351"/>
        <v>Halloween</v>
      </c>
      <c r="K2944" s="16" t="str">
        <f t="shared" si="352"/>
        <v>6-12</v>
      </c>
      <c r="L2944" s="14" t="str">
        <f t="shared" si="344"/>
        <v>Romper Longer | 6-12 | Forest Green</v>
      </c>
      <c r="M2944" s="16" t="s">
        <v>3610</v>
      </c>
    </row>
    <row r="2945" spans="1:13" ht="25" customHeight="1" x14ac:dyDescent="0.45">
      <c r="A2945" s="18">
        <v>45959</v>
      </c>
      <c r="B2945" s="19" t="s">
        <v>3059</v>
      </c>
      <c r="C2945" s="23" t="s">
        <v>178</v>
      </c>
      <c r="D2945" s="53" t="str">
        <f t="shared" si="347"/>
        <v>Mauve Taupe</v>
      </c>
      <c r="E2945" s="21" t="s">
        <v>1828</v>
      </c>
      <c r="F2945" s="21" t="str">
        <f ca="1">IFERROR(__xludf.DUMMYFUNCTION("IFERROR(REGEXEXTRACT(O761, ""\n([A-Za-z ]+)$""), """")
"),"United States")</f>
        <v>United States</v>
      </c>
      <c r="G2945" s="4" t="str">
        <f t="shared" si="346"/>
        <v>Romper Longer</v>
      </c>
      <c r="H2945" s="38">
        <f t="shared" si="350"/>
        <v>10</v>
      </c>
      <c r="I2945" s="54">
        <f t="shared" si="349"/>
        <v>44</v>
      </c>
      <c r="J2945" s="14" t="str">
        <f t="shared" si="351"/>
        <v>Halloween</v>
      </c>
      <c r="K2945" s="16" t="str">
        <f t="shared" si="352"/>
        <v>3-6</v>
      </c>
      <c r="L2945" s="14" t="str">
        <f t="shared" si="344"/>
        <v>Romper Longer | 3-6 | Mauve Taupe</v>
      </c>
      <c r="M2945" s="16" t="s">
        <v>3610</v>
      </c>
    </row>
    <row r="2946" spans="1:13" ht="25" customHeight="1" x14ac:dyDescent="0.45">
      <c r="A2946" s="18">
        <v>45960</v>
      </c>
      <c r="B2946" s="19" t="s">
        <v>3060</v>
      </c>
      <c r="C2946" s="23" t="s">
        <v>9</v>
      </c>
      <c r="D2946" s="53" t="str">
        <f t="shared" si="347"/>
        <v>Cream</v>
      </c>
      <c r="E2946" s="21" t="s">
        <v>1828</v>
      </c>
      <c r="F2946" s="21" t="str">
        <f ca="1">IFERROR(__xludf.DUMMYFUNCTION("IFERROR(REGEXEXTRACT(O761, ""\n([A-Za-z ]+)$""), """")
"),"United States")</f>
        <v>United States</v>
      </c>
      <c r="G2946" s="4" t="str">
        <f t="shared" si="346"/>
        <v>Romper Longer</v>
      </c>
      <c r="H2946" s="38">
        <f t="shared" si="350"/>
        <v>10</v>
      </c>
      <c r="I2946" s="54">
        <f t="shared" si="349"/>
        <v>44</v>
      </c>
      <c r="J2946" s="14" t="str">
        <f t="shared" si="351"/>
        <v>Halloween</v>
      </c>
      <c r="K2946" s="16" t="str">
        <f t="shared" si="352"/>
        <v>3-6</v>
      </c>
      <c r="L2946" s="14" t="str">
        <f t="shared" ref="L2946:L3009" si="353">TRIM(G2946)&amp;" | "&amp;TRIM(K2946)&amp;" | "&amp;PROPER(TRIM(D2946))</f>
        <v>Romper Longer | 3-6 | Cream</v>
      </c>
      <c r="M2946" s="16" t="s">
        <v>3609</v>
      </c>
    </row>
    <row r="2947" spans="1:13" ht="25" customHeight="1" x14ac:dyDescent="0.45">
      <c r="A2947" s="18">
        <v>45961</v>
      </c>
      <c r="B2947" s="19" t="s">
        <v>3061</v>
      </c>
      <c r="C2947" s="23" t="s">
        <v>110</v>
      </c>
      <c r="D2947" s="53" t="str">
        <f t="shared" si="347"/>
        <v>Sage Green</v>
      </c>
      <c r="E2947" s="21" t="s">
        <v>1841</v>
      </c>
      <c r="F2947" s="21" t="str">
        <f ca="1">IFERROR(__xludf.DUMMYFUNCTION("IFERROR(REGEXEXTRACT(O761, ""\n([A-Za-z ]+)$""), """")
"),"United States")</f>
        <v>United States</v>
      </c>
      <c r="G2947" s="4" t="str">
        <f t="shared" si="346"/>
        <v>Romper Longer</v>
      </c>
      <c r="H2947" s="38">
        <f t="shared" si="350"/>
        <v>10</v>
      </c>
      <c r="I2947" s="54">
        <f>WEEKNUM(A2947)</f>
        <v>44</v>
      </c>
      <c r="J2947" s="14" t="str">
        <f t="shared" si="351"/>
        <v>Halloween</v>
      </c>
      <c r="K2947" s="16" t="str">
        <f t="shared" si="352"/>
        <v>6-12</v>
      </c>
      <c r="L2947" s="14" t="str">
        <f t="shared" si="353"/>
        <v>Romper Longer | 6-12 | Sage Green</v>
      </c>
      <c r="M2947" s="16" t="s">
        <v>3610</v>
      </c>
    </row>
    <row r="2948" spans="1:13" ht="25" customHeight="1" x14ac:dyDescent="0.45">
      <c r="A2948" s="18">
        <v>45962</v>
      </c>
      <c r="B2948" s="19" t="s">
        <v>3062</v>
      </c>
      <c r="C2948" s="23" t="s">
        <v>9</v>
      </c>
      <c r="D2948" s="53" t="str">
        <f t="shared" si="347"/>
        <v>Cream</v>
      </c>
      <c r="E2948" s="21" t="s">
        <v>1841</v>
      </c>
      <c r="F2948" s="21" t="str">
        <f ca="1">IFERROR(__xludf.DUMMYFUNCTION("IFERROR(REGEXEXTRACT(O761, ""\n([A-Za-z ]+)$""), """")
"),"United States")</f>
        <v>United States</v>
      </c>
      <c r="G2948" s="4" t="str">
        <f t="shared" si="346"/>
        <v>Romper Longer</v>
      </c>
      <c r="H2948" s="38">
        <f t="shared" si="350"/>
        <v>11</v>
      </c>
      <c r="I2948" s="54">
        <f>WEEKNUM(A2948)</f>
        <v>44</v>
      </c>
      <c r="J2948" s="14" t="str">
        <f t="shared" si="351"/>
        <v>Christmas</v>
      </c>
      <c r="K2948" s="16" t="str">
        <f t="shared" si="352"/>
        <v>6-12</v>
      </c>
      <c r="L2948" s="14" t="str">
        <f t="shared" si="353"/>
        <v>Romper Longer | 6-12 | Cream</v>
      </c>
      <c r="M2948" s="16" t="s">
        <v>3611</v>
      </c>
    </row>
    <row r="2949" spans="1:13" ht="25" customHeight="1" x14ac:dyDescent="0.45">
      <c r="A2949" s="18">
        <v>45963</v>
      </c>
      <c r="B2949" s="19" t="s">
        <v>3063</v>
      </c>
      <c r="C2949" s="23" t="s">
        <v>178</v>
      </c>
      <c r="D2949" s="53" t="str">
        <f t="shared" si="347"/>
        <v>Mauve Taupe</v>
      </c>
      <c r="E2949" s="21" t="s">
        <v>1849</v>
      </c>
      <c r="F2949" s="21" t="str">
        <f ca="1">IFERROR(__xludf.DUMMYFUNCTION("IFERROR(REGEXEXTRACT(O761, ""\n([A-Za-z ]+)$""), """")
"),"United States")</f>
        <v>United States</v>
      </c>
      <c r="G2949" s="4" t="str">
        <f t="shared" si="346"/>
        <v>Romper Short</v>
      </c>
      <c r="H2949" s="38">
        <f t="shared" si="350"/>
        <v>11</v>
      </c>
      <c r="I2949" s="54">
        <f>WEEKNUM(A2949)</f>
        <v>45</v>
      </c>
      <c r="J2949" s="14" t="str">
        <f t="shared" si="351"/>
        <v>Christmas</v>
      </c>
      <c r="K2949" s="16" t="str">
        <f t="shared" si="352"/>
        <v>3-6</v>
      </c>
      <c r="L2949" s="14" t="str">
        <f t="shared" si="353"/>
        <v>Romper Short | 3-6 | Mauve Taupe</v>
      </c>
      <c r="M2949" s="16" t="s">
        <v>3610</v>
      </c>
    </row>
    <row r="2950" spans="1:13" ht="25" customHeight="1" x14ac:dyDescent="0.45">
      <c r="A2950" s="18">
        <v>45964</v>
      </c>
      <c r="B2950" s="19" t="s">
        <v>3064</v>
      </c>
      <c r="C2950" s="23" t="s">
        <v>9</v>
      </c>
      <c r="D2950" s="53" t="str">
        <f t="shared" si="347"/>
        <v>Cream</v>
      </c>
      <c r="E2950" s="21" t="s">
        <v>1831</v>
      </c>
      <c r="F2950" s="21" t="str">
        <f ca="1">IFERROR(__xludf.DUMMYFUNCTION("IFERROR(REGEXEXTRACT(O761, ""\n([A-Za-z ]+)$""), """")
"),"United States")</f>
        <v>United States</v>
      </c>
      <c r="G2950" s="4" t="str">
        <f t="shared" si="346"/>
        <v>Romper Longer</v>
      </c>
      <c r="H2950" s="38">
        <f t="shared" si="350"/>
        <v>11</v>
      </c>
      <c r="I2950" s="54">
        <f>WEEKNUM(A2950)</f>
        <v>45</v>
      </c>
      <c r="J2950" s="14" t="str">
        <f t="shared" si="351"/>
        <v>Christmas</v>
      </c>
      <c r="K2950" s="16" t="str">
        <f t="shared" si="352"/>
        <v>0-3</v>
      </c>
      <c r="L2950" s="14" t="str">
        <f t="shared" si="353"/>
        <v>Romper Longer | 0-3 | Cream</v>
      </c>
      <c r="M2950" s="16" t="s">
        <v>3609</v>
      </c>
    </row>
    <row r="2951" spans="1:13" ht="25" customHeight="1" x14ac:dyDescent="0.45">
      <c r="A2951" s="18">
        <v>45965</v>
      </c>
      <c r="B2951" s="19" t="s">
        <v>3065</v>
      </c>
      <c r="C2951" s="23" t="s">
        <v>110</v>
      </c>
      <c r="D2951" s="53" t="str">
        <f t="shared" si="347"/>
        <v>Sage Green</v>
      </c>
      <c r="E2951" s="21" t="s">
        <v>1447</v>
      </c>
      <c r="F2951" s="21" t="str">
        <f ca="1">IFERROR(__xludf.DUMMYFUNCTION("IFERROR(REGEXEXTRACT(O761, ""\n([A-Za-z ]+)$""), """")
"),"United States")</f>
        <v>United States</v>
      </c>
      <c r="G2951" s="4" t="str">
        <f t="shared" si="346"/>
        <v>Romper Longer</v>
      </c>
      <c r="H2951" s="38">
        <f t="shared" si="350"/>
        <v>11</v>
      </c>
      <c r="I2951" s="54">
        <f>WEEKNUM(A2951)</f>
        <v>45</v>
      </c>
      <c r="J2951" s="14" t="str">
        <f t="shared" si="351"/>
        <v>Christmas</v>
      </c>
      <c r="K2951" s="16" t="str">
        <f t="shared" si="352"/>
        <v>18-24</v>
      </c>
      <c r="L2951" s="14" t="str">
        <f t="shared" si="353"/>
        <v>Romper Longer | 18-24 | Sage Green</v>
      </c>
      <c r="M2951" s="16" t="s">
        <v>3610</v>
      </c>
    </row>
    <row r="2952" spans="1:13" ht="25" customHeight="1" x14ac:dyDescent="0.45">
      <c r="A2952" s="18">
        <v>45966</v>
      </c>
      <c r="B2952" s="19" t="s">
        <v>953</v>
      </c>
      <c r="C2952" s="23" t="s">
        <v>76</v>
      </c>
      <c r="D2952" s="53" t="str">
        <f t="shared" si="347"/>
        <v>Caldet Blue</v>
      </c>
      <c r="E2952" s="21" t="s">
        <v>1849</v>
      </c>
      <c r="F2952" s="21" t="str">
        <f ca="1">IFERROR(__xludf.DUMMYFUNCTION("IFERROR(REGEXEXTRACT(O761, ""\n([A-Za-z ]+)$""), """")
"),"United States")</f>
        <v>United States</v>
      </c>
      <c r="G2952" s="4" t="str">
        <f t="shared" si="346"/>
        <v>Romper Short</v>
      </c>
      <c r="H2952" s="38">
        <f t="shared" si="350"/>
        <v>11</v>
      </c>
      <c r="I2952" s="54">
        <f t="shared" ref="I2952:I3015" si="354">WEEKNUM(A2952)</f>
        <v>45</v>
      </c>
      <c r="J2952" s="14" t="str">
        <f t="shared" si="351"/>
        <v>Christmas</v>
      </c>
      <c r="K2952" s="16" t="str">
        <f t="shared" si="352"/>
        <v>3-6</v>
      </c>
      <c r="L2952" s="14" t="str">
        <f t="shared" si="353"/>
        <v>Romper Short | 3-6 | Caldet Blue</v>
      </c>
      <c r="M2952" s="16" t="s">
        <v>3610</v>
      </c>
    </row>
    <row r="2953" spans="1:13" ht="25" customHeight="1" x14ac:dyDescent="0.45">
      <c r="A2953" s="18">
        <v>45967</v>
      </c>
      <c r="B2953" s="19" t="s">
        <v>3066</v>
      </c>
      <c r="C2953" s="23" t="s">
        <v>9</v>
      </c>
      <c r="D2953" s="53" t="str">
        <f t="shared" si="347"/>
        <v>Cream</v>
      </c>
      <c r="E2953" s="21" t="s">
        <v>1834</v>
      </c>
      <c r="F2953" s="21" t="str">
        <f ca="1">IFERROR(__xludf.DUMMYFUNCTION("IFERROR(REGEXEXTRACT(O761, ""\n([A-Za-z ]+)$""), """")
"),"United States")</f>
        <v>United States</v>
      </c>
      <c r="G2953" s="4" t="str">
        <f t="shared" si="346"/>
        <v>Romper Short</v>
      </c>
      <c r="H2953" s="38">
        <f t="shared" si="350"/>
        <v>11</v>
      </c>
      <c r="I2953" s="54">
        <f t="shared" si="354"/>
        <v>45</v>
      </c>
      <c r="J2953" s="14" t="str">
        <f t="shared" si="351"/>
        <v>Christmas</v>
      </c>
      <c r="K2953" s="16" t="str">
        <f t="shared" si="352"/>
        <v>0-3</v>
      </c>
      <c r="L2953" s="14" t="str">
        <f t="shared" si="353"/>
        <v>Romper Short | 0-3 | Cream</v>
      </c>
      <c r="M2953" s="16" t="s">
        <v>3609</v>
      </c>
    </row>
    <row r="2954" spans="1:13" ht="25" customHeight="1" x14ac:dyDescent="0.45">
      <c r="A2954" s="18">
        <v>45968</v>
      </c>
      <c r="B2954" s="19" t="s">
        <v>3067</v>
      </c>
      <c r="C2954" s="23" t="s">
        <v>9</v>
      </c>
      <c r="D2954" s="53" t="str">
        <f t="shared" si="347"/>
        <v>Cream</v>
      </c>
      <c r="E2954" s="21" t="s">
        <v>1831</v>
      </c>
      <c r="F2954" s="21" t="str">
        <f ca="1">IFERROR(__xludf.DUMMYFUNCTION("IFERROR(REGEXEXTRACT(O761, ""\n([A-Za-z ]+)$""), """")
"),"United States")</f>
        <v>United States</v>
      </c>
      <c r="G2954" s="4" t="str">
        <f t="shared" si="346"/>
        <v>Romper Longer</v>
      </c>
      <c r="H2954" s="38">
        <f t="shared" si="350"/>
        <v>11</v>
      </c>
      <c r="I2954" s="54">
        <f t="shared" si="354"/>
        <v>45</v>
      </c>
      <c r="J2954" s="14" t="str">
        <f t="shared" si="351"/>
        <v>Christmas</v>
      </c>
      <c r="K2954" s="16" t="str">
        <f t="shared" si="352"/>
        <v>0-3</v>
      </c>
      <c r="L2954" s="14" t="str">
        <f t="shared" si="353"/>
        <v>Romper Longer | 0-3 | Cream</v>
      </c>
      <c r="M2954" s="16" t="s">
        <v>3609</v>
      </c>
    </row>
    <row r="2955" spans="1:13" ht="25" customHeight="1" x14ac:dyDescent="0.45">
      <c r="A2955" s="18">
        <v>45969</v>
      </c>
      <c r="B2955" s="19" t="s">
        <v>3068</v>
      </c>
      <c r="C2955" s="23" t="s">
        <v>9</v>
      </c>
      <c r="D2955" s="53" t="str">
        <f t="shared" si="347"/>
        <v>Cream</v>
      </c>
      <c r="E2955" s="21" t="s">
        <v>1831</v>
      </c>
      <c r="F2955" s="21" t="str">
        <f ca="1">IFERROR(__xludf.DUMMYFUNCTION("IFERROR(REGEXEXTRACT(O761, ""\n([A-Za-z ]+)$""), """")
"),"United States")</f>
        <v>United States</v>
      </c>
      <c r="G2955" s="4" t="str">
        <f t="shared" si="346"/>
        <v>Romper Longer</v>
      </c>
      <c r="H2955" s="38">
        <f t="shared" si="350"/>
        <v>11</v>
      </c>
      <c r="I2955" s="54">
        <f t="shared" si="354"/>
        <v>45</v>
      </c>
      <c r="J2955" s="14" t="str">
        <f t="shared" si="351"/>
        <v>Christmas</v>
      </c>
      <c r="K2955" s="16" t="str">
        <f t="shared" si="352"/>
        <v>0-3</v>
      </c>
      <c r="L2955" s="14" t="str">
        <f t="shared" si="353"/>
        <v>Romper Longer | 0-3 | Cream</v>
      </c>
      <c r="M2955" s="16" t="s">
        <v>3609</v>
      </c>
    </row>
    <row r="2956" spans="1:13" ht="25" customHeight="1" x14ac:dyDescent="0.45">
      <c r="A2956" s="18">
        <v>45970</v>
      </c>
      <c r="B2956" s="19" t="s">
        <v>3069</v>
      </c>
      <c r="C2956" s="23" t="s">
        <v>81</v>
      </c>
      <c r="D2956" s="53" t="str">
        <f t="shared" si="347"/>
        <v>Dusty Pink</v>
      </c>
      <c r="E2956" s="21" t="s">
        <v>1849</v>
      </c>
      <c r="F2956" s="21" t="str">
        <f ca="1">IFERROR(__xludf.DUMMYFUNCTION("IFERROR(REGEXEXTRACT(O761, ""\n([A-Za-z ]+)$""), """")
"),"United States")</f>
        <v>United States</v>
      </c>
      <c r="G2956" s="4" t="str">
        <f t="shared" si="346"/>
        <v>Romper Short</v>
      </c>
      <c r="H2956" s="38">
        <f t="shared" si="350"/>
        <v>11</v>
      </c>
      <c r="I2956" s="54">
        <f t="shared" si="354"/>
        <v>46</v>
      </c>
      <c r="J2956" s="14" t="str">
        <f t="shared" si="351"/>
        <v>Christmas</v>
      </c>
      <c r="K2956" s="16" t="str">
        <f t="shared" si="352"/>
        <v>3-6</v>
      </c>
      <c r="L2956" s="14" t="str">
        <f t="shared" si="353"/>
        <v>Romper Short | 3-6 | Dusty Pink</v>
      </c>
      <c r="M2956" s="16" t="s">
        <v>3610</v>
      </c>
    </row>
    <row r="2957" spans="1:13" ht="25" customHeight="1" x14ac:dyDescent="0.45">
      <c r="A2957" s="18">
        <v>45971</v>
      </c>
      <c r="B2957" s="19" t="s">
        <v>3070</v>
      </c>
      <c r="C2957" s="23" t="s">
        <v>81</v>
      </c>
      <c r="D2957" s="53" t="str">
        <f t="shared" si="347"/>
        <v>Dusty Pink</v>
      </c>
      <c r="E2957" s="21" t="s">
        <v>1831</v>
      </c>
      <c r="F2957" s="21" t="str">
        <f ca="1">IFERROR(__xludf.DUMMYFUNCTION("IFERROR(REGEXEXTRACT(O761, ""\n([A-Za-z ]+)$""), """")
"),"United States")</f>
        <v>United States</v>
      </c>
      <c r="G2957" s="4" t="str">
        <f t="shared" si="346"/>
        <v>Romper Longer</v>
      </c>
      <c r="H2957" s="38">
        <f t="shared" si="350"/>
        <v>11</v>
      </c>
      <c r="I2957" s="54">
        <f t="shared" si="354"/>
        <v>46</v>
      </c>
      <c r="J2957" s="14" t="str">
        <f t="shared" si="351"/>
        <v>Christmas</v>
      </c>
      <c r="K2957" s="16" t="str">
        <f t="shared" si="352"/>
        <v>0-3</v>
      </c>
      <c r="L2957" s="14" t="str">
        <f t="shared" si="353"/>
        <v>Romper Longer | 0-3 | Dusty Pink</v>
      </c>
      <c r="M2957" s="16" t="s">
        <v>3610</v>
      </c>
    </row>
    <row r="2958" spans="1:13" ht="25" customHeight="1" x14ac:dyDescent="0.45">
      <c r="A2958" s="18">
        <v>45972</v>
      </c>
      <c r="B2958" s="19" t="s">
        <v>3071</v>
      </c>
      <c r="C2958" s="23" t="s">
        <v>9</v>
      </c>
      <c r="D2958" s="53" t="str">
        <f t="shared" si="347"/>
        <v>Cream</v>
      </c>
      <c r="E2958" s="21" t="s">
        <v>1831</v>
      </c>
      <c r="F2958" s="21" t="str">
        <f ca="1">IFERROR(__xludf.DUMMYFUNCTION("IFERROR(REGEXEXTRACT(O761, ""\n([A-Za-z ]+)$""), """")
"),"United States")</f>
        <v>United States</v>
      </c>
      <c r="G2958" s="4" t="str">
        <f t="shared" si="346"/>
        <v>Romper Longer</v>
      </c>
      <c r="H2958" s="38">
        <f t="shared" si="350"/>
        <v>11</v>
      </c>
      <c r="I2958" s="54">
        <f t="shared" si="354"/>
        <v>46</v>
      </c>
      <c r="J2958" s="14" t="str">
        <f t="shared" si="351"/>
        <v>Christmas</v>
      </c>
      <c r="K2958" s="16" t="str">
        <f t="shared" si="352"/>
        <v>0-3</v>
      </c>
      <c r="L2958" s="14" t="str">
        <f t="shared" si="353"/>
        <v>Romper Longer | 0-3 | Cream</v>
      </c>
      <c r="M2958" s="16" t="s">
        <v>3609</v>
      </c>
    </row>
    <row r="2959" spans="1:13" ht="25" customHeight="1" x14ac:dyDescent="0.45">
      <c r="A2959" s="18">
        <v>45973</v>
      </c>
      <c r="B2959" s="19" t="s">
        <v>3072</v>
      </c>
      <c r="C2959" s="23" t="s">
        <v>178</v>
      </c>
      <c r="D2959" s="53" t="str">
        <f t="shared" si="347"/>
        <v>Mauve Taupe</v>
      </c>
      <c r="E2959" s="21" t="s">
        <v>1831</v>
      </c>
      <c r="F2959" s="21" t="str">
        <f ca="1">IFERROR(__xludf.DUMMYFUNCTION("IFERROR(REGEXEXTRACT(O761, ""\n([A-Za-z ]+)$""), """")
"),"United States")</f>
        <v>United States</v>
      </c>
      <c r="G2959" s="4" t="str">
        <f t="shared" ref="G2959:G3022" si="355">IF(ISNUMBER(SEARCH("LONG",E2959)),"Romper Longer",IF(ISNUMBER(SEARCH("SHORT",E2959)),"Romper Short","Bodysuit"))</f>
        <v>Romper Longer</v>
      </c>
      <c r="H2959" s="38">
        <f t="shared" si="350"/>
        <v>11</v>
      </c>
      <c r="I2959" s="54">
        <f t="shared" si="354"/>
        <v>46</v>
      </c>
      <c r="J2959" s="14" t="str">
        <f t="shared" si="351"/>
        <v>Christmas</v>
      </c>
      <c r="K2959" s="16" t="str">
        <f t="shared" si="352"/>
        <v>0-3</v>
      </c>
      <c r="L2959" s="14" t="str">
        <f t="shared" si="353"/>
        <v>Romper Longer | 0-3 | Mauve Taupe</v>
      </c>
      <c r="M2959" s="16" t="s">
        <v>3610</v>
      </c>
    </row>
    <row r="2960" spans="1:13" ht="25" customHeight="1" x14ac:dyDescent="0.45">
      <c r="A2960" s="18">
        <v>45974</v>
      </c>
      <c r="B2960" s="19" t="s">
        <v>3073</v>
      </c>
      <c r="C2960" s="23" t="s">
        <v>85</v>
      </c>
      <c r="D2960" s="53" t="str">
        <f t="shared" si="347"/>
        <v>Forest Green</v>
      </c>
      <c r="E2960" s="21" t="s">
        <v>1550</v>
      </c>
      <c r="F2960" s="21" t="str">
        <f ca="1">IFERROR(__xludf.DUMMYFUNCTION("IFERROR(REGEXEXTRACT(O761, ""\n([A-Za-z ]+)$""), """")
"),"United States")</f>
        <v>United States</v>
      </c>
      <c r="G2960" s="4" t="str">
        <f t="shared" si="355"/>
        <v>Romper Longer</v>
      </c>
      <c r="H2960" s="38">
        <f t="shared" si="350"/>
        <v>11</v>
      </c>
      <c r="I2960" s="54">
        <f t="shared" si="354"/>
        <v>46</v>
      </c>
      <c r="J2960" s="14" t="str">
        <f t="shared" si="351"/>
        <v>Christmas</v>
      </c>
      <c r="K2960" s="16" t="str">
        <f t="shared" si="352"/>
        <v>12-18</v>
      </c>
      <c r="L2960" s="14" t="str">
        <f t="shared" si="353"/>
        <v>Romper Longer | 12-18 | Forest Green</v>
      </c>
      <c r="M2960" s="16" t="s">
        <v>3610</v>
      </c>
    </row>
    <row r="2961" spans="1:13" ht="25" customHeight="1" x14ac:dyDescent="0.45">
      <c r="A2961" s="18">
        <v>45975</v>
      </c>
      <c r="B2961" s="19" t="s">
        <v>3074</v>
      </c>
      <c r="C2961" s="23" t="s">
        <v>76</v>
      </c>
      <c r="D2961" s="53" t="str">
        <f t="shared" si="347"/>
        <v>Caldet Blue</v>
      </c>
      <c r="E2961" s="21" t="s">
        <v>1849</v>
      </c>
      <c r="F2961" s="21" t="str">
        <f ca="1">IFERROR(__xludf.DUMMYFUNCTION("IFERROR(REGEXEXTRACT(O761, ""\n([A-Za-z ]+)$""), """")
"),"United States")</f>
        <v>United States</v>
      </c>
      <c r="G2961" s="4" t="str">
        <f t="shared" si="355"/>
        <v>Romper Short</v>
      </c>
      <c r="H2961" s="38">
        <f t="shared" si="350"/>
        <v>11</v>
      </c>
      <c r="I2961" s="54">
        <f t="shared" si="354"/>
        <v>46</v>
      </c>
      <c r="J2961" s="14" t="str">
        <f t="shared" si="351"/>
        <v>Christmas</v>
      </c>
      <c r="K2961" s="16" t="str">
        <f t="shared" si="352"/>
        <v>3-6</v>
      </c>
      <c r="L2961" s="14" t="str">
        <f t="shared" si="353"/>
        <v>Romper Short | 3-6 | Caldet Blue</v>
      </c>
      <c r="M2961" s="16" t="s">
        <v>3610</v>
      </c>
    </row>
    <row r="2962" spans="1:13" ht="25" customHeight="1" x14ac:dyDescent="0.45">
      <c r="A2962" s="18">
        <v>45976</v>
      </c>
      <c r="B2962" s="19" t="s">
        <v>3075</v>
      </c>
      <c r="C2962" s="23" t="s">
        <v>110</v>
      </c>
      <c r="D2962" s="53" t="str">
        <f t="shared" si="347"/>
        <v>Sage Green</v>
      </c>
      <c r="E2962" s="21" t="s">
        <v>1849</v>
      </c>
      <c r="F2962" s="21" t="str">
        <f ca="1">IFERROR(__xludf.DUMMYFUNCTION("IFERROR(REGEXEXTRACT(O761, ""\n([A-Za-z ]+)$""), """")
"),"United States")</f>
        <v>United States</v>
      </c>
      <c r="G2962" s="4" t="str">
        <f t="shared" si="355"/>
        <v>Romper Short</v>
      </c>
      <c r="H2962" s="38">
        <f t="shared" si="350"/>
        <v>11</v>
      </c>
      <c r="I2962" s="54">
        <f t="shared" si="354"/>
        <v>46</v>
      </c>
      <c r="J2962" s="14" t="str">
        <f t="shared" si="351"/>
        <v>Christmas</v>
      </c>
      <c r="K2962" s="16" t="str">
        <f t="shared" si="352"/>
        <v>3-6</v>
      </c>
      <c r="L2962" s="14" t="str">
        <f t="shared" si="353"/>
        <v>Romper Short | 3-6 | Sage Green</v>
      </c>
      <c r="M2962" s="16" t="s">
        <v>3611</v>
      </c>
    </row>
    <row r="2963" spans="1:13" ht="25" customHeight="1" x14ac:dyDescent="0.45">
      <c r="A2963" s="18">
        <v>45977</v>
      </c>
      <c r="B2963" s="19" t="s">
        <v>3076</v>
      </c>
      <c r="C2963" s="23" t="s">
        <v>76</v>
      </c>
      <c r="D2963" s="53" t="str">
        <f t="shared" ref="D2963:D3026" si="356">PROPER(C2963)</f>
        <v>Caldet Blue</v>
      </c>
      <c r="E2963" s="21" t="s">
        <v>1831</v>
      </c>
      <c r="F2963" s="21" t="str">
        <f ca="1">IFERROR(__xludf.DUMMYFUNCTION("IFERROR(REGEXEXTRACT(O761, ""\n([A-Za-z ]+)$""), """")
"),"United States")</f>
        <v>United States</v>
      </c>
      <c r="G2963" s="4" t="str">
        <f t="shared" si="355"/>
        <v>Romper Longer</v>
      </c>
      <c r="H2963" s="38">
        <f t="shared" si="350"/>
        <v>11</v>
      </c>
      <c r="I2963" s="54">
        <f t="shared" si="354"/>
        <v>47</v>
      </c>
      <c r="J2963" s="14" t="str">
        <f t="shared" si="351"/>
        <v>Christmas</v>
      </c>
      <c r="K2963" s="16" t="str">
        <f t="shared" si="352"/>
        <v>0-3</v>
      </c>
      <c r="L2963" s="14" t="str">
        <f t="shared" si="353"/>
        <v>Romper Longer | 0-3 | Caldet Blue</v>
      </c>
      <c r="M2963" s="16" t="s">
        <v>3610</v>
      </c>
    </row>
    <row r="2964" spans="1:13" ht="25" customHeight="1" x14ac:dyDescent="0.45">
      <c r="A2964" s="18">
        <v>45978</v>
      </c>
      <c r="B2964" s="19" t="s">
        <v>3077</v>
      </c>
      <c r="C2964" s="23" t="s">
        <v>110</v>
      </c>
      <c r="D2964" s="53" t="str">
        <f t="shared" si="356"/>
        <v>Sage Green</v>
      </c>
      <c r="E2964" s="21" t="s">
        <v>1838</v>
      </c>
      <c r="F2964" s="21" t="str">
        <f ca="1">IFERROR(__xludf.DUMMYFUNCTION("IFERROR(REGEXEXTRACT(O761, ""\n([A-Za-z ]+)$""), """")
"),"United States")</f>
        <v>United States</v>
      </c>
      <c r="G2964" s="4" t="str">
        <f t="shared" si="355"/>
        <v>Romper Short</v>
      </c>
      <c r="H2964" s="38">
        <f t="shared" si="350"/>
        <v>11</v>
      </c>
      <c r="I2964" s="54">
        <f t="shared" si="354"/>
        <v>47</v>
      </c>
      <c r="J2964" s="14" t="str">
        <f t="shared" si="351"/>
        <v>Christmas</v>
      </c>
      <c r="K2964" s="16" t="str">
        <f t="shared" si="352"/>
        <v>12-18</v>
      </c>
      <c r="L2964" s="14" t="str">
        <f t="shared" si="353"/>
        <v>Romper Short | 12-18 | Sage Green</v>
      </c>
      <c r="M2964" s="16" t="s">
        <v>3610</v>
      </c>
    </row>
    <row r="2965" spans="1:13" ht="25" customHeight="1" x14ac:dyDescent="0.45">
      <c r="A2965" s="18">
        <v>45979</v>
      </c>
      <c r="B2965" s="19" t="s">
        <v>3078</v>
      </c>
      <c r="C2965" s="23" t="s">
        <v>76</v>
      </c>
      <c r="D2965" s="53" t="str">
        <f t="shared" si="356"/>
        <v>Caldet Blue</v>
      </c>
      <c r="E2965" s="21" t="s">
        <v>1831</v>
      </c>
      <c r="F2965" s="21" t="str">
        <f ca="1">IFERROR(__xludf.DUMMYFUNCTION("IFERROR(REGEXEXTRACT(O761, ""\n([A-Za-z ]+)$""), """")
"),"United States")</f>
        <v>United States</v>
      </c>
      <c r="G2965" s="4" t="str">
        <f t="shared" si="355"/>
        <v>Romper Longer</v>
      </c>
      <c r="H2965" s="38">
        <f t="shared" si="350"/>
        <v>11</v>
      </c>
      <c r="I2965" s="54">
        <f t="shared" si="354"/>
        <v>47</v>
      </c>
      <c r="J2965" s="14" t="str">
        <f t="shared" si="351"/>
        <v>Christmas</v>
      </c>
      <c r="K2965" s="16" t="str">
        <f t="shared" si="352"/>
        <v>0-3</v>
      </c>
      <c r="L2965" s="14" t="str">
        <f t="shared" si="353"/>
        <v>Romper Longer | 0-3 | Caldet Blue</v>
      </c>
      <c r="M2965" s="16" t="s">
        <v>3610</v>
      </c>
    </row>
    <row r="2966" spans="1:13" ht="25" customHeight="1" x14ac:dyDescent="0.45">
      <c r="A2966" s="18">
        <v>45980</v>
      </c>
      <c r="B2966" s="19" t="s">
        <v>3079</v>
      </c>
      <c r="C2966" s="23" t="s">
        <v>9</v>
      </c>
      <c r="D2966" s="53" t="str">
        <f t="shared" si="356"/>
        <v>Cream</v>
      </c>
      <c r="E2966" s="21" t="s">
        <v>1849</v>
      </c>
      <c r="F2966" s="21" t="str">
        <f ca="1">IFERROR(__xludf.DUMMYFUNCTION("IFERROR(REGEXEXTRACT(O761, ""\n([A-Za-z ]+)$""), """")
"),"United States")</f>
        <v>United States</v>
      </c>
      <c r="G2966" s="4" t="str">
        <f t="shared" si="355"/>
        <v>Romper Short</v>
      </c>
      <c r="H2966" s="38">
        <f t="shared" si="350"/>
        <v>11</v>
      </c>
      <c r="I2966" s="54">
        <f t="shared" si="354"/>
        <v>47</v>
      </c>
      <c r="J2966" s="14" t="str">
        <f t="shared" si="351"/>
        <v>Christmas</v>
      </c>
      <c r="K2966" s="16" t="str">
        <f t="shared" si="352"/>
        <v>3-6</v>
      </c>
      <c r="L2966" s="14" t="str">
        <f t="shared" si="353"/>
        <v>Romper Short | 3-6 | Cream</v>
      </c>
      <c r="M2966" s="16" t="s">
        <v>3609</v>
      </c>
    </row>
    <row r="2967" spans="1:13" ht="25" customHeight="1" x14ac:dyDescent="0.45">
      <c r="A2967" s="18">
        <v>45981</v>
      </c>
      <c r="B2967" s="19" t="s">
        <v>3080</v>
      </c>
      <c r="C2967" s="23" t="s">
        <v>85</v>
      </c>
      <c r="D2967" s="53" t="str">
        <f t="shared" si="356"/>
        <v>Forest Green</v>
      </c>
      <c r="E2967" s="21" t="s">
        <v>1550</v>
      </c>
      <c r="F2967" s="21" t="str">
        <f ca="1">IFERROR(__xludf.DUMMYFUNCTION("IFERROR(REGEXEXTRACT(O761, ""\n([A-Za-z ]+)$""), """")
"),"United States")</f>
        <v>United States</v>
      </c>
      <c r="G2967" s="4" t="str">
        <f t="shared" si="355"/>
        <v>Romper Longer</v>
      </c>
      <c r="H2967" s="38">
        <f t="shared" si="350"/>
        <v>11</v>
      </c>
      <c r="I2967" s="54">
        <f t="shared" si="354"/>
        <v>47</v>
      </c>
      <c r="J2967" s="14" t="str">
        <f t="shared" si="351"/>
        <v>Christmas</v>
      </c>
      <c r="K2967" s="16" t="str">
        <f t="shared" si="352"/>
        <v>12-18</v>
      </c>
      <c r="L2967" s="14" t="str">
        <f t="shared" si="353"/>
        <v>Romper Longer | 12-18 | Forest Green</v>
      </c>
      <c r="M2967" s="16" t="s">
        <v>3610</v>
      </c>
    </row>
    <row r="2968" spans="1:13" ht="25" customHeight="1" x14ac:dyDescent="0.45">
      <c r="A2968" s="18">
        <v>45982</v>
      </c>
      <c r="B2968" s="19" t="s">
        <v>3081</v>
      </c>
      <c r="C2968" s="23" t="s">
        <v>9</v>
      </c>
      <c r="D2968" s="53" t="str">
        <f t="shared" si="356"/>
        <v>Cream</v>
      </c>
      <c r="E2968" s="21" t="s">
        <v>1831</v>
      </c>
      <c r="F2968" s="21" t="str">
        <f ca="1">IFERROR(__xludf.DUMMYFUNCTION("IFERROR(REGEXEXTRACT(O761, ""\n([A-Za-z ]+)$""), """")
"),"United States")</f>
        <v>United States</v>
      </c>
      <c r="G2968" s="4" t="str">
        <f t="shared" si="355"/>
        <v>Romper Longer</v>
      </c>
      <c r="H2968" s="38">
        <f t="shared" si="350"/>
        <v>11</v>
      </c>
      <c r="I2968" s="54">
        <f t="shared" si="354"/>
        <v>47</v>
      </c>
      <c r="J2968" s="14" t="str">
        <f t="shared" si="351"/>
        <v>Christmas</v>
      </c>
      <c r="K2968" s="16" t="str">
        <f t="shared" si="352"/>
        <v>0-3</v>
      </c>
      <c r="L2968" s="14" t="str">
        <f t="shared" si="353"/>
        <v>Romper Longer | 0-3 | Cream</v>
      </c>
      <c r="M2968" s="16" t="s">
        <v>3609</v>
      </c>
    </row>
    <row r="2969" spans="1:13" ht="25" customHeight="1" x14ac:dyDescent="0.45">
      <c r="A2969" s="18">
        <v>45983</v>
      </c>
      <c r="B2969" s="19" t="s">
        <v>3082</v>
      </c>
      <c r="C2969" s="23" t="s">
        <v>9</v>
      </c>
      <c r="D2969" s="53" t="str">
        <f t="shared" si="356"/>
        <v>Cream</v>
      </c>
      <c r="E2969" s="21" t="s">
        <v>1828</v>
      </c>
      <c r="F2969" s="21" t="str">
        <f ca="1">IFERROR(__xludf.DUMMYFUNCTION("IFERROR(REGEXEXTRACT(O761, ""\n([A-Za-z ]+)$""), """")
"),"United States")</f>
        <v>United States</v>
      </c>
      <c r="G2969" s="4" t="str">
        <f t="shared" si="355"/>
        <v>Romper Longer</v>
      </c>
      <c r="H2969" s="38">
        <f t="shared" si="350"/>
        <v>11</v>
      </c>
      <c r="I2969" s="54">
        <f t="shared" si="354"/>
        <v>47</v>
      </c>
      <c r="J2969" s="14" t="str">
        <f t="shared" si="351"/>
        <v>Christmas</v>
      </c>
      <c r="K2969" s="16" t="str">
        <f t="shared" si="352"/>
        <v>3-6</v>
      </c>
      <c r="L2969" s="14" t="str">
        <f t="shared" si="353"/>
        <v>Romper Longer | 3-6 | Cream</v>
      </c>
      <c r="M2969" s="16" t="s">
        <v>3609</v>
      </c>
    </row>
    <row r="2970" spans="1:13" ht="25" customHeight="1" x14ac:dyDescent="0.45">
      <c r="A2970" s="18">
        <v>45984</v>
      </c>
      <c r="B2970" s="19" t="s">
        <v>3083</v>
      </c>
      <c r="C2970" s="23" t="s">
        <v>9</v>
      </c>
      <c r="D2970" s="53" t="str">
        <f t="shared" si="356"/>
        <v>Cream</v>
      </c>
      <c r="E2970" s="21" t="s">
        <v>1841</v>
      </c>
      <c r="F2970" s="21" t="str">
        <f ca="1">IFERROR(__xludf.DUMMYFUNCTION("IFERROR(REGEXEXTRACT(O761, ""\n([A-Za-z ]+)$""), """")
"),"United States")</f>
        <v>United States</v>
      </c>
      <c r="G2970" s="4" t="str">
        <f t="shared" si="355"/>
        <v>Romper Longer</v>
      </c>
      <c r="H2970" s="38">
        <f t="shared" si="350"/>
        <v>11</v>
      </c>
      <c r="I2970" s="54">
        <f t="shared" si="354"/>
        <v>48</v>
      </c>
      <c r="J2970" s="14" t="str">
        <f t="shared" si="351"/>
        <v>Christmas</v>
      </c>
      <c r="K2970" s="16" t="str">
        <f t="shared" si="352"/>
        <v>6-12</v>
      </c>
      <c r="L2970" s="14" t="str">
        <f t="shared" si="353"/>
        <v>Romper Longer | 6-12 | Cream</v>
      </c>
      <c r="M2970" s="16" t="s">
        <v>3611</v>
      </c>
    </row>
    <row r="2971" spans="1:13" ht="25" customHeight="1" x14ac:dyDescent="0.45">
      <c r="A2971" s="18">
        <v>45985</v>
      </c>
      <c r="B2971" s="19" t="s">
        <v>3084</v>
      </c>
      <c r="C2971" s="23" t="s">
        <v>85</v>
      </c>
      <c r="D2971" s="53" t="str">
        <f t="shared" si="356"/>
        <v>Forest Green</v>
      </c>
      <c r="E2971" s="21" t="s">
        <v>1834</v>
      </c>
      <c r="F2971" s="21" t="str">
        <f ca="1">IFERROR(__xludf.DUMMYFUNCTION("IFERROR(REGEXEXTRACT(O761, ""\n([A-Za-z ]+)$""), """")
"),"United States")</f>
        <v>United States</v>
      </c>
      <c r="G2971" s="4" t="str">
        <f t="shared" si="355"/>
        <v>Romper Short</v>
      </c>
      <c r="H2971" s="38">
        <f t="shared" si="350"/>
        <v>11</v>
      </c>
      <c r="I2971" s="54">
        <f t="shared" si="354"/>
        <v>48</v>
      </c>
      <c r="J2971" s="14" t="str">
        <f t="shared" si="351"/>
        <v>Christmas</v>
      </c>
      <c r="K2971" s="16" t="str">
        <f t="shared" si="352"/>
        <v>0-3</v>
      </c>
      <c r="L2971" s="14" t="str">
        <f t="shared" si="353"/>
        <v>Romper Short | 0-3 | Forest Green</v>
      </c>
      <c r="M2971" s="16" t="s">
        <v>3610</v>
      </c>
    </row>
    <row r="2972" spans="1:13" ht="25" customHeight="1" x14ac:dyDescent="0.45">
      <c r="A2972" s="18">
        <v>45986</v>
      </c>
      <c r="B2972" s="19" t="s">
        <v>3085</v>
      </c>
      <c r="C2972" s="23" t="s">
        <v>9</v>
      </c>
      <c r="D2972" s="53" t="str">
        <f t="shared" si="356"/>
        <v>Cream</v>
      </c>
      <c r="E2972" s="21" t="s">
        <v>1831</v>
      </c>
      <c r="F2972" s="21" t="str">
        <f ca="1">IFERROR(__xludf.DUMMYFUNCTION("IFERROR(REGEXEXTRACT(O761, ""\n([A-Za-z ]+)$""), """")
"),"United States")</f>
        <v>United States</v>
      </c>
      <c r="G2972" s="4" t="str">
        <f t="shared" si="355"/>
        <v>Romper Longer</v>
      </c>
      <c r="H2972" s="38">
        <f t="shared" si="350"/>
        <v>11</v>
      </c>
      <c r="I2972" s="54">
        <f t="shared" si="354"/>
        <v>48</v>
      </c>
      <c r="J2972" s="14" t="str">
        <f t="shared" si="351"/>
        <v>Christmas</v>
      </c>
      <c r="K2972" s="16" t="str">
        <f t="shared" si="352"/>
        <v>0-3</v>
      </c>
      <c r="L2972" s="14" t="str">
        <f t="shared" si="353"/>
        <v>Romper Longer | 0-3 | Cream</v>
      </c>
      <c r="M2972" s="16" t="s">
        <v>3609</v>
      </c>
    </row>
    <row r="2973" spans="1:13" ht="25" customHeight="1" x14ac:dyDescent="0.45">
      <c r="A2973" s="18">
        <v>45987</v>
      </c>
      <c r="B2973" s="19" t="s">
        <v>3086</v>
      </c>
      <c r="C2973" s="23" t="s">
        <v>76</v>
      </c>
      <c r="D2973" s="53" t="str">
        <f t="shared" si="356"/>
        <v>Caldet Blue</v>
      </c>
      <c r="E2973" s="21" t="s">
        <v>1550</v>
      </c>
      <c r="F2973" s="21" t="str">
        <f ca="1">IFERROR(__xludf.DUMMYFUNCTION("IFERROR(REGEXEXTRACT(O761, ""\n([A-Za-z ]+)$""), """")
"),"United States")</f>
        <v>United States</v>
      </c>
      <c r="G2973" s="4" t="str">
        <f t="shared" si="355"/>
        <v>Romper Longer</v>
      </c>
      <c r="H2973" s="38">
        <f t="shared" si="350"/>
        <v>11</v>
      </c>
      <c r="I2973" s="54">
        <f t="shared" si="354"/>
        <v>48</v>
      </c>
      <c r="J2973" s="14" t="str">
        <f t="shared" si="351"/>
        <v>Christmas</v>
      </c>
      <c r="K2973" s="16" t="str">
        <f t="shared" si="352"/>
        <v>12-18</v>
      </c>
      <c r="L2973" s="14" t="str">
        <f t="shared" si="353"/>
        <v>Romper Longer | 12-18 | Caldet Blue</v>
      </c>
      <c r="M2973" s="16" t="s">
        <v>3610</v>
      </c>
    </row>
    <row r="2974" spans="1:13" ht="25" customHeight="1" x14ac:dyDescent="0.45">
      <c r="A2974" s="18">
        <v>45988</v>
      </c>
      <c r="B2974" s="19" t="s">
        <v>3087</v>
      </c>
      <c r="C2974" s="23" t="s">
        <v>85</v>
      </c>
      <c r="D2974" s="53" t="str">
        <f t="shared" si="356"/>
        <v>Forest Green</v>
      </c>
      <c r="E2974" s="21" t="s">
        <v>1841</v>
      </c>
      <c r="F2974" s="21" t="str">
        <f ca="1">IFERROR(__xludf.DUMMYFUNCTION("IFERROR(REGEXEXTRACT(O761, ""\n([A-Za-z ]+)$""), """")
"),"United States")</f>
        <v>United States</v>
      </c>
      <c r="G2974" s="4" t="str">
        <f t="shared" si="355"/>
        <v>Romper Longer</v>
      </c>
      <c r="H2974" s="38">
        <f t="shared" si="350"/>
        <v>11</v>
      </c>
      <c r="I2974" s="54">
        <f t="shared" si="354"/>
        <v>48</v>
      </c>
      <c r="J2974" s="14" t="str">
        <f t="shared" si="351"/>
        <v>Christmas</v>
      </c>
      <c r="K2974" s="16" t="str">
        <f t="shared" si="352"/>
        <v>6-12</v>
      </c>
      <c r="L2974" s="14" t="str">
        <f t="shared" si="353"/>
        <v>Romper Longer | 6-12 | Forest Green</v>
      </c>
      <c r="M2974" s="16" t="s">
        <v>3610</v>
      </c>
    </row>
    <row r="2975" spans="1:13" ht="25" customHeight="1" x14ac:dyDescent="0.45">
      <c r="A2975" s="18">
        <v>45989</v>
      </c>
      <c r="B2975" s="19" t="s">
        <v>3088</v>
      </c>
      <c r="C2975" s="23" t="s">
        <v>85</v>
      </c>
      <c r="D2975" s="53" t="str">
        <f t="shared" si="356"/>
        <v>Forest Green</v>
      </c>
      <c r="E2975" s="21" t="s">
        <v>1841</v>
      </c>
      <c r="F2975" s="21" t="str">
        <f ca="1">IFERROR(__xludf.DUMMYFUNCTION("IFERROR(REGEXEXTRACT(O761, ""\n([A-Za-z ]+)$""), """")
"),"United States")</f>
        <v>United States</v>
      </c>
      <c r="G2975" s="4" t="str">
        <f t="shared" si="355"/>
        <v>Romper Longer</v>
      </c>
      <c r="H2975" s="38">
        <f t="shared" si="350"/>
        <v>11</v>
      </c>
      <c r="I2975" s="54">
        <f t="shared" si="354"/>
        <v>48</v>
      </c>
      <c r="J2975" s="14" t="str">
        <f t="shared" si="351"/>
        <v>Christmas</v>
      </c>
      <c r="K2975" s="16" t="str">
        <f t="shared" si="352"/>
        <v>6-12</v>
      </c>
      <c r="L2975" s="14" t="str">
        <f t="shared" si="353"/>
        <v>Romper Longer | 6-12 | Forest Green</v>
      </c>
      <c r="M2975" s="16" t="s">
        <v>3610</v>
      </c>
    </row>
    <row r="2976" spans="1:13" ht="25" customHeight="1" x14ac:dyDescent="0.45">
      <c r="A2976" s="18">
        <v>45990</v>
      </c>
      <c r="B2976" s="19" t="s">
        <v>3089</v>
      </c>
      <c r="C2976" s="23" t="s">
        <v>9</v>
      </c>
      <c r="D2976" s="53" t="str">
        <f t="shared" si="356"/>
        <v>Cream</v>
      </c>
      <c r="E2976" s="21" t="s">
        <v>1834</v>
      </c>
      <c r="F2976" s="21" t="str">
        <f ca="1">IFERROR(__xludf.DUMMYFUNCTION("IFERROR(REGEXEXTRACT(O761, ""\n([A-Za-z ]+)$""), """")
"),"United States")</f>
        <v>United States</v>
      </c>
      <c r="G2976" s="4" t="str">
        <f t="shared" si="355"/>
        <v>Romper Short</v>
      </c>
      <c r="H2976" s="38">
        <f t="shared" si="350"/>
        <v>11</v>
      </c>
      <c r="I2976" s="54">
        <f t="shared" si="354"/>
        <v>48</v>
      </c>
      <c r="J2976" s="14" t="str">
        <f t="shared" si="351"/>
        <v>Christmas</v>
      </c>
      <c r="K2976" s="16" t="str">
        <f t="shared" si="352"/>
        <v>0-3</v>
      </c>
      <c r="L2976" s="14" t="str">
        <f t="shared" si="353"/>
        <v>Romper Short | 0-3 | Cream</v>
      </c>
      <c r="M2976" s="16" t="s">
        <v>3609</v>
      </c>
    </row>
    <row r="2977" spans="1:13" ht="25" customHeight="1" x14ac:dyDescent="0.45">
      <c r="A2977" s="18">
        <v>45991</v>
      </c>
      <c r="B2977" s="19" t="s">
        <v>3090</v>
      </c>
      <c r="C2977" s="23" t="s">
        <v>110</v>
      </c>
      <c r="D2977" s="53" t="str">
        <f t="shared" si="356"/>
        <v>Sage Green</v>
      </c>
      <c r="E2977" s="21" t="s">
        <v>1834</v>
      </c>
      <c r="F2977" s="21" t="str">
        <f ca="1">IFERROR(__xludf.DUMMYFUNCTION("IFERROR(REGEXEXTRACT(O761, ""\n([A-Za-z ]+)$""), """")
"),"United States")</f>
        <v>United States</v>
      </c>
      <c r="G2977" s="4" t="str">
        <f t="shared" si="355"/>
        <v>Romper Short</v>
      </c>
      <c r="H2977" s="38">
        <f t="shared" si="350"/>
        <v>11</v>
      </c>
      <c r="I2977" s="54">
        <f t="shared" si="354"/>
        <v>49</v>
      </c>
      <c r="J2977" s="14" t="str">
        <f t="shared" si="351"/>
        <v>Christmas</v>
      </c>
      <c r="K2977" s="16" t="str">
        <f t="shared" si="352"/>
        <v>0-3</v>
      </c>
      <c r="L2977" s="14" t="str">
        <f t="shared" si="353"/>
        <v>Romper Short | 0-3 | Sage Green</v>
      </c>
      <c r="M2977" s="16" t="s">
        <v>3610</v>
      </c>
    </row>
    <row r="2978" spans="1:13" ht="25" customHeight="1" x14ac:dyDescent="0.45">
      <c r="A2978" s="18">
        <v>45992</v>
      </c>
      <c r="B2978" s="19" t="s">
        <v>3090</v>
      </c>
      <c r="C2978" s="23" t="s">
        <v>71</v>
      </c>
      <c r="D2978" s="53" t="str">
        <f t="shared" si="356"/>
        <v>Coffee</v>
      </c>
      <c r="E2978" s="21" t="s">
        <v>1834</v>
      </c>
      <c r="F2978" s="21" t="str">
        <f ca="1">IFERROR(__xludf.DUMMYFUNCTION("IFERROR(REGEXEXTRACT(O761, ""\n([A-Za-z ]+)$""), """")
"),"United States")</f>
        <v>United States</v>
      </c>
      <c r="G2978" s="4" t="str">
        <f t="shared" si="355"/>
        <v>Romper Short</v>
      </c>
      <c r="H2978" s="38">
        <f t="shared" si="350"/>
        <v>12</v>
      </c>
      <c r="I2978" s="54">
        <f t="shared" si="354"/>
        <v>49</v>
      </c>
      <c r="J2978" s="14" t="str">
        <f t="shared" si="351"/>
        <v>Christmas</v>
      </c>
      <c r="K2978" s="16" t="str">
        <f t="shared" si="352"/>
        <v>0-3</v>
      </c>
      <c r="L2978" s="14" t="str">
        <f t="shared" si="353"/>
        <v>Romper Short | 0-3 | Coffee</v>
      </c>
      <c r="M2978" s="16" t="s">
        <v>3610</v>
      </c>
    </row>
    <row r="2979" spans="1:13" ht="25" customHeight="1" x14ac:dyDescent="0.45">
      <c r="A2979" s="18">
        <v>45993</v>
      </c>
      <c r="B2979" s="19" t="s">
        <v>3091</v>
      </c>
      <c r="C2979" s="23" t="s">
        <v>79</v>
      </c>
      <c r="D2979" s="53" t="str">
        <f t="shared" si="356"/>
        <v>White</v>
      </c>
      <c r="E2979" s="21" t="s">
        <v>1828</v>
      </c>
      <c r="F2979" s="21" t="str">
        <f ca="1">IFERROR(__xludf.DUMMYFUNCTION("IFERROR(REGEXEXTRACT(O761, ""\n([A-Za-z ]+)$""), """")
"),"United States")</f>
        <v>United States</v>
      </c>
      <c r="G2979" s="4" t="str">
        <f t="shared" si="355"/>
        <v>Romper Longer</v>
      </c>
      <c r="H2979" s="38">
        <f t="shared" si="350"/>
        <v>12</v>
      </c>
      <c r="I2979" s="54">
        <f t="shared" si="354"/>
        <v>49</v>
      </c>
      <c r="J2979" s="14" t="str">
        <f t="shared" si="351"/>
        <v>Christmas</v>
      </c>
      <c r="K2979" s="16" t="str">
        <f t="shared" si="352"/>
        <v>3-6</v>
      </c>
      <c r="L2979" s="14" t="str">
        <f t="shared" si="353"/>
        <v>Romper Longer | 3-6 | White</v>
      </c>
      <c r="M2979" s="16" t="s">
        <v>3610</v>
      </c>
    </row>
    <row r="2980" spans="1:13" ht="25" customHeight="1" x14ac:dyDescent="0.45">
      <c r="A2980" s="18">
        <v>45994</v>
      </c>
      <c r="B2980" s="19" t="s">
        <v>3092</v>
      </c>
      <c r="C2980" s="23" t="s">
        <v>224</v>
      </c>
      <c r="D2980" s="53" t="str">
        <f t="shared" si="356"/>
        <v>Salmon</v>
      </c>
      <c r="E2980" s="21" t="s">
        <v>1420</v>
      </c>
      <c r="F2980" s="21" t="str">
        <f ca="1">IFERROR(__xludf.DUMMYFUNCTION("IFERROR(REGEXEXTRACT(O761, ""\n([A-Za-z ]+)$""), """")
"),"United States")</f>
        <v>United States</v>
      </c>
      <c r="G2980" s="4" t="str">
        <f t="shared" si="355"/>
        <v>Romper Short</v>
      </c>
      <c r="H2980" s="38">
        <f t="shared" si="350"/>
        <v>12</v>
      </c>
      <c r="I2980" s="54">
        <f t="shared" si="354"/>
        <v>49</v>
      </c>
      <c r="J2980" s="14" t="str">
        <f t="shared" si="351"/>
        <v>Christmas</v>
      </c>
      <c r="K2980" s="16" t="str">
        <f t="shared" si="352"/>
        <v>6-12</v>
      </c>
      <c r="L2980" s="14" t="str">
        <f t="shared" si="353"/>
        <v>Romper Short | 6-12 | Salmon</v>
      </c>
      <c r="M2980" s="16" t="s">
        <v>3610</v>
      </c>
    </row>
    <row r="2981" spans="1:13" ht="25" customHeight="1" x14ac:dyDescent="0.45">
      <c r="A2981" s="18">
        <v>45995</v>
      </c>
      <c r="B2981" s="19" t="s">
        <v>3093</v>
      </c>
      <c r="C2981" s="23" t="s">
        <v>9</v>
      </c>
      <c r="D2981" s="53" t="str">
        <f t="shared" si="356"/>
        <v>Cream</v>
      </c>
      <c r="E2981" s="21" t="s">
        <v>1828</v>
      </c>
      <c r="F2981" s="21" t="str">
        <f ca="1">IFERROR(__xludf.DUMMYFUNCTION("IFERROR(REGEXEXTRACT(O761, ""\n([A-Za-z ]+)$""), """")
"),"United States")</f>
        <v>United States</v>
      </c>
      <c r="G2981" s="4" t="str">
        <f t="shared" si="355"/>
        <v>Romper Longer</v>
      </c>
      <c r="H2981" s="38">
        <f t="shared" si="350"/>
        <v>12</v>
      </c>
      <c r="I2981" s="54">
        <f t="shared" si="354"/>
        <v>49</v>
      </c>
      <c r="J2981" s="14" t="str">
        <f t="shared" si="351"/>
        <v>Christmas</v>
      </c>
      <c r="K2981" s="16" t="str">
        <f t="shared" si="352"/>
        <v>3-6</v>
      </c>
      <c r="L2981" s="14" t="str">
        <f t="shared" si="353"/>
        <v>Romper Longer | 3-6 | Cream</v>
      </c>
      <c r="M2981" s="16" t="s">
        <v>3609</v>
      </c>
    </row>
    <row r="2982" spans="1:13" ht="25" customHeight="1" x14ac:dyDescent="0.45">
      <c r="A2982" s="18">
        <v>45996</v>
      </c>
      <c r="B2982" s="19" t="s">
        <v>3094</v>
      </c>
      <c r="C2982" s="23" t="s">
        <v>9</v>
      </c>
      <c r="D2982" s="53" t="str">
        <f t="shared" si="356"/>
        <v>Cream</v>
      </c>
      <c r="E2982" s="21" t="s">
        <v>1828</v>
      </c>
      <c r="F2982" s="21" t="str">
        <f ca="1">IFERROR(__xludf.DUMMYFUNCTION("IFERROR(REGEXEXTRACT(O761, ""\n([A-Za-z ]+)$""), """")
"),"United States")</f>
        <v>United States</v>
      </c>
      <c r="G2982" s="4" t="str">
        <f t="shared" si="355"/>
        <v>Romper Longer</v>
      </c>
      <c r="H2982" s="38">
        <f t="shared" si="350"/>
        <v>12</v>
      </c>
      <c r="I2982" s="54">
        <f t="shared" si="354"/>
        <v>49</v>
      </c>
      <c r="J2982" s="14" t="str">
        <f t="shared" si="351"/>
        <v>Christmas</v>
      </c>
      <c r="K2982" s="16" t="str">
        <f t="shared" si="352"/>
        <v>3-6</v>
      </c>
      <c r="L2982" s="14" t="str">
        <f t="shared" si="353"/>
        <v>Romper Longer | 3-6 | Cream</v>
      </c>
      <c r="M2982" s="16" t="s">
        <v>3609</v>
      </c>
    </row>
    <row r="2983" spans="1:13" ht="25" customHeight="1" x14ac:dyDescent="0.45">
      <c r="A2983" s="18">
        <v>45997</v>
      </c>
      <c r="B2983" s="19" t="s">
        <v>3095</v>
      </c>
      <c r="C2983" s="23" t="s">
        <v>81</v>
      </c>
      <c r="D2983" s="53" t="str">
        <f t="shared" si="356"/>
        <v>Dusty Pink</v>
      </c>
      <c r="E2983" s="21" t="s">
        <v>1849</v>
      </c>
      <c r="F2983" s="21" t="str">
        <f ca="1">IFERROR(__xludf.DUMMYFUNCTION("IFERROR(REGEXEXTRACT(O761, ""\n([A-Za-z ]+)$""), """")
"),"United States")</f>
        <v>United States</v>
      </c>
      <c r="G2983" s="4" t="str">
        <f t="shared" si="355"/>
        <v>Romper Short</v>
      </c>
      <c r="H2983" s="38">
        <f t="shared" si="350"/>
        <v>12</v>
      </c>
      <c r="I2983" s="54">
        <f t="shared" si="354"/>
        <v>49</v>
      </c>
      <c r="J2983" s="14" t="str">
        <f t="shared" si="351"/>
        <v>Christmas</v>
      </c>
      <c r="K2983" s="16" t="str">
        <f t="shared" si="352"/>
        <v>3-6</v>
      </c>
      <c r="L2983" s="14" t="str">
        <f t="shared" si="353"/>
        <v>Romper Short | 3-6 | Dusty Pink</v>
      </c>
      <c r="M2983" s="16" t="s">
        <v>3610</v>
      </c>
    </row>
    <row r="2984" spans="1:13" ht="25" customHeight="1" x14ac:dyDescent="0.45">
      <c r="A2984" s="18">
        <v>45998</v>
      </c>
      <c r="B2984" s="19" t="s">
        <v>3096</v>
      </c>
      <c r="C2984" s="23" t="s">
        <v>9</v>
      </c>
      <c r="D2984" s="53" t="str">
        <f t="shared" si="356"/>
        <v>Cream</v>
      </c>
      <c r="E2984" s="21" t="s">
        <v>1841</v>
      </c>
      <c r="F2984" s="21" t="str">
        <f ca="1">IFERROR(__xludf.DUMMYFUNCTION("IFERROR(REGEXEXTRACT(O761, ""\n([A-Za-z ]+)$""), """")
"),"United States")</f>
        <v>United States</v>
      </c>
      <c r="G2984" s="4" t="str">
        <f t="shared" si="355"/>
        <v>Romper Longer</v>
      </c>
      <c r="H2984" s="38">
        <f t="shared" si="350"/>
        <v>12</v>
      </c>
      <c r="I2984" s="54">
        <f t="shared" si="354"/>
        <v>50</v>
      </c>
      <c r="J2984" s="14" t="str">
        <f t="shared" si="351"/>
        <v>Christmas</v>
      </c>
      <c r="K2984" s="16" t="str">
        <f t="shared" si="352"/>
        <v>6-12</v>
      </c>
      <c r="L2984" s="14" t="str">
        <f t="shared" si="353"/>
        <v>Romper Longer | 6-12 | Cream</v>
      </c>
      <c r="M2984" s="16" t="s">
        <v>3611</v>
      </c>
    </row>
    <row r="2985" spans="1:13" ht="25" customHeight="1" x14ac:dyDescent="0.45">
      <c r="A2985" s="18">
        <v>45999</v>
      </c>
      <c r="B2985" s="19" t="s">
        <v>3097</v>
      </c>
      <c r="C2985" s="23" t="s">
        <v>85</v>
      </c>
      <c r="D2985" s="53" t="str">
        <f t="shared" si="356"/>
        <v>Forest Green</v>
      </c>
      <c r="E2985" s="21" t="s">
        <v>1831</v>
      </c>
      <c r="F2985" s="21" t="str">
        <f ca="1">IFERROR(__xludf.DUMMYFUNCTION("IFERROR(REGEXEXTRACT(O761, ""\n([A-Za-z ]+)$""), """")
"),"United States")</f>
        <v>United States</v>
      </c>
      <c r="G2985" s="4" t="str">
        <f t="shared" si="355"/>
        <v>Romper Longer</v>
      </c>
      <c r="H2985" s="38">
        <f t="shared" si="350"/>
        <v>12</v>
      </c>
      <c r="I2985" s="54">
        <f t="shared" si="354"/>
        <v>50</v>
      </c>
      <c r="J2985" s="14" t="str">
        <f t="shared" si="351"/>
        <v>Christmas</v>
      </c>
      <c r="K2985" s="16" t="str">
        <f t="shared" si="352"/>
        <v>0-3</v>
      </c>
      <c r="L2985" s="14" t="str">
        <f t="shared" si="353"/>
        <v>Romper Longer | 0-3 | Forest Green</v>
      </c>
      <c r="M2985" s="16" t="s">
        <v>3610</v>
      </c>
    </row>
    <row r="2986" spans="1:13" ht="25" customHeight="1" x14ac:dyDescent="0.45">
      <c r="A2986" s="18">
        <v>46000</v>
      </c>
      <c r="B2986" s="19" t="s">
        <v>3098</v>
      </c>
      <c r="C2986" s="23" t="s">
        <v>9</v>
      </c>
      <c r="D2986" s="53" t="str">
        <f t="shared" si="356"/>
        <v>Cream</v>
      </c>
      <c r="E2986" s="21" t="s">
        <v>1828</v>
      </c>
      <c r="F2986" s="21" t="str">
        <f ca="1">IFERROR(__xludf.DUMMYFUNCTION("IFERROR(REGEXEXTRACT(O761, ""\n([A-Za-z ]+)$""), """")
"),"United States")</f>
        <v>United States</v>
      </c>
      <c r="G2986" s="4" t="str">
        <f t="shared" si="355"/>
        <v>Romper Longer</v>
      </c>
      <c r="H2986" s="38">
        <f t="shared" si="350"/>
        <v>12</v>
      </c>
      <c r="I2986" s="54">
        <f t="shared" si="354"/>
        <v>50</v>
      </c>
      <c r="J2986" s="14" t="str">
        <f t="shared" si="351"/>
        <v>Christmas</v>
      </c>
      <c r="K2986" s="16" t="str">
        <f t="shared" si="352"/>
        <v>3-6</v>
      </c>
      <c r="L2986" s="14" t="str">
        <f t="shared" si="353"/>
        <v>Romper Longer | 3-6 | Cream</v>
      </c>
      <c r="M2986" s="16" t="s">
        <v>3609</v>
      </c>
    </row>
    <row r="2987" spans="1:13" ht="25" customHeight="1" x14ac:dyDescent="0.45">
      <c r="A2987" s="18">
        <v>46001</v>
      </c>
      <c r="B2987" s="19" t="s">
        <v>3099</v>
      </c>
      <c r="C2987" s="23" t="s">
        <v>81</v>
      </c>
      <c r="D2987" s="53" t="str">
        <f t="shared" si="356"/>
        <v>Dusty Pink</v>
      </c>
      <c r="E2987" s="21" t="s">
        <v>1834</v>
      </c>
      <c r="F2987" s="21" t="str">
        <f ca="1">IFERROR(__xludf.DUMMYFUNCTION("IFERROR(REGEXEXTRACT(O761, ""\n([A-Za-z ]+)$""), """")
"),"United States")</f>
        <v>United States</v>
      </c>
      <c r="G2987" s="4" t="str">
        <f t="shared" si="355"/>
        <v>Romper Short</v>
      </c>
      <c r="H2987" s="38">
        <f t="shared" si="350"/>
        <v>12</v>
      </c>
      <c r="I2987" s="54">
        <f t="shared" si="354"/>
        <v>50</v>
      </c>
      <c r="J2987" s="14" t="str">
        <f t="shared" si="351"/>
        <v>Christmas</v>
      </c>
      <c r="K2987" s="16" t="str">
        <f t="shared" si="352"/>
        <v>0-3</v>
      </c>
      <c r="L2987" s="14" t="str">
        <f t="shared" si="353"/>
        <v>Romper Short | 0-3 | Dusty Pink</v>
      </c>
      <c r="M2987" s="16" t="s">
        <v>3610</v>
      </c>
    </row>
    <row r="2988" spans="1:13" ht="25" customHeight="1" x14ac:dyDescent="0.45">
      <c r="A2988" s="18">
        <v>46002</v>
      </c>
      <c r="B2988" s="19" t="s">
        <v>3100</v>
      </c>
      <c r="C2988" s="23" t="s">
        <v>224</v>
      </c>
      <c r="D2988" s="53" t="str">
        <f t="shared" si="356"/>
        <v>Salmon</v>
      </c>
      <c r="E2988" s="21" t="s">
        <v>1828</v>
      </c>
      <c r="F2988" s="21" t="str">
        <f ca="1">IFERROR(__xludf.DUMMYFUNCTION("IFERROR(REGEXEXTRACT(O761, ""\n([A-Za-z ]+)$""), """")
"),"United States")</f>
        <v>United States</v>
      </c>
      <c r="G2988" s="4" t="str">
        <f t="shared" si="355"/>
        <v>Romper Longer</v>
      </c>
      <c r="H2988" s="38">
        <f t="shared" si="350"/>
        <v>12</v>
      </c>
      <c r="I2988" s="54">
        <f t="shared" si="354"/>
        <v>50</v>
      </c>
      <c r="J2988" s="14" t="str">
        <f t="shared" si="351"/>
        <v>Christmas</v>
      </c>
      <c r="K2988" s="16" t="str">
        <f t="shared" si="352"/>
        <v>3-6</v>
      </c>
      <c r="L2988" s="14" t="str">
        <f t="shared" si="353"/>
        <v>Romper Longer | 3-6 | Salmon</v>
      </c>
      <c r="M2988" s="16" t="s">
        <v>3610</v>
      </c>
    </row>
    <row r="2989" spans="1:13" ht="25" customHeight="1" x14ac:dyDescent="0.45">
      <c r="A2989" s="18">
        <v>46003</v>
      </c>
      <c r="B2989" s="19" t="s">
        <v>3101</v>
      </c>
      <c r="C2989" s="23" t="s">
        <v>9</v>
      </c>
      <c r="D2989" s="53" t="str">
        <f t="shared" si="356"/>
        <v>Cream</v>
      </c>
      <c r="E2989" s="21" t="s">
        <v>1834</v>
      </c>
      <c r="F2989" s="21" t="str">
        <f ca="1">IFERROR(__xludf.DUMMYFUNCTION("IFERROR(REGEXEXTRACT(O761, ""\n([A-Za-z ]+)$""), """")
"),"United States")</f>
        <v>United States</v>
      </c>
      <c r="G2989" s="4" t="str">
        <f t="shared" si="355"/>
        <v>Romper Short</v>
      </c>
      <c r="H2989" s="38">
        <f t="shared" si="350"/>
        <v>12</v>
      </c>
      <c r="I2989" s="54">
        <f t="shared" si="354"/>
        <v>50</v>
      </c>
      <c r="J2989" s="14" t="str">
        <f t="shared" si="351"/>
        <v>Christmas</v>
      </c>
      <c r="K2989" s="16" t="str">
        <f t="shared" si="352"/>
        <v>0-3</v>
      </c>
      <c r="L2989" s="14" t="str">
        <f t="shared" si="353"/>
        <v>Romper Short | 0-3 | Cream</v>
      </c>
      <c r="M2989" s="16" t="s">
        <v>3609</v>
      </c>
    </row>
    <row r="2990" spans="1:13" ht="25" customHeight="1" x14ac:dyDescent="0.45">
      <c r="A2990" s="18">
        <v>46004</v>
      </c>
      <c r="B2990" s="19" t="s">
        <v>3102</v>
      </c>
      <c r="C2990" s="23" t="s">
        <v>85</v>
      </c>
      <c r="D2990" s="53" t="str">
        <f t="shared" si="356"/>
        <v>Forest Green</v>
      </c>
      <c r="E2990" s="21" t="s">
        <v>1849</v>
      </c>
      <c r="F2990" s="21" t="str">
        <f ca="1">IFERROR(__xludf.DUMMYFUNCTION("IFERROR(REGEXEXTRACT(O761, ""\n([A-Za-z ]+)$""), """")
"),"United States")</f>
        <v>United States</v>
      </c>
      <c r="G2990" s="4" t="str">
        <f t="shared" si="355"/>
        <v>Romper Short</v>
      </c>
      <c r="H2990" s="38">
        <f t="shared" si="350"/>
        <v>12</v>
      </c>
      <c r="I2990" s="54">
        <f t="shared" si="354"/>
        <v>50</v>
      </c>
      <c r="J2990" s="14" t="str">
        <f t="shared" si="351"/>
        <v>Christmas</v>
      </c>
      <c r="K2990" s="16" t="str">
        <f t="shared" si="352"/>
        <v>3-6</v>
      </c>
      <c r="L2990" s="14" t="str">
        <f t="shared" si="353"/>
        <v>Romper Short | 3-6 | Forest Green</v>
      </c>
      <c r="M2990" s="16" t="s">
        <v>3610</v>
      </c>
    </row>
    <row r="2991" spans="1:13" ht="25" customHeight="1" x14ac:dyDescent="0.45">
      <c r="A2991" s="18">
        <v>46005</v>
      </c>
      <c r="B2991" s="19" t="s">
        <v>3103</v>
      </c>
      <c r="C2991" s="23" t="s">
        <v>9</v>
      </c>
      <c r="D2991" s="53" t="str">
        <f t="shared" si="356"/>
        <v>Cream</v>
      </c>
      <c r="E2991" s="21" t="s">
        <v>1831</v>
      </c>
      <c r="F2991" s="21" t="str">
        <f ca="1">IFERROR(__xludf.DUMMYFUNCTION("IFERROR(REGEXEXTRACT(O761, ""\n([A-Za-z ]+)$""), """")
"),"United States")</f>
        <v>United States</v>
      </c>
      <c r="G2991" s="4" t="str">
        <f t="shared" si="355"/>
        <v>Romper Longer</v>
      </c>
      <c r="H2991" s="38">
        <f t="shared" si="350"/>
        <v>12</v>
      </c>
      <c r="I2991" s="54">
        <f t="shared" si="354"/>
        <v>51</v>
      </c>
      <c r="J2991" s="14" t="str">
        <f t="shared" si="351"/>
        <v>Christmas</v>
      </c>
      <c r="K2991" s="16" t="str">
        <f t="shared" si="352"/>
        <v>0-3</v>
      </c>
      <c r="L2991" s="14" t="str">
        <f t="shared" si="353"/>
        <v>Romper Longer | 0-3 | Cream</v>
      </c>
      <c r="M2991" s="16" t="s">
        <v>3609</v>
      </c>
    </row>
    <row r="2992" spans="1:13" ht="25" customHeight="1" x14ac:dyDescent="0.45">
      <c r="A2992" s="18">
        <v>46006</v>
      </c>
      <c r="B2992" s="19" t="s">
        <v>3104</v>
      </c>
      <c r="C2992" s="23" t="s">
        <v>110</v>
      </c>
      <c r="D2992" s="53" t="str">
        <f t="shared" si="356"/>
        <v>Sage Green</v>
      </c>
      <c r="E2992" s="21" t="s">
        <v>1831</v>
      </c>
      <c r="F2992" s="21" t="str">
        <f ca="1">IFERROR(__xludf.DUMMYFUNCTION("IFERROR(REGEXEXTRACT(O761, ""\n([A-Za-z ]+)$""), """")
"),"United States")</f>
        <v>United States</v>
      </c>
      <c r="G2992" s="4" t="str">
        <f t="shared" si="355"/>
        <v>Romper Longer</v>
      </c>
      <c r="H2992" s="38">
        <f t="shared" si="350"/>
        <v>12</v>
      </c>
      <c r="I2992" s="54">
        <f t="shared" si="354"/>
        <v>51</v>
      </c>
      <c r="J2992" s="14" t="str">
        <f t="shared" si="351"/>
        <v>Christmas</v>
      </c>
      <c r="K2992" s="16" t="str">
        <f t="shared" si="352"/>
        <v>0-3</v>
      </c>
      <c r="L2992" s="14" t="str">
        <f t="shared" si="353"/>
        <v>Romper Longer | 0-3 | Sage Green</v>
      </c>
      <c r="M2992" s="16" t="s">
        <v>3611</v>
      </c>
    </row>
    <row r="2993" spans="1:13" ht="25" customHeight="1" x14ac:dyDescent="0.45">
      <c r="A2993" s="18">
        <v>46007</v>
      </c>
      <c r="B2993" s="19" t="s">
        <v>3105</v>
      </c>
      <c r="C2993" s="23" t="s">
        <v>110</v>
      </c>
      <c r="D2993" s="53" t="str">
        <f t="shared" si="356"/>
        <v>Sage Green</v>
      </c>
      <c r="E2993" s="21" t="s">
        <v>1849</v>
      </c>
      <c r="F2993" s="21" t="str">
        <f ca="1">IFERROR(__xludf.DUMMYFUNCTION("IFERROR(REGEXEXTRACT(O761, ""\n([A-Za-z ]+)$""), """")
"),"United States")</f>
        <v>United States</v>
      </c>
      <c r="G2993" s="4" t="str">
        <f t="shared" si="355"/>
        <v>Romper Short</v>
      </c>
      <c r="H2993" s="38">
        <f t="shared" si="350"/>
        <v>12</v>
      </c>
      <c r="I2993" s="54">
        <f t="shared" si="354"/>
        <v>51</v>
      </c>
      <c r="J2993" s="14" t="str">
        <f t="shared" si="351"/>
        <v>Christmas</v>
      </c>
      <c r="K2993" s="16" t="str">
        <f t="shared" si="352"/>
        <v>3-6</v>
      </c>
      <c r="L2993" s="14" t="str">
        <f t="shared" si="353"/>
        <v>Romper Short | 3-6 | Sage Green</v>
      </c>
      <c r="M2993" s="16" t="s">
        <v>3611</v>
      </c>
    </row>
    <row r="2994" spans="1:13" ht="25" customHeight="1" x14ac:dyDescent="0.45">
      <c r="A2994" s="18">
        <v>46008</v>
      </c>
      <c r="B2994" s="19" t="s">
        <v>3106</v>
      </c>
      <c r="C2994" s="23" t="s">
        <v>9</v>
      </c>
      <c r="D2994" s="53" t="str">
        <f t="shared" si="356"/>
        <v>Cream</v>
      </c>
      <c r="E2994" s="21" t="s">
        <v>1550</v>
      </c>
      <c r="F2994" s="21" t="str">
        <f ca="1">IFERROR(__xludf.DUMMYFUNCTION("IFERROR(REGEXEXTRACT(O761, ""\n([A-Za-z ]+)$""), """")
"),"United States")</f>
        <v>United States</v>
      </c>
      <c r="G2994" s="4" t="str">
        <f t="shared" si="355"/>
        <v>Romper Longer</v>
      </c>
      <c r="H2994" s="38">
        <f t="shared" si="350"/>
        <v>12</v>
      </c>
      <c r="I2994" s="54">
        <f t="shared" si="354"/>
        <v>51</v>
      </c>
      <c r="J2994" s="14" t="str">
        <f t="shared" si="351"/>
        <v>Christmas</v>
      </c>
      <c r="K2994" s="16" t="str">
        <f t="shared" si="352"/>
        <v>12-18</v>
      </c>
      <c r="L2994" s="14" t="str">
        <f t="shared" si="353"/>
        <v>Romper Longer | 12-18 | Cream</v>
      </c>
      <c r="M2994" s="16" t="s">
        <v>3610</v>
      </c>
    </row>
    <row r="2995" spans="1:13" ht="25" customHeight="1" x14ac:dyDescent="0.45">
      <c r="A2995" s="18">
        <v>46009</v>
      </c>
      <c r="B2995" s="19" t="s">
        <v>3107</v>
      </c>
      <c r="C2995" s="23" t="s">
        <v>76</v>
      </c>
      <c r="D2995" s="53" t="str">
        <f t="shared" si="356"/>
        <v>Caldet Blue</v>
      </c>
      <c r="E2995" s="21" t="s">
        <v>1831</v>
      </c>
      <c r="F2995" s="21" t="str">
        <f ca="1">IFERROR(__xludf.DUMMYFUNCTION("IFERROR(REGEXEXTRACT(O761, ""\n([A-Za-z ]+)$""), """")
"),"United States")</f>
        <v>United States</v>
      </c>
      <c r="G2995" s="4" t="str">
        <f t="shared" si="355"/>
        <v>Romper Longer</v>
      </c>
      <c r="H2995" s="38">
        <f t="shared" si="350"/>
        <v>12</v>
      </c>
      <c r="I2995" s="54">
        <f t="shared" si="354"/>
        <v>51</v>
      </c>
      <c r="J2995" s="14" t="str">
        <f t="shared" si="351"/>
        <v>Christmas</v>
      </c>
      <c r="K2995" s="16" t="str">
        <f t="shared" si="352"/>
        <v>0-3</v>
      </c>
      <c r="L2995" s="14" t="str">
        <f t="shared" si="353"/>
        <v>Romper Longer | 0-3 | Caldet Blue</v>
      </c>
      <c r="M2995" s="16" t="s">
        <v>3610</v>
      </c>
    </row>
    <row r="2996" spans="1:13" ht="25" customHeight="1" x14ac:dyDescent="0.45">
      <c r="A2996" s="18">
        <v>46010</v>
      </c>
      <c r="B2996" s="19" t="s">
        <v>3108</v>
      </c>
      <c r="C2996" s="23" t="s">
        <v>9</v>
      </c>
      <c r="D2996" s="53" t="str">
        <f t="shared" si="356"/>
        <v>Cream</v>
      </c>
      <c r="E2996" s="21" t="s">
        <v>1831</v>
      </c>
      <c r="F2996" s="21" t="str">
        <f ca="1">IFERROR(__xludf.DUMMYFUNCTION("IFERROR(REGEXEXTRACT(O761, ""\n([A-Za-z ]+)$""), """")
"),"United States")</f>
        <v>United States</v>
      </c>
      <c r="G2996" s="4" t="str">
        <f t="shared" si="355"/>
        <v>Romper Longer</v>
      </c>
      <c r="H2996" s="38">
        <f t="shared" si="350"/>
        <v>12</v>
      </c>
      <c r="I2996" s="54">
        <f t="shared" si="354"/>
        <v>51</v>
      </c>
      <c r="J2996" s="14" t="str">
        <f t="shared" si="351"/>
        <v>Christmas</v>
      </c>
      <c r="K2996" s="16" t="str">
        <f t="shared" si="352"/>
        <v>0-3</v>
      </c>
      <c r="L2996" s="14" t="str">
        <f t="shared" si="353"/>
        <v>Romper Longer | 0-3 | Cream</v>
      </c>
      <c r="M2996" s="16" t="s">
        <v>3609</v>
      </c>
    </row>
    <row r="2997" spans="1:13" ht="25" customHeight="1" x14ac:dyDescent="0.45">
      <c r="A2997" s="18">
        <v>46011</v>
      </c>
      <c r="B2997" s="19" t="s">
        <v>3109</v>
      </c>
      <c r="C2997" s="23" t="s">
        <v>9</v>
      </c>
      <c r="D2997" s="53" t="str">
        <f t="shared" si="356"/>
        <v>Cream</v>
      </c>
      <c r="E2997" s="21" t="s">
        <v>1834</v>
      </c>
      <c r="F2997" s="21" t="str">
        <f ca="1">IFERROR(__xludf.DUMMYFUNCTION("IFERROR(REGEXEXTRACT(O761, ""\n([A-Za-z ]+)$""), """")
"),"United States")</f>
        <v>United States</v>
      </c>
      <c r="G2997" s="4" t="str">
        <f t="shared" si="355"/>
        <v>Romper Short</v>
      </c>
      <c r="H2997" s="38">
        <f t="shared" si="350"/>
        <v>12</v>
      </c>
      <c r="I2997" s="54">
        <f t="shared" si="354"/>
        <v>51</v>
      </c>
      <c r="J2997" s="14" t="str">
        <f t="shared" si="351"/>
        <v>Christmas</v>
      </c>
      <c r="K2997" s="16" t="str">
        <f t="shared" si="352"/>
        <v>0-3</v>
      </c>
      <c r="L2997" s="14" t="str">
        <f t="shared" si="353"/>
        <v>Romper Short | 0-3 | Cream</v>
      </c>
      <c r="M2997" s="16" t="s">
        <v>3609</v>
      </c>
    </row>
    <row r="2998" spans="1:13" ht="25" customHeight="1" x14ac:dyDescent="0.45">
      <c r="A2998" s="18">
        <v>46012</v>
      </c>
      <c r="B2998" s="19" t="s">
        <v>3110</v>
      </c>
      <c r="C2998" s="23" t="s">
        <v>81</v>
      </c>
      <c r="D2998" s="53" t="str">
        <f t="shared" si="356"/>
        <v>Dusty Pink</v>
      </c>
      <c r="E2998" s="21" t="s">
        <v>1831</v>
      </c>
      <c r="F2998" s="21" t="str">
        <f ca="1">IFERROR(__xludf.DUMMYFUNCTION("IFERROR(REGEXEXTRACT(O761, ""\n([A-Za-z ]+)$""), """")
"),"United States")</f>
        <v>United States</v>
      </c>
      <c r="G2998" s="4" t="str">
        <f t="shared" si="355"/>
        <v>Romper Longer</v>
      </c>
      <c r="H2998" s="38">
        <f t="shared" si="350"/>
        <v>12</v>
      </c>
      <c r="I2998" s="54">
        <f t="shared" si="354"/>
        <v>52</v>
      </c>
      <c r="J2998" s="14" t="str">
        <f t="shared" si="351"/>
        <v>Christmas</v>
      </c>
      <c r="K2998" s="16" t="str">
        <f t="shared" si="352"/>
        <v>0-3</v>
      </c>
      <c r="L2998" s="14" t="str">
        <f t="shared" si="353"/>
        <v>Romper Longer | 0-3 | Dusty Pink</v>
      </c>
      <c r="M2998" s="16" t="s">
        <v>3610</v>
      </c>
    </row>
    <row r="2999" spans="1:13" ht="25" customHeight="1" x14ac:dyDescent="0.45">
      <c r="A2999" s="18">
        <v>46013</v>
      </c>
      <c r="B2999" s="19" t="s">
        <v>3111</v>
      </c>
      <c r="C2999" s="23" t="s">
        <v>9</v>
      </c>
      <c r="D2999" s="53" t="str">
        <f t="shared" si="356"/>
        <v>Cream</v>
      </c>
      <c r="E2999" s="21" t="s">
        <v>1849</v>
      </c>
      <c r="F2999" s="21" t="str">
        <f ca="1">IFERROR(__xludf.DUMMYFUNCTION("IFERROR(REGEXEXTRACT(O761, ""\n([A-Za-z ]+)$""), """")
"),"United States")</f>
        <v>United States</v>
      </c>
      <c r="G2999" s="4" t="str">
        <f t="shared" si="355"/>
        <v>Romper Short</v>
      </c>
      <c r="H2999" s="38">
        <f t="shared" si="350"/>
        <v>12</v>
      </c>
      <c r="I2999" s="54">
        <f t="shared" si="354"/>
        <v>52</v>
      </c>
      <c r="J2999" s="14" t="str">
        <f t="shared" si="351"/>
        <v>Christmas</v>
      </c>
      <c r="K2999" s="16" t="str">
        <f t="shared" si="352"/>
        <v>3-6</v>
      </c>
      <c r="L2999" s="14" t="str">
        <f t="shared" si="353"/>
        <v>Romper Short | 3-6 | Cream</v>
      </c>
      <c r="M2999" s="16" t="s">
        <v>3609</v>
      </c>
    </row>
    <row r="3000" spans="1:13" ht="25" customHeight="1" x14ac:dyDescent="0.45">
      <c r="A3000" s="18">
        <v>46014</v>
      </c>
      <c r="B3000" s="19" t="s">
        <v>3112</v>
      </c>
      <c r="C3000" s="23" t="s">
        <v>76</v>
      </c>
      <c r="D3000" s="53" t="str">
        <f t="shared" si="356"/>
        <v>Caldet Blue</v>
      </c>
      <c r="E3000" s="21" t="s">
        <v>1849</v>
      </c>
      <c r="F3000" s="21" t="str">
        <f ca="1">IFERROR(__xludf.DUMMYFUNCTION("IFERROR(REGEXEXTRACT(O761, ""\n([A-Za-z ]+)$""), """")
"),"United States")</f>
        <v>United States</v>
      </c>
      <c r="G3000" s="4" t="str">
        <f t="shared" si="355"/>
        <v>Romper Short</v>
      </c>
      <c r="H3000" s="38">
        <f t="shared" ref="H3000:H3063" si="357">MONTH(A3000)</f>
        <v>12</v>
      </c>
      <c r="I3000" s="54">
        <f t="shared" si="354"/>
        <v>52</v>
      </c>
      <c r="J3000" s="14" t="str">
        <f t="shared" ref="J3000:J3063" si="358">IF(H3000=1,"NewYear",
IF(H3000=2,"Valentine",
IF(OR(H3000=3,H3000=4),"Easter",
IF(H3000=5,"MothersDay",
IF(H3000=6,"FathersDay",
IF(OR(H3000=7,H3000=8),"Summer",
IF(H3000=10,"Halloween",
IF(OR(H3000=11,H3000=12),"Christmas","Normal"))))))))</f>
        <v>Christmas</v>
      </c>
      <c r="K3000" s="16" t="str">
        <f t="shared" ref="K3000:K3063" si="359">TRIM(LEFT(E3000,FIND("(",E3000&amp;"(")-3))</f>
        <v>3-6</v>
      </c>
      <c r="L3000" s="14" t="str">
        <f t="shared" si="353"/>
        <v>Romper Short | 3-6 | Caldet Blue</v>
      </c>
      <c r="M3000" s="16" t="s">
        <v>3610</v>
      </c>
    </row>
    <row r="3001" spans="1:13" ht="25" customHeight="1" x14ac:dyDescent="0.45">
      <c r="A3001" s="18">
        <v>46015</v>
      </c>
      <c r="B3001" s="19" t="s">
        <v>3113</v>
      </c>
      <c r="C3001" s="23" t="s">
        <v>79</v>
      </c>
      <c r="D3001" s="53" t="str">
        <f t="shared" si="356"/>
        <v>White</v>
      </c>
      <c r="E3001" s="21" t="s">
        <v>1849</v>
      </c>
      <c r="F3001" s="21" t="str">
        <f ca="1">IFERROR(__xludf.DUMMYFUNCTION("IFERROR(REGEXEXTRACT(O761, ""\n([A-Za-z ]+)$""), """")
"),"United States")</f>
        <v>United States</v>
      </c>
      <c r="G3001" s="4" t="str">
        <f t="shared" si="355"/>
        <v>Romper Short</v>
      </c>
      <c r="H3001" s="38">
        <f t="shared" si="357"/>
        <v>12</v>
      </c>
      <c r="I3001" s="54">
        <f t="shared" si="354"/>
        <v>52</v>
      </c>
      <c r="J3001" s="14" t="str">
        <f t="shared" si="358"/>
        <v>Christmas</v>
      </c>
      <c r="K3001" s="16" t="str">
        <f t="shared" si="359"/>
        <v>3-6</v>
      </c>
      <c r="L3001" s="14" t="str">
        <f t="shared" si="353"/>
        <v>Romper Short | 3-6 | White</v>
      </c>
      <c r="M3001" s="16" t="s">
        <v>3610</v>
      </c>
    </row>
    <row r="3002" spans="1:13" ht="25" customHeight="1" x14ac:dyDescent="0.45">
      <c r="A3002" s="18">
        <v>46016</v>
      </c>
      <c r="B3002" s="19" t="s">
        <v>3114</v>
      </c>
      <c r="C3002" s="23" t="s">
        <v>9</v>
      </c>
      <c r="D3002" s="53" t="str">
        <f t="shared" si="356"/>
        <v>Cream</v>
      </c>
      <c r="E3002" s="21" t="s">
        <v>1828</v>
      </c>
      <c r="F3002" s="21" t="str">
        <f ca="1">IFERROR(__xludf.DUMMYFUNCTION("IFERROR(REGEXEXTRACT(O761, ""\n([A-Za-z ]+)$""), """")
"),"United States")</f>
        <v>United States</v>
      </c>
      <c r="G3002" s="4" t="str">
        <f t="shared" si="355"/>
        <v>Romper Longer</v>
      </c>
      <c r="H3002" s="38">
        <f t="shared" si="357"/>
        <v>12</v>
      </c>
      <c r="I3002" s="54">
        <f t="shared" si="354"/>
        <v>52</v>
      </c>
      <c r="J3002" s="14" t="str">
        <f t="shared" si="358"/>
        <v>Christmas</v>
      </c>
      <c r="K3002" s="16" t="str">
        <f t="shared" si="359"/>
        <v>3-6</v>
      </c>
      <c r="L3002" s="14" t="str">
        <f t="shared" si="353"/>
        <v>Romper Longer | 3-6 | Cream</v>
      </c>
      <c r="M3002" s="16" t="s">
        <v>3609</v>
      </c>
    </row>
    <row r="3003" spans="1:13" ht="25" customHeight="1" x14ac:dyDescent="0.45">
      <c r="A3003" s="18">
        <v>46017</v>
      </c>
      <c r="B3003" s="19" t="s">
        <v>3115</v>
      </c>
      <c r="C3003" s="23" t="s">
        <v>9</v>
      </c>
      <c r="D3003" s="53" t="str">
        <f t="shared" si="356"/>
        <v>Cream</v>
      </c>
      <c r="E3003" s="21" t="s">
        <v>1420</v>
      </c>
      <c r="F3003" s="21" t="str">
        <f ca="1">IFERROR(__xludf.DUMMYFUNCTION("IFERROR(REGEXEXTRACT(O761, ""\n([A-Za-z ]+)$""), """")
"),"United States")</f>
        <v>United States</v>
      </c>
      <c r="G3003" s="4" t="str">
        <f t="shared" si="355"/>
        <v>Romper Short</v>
      </c>
      <c r="H3003" s="38">
        <f t="shared" si="357"/>
        <v>12</v>
      </c>
      <c r="I3003" s="54">
        <f t="shared" si="354"/>
        <v>52</v>
      </c>
      <c r="J3003" s="14" t="str">
        <f t="shared" si="358"/>
        <v>Christmas</v>
      </c>
      <c r="K3003" s="16" t="str">
        <f t="shared" si="359"/>
        <v>6-12</v>
      </c>
      <c r="L3003" s="14" t="str">
        <f t="shared" si="353"/>
        <v>Romper Short | 6-12 | Cream</v>
      </c>
      <c r="M3003" s="16" t="s">
        <v>3611</v>
      </c>
    </row>
    <row r="3004" spans="1:13" ht="25" customHeight="1" x14ac:dyDescent="0.45">
      <c r="A3004" s="18">
        <v>46018</v>
      </c>
      <c r="B3004" s="19" t="s">
        <v>3116</v>
      </c>
      <c r="C3004" s="23" t="s">
        <v>9</v>
      </c>
      <c r="D3004" s="53" t="str">
        <f t="shared" si="356"/>
        <v>Cream</v>
      </c>
      <c r="E3004" s="21" t="s">
        <v>1828</v>
      </c>
      <c r="F3004" s="21" t="str">
        <f ca="1">IFERROR(__xludf.DUMMYFUNCTION("IFERROR(REGEXEXTRACT(O761, ""\n([A-Za-z ]+)$""), """")
"),"United States")</f>
        <v>United States</v>
      </c>
      <c r="G3004" s="4" t="str">
        <f t="shared" si="355"/>
        <v>Romper Longer</v>
      </c>
      <c r="H3004" s="38">
        <f t="shared" si="357"/>
        <v>12</v>
      </c>
      <c r="I3004" s="54">
        <f t="shared" si="354"/>
        <v>52</v>
      </c>
      <c r="J3004" s="14" t="str">
        <f t="shared" si="358"/>
        <v>Christmas</v>
      </c>
      <c r="K3004" s="16" t="str">
        <f t="shared" si="359"/>
        <v>3-6</v>
      </c>
      <c r="L3004" s="14" t="str">
        <f t="shared" si="353"/>
        <v>Romper Longer | 3-6 | Cream</v>
      </c>
      <c r="M3004" s="16" t="s">
        <v>3609</v>
      </c>
    </row>
    <row r="3005" spans="1:13" ht="25" customHeight="1" x14ac:dyDescent="0.45">
      <c r="A3005" s="18">
        <v>46019</v>
      </c>
      <c r="B3005" s="19" t="s">
        <v>3117</v>
      </c>
      <c r="C3005" s="23" t="s">
        <v>79</v>
      </c>
      <c r="D3005" s="53" t="str">
        <f t="shared" si="356"/>
        <v>White</v>
      </c>
      <c r="E3005" s="21" t="s">
        <v>1834</v>
      </c>
      <c r="F3005" s="21" t="str">
        <f ca="1">IFERROR(__xludf.DUMMYFUNCTION("IFERROR(REGEXEXTRACT(O761, ""\n([A-Za-z ]+)$""), """")
"),"United States")</f>
        <v>United States</v>
      </c>
      <c r="G3005" s="4" t="str">
        <f t="shared" si="355"/>
        <v>Romper Short</v>
      </c>
      <c r="H3005" s="38">
        <f t="shared" si="357"/>
        <v>12</v>
      </c>
      <c r="I3005" s="54">
        <f t="shared" si="354"/>
        <v>53</v>
      </c>
      <c r="J3005" s="14" t="str">
        <f t="shared" si="358"/>
        <v>Christmas</v>
      </c>
      <c r="K3005" s="16" t="str">
        <f t="shared" si="359"/>
        <v>0-3</v>
      </c>
      <c r="L3005" s="14" t="str">
        <f t="shared" si="353"/>
        <v>Romper Short | 0-3 | White</v>
      </c>
      <c r="M3005" s="16" t="s">
        <v>3610</v>
      </c>
    </row>
    <row r="3006" spans="1:13" ht="25" customHeight="1" x14ac:dyDescent="0.45">
      <c r="A3006" s="18">
        <v>46020</v>
      </c>
      <c r="B3006" s="19" t="s">
        <v>3118</v>
      </c>
      <c r="C3006" s="23" t="s">
        <v>9</v>
      </c>
      <c r="D3006" s="53" t="str">
        <f t="shared" si="356"/>
        <v>Cream</v>
      </c>
      <c r="E3006" s="21" t="s">
        <v>1831</v>
      </c>
      <c r="F3006" s="21" t="str">
        <f ca="1">IFERROR(__xludf.DUMMYFUNCTION("IFERROR(REGEXEXTRACT(O761, ""\n([A-Za-z ]+)$""), """")
"),"United States")</f>
        <v>United States</v>
      </c>
      <c r="G3006" s="4" t="str">
        <f t="shared" si="355"/>
        <v>Romper Longer</v>
      </c>
      <c r="H3006" s="38">
        <f t="shared" si="357"/>
        <v>12</v>
      </c>
      <c r="I3006" s="54">
        <f t="shared" si="354"/>
        <v>53</v>
      </c>
      <c r="J3006" s="14" t="str">
        <f t="shared" si="358"/>
        <v>Christmas</v>
      </c>
      <c r="K3006" s="16" t="str">
        <f t="shared" si="359"/>
        <v>0-3</v>
      </c>
      <c r="L3006" s="14" t="str">
        <f t="shared" si="353"/>
        <v>Romper Longer | 0-3 | Cream</v>
      </c>
      <c r="M3006" s="16" t="s">
        <v>3609</v>
      </c>
    </row>
    <row r="3007" spans="1:13" ht="25" customHeight="1" x14ac:dyDescent="0.45">
      <c r="A3007" s="18">
        <v>46021</v>
      </c>
      <c r="B3007" s="19" t="s">
        <v>3119</v>
      </c>
      <c r="C3007" s="23" t="s">
        <v>9</v>
      </c>
      <c r="D3007" s="53" t="str">
        <f t="shared" si="356"/>
        <v>Cream</v>
      </c>
      <c r="E3007" s="21" t="s">
        <v>1831</v>
      </c>
      <c r="F3007" s="21" t="str">
        <f ca="1">IFERROR(__xludf.DUMMYFUNCTION("IFERROR(REGEXEXTRACT(O761, ""\n([A-Za-z ]+)$""), """")
"),"United States")</f>
        <v>United States</v>
      </c>
      <c r="G3007" s="4" t="str">
        <f t="shared" si="355"/>
        <v>Romper Longer</v>
      </c>
      <c r="H3007" s="38">
        <f t="shared" si="357"/>
        <v>12</v>
      </c>
      <c r="I3007" s="54">
        <f t="shared" si="354"/>
        <v>53</v>
      </c>
      <c r="J3007" s="14" t="str">
        <f t="shared" si="358"/>
        <v>Christmas</v>
      </c>
      <c r="K3007" s="16" t="str">
        <f t="shared" si="359"/>
        <v>0-3</v>
      </c>
      <c r="L3007" s="14" t="str">
        <f t="shared" si="353"/>
        <v>Romper Longer | 0-3 | Cream</v>
      </c>
      <c r="M3007" s="16" t="s">
        <v>3609</v>
      </c>
    </row>
    <row r="3008" spans="1:13" ht="25" customHeight="1" x14ac:dyDescent="0.45">
      <c r="A3008" s="18">
        <v>46022</v>
      </c>
      <c r="B3008" s="19" t="s">
        <v>3120</v>
      </c>
      <c r="C3008" s="23" t="s">
        <v>110</v>
      </c>
      <c r="D3008" s="53" t="str">
        <f t="shared" si="356"/>
        <v>Sage Green</v>
      </c>
      <c r="E3008" s="21" t="s">
        <v>1831</v>
      </c>
      <c r="F3008" s="21" t="str">
        <f ca="1">IFERROR(__xludf.DUMMYFUNCTION("IFERROR(REGEXEXTRACT(O761, ""\n([A-Za-z ]+)$""), """")
"),"United States")</f>
        <v>United States</v>
      </c>
      <c r="G3008" s="4" t="str">
        <f t="shared" si="355"/>
        <v>Romper Longer</v>
      </c>
      <c r="H3008" s="38">
        <f t="shared" si="357"/>
        <v>12</v>
      </c>
      <c r="I3008" s="54">
        <f t="shared" si="354"/>
        <v>53</v>
      </c>
      <c r="J3008" s="14" t="str">
        <f t="shared" si="358"/>
        <v>Christmas</v>
      </c>
      <c r="K3008" s="16" t="str">
        <f t="shared" si="359"/>
        <v>0-3</v>
      </c>
      <c r="L3008" s="14" t="str">
        <f t="shared" si="353"/>
        <v>Romper Longer | 0-3 | Sage Green</v>
      </c>
      <c r="M3008" s="16" t="s">
        <v>3611</v>
      </c>
    </row>
    <row r="3009" spans="1:13" ht="25" customHeight="1" x14ac:dyDescent="0.45">
      <c r="A3009" s="18">
        <v>46023</v>
      </c>
      <c r="B3009" s="19" t="s">
        <v>3121</v>
      </c>
      <c r="C3009" s="23" t="s">
        <v>9</v>
      </c>
      <c r="D3009" s="53" t="str">
        <f t="shared" si="356"/>
        <v>Cream</v>
      </c>
      <c r="E3009" s="21" t="s">
        <v>1828</v>
      </c>
      <c r="F3009" s="21" t="str">
        <f ca="1">IFERROR(__xludf.DUMMYFUNCTION("IFERROR(REGEXEXTRACT(O761, ""\n([A-Za-z ]+)$""), """")
"),"United States")</f>
        <v>United States</v>
      </c>
      <c r="G3009" s="4" t="str">
        <f t="shared" si="355"/>
        <v>Romper Longer</v>
      </c>
      <c r="H3009" s="38">
        <f t="shared" si="357"/>
        <v>1</v>
      </c>
      <c r="I3009" s="54">
        <f t="shared" si="354"/>
        <v>1</v>
      </c>
      <c r="J3009" s="14" t="str">
        <f t="shared" si="358"/>
        <v>NewYear</v>
      </c>
      <c r="K3009" s="16" t="str">
        <f t="shared" si="359"/>
        <v>3-6</v>
      </c>
      <c r="L3009" s="14" t="str">
        <f t="shared" si="353"/>
        <v>Romper Longer | 3-6 | Cream</v>
      </c>
      <c r="M3009" s="16" t="s">
        <v>3609</v>
      </c>
    </row>
    <row r="3010" spans="1:13" ht="25" customHeight="1" x14ac:dyDescent="0.45">
      <c r="A3010" s="18">
        <v>46024</v>
      </c>
      <c r="B3010" s="19" t="s">
        <v>3122</v>
      </c>
      <c r="C3010" s="23" t="s">
        <v>79</v>
      </c>
      <c r="D3010" s="53" t="str">
        <f t="shared" si="356"/>
        <v>White</v>
      </c>
      <c r="E3010" s="21" t="s">
        <v>1828</v>
      </c>
      <c r="F3010" s="21" t="str">
        <f ca="1">IFERROR(__xludf.DUMMYFUNCTION("IFERROR(REGEXEXTRACT(O761, ""\n([A-Za-z ]+)$""), """")
"),"United States")</f>
        <v>United States</v>
      </c>
      <c r="G3010" s="4" t="str">
        <f t="shared" si="355"/>
        <v>Romper Longer</v>
      </c>
      <c r="H3010" s="38">
        <f t="shared" si="357"/>
        <v>1</v>
      </c>
      <c r="I3010" s="54">
        <f t="shared" si="354"/>
        <v>1</v>
      </c>
      <c r="J3010" s="14" t="str">
        <f t="shared" si="358"/>
        <v>NewYear</v>
      </c>
      <c r="K3010" s="16" t="str">
        <f t="shared" si="359"/>
        <v>3-6</v>
      </c>
      <c r="L3010" s="14" t="str">
        <f t="shared" ref="L3010:L3073" si="360">TRIM(G3010)&amp;" | "&amp;TRIM(K3010)&amp;" | "&amp;PROPER(TRIM(D3010))</f>
        <v>Romper Longer | 3-6 | White</v>
      </c>
      <c r="M3010" s="16" t="s">
        <v>3610</v>
      </c>
    </row>
    <row r="3011" spans="1:13" ht="25" customHeight="1" x14ac:dyDescent="0.45">
      <c r="A3011" s="18">
        <v>46025</v>
      </c>
      <c r="B3011" s="19" t="s">
        <v>3123</v>
      </c>
      <c r="C3011" s="23" t="s">
        <v>224</v>
      </c>
      <c r="D3011" s="53" t="str">
        <f t="shared" si="356"/>
        <v>Salmon</v>
      </c>
      <c r="E3011" s="21" t="s">
        <v>1420</v>
      </c>
      <c r="F3011" s="21" t="str">
        <f ca="1">IFERROR(__xludf.DUMMYFUNCTION("IFERROR(REGEXEXTRACT(O761, ""\n([A-Za-z ]+)$""), """")
"),"United States")</f>
        <v>United States</v>
      </c>
      <c r="G3011" s="4" t="str">
        <f t="shared" si="355"/>
        <v>Romper Short</v>
      </c>
      <c r="H3011" s="38">
        <f t="shared" si="357"/>
        <v>1</v>
      </c>
      <c r="I3011" s="54">
        <f t="shared" si="354"/>
        <v>1</v>
      </c>
      <c r="J3011" s="14" t="str">
        <f t="shared" si="358"/>
        <v>NewYear</v>
      </c>
      <c r="K3011" s="16" t="str">
        <f t="shared" si="359"/>
        <v>6-12</v>
      </c>
      <c r="L3011" s="14" t="str">
        <f t="shared" si="360"/>
        <v>Romper Short | 6-12 | Salmon</v>
      </c>
      <c r="M3011" s="16" t="s">
        <v>3610</v>
      </c>
    </row>
    <row r="3012" spans="1:13" ht="25" customHeight="1" x14ac:dyDescent="0.45">
      <c r="A3012" s="18">
        <v>45782</v>
      </c>
      <c r="B3012" s="19" t="s">
        <v>3124</v>
      </c>
      <c r="C3012" s="23" t="s">
        <v>9</v>
      </c>
      <c r="D3012" s="53" t="str">
        <f t="shared" si="356"/>
        <v>Cream</v>
      </c>
      <c r="E3012" s="21" t="s">
        <v>1828</v>
      </c>
      <c r="F3012" s="21" t="str">
        <f ca="1">IFERROR(__xludf.DUMMYFUNCTION("IFERROR(REGEXEXTRACT(O761, ""\n([A-Za-z ]+)$""), """")
"),"United States")</f>
        <v>United States</v>
      </c>
      <c r="G3012" s="4" t="str">
        <f t="shared" si="355"/>
        <v>Romper Longer</v>
      </c>
      <c r="H3012" s="38">
        <f t="shared" si="357"/>
        <v>5</v>
      </c>
      <c r="I3012" s="54">
        <f t="shared" si="354"/>
        <v>19</v>
      </c>
      <c r="J3012" s="14" t="str">
        <f t="shared" si="358"/>
        <v>MothersDay</v>
      </c>
      <c r="K3012" s="16" t="str">
        <f t="shared" si="359"/>
        <v>3-6</v>
      </c>
      <c r="L3012" s="14" t="str">
        <f t="shared" si="360"/>
        <v>Romper Longer | 3-6 | Cream</v>
      </c>
      <c r="M3012" s="16" t="s">
        <v>3609</v>
      </c>
    </row>
    <row r="3013" spans="1:13" ht="25" customHeight="1" x14ac:dyDescent="0.45">
      <c r="A3013" s="18">
        <v>45783</v>
      </c>
      <c r="B3013" s="19" t="s">
        <v>3125</v>
      </c>
      <c r="C3013" s="23" t="s">
        <v>110</v>
      </c>
      <c r="D3013" s="53" t="str">
        <f t="shared" si="356"/>
        <v>Sage Green</v>
      </c>
      <c r="E3013" s="21" t="s">
        <v>1849</v>
      </c>
      <c r="F3013" s="21" t="str">
        <f ca="1">IFERROR(__xludf.DUMMYFUNCTION("IFERROR(REGEXEXTRACT(O761, ""\n([A-Za-z ]+)$""), """")
"),"United States")</f>
        <v>United States</v>
      </c>
      <c r="G3013" s="4" t="str">
        <f t="shared" si="355"/>
        <v>Romper Short</v>
      </c>
      <c r="H3013" s="38">
        <f t="shared" si="357"/>
        <v>5</v>
      </c>
      <c r="I3013" s="54">
        <f t="shared" si="354"/>
        <v>19</v>
      </c>
      <c r="J3013" s="14" t="str">
        <f t="shared" si="358"/>
        <v>MothersDay</v>
      </c>
      <c r="K3013" s="16" t="str">
        <f t="shared" si="359"/>
        <v>3-6</v>
      </c>
      <c r="L3013" s="14" t="str">
        <f t="shared" si="360"/>
        <v>Romper Short | 3-6 | Sage Green</v>
      </c>
      <c r="M3013" s="16" t="s">
        <v>3611</v>
      </c>
    </row>
    <row r="3014" spans="1:13" ht="25" customHeight="1" x14ac:dyDescent="0.45">
      <c r="A3014" s="18">
        <v>45784</v>
      </c>
      <c r="B3014" s="19" t="s">
        <v>3126</v>
      </c>
      <c r="C3014" s="23" t="s">
        <v>110</v>
      </c>
      <c r="D3014" s="53" t="str">
        <f t="shared" si="356"/>
        <v>Sage Green</v>
      </c>
      <c r="E3014" s="21" t="s">
        <v>1841</v>
      </c>
      <c r="F3014" s="21" t="str">
        <f ca="1">IFERROR(__xludf.DUMMYFUNCTION("IFERROR(REGEXEXTRACT(O761, ""\n([A-Za-z ]+)$""), """")
"),"United States")</f>
        <v>United States</v>
      </c>
      <c r="G3014" s="4" t="str">
        <f t="shared" si="355"/>
        <v>Romper Longer</v>
      </c>
      <c r="H3014" s="38">
        <f t="shared" si="357"/>
        <v>5</v>
      </c>
      <c r="I3014" s="54">
        <f t="shared" si="354"/>
        <v>19</v>
      </c>
      <c r="J3014" s="14" t="str">
        <f t="shared" si="358"/>
        <v>MothersDay</v>
      </c>
      <c r="K3014" s="16" t="str">
        <f t="shared" si="359"/>
        <v>6-12</v>
      </c>
      <c r="L3014" s="14" t="str">
        <f t="shared" si="360"/>
        <v>Romper Longer | 6-12 | Sage Green</v>
      </c>
      <c r="M3014" s="16" t="s">
        <v>3610</v>
      </c>
    </row>
    <row r="3015" spans="1:13" ht="25" customHeight="1" x14ac:dyDescent="0.45">
      <c r="A3015" s="18">
        <v>45785</v>
      </c>
      <c r="B3015" s="19" t="s">
        <v>3127</v>
      </c>
      <c r="C3015" s="23" t="s">
        <v>110</v>
      </c>
      <c r="D3015" s="53" t="str">
        <f t="shared" si="356"/>
        <v>Sage Green</v>
      </c>
      <c r="E3015" s="21" t="s">
        <v>1841</v>
      </c>
      <c r="F3015" s="21" t="str">
        <f ca="1">IFERROR(__xludf.DUMMYFUNCTION("IFERROR(REGEXEXTRACT(O761, ""\n([A-Za-z ]+)$""), """")
"),"United States")</f>
        <v>United States</v>
      </c>
      <c r="G3015" s="4" t="str">
        <f t="shared" si="355"/>
        <v>Romper Longer</v>
      </c>
      <c r="H3015" s="38">
        <f t="shared" si="357"/>
        <v>5</v>
      </c>
      <c r="I3015" s="54">
        <f t="shared" si="354"/>
        <v>19</v>
      </c>
      <c r="J3015" s="14" t="str">
        <f t="shared" si="358"/>
        <v>MothersDay</v>
      </c>
      <c r="K3015" s="16" t="str">
        <f t="shared" si="359"/>
        <v>6-12</v>
      </c>
      <c r="L3015" s="14" t="str">
        <f t="shared" si="360"/>
        <v>Romper Longer | 6-12 | Sage Green</v>
      </c>
      <c r="M3015" s="16" t="s">
        <v>3610</v>
      </c>
    </row>
    <row r="3016" spans="1:13" ht="25" customHeight="1" x14ac:dyDescent="0.45">
      <c r="A3016" s="18">
        <v>45786</v>
      </c>
      <c r="B3016" s="19" t="s">
        <v>3128</v>
      </c>
      <c r="C3016" s="23" t="s">
        <v>81</v>
      </c>
      <c r="D3016" s="53" t="str">
        <f t="shared" si="356"/>
        <v>Dusty Pink</v>
      </c>
      <c r="E3016" s="21" t="s">
        <v>1420</v>
      </c>
      <c r="F3016" s="21" t="str">
        <f ca="1">IFERROR(__xludf.DUMMYFUNCTION("IFERROR(REGEXEXTRACT(O761, ""\n([A-Za-z ]+)$""), """")
"),"United States")</f>
        <v>United States</v>
      </c>
      <c r="G3016" s="4" t="str">
        <f t="shared" si="355"/>
        <v>Romper Short</v>
      </c>
      <c r="H3016" s="38">
        <f t="shared" si="357"/>
        <v>5</v>
      </c>
      <c r="I3016" s="54">
        <f t="shared" ref="I3016:I3079" si="361">WEEKNUM(A3016)</f>
        <v>19</v>
      </c>
      <c r="J3016" s="14" t="str">
        <f t="shared" si="358"/>
        <v>MothersDay</v>
      </c>
      <c r="K3016" s="16" t="str">
        <f t="shared" si="359"/>
        <v>6-12</v>
      </c>
      <c r="L3016" s="14" t="str">
        <f t="shared" si="360"/>
        <v>Romper Short | 6-12 | Dusty Pink</v>
      </c>
      <c r="M3016" s="16" t="s">
        <v>3610</v>
      </c>
    </row>
    <row r="3017" spans="1:13" ht="25" customHeight="1" x14ac:dyDescent="0.45">
      <c r="A3017" s="18">
        <v>45787</v>
      </c>
      <c r="B3017" s="19" t="s">
        <v>3129</v>
      </c>
      <c r="C3017" s="23" t="s">
        <v>9</v>
      </c>
      <c r="D3017" s="53" t="str">
        <f t="shared" si="356"/>
        <v>Cream</v>
      </c>
      <c r="E3017" s="21" t="s">
        <v>1834</v>
      </c>
      <c r="F3017" s="21" t="str">
        <f ca="1">IFERROR(__xludf.DUMMYFUNCTION("IFERROR(REGEXEXTRACT(O761, ""\n([A-Za-z ]+)$""), """")
"),"United States")</f>
        <v>United States</v>
      </c>
      <c r="G3017" s="4" t="str">
        <f t="shared" si="355"/>
        <v>Romper Short</v>
      </c>
      <c r="H3017" s="38">
        <f t="shared" si="357"/>
        <v>5</v>
      </c>
      <c r="I3017" s="54">
        <f t="shared" si="361"/>
        <v>19</v>
      </c>
      <c r="J3017" s="14" t="str">
        <f t="shared" si="358"/>
        <v>MothersDay</v>
      </c>
      <c r="K3017" s="16" t="str">
        <f t="shared" si="359"/>
        <v>0-3</v>
      </c>
      <c r="L3017" s="14" t="str">
        <f t="shared" si="360"/>
        <v>Romper Short | 0-3 | Cream</v>
      </c>
      <c r="M3017" s="16" t="s">
        <v>3609</v>
      </c>
    </row>
    <row r="3018" spans="1:13" ht="25" customHeight="1" x14ac:dyDescent="0.45">
      <c r="A3018" s="18">
        <v>45788</v>
      </c>
      <c r="B3018" s="19" t="s">
        <v>3130</v>
      </c>
      <c r="C3018" s="23" t="s">
        <v>9</v>
      </c>
      <c r="D3018" s="53" t="str">
        <f t="shared" si="356"/>
        <v>Cream</v>
      </c>
      <c r="E3018" s="21" t="s">
        <v>1849</v>
      </c>
      <c r="F3018" s="21" t="str">
        <f ca="1">IFERROR(__xludf.DUMMYFUNCTION("IFERROR(REGEXEXTRACT(O761, ""\n([A-Za-z ]+)$""), """")
"),"United States")</f>
        <v>United States</v>
      </c>
      <c r="G3018" s="4" t="str">
        <f t="shared" si="355"/>
        <v>Romper Short</v>
      </c>
      <c r="H3018" s="38">
        <f t="shared" si="357"/>
        <v>5</v>
      </c>
      <c r="I3018" s="54">
        <f t="shared" si="361"/>
        <v>20</v>
      </c>
      <c r="J3018" s="14" t="str">
        <f t="shared" si="358"/>
        <v>MothersDay</v>
      </c>
      <c r="K3018" s="16" t="str">
        <f t="shared" si="359"/>
        <v>3-6</v>
      </c>
      <c r="L3018" s="14" t="str">
        <f t="shared" si="360"/>
        <v>Romper Short | 3-6 | Cream</v>
      </c>
      <c r="M3018" s="16" t="s">
        <v>3609</v>
      </c>
    </row>
    <row r="3019" spans="1:13" ht="25" customHeight="1" x14ac:dyDescent="0.45">
      <c r="A3019" s="18">
        <v>45789</v>
      </c>
      <c r="B3019" s="19" t="s">
        <v>3131</v>
      </c>
      <c r="C3019" s="23" t="s">
        <v>110</v>
      </c>
      <c r="D3019" s="53" t="str">
        <f t="shared" si="356"/>
        <v>Sage Green</v>
      </c>
      <c r="E3019" s="21" t="s">
        <v>1828</v>
      </c>
      <c r="F3019" s="21" t="str">
        <f ca="1">IFERROR(__xludf.DUMMYFUNCTION("IFERROR(REGEXEXTRACT(O761, ""\n([A-Za-z ]+)$""), """")
"),"United States")</f>
        <v>United States</v>
      </c>
      <c r="G3019" s="4" t="str">
        <f t="shared" si="355"/>
        <v>Romper Longer</v>
      </c>
      <c r="H3019" s="38">
        <f t="shared" si="357"/>
        <v>5</v>
      </c>
      <c r="I3019" s="54">
        <f t="shared" si="361"/>
        <v>20</v>
      </c>
      <c r="J3019" s="14" t="str">
        <f t="shared" si="358"/>
        <v>MothersDay</v>
      </c>
      <c r="K3019" s="16" t="str">
        <f t="shared" si="359"/>
        <v>3-6</v>
      </c>
      <c r="L3019" s="14" t="str">
        <f t="shared" si="360"/>
        <v>Romper Longer | 3-6 | Sage Green</v>
      </c>
      <c r="M3019" s="16" t="s">
        <v>3611</v>
      </c>
    </row>
    <row r="3020" spans="1:13" ht="25" customHeight="1" x14ac:dyDescent="0.45">
      <c r="A3020" s="18">
        <v>45790</v>
      </c>
      <c r="B3020" s="19" t="s">
        <v>3132</v>
      </c>
      <c r="C3020" s="23" t="s">
        <v>9</v>
      </c>
      <c r="D3020" s="53" t="str">
        <f t="shared" si="356"/>
        <v>Cream</v>
      </c>
      <c r="E3020" s="21" t="s">
        <v>1849</v>
      </c>
      <c r="F3020" s="21" t="str">
        <f ca="1">IFERROR(__xludf.DUMMYFUNCTION("IFERROR(REGEXEXTRACT(O761, ""\n([A-Za-z ]+)$""), """")
"),"United States")</f>
        <v>United States</v>
      </c>
      <c r="G3020" s="4" t="str">
        <f t="shared" si="355"/>
        <v>Romper Short</v>
      </c>
      <c r="H3020" s="38">
        <f t="shared" si="357"/>
        <v>5</v>
      </c>
      <c r="I3020" s="54">
        <f t="shared" si="361"/>
        <v>20</v>
      </c>
      <c r="J3020" s="14" t="str">
        <f t="shared" si="358"/>
        <v>MothersDay</v>
      </c>
      <c r="K3020" s="16" t="str">
        <f t="shared" si="359"/>
        <v>3-6</v>
      </c>
      <c r="L3020" s="14" t="str">
        <f t="shared" si="360"/>
        <v>Romper Short | 3-6 | Cream</v>
      </c>
      <c r="M3020" s="16" t="s">
        <v>3609</v>
      </c>
    </row>
    <row r="3021" spans="1:13" ht="25" customHeight="1" x14ac:dyDescent="0.45">
      <c r="A3021" s="18">
        <v>45791</v>
      </c>
      <c r="B3021" s="19" t="s">
        <v>3133</v>
      </c>
      <c r="C3021" s="23" t="s">
        <v>9</v>
      </c>
      <c r="D3021" s="53" t="str">
        <f t="shared" si="356"/>
        <v>Cream</v>
      </c>
      <c r="E3021" s="21" t="s">
        <v>1828</v>
      </c>
      <c r="F3021" s="21" t="str">
        <f ca="1">IFERROR(__xludf.DUMMYFUNCTION("IFERROR(REGEXEXTRACT(O761, ""\n([A-Za-z ]+)$""), """")
"),"United States")</f>
        <v>United States</v>
      </c>
      <c r="G3021" s="4" t="str">
        <f t="shared" si="355"/>
        <v>Romper Longer</v>
      </c>
      <c r="H3021" s="38">
        <f t="shared" si="357"/>
        <v>5</v>
      </c>
      <c r="I3021" s="54">
        <f t="shared" si="361"/>
        <v>20</v>
      </c>
      <c r="J3021" s="14" t="str">
        <f t="shared" si="358"/>
        <v>MothersDay</v>
      </c>
      <c r="K3021" s="16" t="str">
        <f t="shared" si="359"/>
        <v>3-6</v>
      </c>
      <c r="L3021" s="14" t="str">
        <f t="shared" si="360"/>
        <v>Romper Longer | 3-6 | Cream</v>
      </c>
      <c r="M3021" s="16" t="s">
        <v>3609</v>
      </c>
    </row>
    <row r="3022" spans="1:13" ht="25" customHeight="1" x14ac:dyDescent="0.45">
      <c r="A3022" s="18">
        <v>45792</v>
      </c>
      <c r="B3022" s="19" t="s">
        <v>3134</v>
      </c>
      <c r="C3022" s="23" t="s">
        <v>81</v>
      </c>
      <c r="D3022" s="53" t="str">
        <f t="shared" si="356"/>
        <v>Dusty Pink</v>
      </c>
      <c r="E3022" s="21" t="s">
        <v>1849</v>
      </c>
      <c r="F3022" s="21" t="str">
        <f ca="1">IFERROR(__xludf.DUMMYFUNCTION("IFERROR(REGEXEXTRACT(O761, ""\n([A-Za-z ]+)$""), """")
"),"United States")</f>
        <v>United States</v>
      </c>
      <c r="G3022" s="4" t="str">
        <f t="shared" si="355"/>
        <v>Romper Short</v>
      </c>
      <c r="H3022" s="38">
        <f t="shared" si="357"/>
        <v>5</v>
      </c>
      <c r="I3022" s="54">
        <f t="shared" si="361"/>
        <v>20</v>
      </c>
      <c r="J3022" s="14" t="str">
        <f t="shared" si="358"/>
        <v>MothersDay</v>
      </c>
      <c r="K3022" s="16" t="str">
        <f t="shared" si="359"/>
        <v>3-6</v>
      </c>
      <c r="L3022" s="14" t="str">
        <f t="shared" si="360"/>
        <v>Romper Short | 3-6 | Dusty Pink</v>
      </c>
      <c r="M3022" s="16" t="s">
        <v>3610</v>
      </c>
    </row>
    <row r="3023" spans="1:13" ht="25" customHeight="1" x14ac:dyDescent="0.45">
      <c r="A3023" s="18">
        <v>45793</v>
      </c>
      <c r="B3023" s="19" t="s">
        <v>3135</v>
      </c>
      <c r="C3023" s="23" t="s">
        <v>76</v>
      </c>
      <c r="D3023" s="53" t="str">
        <f t="shared" si="356"/>
        <v>Caldet Blue</v>
      </c>
      <c r="E3023" s="21" t="s">
        <v>1420</v>
      </c>
      <c r="F3023" s="21" t="str">
        <f ca="1">IFERROR(__xludf.DUMMYFUNCTION("IFERROR(REGEXEXTRACT(O761, ""\n([A-Za-z ]+)$""), """")
"),"United States")</f>
        <v>United States</v>
      </c>
      <c r="G3023" s="4" t="str">
        <f t="shared" ref="G3023:G3086" si="362">IF(ISNUMBER(SEARCH("LONG",E3023)),"Romper Longer",IF(ISNUMBER(SEARCH("SHORT",E3023)),"Romper Short","Bodysuit"))</f>
        <v>Romper Short</v>
      </c>
      <c r="H3023" s="38">
        <f t="shared" si="357"/>
        <v>5</v>
      </c>
      <c r="I3023" s="54">
        <f t="shared" si="361"/>
        <v>20</v>
      </c>
      <c r="J3023" s="14" t="str">
        <f t="shared" si="358"/>
        <v>MothersDay</v>
      </c>
      <c r="K3023" s="16" t="str">
        <f t="shared" si="359"/>
        <v>6-12</v>
      </c>
      <c r="L3023" s="14" t="str">
        <f t="shared" si="360"/>
        <v>Romper Short | 6-12 | Caldet Blue</v>
      </c>
      <c r="M3023" s="16" t="s">
        <v>3610</v>
      </c>
    </row>
    <row r="3024" spans="1:13" ht="25" customHeight="1" x14ac:dyDescent="0.45">
      <c r="A3024" s="18">
        <v>45794</v>
      </c>
      <c r="B3024" s="19" t="s">
        <v>3136</v>
      </c>
      <c r="C3024" s="23" t="s">
        <v>110</v>
      </c>
      <c r="D3024" s="53" t="str">
        <f t="shared" si="356"/>
        <v>Sage Green</v>
      </c>
      <c r="E3024" s="21" t="s">
        <v>1831</v>
      </c>
      <c r="F3024" s="21" t="str">
        <f ca="1">IFERROR(__xludf.DUMMYFUNCTION("IFERROR(REGEXEXTRACT(O761, ""\n([A-Za-z ]+)$""), """")
"),"United States")</f>
        <v>United States</v>
      </c>
      <c r="G3024" s="4" t="str">
        <f t="shared" si="362"/>
        <v>Romper Longer</v>
      </c>
      <c r="H3024" s="38">
        <f t="shared" si="357"/>
        <v>5</v>
      </c>
      <c r="I3024" s="54">
        <f t="shared" si="361"/>
        <v>20</v>
      </c>
      <c r="J3024" s="14" t="str">
        <f t="shared" si="358"/>
        <v>MothersDay</v>
      </c>
      <c r="K3024" s="16" t="str">
        <f t="shared" si="359"/>
        <v>0-3</v>
      </c>
      <c r="L3024" s="14" t="str">
        <f t="shared" si="360"/>
        <v>Romper Longer | 0-3 | Sage Green</v>
      </c>
      <c r="M3024" s="16" t="s">
        <v>3611</v>
      </c>
    </row>
    <row r="3025" spans="1:13" ht="25" customHeight="1" x14ac:dyDescent="0.45">
      <c r="A3025" s="18">
        <v>45795</v>
      </c>
      <c r="B3025" s="19" t="s">
        <v>3137</v>
      </c>
      <c r="C3025" s="23" t="s">
        <v>85</v>
      </c>
      <c r="D3025" s="53" t="str">
        <f t="shared" si="356"/>
        <v>Forest Green</v>
      </c>
      <c r="E3025" s="21" t="s">
        <v>1828</v>
      </c>
      <c r="F3025" s="21" t="str">
        <f ca="1">IFERROR(__xludf.DUMMYFUNCTION("IFERROR(REGEXEXTRACT(O761, ""\n([A-Za-z ]+)$""), """")
"),"United States")</f>
        <v>United States</v>
      </c>
      <c r="G3025" s="4" t="str">
        <f t="shared" si="362"/>
        <v>Romper Longer</v>
      </c>
      <c r="H3025" s="38">
        <f t="shared" si="357"/>
        <v>5</v>
      </c>
      <c r="I3025" s="54">
        <f t="shared" si="361"/>
        <v>21</v>
      </c>
      <c r="J3025" s="14" t="str">
        <f t="shared" si="358"/>
        <v>MothersDay</v>
      </c>
      <c r="K3025" s="16" t="str">
        <f t="shared" si="359"/>
        <v>3-6</v>
      </c>
      <c r="L3025" s="14" t="str">
        <f t="shared" si="360"/>
        <v>Romper Longer | 3-6 | Forest Green</v>
      </c>
      <c r="M3025" s="16" t="s">
        <v>3610</v>
      </c>
    </row>
    <row r="3026" spans="1:13" ht="25" customHeight="1" x14ac:dyDescent="0.45">
      <c r="A3026" s="18">
        <v>45796</v>
      </c>
      <c r="B3026" s="19" t="s">
        <v>3138</v>
      </c>
      <c r="C3026" s="23" t="s">
        <v>178</v>
      </c>
      <c r="D3026" s="53" t="str">
        <f t="shared" si="356"/>
        <v>Mauve Taupe</v>
      </c>
      <c r="E3026" s="21" t="s">
        <v>1834</v>
      </c>
      <c r="F3026" s="21" t="str">
        <f ca="1">IFERROR(__xludf.DUMMYFUNCTION("IFERROR(REGEXEXTRACT(O761, ""\n([A-Za-z ]+)$""), """")
"),"United States")</f>
        <v>United States</v>
      </c>
      <c r="G3026" s="4" t="str">
        <f t="shared" si="362"/>
        <v>Romper Short</v>
      </c>
      <c r="H3026" s="38">
        <f t="shared" si="357"/>
        <v>5</v>
      </c>
      <c r="I3026" s="54">
        <f t="shared" si="361"/>
        <v>21</v>
      </c>
      <c r="J3026" s="14" t="str">
        <f t="shared" si="358"/>
        <v>MothersDay</v>
      </c>
      <c r="K3026" s="16" t="str">
        <f t="shared" si="359"/>
        <v>0-3</v>
      </c>
      <c r="L3026" s="14" t="str">
        <f t="shared" si="360"/>
        <v>Romper Short | 0-3 | Mauve Taupe</v>
      </c>
      <c r="M3026" s="16" t="s">
        <v>3610</v>
      </c>
    </row>
    <row r="3027" spans="1:13" ht="25" customHeight="1" x14ac:dyDescent="0.45">
      <c r="A3027" s="18">
        <v>45797</v>
      </c>
      <c r="B3027" s="19" t="s">
        <v>3139</v>
      </c>
      <c r="C3027" s="23" t="s">
        <v>74</v>
      </c>
      <c r="D3027" s="53" t="str">
        <f t="shared" ref="D3027:D3090" si="363">PROPER(C3027)</f>
        <v>Watermelon</v>
      </c>
      <c r="E3027" s="21" t="s">
        <v>1828</v>
      </c>
      <c r="F3027" s="21" t="str">
        <f ca="1">IFERROR(__xludf.DUMMYFUNCTION("IFERROR(REGEXEXTRACT(O761, ""\n([A-Za-z ]+)$""), """")
"),"United States")</f>
        <v>United States</v>
      </c>
      <c r="G3027" s="4" t="str">
        <f t="shared" si="362"/>
        <v>Romper Longer</v>
      </c>
      <c r="H3027" s="38">
        <f t="shared" si="357"/>
        <v>5</v>
      </c>
      <c r="I3027" s="54">
        <f t="shared" si="361"/>
        <v>21</v>
      </c>
      <c r="J3027" s="14" t="str">
        <f t="shared" si="358"/>
        <v>MothersDay</v>
      </c>
      <c r="K3027" s="16" t="str">
        <f t="shared" si="359"/>
        <v>3-6</v>
      </c>
      <c r="L3027" s="14" t="str">
        <f t="shared" si="360"/>
        <v>Romper Longer | 3-6 | Watermelon</v>
      </c>
      <c r="M3027" s="16" t="s">
        <v>3610</v>
      </c>
    </row>
    <row r="3028" spans="1:13" ht="25" customHeight="1" x14ac:dyDescent="0.45">
      <c r="A3028" s="18">
        <v>45798</v>
      </c>
      <c r="B3028" s="19" t="s">
        <v>3140</v>
      </c>
      <c r="C3028" s="23" t="s">
        <v>9</v>
      </c>
      <c r="D3028" s="53" t="str">
        <f t="shared" si="363"/>
        <v>Cream</v>
      </c>
      <c r="E3028" s="21" t="s">
        <v>1420</v>
      </c>
      <c r="F3028" s="21" t="str">
        <f ca="1">IFERROR(__xludf.DUMMYFUNCTION("IFERROR(REGEXEXTRACT(O761, ""\n([A-Za-z ]+)$""), """")
"),"United States")</f>
        <v>United States</v>
      </c>
      <c r="G3028" s="4" t="str">
        <f t="shared" si="362"/>
        <v>Romper Short</v>
      </c>
      <c r="H3028" s="38">
        <f t="shared" si="357"/>
        <v>5</v>
      </c>
      <c r="I3028" s="54">
        <f t="shared" si="361"/>
        <v>21</v>
      </c>
      <c r="J3028" s="14" t="str">
        <f t="shared" si="358"/>
        <v>MothersDay</v>
      </c>
      <c r="K3028" s="16" t="str">
        <f t="shared" si="359"/>
        <v>6-12</v>
      </c>
      <c r="L3028" s="14" t="str">
        <f t="shared" si="360"/>
        <v>Romper Short | 6-12 | Cream</v>
      </c>
      <c r="M3028" s="16" t="s">
        <v>3611</v>
      </c>
    </row>
    <row r="3029" spans="1:13" ht="25" customHeight="1" x14ac:dyDescent="0.45">
      <c r="A3029" s="18">
        <v>45799</v>
      </c>
      <c r="B3029" s="19" t="s">
        <v>3141</v>
      </c>
      <c r="C3029" s="23" t="s">
        <v>81</v>
      </c>
      <c r="D3029" s="53" t="str">
        <f t="shared" si="363"/>
        <v>Dusty Pink</v>
      </c>
      <c r="E3029" s="21" t="s">
        <v>1831</v>
      </c>
      <c r="F3029" s="21" t="str">
        <f ca="1">IFERROR(__xludf.DUMMYFUNCTION("IFERROR(REGEXEXTRACT(O761, ""\n([A-Za-z ]+)$""), """")
"),"United States")</f>
        <v>United States</v>
      </c>
      <c r="G3029" s="4" t="str">
        <f t="shared" si="362"/>
        <v>Romper Longer</v>
      </c>
      <c r="H3029" s="38">
        <f t="shared" si="357"/>
        <v>5</v>
      </c>
      <c r="I3029" s="54">
        <f t="shared" si="361"/>
        <v>21</v>
      </c>
      <c r="J3029" s="14" t="str">
        <f t="shared" si="358"/>
        <v>MothersDay</v>
      </c>
      <c r="K3029" s="16" t="str">
        <f t="shared" si="359"/>
        <v>0-3</v>
      </c>
      <c r="L3029" s="14" t="str">
        <f t="shared" si="360"/>
        <v>Romper Longer | 0-3 | Dusty Pink</v>
      </c>
      <c r="M3029" s="16" t="s">
        <v>3610</v>
      </c>
    </row>
    <row r="3030" spans="1:13" ht="25" customHeight="1" x14ac:dyDescent="0.45">
      <c r="A3030" s="18">
        <v>45800</v>
      </c>
      <c r="B3030" s="19" t="s">
        <v>3142</v>
      </c>
      <c r="C3030" s="23" t="s">
        <v>9</v>
      </c>
      <c r="D3030" s="53" t="str">
        <f t="shared" si="363"/>
        <v>Cream</v>
      </c>
      <c r="E3030" s="21" t="s">
        <v>1834</v>
      </c>
      <c r="F3030" s="21" t="str">
        <f ca="1">IFERROR(__xludf.DUMMYFUNCTION("IFERROR(REGEXEXTRACT(O761, ""\n([A-Za-z ]+)$""), """")
"),"United States")</f>
        <v>United States</v>
      </c>
      <c r="G3030" s="4" t="str">
        <f t="shared" si="362"/>
        <v>Romper Short</v>
      </c>
      <c r="H3030" s="38">
        <f t="shared" si="357"/>
        <v>5</v>
      </c>
      <c r="I3030" s="54">
        <f t="shared" si="361"/>
        <v>21</v>
      </c>
      <c r="J3030" s="14" t="str">
        <f t="shared" si="358"/>
        <v>MothersDay</v>
      </c>
      <c r="K3030" s="16" t="str">
        <f t="shared" si="359"/>
        <v>0-3</v>
      </c>
      <c r="L3030" s="14" t="str">
        <f t="shared" si="360"/>
        <v>Romper Short | 0-3 | Cream</v>
      </c>
      <c r="M3030" s="16" t="s">
        <v>3609</v>
      </c>
    </row>
    <row r="3031" spans="1:13" ht="25" customHeight="1" x14ac:dyDescent="0.45">
      <c r="A3031" s="18">
        <v>45801</v>
      </c>
      <c r="B3031" s="19" t="s">
        <v>3143</v>
      </c>
      <c r="C3031" s="23" t="s">
        <v>9</v>
      </c>
      <c r="D3031" s="53" t="str">
        <f t="shared" si="363"/>
        <v>Cream</v>
      </c>
      <c r="E3031" s="21" t="s">
        <v>1828</v>
      </c>
      <c r="F3031" s="21" t="str">
        <f ca="1">IFERROR(__xludf.DUMMYFUNCTION("IFERROR(REGEXEXTRACT(O761, ""\n([A-Za-z ]+)$""), """")
"),"United States")</f>
        <v>United States</v>
      </c>
      <c r="G3031" s="4" t="str">
        <f t="shared" si="362"/>
        <v>Romper Longer</v>
      </c>
      <c r="H3031" s="38">
        <f t="shared" si="357"/>
        <v>5</v>
      </c>
      <c r="I3031" s="54">
        <f t="shared" si="361"/>
        <v>21</v>
      </c>
      <c r="J3031" s="14" t="str">
        <f t="shared" si="358"/>
        <v>MothersDay</v>
      </c>
      <c r="K3031" s="16" t="str">
        <f t="shared" si="359"/>
        <v>3-6</v>
      </c>
      <c r="L3031" s="14" t="str">
        <f t="shared" si="360"/>
        <v>Romper Longer | 3-6 | Cream</v>
      </c>
      <c r="M3031" s="16" t="s">
        <v>3609</v>
      </c>
    </row>
    <row r="3032" spans="1:13" ht="25" customHeight="1" x14ac:dyDescent="0.45">
      <c r="A3032" s="18">
        <v>45802</v>
      </c>
      <c r="B3032" s="19" t="s">
        <v>3144</v>
      </c>
      <c r="C3032" s="23" t="s">
        <v>110</v>
      </c>
      <c r="D3032" s="53" t="str">
        <f t="shared" si="363"/>
        <v>Sage Green</v>
      </c>
      <c r="E3032" s="21" t="s">
        <v>1828</v>
      </c>
      <c r="F3032" s="21" t="str">
        <f ca="1">IFERROR(__xludf.DUMMYFUNCTION("IFERROR(REGEXEXTRACT(O761, ""\n([A-Za-z ]+)$""), """")
"),"United States")</f>
        <v>United States</v>
      </c>
      <c r="G3032" s="4" t="str">
        <f t="shared" si="362"/>
        <v>Romper Longer</v>
      </c>
      <c r="H3032" s="38">
        <f t="shared" si="357"/>
        <v>5</v>
      </c>
      <c r="I3032" s="54">
        <f t="shared" si="361"/>
        <v>22</v>
      </c>
      <c r="J3032" s="14" t="str">
        <f t="shared" si="358"/>
        <v>MothersDay</v>
      </c>
      <c r="K3032" s="16" t="str">
        <f t="shared" si="359"/>
        <v>3-6</v>
      </c>
      <c r="L3032" s="14" t="str">
        <f t="shared" si="360"/>
        <v>Romper Longer | 3-6 | Sage Green</v>
      </c>
      <c r="M3032" s="16" t="s">
        <v>3611</v>
      </c>
    </row>
    <row r="3033" spans="1:13" ht="25" customHeight="1" x14ac:dyDescent="0.45">
      <c r="A3033" s="18">
        <v>45803</v>
      </c>
      <c r="B3033" s="19" t="s">
        <v>3145</v>
      </c>
      <c r="C3033" s="23" t="s">
        <v>110</v>
      </c>
      <c r="D3033" s="53" t="str">
        <f t="shared" si="363"/>
        <v>Sage Green</v>
      </c>
      <c r="E3033" s="21" t="s">
        <v>1834</v>
      </c>
      <c r="F3033" s="21" t="str">
        <f ca="1">IFERROR(__xludf.DUMMYFUNCTION("IFERROR(REGEXEXTRACT(O761, ""\n([A-Za-z ]+)$""), """")
"),"United States")</f>
        <v>United States</v>
      </c>
      <c r="G3033" s="4" t="str">
        <f t="shared" si="362"/>
        <v>Romper Short</v>
      </c>
      <c r="H3033" s="38">
        <f t="shared" si="357"/>
        <v>5</v>
      </c>
      <c r="I3033" s="54">
        <f t="shared" si="361"/>
        <v>22</v>
      </c>
      <c r="J3033" s="14" t="str">
        <f t="shared" si="358"/>
        <v>MothersDay</v>
      </c>
      <c r="K3033" s="16" t="str">
        <f t="shared" si="359"/>
        <v>0-3</v>
      </c>
      <c r="L3033" s="14" t="str">
        <f t="shared" si="360"/>
        <v>Romper Short | 0-3 | Sage Green</v>
      </c>
      <c r="M3033" s="16" t="s">
        <v>3610</v>
      </c>
    </row>
    <row r="3034" spans="1:13" ht="25" customHeight="1" x14ac:dyDescent="0.45">
      <c r="A3034" s="18">
        <v>45804</v>
      </c>
      <c r="B3034" s="19" t="s">
        <v>3146</v>
      </c>
      <c r="C3034" s="23" t="s">
        <v>9</v>
      </c>
      <c r="D3034" s="53" t="str">
        <f t="shared" si="363"/>
        <v>Cream</v>
      </c>
      <c r="E3034" s="21" t="s">
        <v>1841</v>
      </c>
      <c r="F3034" s="21" t="str">
        <f ca="1">IFERROR(__xludf.DUMMYFUNCTION("IFERROR(REGEXEXTRACT(O761, ""\n([A-Za-z ]+)$""), """")
"),"United States")</f>
        <v>United States</v>
      </c>
      <c r="G3034" s="4" t="str">
        <f t="shared" si="362"/>
        <v>Romper Longer</v>
      </c>
      <c r="H3034" s="38">
        <f t="shared" si="357"/>
        <v>5</v>
      </c>
      <c r="I3034" s="54">
        <f t="shared" si="361"/>
        <v>22</v>
      </c>
      <c r="J3034" s="14" t="str">
        <f t="shared" si="358"/>
        <v>MothersDay</v>
      </c>
      <c r="K3034" s="16" t="str">
        <f t="shared" si="359"/>
        <v>6-12</v>
      </c>
      <c r="L3034" s="14" t="str">
        <f t="shared" si="360"/>
        <v>Romper Longer | 6-12 | Cream</v>
      </c>
      <c r="M3034" s="16" t="s">
        <v>3611</v>
      </c>
    </row>
    <row r="3035" spans="1:13" ht="25" customHeight="1" x14ac:dyDescent="0.45">
      <c r="A3035" s="18">
        <v>45805</v>
      </c>
      <c r="B3035" s="19" t="s">
        <v>3147</v>
      </c>
      <c r="C3035" s="23" t="s">
        <v>81</v>
      </c>
      <c r="D3035" s="53" t="str">
        <f t="shared" si="363"/>
        <v>Dusty Pink</v>
      </c>
      <c r="E3035" s="21" t="s">
        <v>1831</v>
      </c>
      <c r="F3035" s="21" t="str">
        <f ca="1">IFERROR(__xludf.DUMMYFUNCTION("IFERROR(REGEXEXTRACT(O761, ""\n([A-Za-z ]+)$""), """")
"),"United States")</f>
        <v>United States</v>
      </c>
      <c r="G3035" s="4" t="str">
        <f t="shared" si="362"/>
        <v>Romper Longer</v>
      </c>
      <c r="H3035" s="38">
        <f t="shared" si="357"/>
        <v>5</v>
      </c>
      <c r="I3035" s="54">
        <f t="shared" si="361"/>
        <v>22</v>
      </c>
      <c r="J3035" s="14" t="str">
        <f t="shared" si="358"/>
        <v>MothersDay</v>
      </c>
      <c r="K3035" s="16" t="str">
        <f t="shared" si="359"/>
        <v>0-3</v>
      </c>
      <c r="L3035" s="14" t="str">
        <f t="shared" si="360"/>
        <v>Romper Longer | 0-3 | Dusty Pink</v>
      </c>
      <c r="M3035" s="16" t="s">
        <v>3610</v>
      </c>
    </row>
    <row r="3036" spans="1:13" ht="25" customHeight="1" x14ac:dyDescent="0.45">
      <c r="A3036" s="18">
        <v>45806</v>
      </c>
      <c r="B3036" s="19" t="s">
        <v>3148</v>
      </c>
      <c r="C3036" s="23" t="s">
        <v>9</v>
      </c>
      <c r="D3036" s="53" t="str">
        <f t="shared" si="363"/>
        <v>Cream</v>
      </c>
      <c r="E3036" s="21" t="s">
        <v>1828</v>
      </c>
      <c r="F3036" s="21" t="str">
        <f ca="1">IFERROR(__xludf.DUMMYFUNCTION("IFERROR(REGEXEXTRACT(O761, ""\n([A-Za-z ]+)$""), """")
"),"United States")</f>
        <v>United States</v>
      </c>
      <c r="G3036" s="4" t="str">
        <f t="shared" si="362"/>
        <v>Romper Longer</v>
      </c>
      <c r="H3036" s="38">
        <f t="shared" si="357"/>
        <v>5</v>
      </c>
      <c r="I3036" s="54">
        <f t="shared" si="361"/>
        <v>22</v>
      </c>
      <c r="J3036" s="14" t="str">
        <f t="shared" si="358"/>
        <v>MothersDay</v>
      </c>
      <c r="K3036" s="16" t="str">
        <f t="shared" si="359"/>
        <v>3-6</v>
      </c>
      <c r="L3036" s="14" t="str">
        <f t="shared" si="360"/>
        <v>Romper Longer | 3-6 | Cream</v>
      </c>
      <c r="M3036" s="16" t="s">
        <v>3609</v>
      </c>
    </row>
    <row r="3037" spans="1:13" ht="25" customHeight="1" x14ac:dyDescent="0.45">
      <c r="A3037" s="18">
        <v>45807</v>
      </c>
      <c r="B3037" s="19" t="s">
        <v>3149</v>
      </c>
      <c r="C3037" s="23" t="s">
        <v>9</v>
      </c>
      <c r="D3037" s="53" t="str">
        <f t="shared" si="363"/>
        <v>Cream</v>
      </c>
      <c r="E3037" s="21" t="s">
        <v>1831</v>
      </c>
      <c r="F3037" s="21" t="str">
        <f ca="1">IFERROR(__xludf.DUMMYFUNCTION("IFERROR(REGEXEXTRACT(O761, ""\n([A-Za-z ]+)$""), """")
"),"United States")</f>
        <v>United States</v>
      </c>
      <c r="G3037" s="4" t="str">
        <f t="shared" si="362"/>
        <v>Romper Longer</v>
      </c>
      <c r="H3037" s="38">
        <f t="shared" si="357"/>
        <v>5</v>
      </c>
      <c r="I3037" s="54">
        <f t="shared" si="361"/>
        <v>22</v>
      </c>
      <c r="J3037" s="14" t="str">
        <f t="shared" si="358"/>
        <v>MothersDay</v>
      </c>
      <c r="K3037" s="16" t="str">
        <f t="shared" si="359"/>
        <v>0-3</v>
      </c>
      <c r="L3037" s="14" t="str">
        <f t="shared" si="360"/>
        <v>Romper Longer | 0-3 | Cream</v>
      </c>
      <c r="M3037" s="16" t="s">
        <v>3609</v>
      </c>
    </row>
    <row r="3038" spans="1:13" ht="25" customHeight="1" x14ac:dyDescent="0.45">
      <c r="A3038" s="18">
        <v>45808</v>
      </c>
      <c r="B3038" s="19" t="s">
        <v>3150</v>
      </c>
      <c r="C3038" s="23" t="s">
        <v>110</v>
      </c>
      <c r="D3038" s="53" t="str">
        <f t="shared" si="363"/>
        <v>Sage Green</v>
      </c>
      <c r="E3038" s="21" t="s">
        <v>1849</v>
      </c>
      <c r="F3038" s="21" t="str">
        <f ca="1">IFERROR(__xludf.DUMMYFUNCTION("IFERROR(REGEXEXTRACT(O761, ""\n([A-Za-z ]+)$""), """")
"),"United States")</f>
        <v>United States</v>
      </c>
      <c r="G3038" s="4" t="str">
        <f t="shared" si="362"/>
        <v>Romper Short</v>
      </c>
      <c r="H3038" s="38">
        <f t="shared" si="357"/>
        <v>5</v>
      </c>
      <c r="I3038" s="54">
        <f t="shared" si="361"/>
        <v>22</v>
      </c>
      <c r="J3038" s="14" t="str">
        <f t="shared" si="358"/>
        <v>MothersDay</v>
      </c>
      <c r="K3038" s="16" t="str">
        <f t="shared" si="359"/>
        <v>3-6</v>
      </c>
      <c r="L3038" s="14" t="str">
        <f t="shared" si="360"/>
        <v>Romper Short | 3-6 | Sage Green</v>
      </c>
      <c r="M3038" s="16" t="s">
        <v>3611</v>
      </c>
    </row>
    <row r="3039" spans="1:13" ht="25" customHeight="1" x14ac:dyDescent="0.45">
      <c r="A3039" s="18">
        <v>45809</v>
      </c>
      <c r="B3039" s="19" t="s">
        <v>3151</v>
      </c>
      <c r="C3039" s="23" t="s">
        <v>224</v>
      </c>
      <c r="D3039" s="53" t="str">
        <f t="shared" si="363"/>
        <v>Salmon</v>
      </c>
      <c r="E3039" s="21" t="s">
        <v>1849</v>
      </c>
      <c r="F3039" s="21" t="str">
        <f ca="1">IFERROR(__xludf.DUMMYFUNCTION("IFERROR(REGEXEXTRACT(O761, ""\n([A-Za-z ]+)$""), """")
"),"United States")</f>
        <v>United States</v>
      </c>
      <c r="G3039" s="4" t="str">
        <f t="shared" si="362"/>
        <v>Romper Short</v>
      </c>
      <c r="H3039" s="38">
        <f t="shared" si="357"/>
        <v>6</v>
      </c>
      <c r="I3039" s="54">
        <f t="shared" si="361"/>
        <v>23</v>
      </c>
      <c r="J3039" s="14" t="str">
        <f t="shared" si="358"/>
        <v>FathersDay</v>
      </c>
      <c r="K3039" s="16" t="str">
        <f t="shared" si="359"/>
        <v>3-6</v>
      </c>
      <c r="L3039" s="14" t="str">
        <f t="shared" si="360"/>
        <v>Romper Short | 3-6 | Salmon</v>
      </c>
      <c r="M3039" s="16" t="s">
        <v>3610</v>
      </c>
    </row>
    <row r="3040" spans="1:13" ht="25" customHeight="1" x14ac:dyDescent="0.45">
      <c r="A3040" s="18">
        <v>45810</v>
      </c>
      <c r="B3040" s="19" t="s">
        <v>3152</v>
      </c>
      <c r="C3040" s="23" t="s">
        <v>110</v>
      </c>
      <c r="D3040" s="53" t="str">
        <f t="shared" si="363"/>
        <v>Sage Green</v>
      </c>
      <c r="E3040" s="21" t="s">
        <v>1447</v>
      </c>
      <c r="F3040" s="21" t="str">
        <f ca="1">IFERROR(__xludf.DUMMYFUNCTION("IFERROR(REGEXEXTRACT(O761, ""\n([A-Za-z ]+)$""), """")
"),"United States")</f>
        <v>United States</v>
      </c>
      <c r="G3040" s="4" t="str">
        <f t="shared" si="362"/>
        <v>Romper Longer</v>
      </c>
      <c r="H3040" s="38">
        <f t="shared" si="357"/>
        <v>6</v>
      </c>
      <c r="I3040" s="54">
        <f t="shared" si="361"/>
        <v>23</v>
      </c>
      <c r="J3040" s="14" t="str">
        <f t="shared" si="358"/>
        <v>FathersDay</v>
      </c>
      <c r="K3040" s="16" t="str">
        <f t="shared" si="359"/>
        <v>18-24</v>
      </c>
      <c r="L3040" s="14" t="str">
        <f t="shared" si="360"/>
        <v>Romper Longer | 18-24 | Sage Green</v>
      </c>
      <c r="M3040" s="16" t="s">
        <v>3610</v>
      </c>
    </row>
    <row r="3041" spans="1:13" ht="25" customHeight="1" x14ac:dyDescent="0.45">
      <c r="A3041" s="18">
        <v>45811</v>
      </c>
      <c r="B3041" s="19" t="s">
        <v>3153</v>
      </c>
      <c r="C3041" s="23" t="s">
        <v>110</v>
      </c>
      <c r="D3041" s="53" t="str">
        <f t="shared" si="363"/>
        <v>Sage Green</v>
      </c>
      <c r="E3041" s="21" t="s">
        <v>1831</v>
      </c>
      <c r="F3041" s="21" t="str">
        <f ca="1">IFERROR(__xludf.DUMMYFUNCTION("IFERROR(REGEXEXTRACT(O761, ""\n([A-Za-z ]+)$""), """")
"),"United States")</f>
        <v>United States</v>
      </c>
      <c r="G3041" s="4" t="str">
        <f t="shared" si="362"/>
        <v>Romper Longer</v>
      </c>
      <c r="H3041" s="38">
        <f t="shared" si="357"/>
        <v>6</v>
      </c>
      <c r="I3041" s="54">
        <f t="shared" si="361"/>
        <v>23</v>
      </c>
      <c r="J3041" s="14" t="str">
        <f t="shared" si="358"/>
        <v>FathersDay</v>
      </c>
      <c r="K3041" s="16" t="str">
        <f t="shared" si="359"/>
        <v>0-3</v>
      </c>
      <c r="L3041" s="14" t="str">
        <f t="shared" si="360"/>
        <v>Romper Longer | 0-3 | Sage Green</v>
      </c>
      <c r="M3041" s="16" t="s">
        <v>3611</v>
      </c>
    </row>
    <row r="3042" spans="1:13" ht="25" customHeight="1" x14ac:dyDescent="0.45">
      <c r="A3042" s="18">
        <v>45812</v>
      </c>
      <c r="B3042" s="19" t="s">
        <v>3154</v>
      </c>
      <c r="C3042" s="31"/>
      <c r="D3042" s="53" t="str">
        <f t="shared" si="363"/>
        <v/>
      </c>
      <c r="E3042" s="21" t="s">
        <v>1828</v>
      </c>
      <c r="F3042" s="21" t="str">
        <f ca="1">IFERROR(__xludf.DUMMYFUNCTION("IFERROR(REGEXEXTRACT(O761, ""\n([A-Za-z ]+)$""), """")
"),"United States")</f>
        <v>United States</v>
      </c>
      <c r="G3042" s="4" t="str">
        <f t="shared" si="362"/>
        <v>Romper Longer</v>
      </c>
      <c r="H3042" s="38">
        <f t="shared" si="357"/>
        <v>6</v>
      </c>
      <c r="I3042" s="54">
        <f t="shared" si="361"/>
        <v>23</v>
      </c>
      <c r="J3042" s="14" t="str">
        <f t="shared" si="358"/>
        <v>FathersDay</v>
      </c>
      <c r="K3042" s="16" t="str">
        <f t="shared" si="359"/>
        <v>3-6</v>
      </c>
      <c r="L3042" s="14" t="str">
        <f t="shared" si="360"/>
        <v xml:space="preserve">Romper Longer | 3-6 | </v>
      </c>
      <c r="M3042" s="16" t="s">
        <v>3610</v>
      </c>
    </row>
    <row r="3043" spans="1:13" ht="25" customHeight="1" x14ac:dyDescent="0.45">
      <c r="A3043" s="18">
        <v>45813</v>
      </c>
      <c r="B3043" s="19" t="s">
        <v>3155</v>
      </c>
      <c r="C3043" s="23" t="s">
        <v>79</v>
      </c>
      <c r="D3043" s="53" t="str">
        <f t="shared" si="363"/>
        <v>White</v>
      </c>
      <c r="E3043" s="21" t="s">
        <v>1849</v>
      </c>
      <c r="F3043" s="21" t="str">
        <f ca="1">IFERROR(__xludf.DUMMYFUNCTION("IFERROR(REGEXEXTRACT(O761, ""\n([A-Za-z ]+)$""), """")
"),"United States")</f>
        <v>United States</v>
      </c>
      <c r="G3043" s="4" t="str">
        <f t="shared" si="362"/>
        <v>Romper Short</v>
      </c>
      <c r="H3043" s="38">
        <f t="shared" si="357"/>
        <v>6</v>
      </c>
      <c r="I3043" s="54">
        <f t="shared" si="361"/>
        <v>23</v>
      </c>
      <c r="J3043" s="14" t="str">
        <f t="shared" si="358"/>
        <v>FathersDay</v>
      </c>
      <c r="K3043" s="16" t="str">
        <f t="shared" si="359"/>
        <v>3-6</v>
      </c>
      <c r="L3043" s="14" t="str">
        <f t="shared" si="360"/>
        <v>Romper Short | 3-6 | White</v>
      </c>
      <c r="M3043" s="16" t="s">
        <v>3610</v>
      </c>
    </row>
    <row r="3044" spans="1:13" ht="25" customHeight="1" x14ac:dyDescent="0.45">
      <c r="A3044" s="18">
        <v>45814</v>
      </c>
      <c r="B3044" s="19" t="s">
        <v>3156</v>
      </c>
      <c r="C3044" s="23" t="s">
        <v>110</v>
      </c>
      <c r="D3044" s="53" t="str">
        <f t="shared" si="363"/>
        <v>Sage Green</v>
      </c>
      <c r="E3044" s="21" t="s">
        <v>1834</v>
      </c>
      <c r="F3044" s="21" t="str">
        <f ca="1">IFERROR(__xludf.DUMMYFUNCTION("IFERROR(REGEXEXTRACT(O761, ""\n([A-Za-z ]+)$""), """")
"),"United States")</f>
        <v>United States</v>
      </c>
      <c r="G3044" s="4" t="str">
        <f t="shared" si="362"/>
        <v>Romper Short</v>
      </c>
      <c r="H3044" s="38">
        <f t="shared" si="357"/>
        <v>6</v>
      </c>
      <c r="I3044" s="54">
        <f t="shared" si="361"/>
        <v>23</v>
      </c>
      <c r="J3044" s="14" t="str">
        <f t="shared" si="358"/>
        <v>FathersDay</v>
      </c>
      <c r="K3044" s="16" t="str">
        <f t="shared" si="359"/>
        <v>0-3</v>
      </c>
      <c r="L3044" s="14" t="str">
        <f t="shared" si="360"/>
        <v>Romper Short | 0-3 | Sage Green</v>
      </c>
      <c r="M3044" s="16" t="s">
        <v>3610</v>
      </c>
    </row>
    <row r="3045" spans="1:13" ht="25" customHeight="1" x14ac:dyDescent="0.45">
      <c r="A3045" s="18">
        <v>45815</v>
      </c>
      <c r="B3045" s="19" t="s">
        <v>3157</v>
      </c>
      <c r="C3045" s="23" t="s">
        <v>224</v>
      </c>
      <c r="D3045" s="53" t="str">
        <f t="shared" si="363"/>
        <v>Salmon</v>
      </c>
      <c r="E3045" s="21" t="s">
        <v>1828</v>
      </c>
      <c r="F3045" s="21" t="str">
        <f ca="1">IFERROR(__xludf.DUMMYFUNCTION("IFERROR(REGEXEXTRACT(O761, ""\n([A-Za-z ]+)$""), """")
"),"United States")</f>
        <v>United States</v>
      </c>
      <c r="G3045" s="4" t="str">
        <f t="shared" si="362"/>
        <v>Romper Longer</v>
      </c>
      <c r="H3045" s="38">
        <f t="shared" si="357"/>
        <v>6</v>
      </c>
      <c r="I3045" s="54">
        <f t="shared" si="361"/>
        <v>23</v>
      </c>
      <c r="J3045" s="14" t="str">
        <f t="shared" si="358"/>
        <v>FathersDay</v>
      </c>
      <c r="K3045" s="16" t="str">
        <f t="shared" si="359"/>
        <v>3-6</v>
      </c>
      <c r="L3045" s="14" t="str">
        <f t="shared" si="360"/>
        <v>Romper Longer | 3-6 | Salmon</v>
      </c>
      <c r="M3045" s="16" t="s">
        <v>3610</v>
      </c>
    </row>
    <row r="3046" spans="1:13" ht="25" customHeight="1" x14ac:dyDescent="0.45">
      <c r="A3046" s="18">
        <v>45816</v>
      </c>
      <c r="B3046" s="19" t="s">
        <v>2937</v>
      </c>
      <c r="C3046" s="23" t="s">
        <v>9</v>
      </c>
      <c r="D3046" s="53" t="str">
        <f t="shared" si="363"/>
        <v>Cream</v>
      </c>
      <c r="E3046" s="21" t="s">
        <v>1849</v>
      </c>
      <c r="F3046" s="21" t="str">
        <f ca="1">IFERROR(__xludf.DUMMYFUNCTION("IFERROR(REGEXEXTRACT(O761, ""\n([A-Za-z ]+)$""), """")
"),"United States")</f>
        <v>United States</v>
      </c>
      <c r="G3046" s="4" t="str">
        <f t="shared" si="362"/>
        <v>Romper Short</v>
      </c>
      <c r="H3046" s="38">
        <f t="shared" si="357"/>
        <v>6</v>
      </c>
      <c r="I3046" s="54">
        <f t="shared" si="361"/>
        <v>24</v>
      </c>
      <c r="J3046" s="14" t="str">
        <f t="shared" si="358"/>
        <v>FathersDay</v>
      </c>
      <c r="K3046" s="16" t="str">
        <f t="shared" si="359"/>
        <v>3-6</v>
      </c>
      <c r="L3046" s="14" t="str">
        <f t="shared" si="360"/>
        <v>Romper Short | 3-6 | Cream</v>
      </c>
      <c r="M3046" s="16" t="s">
        <v>3609</v>
      </c>
    </row>
    <row r="3047" spans="1:13" ht="25" customHeight="1" x14ac:dyDescent="0.45">
      <c r="A3047" s="18">
        <v>45817</v>
      </c>
      <c r="B3047" s="19" t="s">
        <v>2943</v>
      </c>
      <c r="C3047" s="23" t="s">
        <v>74</v>
      </c>
      <c r="D3047" s="53" t="str">
        <f t="shared" si="363"/>
        <v>Watermelon</v>
      </c>
      <c r="E3047" s="21" t="s">
        <v>1831</v>
      </c>
      <c r="F3047" s="21" t="str">
        <f ca="1">IFERROR(__xludf.DUMMYFUNCTION("IFERROR(REGEXEXTRACT(O761, ""\n([A-Za-z ]+)$""), """")
"),"United States")</f>
        <v>United States</v>
      </c>
      <c r="G3047" s="4" t="str">
        <f t="shared" si="362"/>
        <v>Romper Longer</v>
      </c>
      <c r="H3047" s="38">
        <f t="shared" si="357"/>
        <v>6</v>
      </c>
      <c r="I3047" s="54">
        <f t="shared" si="361"/>
        <v>24</v>
      </c>
      <c r="J3047" s="14" t="str">
        <f t="shared" si="358"/>
        <v>FathersDay</v>
      </c>
      <c r="K3047" s="16" t="str">
        <f t="shared" si="359"/>
        <v>0-3</v>
      </c>
      <c r="L3047" s="14" t="str">
        <f t="shared" si="360"/>
        <v>Romper Longer | 0-3 | Watermelon</v>
      </c>
      <c r="M3047" s="16" t="s">
        <v>3610</v>
      </c>
    </row>
    <row r="3048" spans="1:13" ht="25" customHeight="1" x14ac:dyDescent="0.45">
      <c r="A3048" s="18">
        <v>45818</v>
      </c>
      <c r="B3048" s="19" t="s">
        <v>2944</v>
      </c>
      <c r="C3048" s="23" t="s">
        <v>9</v>
      </c>
      <c r="D3048" s="53" t="str">
        <f t="shared" si="363"/>
        <v>Cream</v>
      </c>
      <c r="E3048" s="21" t="s">
        <v>1831</v>
      </c>
      <c r="F3048" s="21" t="str">
        <f ca="1">IFERROR(__xludf.DUMMYFUNCTION("IFERROR(REGEXEXTRACT(O761, ""\n([A-Za-z ]+)$""), """")
"),"United States")</f>
        <v>United States</v>
      </c>
      <c r="G3048" s="4" t="str">
        <f t="shared" si="362"/>
        <v>Romper Longer</v>
      </c>
      <c r="H3048" s="38">
        <f t="shared" si="357"/>
        <v>6</v>
      </c>
      <c r="I3048" s="54">
        <f t="shared" si="361"/>
        <v>24</v>
      </c>
      <c r="J3048" s="14" t="str">
        <f t="shared" si="358"/>
        <v>FathersDay</v>
      </c>
      <c r="K3048" s="16" t="str">
        <f t="shared" si="359"/>
        <v>0-3</v>
      </c>
      <c r="L3048" s="14" t="str">
        <f t="shared" si="360"/>
        <v>Romper Longer | 0-3 | Cream</v>
      </c>
      <c r="M3048" s="16" t="s">
        <v>3609</v>
      </c>
    </row>
    <row r="3049" spans="1:13" ht="25" customHeight="1" x14ac:dyDescent="0.45">
      <c r="A3049" s="18">
        <v>45819</v>
      </c>
      <c r="B3049" s="19" t="s">
        <v>3158</v>
      </c>
      <c r="C3049" s="23" t="s">
        <v>79</v>
      </c>
      <c r="D3049" s="53" t="str">
        <f t="shared" si="363"/>
        <v>White</v>
      </c>
      <c r="E3049" s="21" t="s">
        <v>1420</v>
      </c>
      <c r="F3049" s="21" t="str">
        <f ca="1">IFERROR(__xludf.DUMMYFUNCTION("IFERROR(REGEXEXTRACT(O761, ""\n([A-Za-z ]+)$""), """")
"),"United States")</f>
        <v>United States</v>
      </c>
      <c r="G3049" s="4" t="str">
        <f t="shared" si="362"/>
        <v>Romper Short</v>
      </c>
      <c r="H3049" s="38">
        <f t="shared" si="357"/>
        <v>6</v>
      </c>
      <c r="I3049" s="54">
        <f t="shared" si="361"/>
        <v>24</v>
      </c>
      <c r="J3049" s="14" t="str">
        <f t="shared" si="358"/>
        <v>FathersDay</v>
      </c>
      <c r="K3049" s="16" t="str">
        <f t="shared" si="359"/>
        <v>6-12</v>
      </c>
      <c r="L3049" s="14" t="str">
        <f t="shared" si="360"/>
        <v>Romper Short | 6-12 | White</v>
      </c>
      <c r="M3049" s="16" t="s">
        <v>3610</v>
      </c>
    </row>
    <row r="3050" spans="1:13" ht="25" customHeight="1" x14ac:dyDescent="0.45">
      <c r="A3050" s="18">
        <v>45820</v>
      </c>
      <c r="B3050" s="19" t="s">
        <v>3159</v>
      </c>
      <c r="C3050" s="23" t="s">
        <v>110</v>
      </c>
      <c r="D3050" s="53" t="str">
        <f t="shared" si="363"/>
        <v>Sage Green</v>
      </c>
      <c r="E3050" s="21" t="s">
        <v>1828</v>
      </c>
      <c r="F3050" s="21" t="str">
        <f ca="1">IFERROR(__xludf.DUMMYFUNCTION("IFERROR(REGEXEXTRACT(O761, ""\n([A-Za-z ]+)$""), """")
"),"United States")</f>
        <v>United States</v>
      </c>
      <c r="G3050" s="4" t="str">
        <f t="shared" si="362"/>
        <v>Romper Longer</v>
      </c>
      <c r="H3050" s="38">
        <f t="shared" si="357"/>
        <v>6</v>
      </c>
      <c r="I3050" s="54">
        <f t="shared" si="361"/>
        <v>24</v>
      </c>
      <c r="J3050" s="14" t="str">
        <f t="shared" si="358"/>
        <v>FathersDay</v>
      </c>
      <c r="K3050" s="16" t="str">
        <f t="shared" si="359"/>
        <v>3-6</v>
      </c>
      <c r="L3050" s="14" t="str">
        <f t="shared" si="360"/>
        <v>Romper Longer | 3-6 | Sage Green</v>
      </c>
      <c r="M3050" s="16" t="s">
        <v>3611</v>
      </c>
    </row>
    <row r="3051" spans="1:13" ht="25" customHeight="1" x14ac:dyDescent="0.45">
      <c r="A3051" s="18">
        <v>45821</v>
      </c>
      <c r="B3051" s="19" t="s">
        <v>3160</v>
      </c>
      <c r="C3051" s="23" t="s">
        <v>74</v>
      </c>
      <c r="D3051" s="53" t="str">
        <f t="shared" si="363"/>
        <v>Watermelon</v>
      </c>
      <c r="E3051" s="21" t="s">
        <v>1828</v>
      </c>
      <c r="F3051" s="21" t="str">
        <f ca="1">IFERROR(__xludf.DUMMYFUNCTION("IFERROR(REGEXEXTRACT(O761, ""\n([A-Za-z ]+)$""), """")
"),"United States")</f>
        <v>United States</v>
      </c>
      <c r="G3051" s="4" t="str">
        <f t="shared" si="362"/>
        <v>Romper Longer</v>
      </c>
      <c r="H3051" s="38">
        <f t="shared" si="357"/>
        <v>6</v>
      </c>
      <c r="I3051" s="54">
        <f t="shared" si="361"/>
        <v>24</v>
      </c>
      <c r="J3051" s="14" t="str">
        <f t="shared" si="358"/>
        <v>FathersDay</v>
      </c>
      <c r="K3051" s="16" t="str">
        <f t="shared" si="359"/>
        <v>3-6</v>
      </c>
      <c r="L3051" s="14" t="str">
        <f t="shared" si="360"/>
        <v>Romper Longer | 3-6 | Watermelon</v>
      </c>
      <c r="M3051" s="16" t="s">
        <v>3610</v>
      </c>
    </row>
    <row r="3052" spans="1:13" ht="25" customHeight="1" x14ac:dyDescent="0.45">
      <c r="A3052" s="18">
        <v>45822</v>
      </c>
      <c r="B3052" s="19" t="s">
        <v>3161</v>
      </c>
      <c r="C3052" s="23" t="s">
        <v>110</v>
      </c>
      <c r="D3052" s="53" t="str">
        <f t="shared" si="363"/>
        <v>Sage Green</v>
      </c>
      <c r="E3052" s="21" t="s">
        <v>1831</v>
      </c>
      <c r="F3052" s="21" t="str">
        <f ca="1">IFERROR(__xludf.DUMMYFUNCTION("IFERROR(REGEXEXTRACT(O761, ""\n([A-Za-z ]+)$""), """")
"),"United States")</f>
        <v>United States</v>
      </c>
      <c r="G3052" s="4" t="str">
        <f t="shared" si="362"/>
        <v>Romper Longer</v>
      </c>
      <c r="H3052" s="38">
        <f t="shared" si="357"/>
        <v>6</v>
      </c>
      <c r="I3052" s="54">
        <f t="shared" si="361"/>
        <v>24</v>
      </c>
      <c r="J3052" s="14" t="str">
        <f t="shared" si="358"/>
        <v>FathersDay</v>
      </c>
      <c r="K3052" s="16" t="str">
        <f t="shared" si="359"/>
        <v>0-3</v>
      </c>
      <c r="L3052" s="14" t="str">
        <f t="shared" si="360"/>
        <v>Romper Longer | 0-3 | Sage Green</v>
      </c>
      <c r="M3052" s="16" t="s">
        <v>3611</v>
      </c>
    </row>
    <row r="3053" spans="1:13" ht="25" customHeight="1" x14ac:dyDescent="0.45">
      <c r="A3053" s="18">
        <v>45823</v>
      </c>
      <c r="B3053" s="19" t="s">
        <v>3162</v>
      </c>
      <c r="C3053" s="23" t="s">
        <v>76</v>
      </c>
      <c r="D3053" s="53" t="str">
        <f t="shared" si="363"/>
        <v>Caldet Blue</v>
      </c>
      <c r="E3053" s="21" t="s">
        <v>1841</v>
      </c>
      <c r="F3053" s="21" t="str">
        <f ca="1">IFERROR(__xludf.DUMMYFUNCTION("IFERROR(REGEXEXTRACT(O761, ""\n([A-Za-z ]+)$""), """")
"),"United States")</f>
        <v>United States</v>
      </c>
      <c r="G3053" s="4" t="str">
        <f t="shared" si="362"/>
        <v>Romper Longer</v>
      </c>
      <c r="H3053" s="38">
        <f t="shared" si="357"/>
        <v>6</v>
      </c>
      <c r="I3053" s="54">
        <f t="shared" si="361"/>
        <v>25</v>
      </c>
      <c r="J3053" s="14" t="str">
        <f t="shared" si="358"/>
        <v>FathersDay</v>
      </c>
      <c r="K3053" s="16" t="str">
        <f t="shared" si="359"/>
        <v>6-12</v>
      </c>
      <c r="L3053" s="14" t="str">
        <f t="shared" si="360"/>
        <v>Romper Longer | 6-12 | Caldet Blue</v>
      </c>
      <c r="M3053" s="16" t="s">
        <v>3610</v>
      </c>
    </row>
    <row r="3054" spans="1:13" ht="25" customHeight="1" x14ac:dyDescent="0.45">
      <c r="A3054" s="18">
        <v>45824</v>
      </c>
      <c r="B3054" s="19" t="s">
        <v>3163</v>
      </c>
      <c r="C3054" s="23" t="s">
        <v>110</v>
      </c>
      <c r="D3054" s="53" t="str">
        <f t="shared" si="363"/>
        <v>Sage Green</v>
      </c>
      <c r="E3054" s="21" t="s">
        <v>1841</v>
      </c>
      <c r="F3054" s="21" t="str">
        <f ca="1">IFERROR(__xludf.DUMMYFUNCTION("IFERROR(REGEXEXTRACT(O761, ""\n([A-Za-z ]+)$""), """")
"),"United States")</f>
        <v>United States</v>
      </c>
      <c r="G3054" s="4" t="str">
        <f t="shared" si="362"/>
        <v>Romper Longer</v>
      </c>
      <c r="H3054" s="38">
        <f t="shared" si="357"/>
        <v>6</v>
      </c>
      <c r="I3054" s="54">
        <f t="shared" si="361"/>
        <v>25</v>
      </c>
      <c r="J3054" s="14" t="str">
        <f t="shared" si="358"/>
        <v>FathersDay</v>
      </c>
      <c r="K3054" s="16" t="str">
        <f t="shared" si="359"/>
        <v>6-12</v>
      </c>
      <c r="L3054" s="14" t="str">
        <f t="shared" si="360"/>
        <v>Romper Longer | 6-12 | Sage Green</v>
      </c>
      <c r="M3054" s="16" t="s">
        <v>3610</v>
      </c>
    </row>
    <row r="3055" spans="1:13" ht="25" customHeight="1" x14ac:dyDescent="0.45">
      <c r="A3055" s="18">
        <v>45825</v>
      </c>
      <c r="B3055" s="19" t="s">
        <v>3164</v>
      </c>
      <c r="C3055" s="23" t="s">
        <v>9</v>
      </c>
      <c r="D3055" s="53" t="str">
        <f t="shared" si="363"/>
        <v>Cream</v>
      </c>
      <c r="E3055" s="21" t="s">
        <v>1828</v>
      </c>
      <c r="F3055" s="21" t="str">
        <f ca="1">IFERROR(__xludf.DUMMYFUNCTION("IFERROR(REGEXEXTRACT(O761, ""\n([A-Za-z ]+)$""), """")
"),"United States")</f>
        <v>United States</v>
      </c>
      <c r="G3055" s="4" t="str">
        <f t="shared" si="362"/>
        <v>Romper Longer</v>
      </c>
      <c r="H3055" s="38">
        <f t="shared" si="357"/>
        <v>6</v>
      </c>
      <c r="I3055" s="54">
        <f t="shared" si="361"/>
        <v>25</v>
      </c>
      <c r="J3055" s="14" t="str">
        <f t="shared" si="358"/>
        <v>FathersDay</v>
      </c>
      <c r="K3055" s="16" t="str">
        <f t="shared" si="359"/>
        <v>3-6</v>
      </c>
      <c r="L3055" s="14" t="str">
        <f t="shared" si="360"/>
        <v>Romper Longer | 3-6 | Cream</v>
      </c>
      <c r="M3055" s="16" t="s">
        <v>3609</v>
      </c>
    </row>
    <row r="3056" spans="1:13" ht="25" customHeight="1" x14ac:dyDescent="0.45">
      <c r="A3056" s="18">
        <v>45826</v>
      </c>
      <c r="B3056" s="19" t="s">
        <v>3165</v>
      </c>
      <c r="C3056" s="23" t="s">
        <v>79</v>
      </c>
      <c r="D3056" s="53" t="str">
        <f t="shared" si="363"/>
        <v>White</v>
      </c>
      <c r="E3056" s="21" t="s">
        <v>1849</v>
      </c>
      <c r="F3056" s="21" t="str">
        <f ca="1">IFERROR(__xludf.DUMMYFUNCTION("IFERROR(REGEXEXTRACT(O761, ""\n([A-Za-z ]+)$""), """")
"),"United States")</f>
        <v>United States</v>
      </c>
      <c r="G3056" s="4" t="str">
        <f t="shared" si="362"/>
        <v>Romper Short</v>
      </c>
      <c r="H3056" s="38">
        <f t="shared" si="357"/>
        <v>6</v>
      </c>
      <c r="I3056" s="54">
        <f t="shared" si="361"/>
        <v>25</v>
      </c>
      <c r="J3056" s="14" t="str">
        <f t="shared" si="358"/>
        <v>FathersDay</v>
      </c>
      <c r="K3056" s="16" t="str">
        <f t="shared" si="359"/>
        <v>3-6</v>
      </c>
      <c r="L3056" s="14" t="str">
        <f t="shared" si="360"/>
        <v>Romper Short | 3-6 | White</v>
      </c>
      <c r="M3056" s="16" t="s">
        <v>3610</v>
      </c>
    </row>
    <row r="3057" spans="1:13" ht="25" customHeight="1" x14ac:dyDescent="0.45">
      <c r="A3057" s="18">
        <v>45827</v>
      </c>
      <c r="B3057" s="19" t="s">
        <v>3166</v>
      </c>
      <c r="C3057" s="23" t="s">
        <v>9</v>
      </c>
      <c r="D3057" s="53" t="str">
        <f t="shared" si="363"/>
        <v>Cream</v>
      </c>
      <c r="E3057" s="21" t="s">
        <v>1831</v>
      </c>
      <c r="F3057" s="21" t="str">
        <f ca="1">IFERROR(__xludf.DUMMYFUNCTION("IFERROR(REGEXEXTRACT(O761, ""\n([A-Za-z ]+)$""), """")
"),"United States")</f>
        <v>United States</v>
      </c>
      <c r="G3057" s="4" t="str">
        <f t="shared" si="362"/>
        <v>Romper Longer</v>
      </c>
      <c r="H3057" s="38">
        <f t="shared" si="357"/>
        <v>6</v>
      </c>
      <c r="I3057" s="54">
        <f t="shared" si="361"/>
        <v>25</v>
      </c>
      <c r="J3057" s="14" t="str">
        <f t="shared" si="358"/>
        <v>FathersDay</v>
      </c>
      <c r="K3057" s="16" t="str">
        <f t="shared" si="359"/>
        <v>0-3</v>
      </c>
      <c r="L3057" s="14" t="str">
        <f t="shared" si="360"/>
        <v>Romper Longer | 0-3 | Cream</v>
      </c>
      <c r="M3057" s="16" t="s">
        <v>3609</v>
      </c>
    </row>
    <row r="3058" spans="1:13" ht="25" customHeight="1" x14ac:dyDescent="0.45">
      <c r="A3058" s="18">
        <v>45828</v>
      </c>
      <c r="B3058" s="19" t="s">
        <v>3167</v>
      </c>
      <c r="C3058" s="23" t="s">
        <v>74</v>
      </c>
      <c r="D3058" s="53" t="str">
        <f t="shared" si="363"/>
        <v>Watermelon</v>
      </c>
      <c r="E3058" s="21" t="s">
        <v>1420</v>
      </c>
      <c r="F3058" s="21" t="str">
        <f ca="1">IFERROR(__xludf.DUMMYFUNCTION("IFERROR(REGEXEXTRACT(O761, ""\n([A-Za-z ]+)$""), """")
"),"United States")</f>
        <v>United States</v>
      </c>
      <c r="G3058" s="4" t="str">
        <f t="shared" si="362"/>
        <v>Romper Short</v>
      </c>
      <c r="H3058" s="38">
        <f t="shared" si="357"/>
        <v>6</v>
      </c>
      <c r="I3058" s="54">
        <f t="shared" si="361"/>
        <v>25</v>
      </c>
      <c r="J3058" s="14" t="str">
        <f t="shared" si="358"/>
        <v>FathersDay</v>
      </c>
      <c r="K3058" s="16" t="str">
        <f t="shared" si="359"/>
        <v>6-12</v>
      </c>
      <c r="L3058" s="14" t="str">
        <f t="shared" si="360"/>
        <v>Romper Short | 6-12 | Watermelon</v>
      </c>
      <c r="M3058" s="16" t="s">
        <v>3610</v>
      </c>
    </row>
    <row r="3059" spans="1:13" ht="25" customHeight="1" x14ac:dyDescent="0.45">
      <c r="A3059" s="18">
        <v>45829</v>
      </c>
      <c r="B3059" s="19" t="s">
        <v>3168</v>
      </c>
      <c r="C3059" s="23" t="s">
        <v>9</v>
      </c>
      <c r="D3059" s="53" t="str">
        <f t="shared" si="363"/>
        <v>Cream</v>
      </c>
      <c r="E3059" s="21" t="s">
        <v>1841</v>
      </c>
      <c r="F3059" s="21" t="str">
        <f ca="1">IFERROR(__xludf.DUMMYFUNCTION("IFERROR(REGEXEXTRACT(O761, ""\n([A-Za-z ]+)$""), """")
"),"United States")</f>
        <v>United States</v>
      </c>
      <c r="G3059" s="4" t="str">
        <f t="shared" si="362"/>
        <v>Romper Longer</v>
      </c>
      <c r="H3059" s="38">
        <f t="shared" si="357"/>
        <v>6</v>
      </c>
      <c r="I3059" s="54">
        <f t="shared" si="361"/>
        <v>25</v>
      </c>
      <c r="J3059" s="14" t="str">
        <f t="shared" si="358"/>
        <v>FathersDay</v>
      </c>
      <c r="K3059" s="16" t="str">
        <f t="shared" si="359"/>
        <v>6-12</v>
      </c>
      <c r="L3059" s="14" t="str">
        <f t="shared" si="360"/>
        <v>Romper Longer | 6-12 | Cream</v>
      </c>
      <c r="M3059" s="16" t="s">
        <v>3611</v>
      </c>
    </row>
    <row r="3060" spans="1:13" ht="25" customHeight="1" x14ac:dyDescent="0.45">
      <c r="A3060" s="18">
        <v>45830</v>
      </c>
      <c r="B3060" s="19" t="s">
        <v>3169</v>
      </c>
      <c r="C3060" s="23" t="s">
        <v>110</v>
      </c>
      <c r="D3060" s="53" t="str">
        <f t="shared" si="363"/>
        <v>Sage Green</v>
      </c>
      <c r="E3060" s="21" t="s">
        <v>1849</v>
      </c>
      <c r="F3060" s="21" t="str">
        <f ca="1">IFERROR(__xludf.DUMMYFUNCTION("IFERROR(REGEXEXTRACT(O761, ""\n([A-Za-z ]+)$""), """")
"),"United States")</f>
        <v>United States</v>
      </c>
      <c r="G3060" s="4" t="str">
        <f t="shared" si="362"/>
        <v>Romper Short</v>
      </c>
      <c r="H3060" s="38">
        <f t="shared" si="357"/>
        <v>6</v>
      </c>
      <c r="I3060" s="54">
        <f t="shared" si="361"/>
        <v>26</v>
      </c>
      <c r="J3060" s="14" t="str">
        <f t="shared" si="358"/>
        <v>FathersDay</v>
      </c>
      <c r="K3060" s="16" t="str">
        <f t="shared" si="359"/>
        <v>3-6</v>
      </c>
      <c r="L3060" s="14" t="str">
        <f t="shared" si="360"/>
        <v>Romper Short | 3-6 | Sage Green</v>
      </c>
      <c r="M3060" s="16" t="s">
        <v>3611</v>
      </c>
    </row>
    <row r="3061" spans="1:13" ht="25" customHeight="1" x14ac:dyDescent="0.45">
      <c r="A3061" s="18">
        <v>45831</v>
      </c>
      <c r="B3061" s="19" t="s">
        <v>3170</v>
      </c>
      <c r="C3061" s="23" t="s">
        <v>110</v>
      </c>
      <c r="D3061" s="53" t="str">
        <f t="shared" si="363"/>
        <v>Sage Green</v>
      </c>
      <c r="E3061" s="21" t="s">
        <v>1834</v>
      </c>
      <c r="F3061" s="21" t="str">
        <f ca="1">IFERROR(__xludf.DUMMYFUNCTION("IFERROR(REGEXEXTRACT(O761, ""\n([A-Za-z ]+)$""), """")
"),"United States")</f>
        <v>United States</v>
      </c>
      <c r="G3061" s="4" t="str">
        <f t="shared" si="362"/>
        <v>Romper Short</v>
      </c>
      <c r="H3061" s="38">
        <f t="shared" si="357"/>
        <v>6</v>
      </c>
      <c r="I3061" s="54">
        <f t="shared" si="361"/>
        <v>26</v>
      </c>
      <c r="J3061" s="14" t="str">
        <f t="shared" si="358"/>
        <v>FathersDay</v>
      </c>
      <c r="K3061" s="16" t="str">
        <f t="shared" si="359"/>
        <v>0-3</v>
      </c>
      <c r="L3061" s="14" t="str">
        <f t="shared" si="360"/>
        <v>Romper Short | 0-3 | Sage Green</v>
      </c>
      <c r="M3061" s="16" t="s">
        <v>3610</v>
      </c>
    </row>
    <row r="3062" spans="1:13" ht="25" customHeight="1" x14ac:dyDescent="0.45">
      <c r="A3062" s="18">
        <v>45832</v>
      </c>
      <c r="B3062" s="19" t="s">
        <v>3171</v>
      </c>
      <c r="C3062" s="23" t="s">
        <v>178</v>
      </c>
      <c r="D3062" s="53" t="str">
        <f t="shared" si="363"/>
        <v>Mauve Taupe</v>
      </c>
      <c r="E3062" s="21" t="s">
        <v>1828</v>
      </c>
      <c r="F3062" s="21" t="str">
        <f ca="1">IFERROR(__xludf.DUMMYFUNCTION("IFERROR(REGEXEXTRACT(O761, ""\n([A-Za-z ]+)$""), """")
"),"United States")</f>
        <v>United States</v>
      </c>
      <c r="G3062" s="4" t="str">
        <f t="shared" si="362"/>
        <v>Romper Longer</v>
      </c>
      <c r="H3062" s="38">
        <f t="shared" si="357"/>
        <v>6</v>
      </c>
      <c r="I3062" s="54">
        <f t="shared" si="361"/>
        <v>26</v>
      </c>
      <c r="J3062" s="14" t="str">
        <f t="shared" si="358"/>
        <v>FathersDay</v>
      </c>
      <c r="K3062" s="16" t="str">
        <f t="shared" si="359"/>
        <v>3-6</v>
      </c>
      <c r="L3062" s="14" t="str">
        <f t="shared" si="360"/>
        <v>Romper Longer | 3-6 | Mauve Taupe</v>
      </c>
      <c r="M3062" s="16" t="s">
        <v>3610</v>
      </c>
    </row>
    <row r="3063" spans="1:13" ht="25" customHeight="1" x14ac:dyDescent="0.45">
      <c r="A3063" s="18">
        <v>45833</v>
      </c>
      <c r="B3063" s="19" t="s">
        <v>3172</v>
      </c>
      <c r="C3063" s="23" t="s">
        <v>178</v>
      </c>
      <c r="D3063" s="53" t="str">
        <f t="shared" si="363"/>
        <v>Mauve Taupe</v>
      </c>
      <c r="E3063" s="21" t="s">
        <v>1831</v>
      </c>
      <c r="F3063" s="21" t="str">
        <f ca="1">IFERROR(__xludf.DUMMYFUNCTION("IFERROR(REGEXEXTRACT(O761, ""\n([A-Za-z ]+)$""), """")
"),"United States")</f>
        <v>United States</v>
      </c>
      <c r="G3063" s="4" t="str">
        <f t="shared" si="362"/>
        <v>Romper Longer</v>
      </c>
      <c r="H3063" s="38">
        <f t="shared" si="357"/>
        <v>6</v>
      </c>
      <c r="I3063" s="54">
        <f t="shared" si="361"/>
        <v>26</v>
      </c>
      <c r="J3063" s="14" t="str">
        <f t="shared" si="358"/>
        <v>FathersDay</v>
      </c>
      <c r="K3063" s="16" t="str">
        <f t="shared" si="359"/>
        <v>0-3</v>
      </c>
      <c r="L3063" s="14" t="str">
        <f t="shared" si="360"/>
        <v>Romper Longer | 0-3 | Mauve Taupe</v>
      </c>
      <c r="M3063" s="16" t="s">
        <v>3610</v>
      </c>
    </row>
    <row r="3064" spans="1:13" ht="25" customHeight="1" x14ac:dyDescent="0.45">
      <c r="A3064" s="18">
        <v>45834</v>
      </c>
      <c r="B3064" s="19" t="s">
        <v>3173</v>
      </c>
      <c r="C3064" s="23" t="s">
        <v>81</v>
      </c>
      <c r="D3064" s="53" t="str">
        <f t="shared" si="363"/>
        <v>Dusty Pink</v>
      </c>
      <c r="E3064" s="21" t="s">
        <v>1849</v>
      </c>
      <c r="F3064" s="21" t="str">
        <f ca="1">IFERROR(__xludf.DUMMYFUNCTION("IFERROR(REGEXEXTRACT(O761, ""\n([A-Za-z ]+)$""), """")
"),"United States")</f>
        <v>United States</v>
      </c>
      <c r="G3064" s="4" t="str">
        <f t="shared" si="362"/>
        <v>Romper Short</v>
      </c>
      <c r="H3064" s="38">
        <f t="shared" ref="H3064:H3127" si="364">MONTH(A3064)</f>
        <v>6</v>
      </c>
      <c r="I3064" s="54">
        <f t="shared" si="361"/>
        <v>26</v>
      </c>
      <c r="J3064" s="14" t="str">
        <f t="shared" ref="J3064:J3127" si="365">IF(H3064=1,"NewYear",
IF(H3064=2,"Valentine",
IF(OR(H3064=3,H3064=4),"Easter",
IF(H3064=5,"MothersDay",
IF(H3064=6,"FathersDay",
IF(OR(H3064=7,H3064=8),"Summer",
IF(H3064=10,"Halloween",
IF(OR(H3064=11,H3064=12),"Christmas","Normal"))))))))</f>
        <v>FathersDay</v>
      </c>
      <c r="K3064" s="16" t="str">
        <f t="shared" ref="K3064:K3127" si="366">TRIM(LEFT(E3064,FIND("(",E3064&amp;"(")-3))</f>
        <v>3-6</v>
      </c>
      <c r="L3064" s="14" t="str">
        <f t="shared" si="360"/>
        <v>Romper Short | 3-6 | Dusty Pink</v>
      </c>
      <c r="M3064" s="16" t="s">
        <v>3610</v>
      </c>
    </row>
    <row r="3065" spans="1:13" ht="25" customHeight="1" x14ac:dyDescent="0.45">
      <c r="A3065" s="18">
        <v>45835</v>
      </c>
      <c r="B3065" s="19" t="s">
        <v>3174</v>
      </c>
      <c r="C3065" s="23" t="s">
        <v>9</v>
      </c>
      <c r="D3065" s="53" t="str">
        <f t="shared" si="363"/>
        <v>Cream</v>
      </c>
      <c r="E3065" s="21" t="s">
        <v>1831</v>
      </c>
      <c r="F3065" s="21" t="str">
        <f ca="1">IFERROR(__xludf.DUMMYFUNCTION("IFERROR(REGEXEXTRACT(O761, ""\n([A-Za-z ]+)$""), """")
"),"United States")</f>
        <v>United States</v>
      </c>
      <c r="G3065" s="4" t="str">
        <f t="shared" si="362"/>
        <v>Romper Longer</v>
      </c>
      <c r="H3065" s="38">
        <f t="shared" si="364"/>
        <v>6</v>
      </c>
      <c r="I3065" s="54">
        <f t="shared" si="361"/>
        <v>26</v>
      </c>
      <c r="J3065" s="14" t="str">
        <f t="shared" si="365"/>
        <v>FathersDay</v>
      </c>
      <c r="K3065" s="16" t="str">
        <f t="shared" si="366"/>
        <v>0-3</v>
      </c>
      <c r="L3065" s="14" t="str">
        <f t="shared" si="360"/>
        <v>Romper Longer | 0-3 | Cream</v>
      </c>
      <c r="M3065" s="16" t="s">
        <v>3609</v>
      </c>
    </row>
    <row r="3066" spans="1:13" ht="25" customHeight="1" x14ac:dyDescent="0.45">
      <c r="A3066" s="18">
        <v>45836</v>
      </c>
      <c r="B3066" s="19" t="s">
        <v>3175</v>
      </c>
      <c r="C3066" s="23" t="s">
        <v>79</v>
      </c>
      <c r="D3066" s="53" t="str">
        <f t="shared" si="363"/>
        <v>White</v>
      </c>
      <c r="E3066" s="21" t="s">
        <v>1834</v>
      </c>
      <c r="F3066" s="21" t="str">
        <f ca="1">IFERROR(__xludf.DUMMYFUNCTION("IFERROR(REGEXEXTRACT(O761, ""\n([A-Za-z ]+)$""), """")
"),"United States")</f>
        <v>United States</v>
      </c>
      <c r="G3066" s="4" t="str">
        <f t="shared" si="362"/>
        <v>Romper Short</v>
      </c>
      <c r="H3066" s="38">
        <f t="shared" si="364"/>
        <v>6</v>
      </c>
      <c r="I3066" s="54">
        <f t="shared" si="361"/>
        <v>26</v>
      </c>
      <c r="J3066" s="14" t="str">
        <f t="shared" si="365"/>
        <v>FathersDay</v>
      </c>
      <c r="K3066" s="16" t="str">
        <f t="shared" si="366"/>
        <v>0-3</v>
      </c>
      <c r="L3066" s="14" t="str">
        <f t="shared" si="360"/>
        <v>Romper Short | 0-3 | White</v>
      </c>
      <c r="M3066" s="16" t="s">
        <v>3610</v>
      </c>
    </row>
    <row r="3067" spans="1:13" ht="25" customHeight="1" x14ac:dyDescent="0.45">
      <c r="A3067" s="18">
        <v>45837</v>
      </c>
      <c r="B3067" s="19" t="s">
        <v>3176</v>
      </c>
      <c r="C3067" s="23" t="s">
        <v>110</v>
      </c>
      <c r="D3067" s="53" t="str">
        <f t="shared" si="363"/>
        <v>Sage Green</v>
      </c>
      <c r="E3067" s="21" t="s">
        <v>1849</v>
      </c>
      <c r="F3067" s="21" t="str">
        <f ca="1">IFERROR(__xludf.DUMMYFUNCTION("IFERROR(REGEXEXTRACT(O761, ""\n([A-Za-z ]+)$""), """")
"),"United States")</f>
        <v>United States</v>
      </c>
      <c r="G3067" s="4" t="str">
        <f t="shared" si="362"/>
        <v>Romper Short</v>
      </c>
      <c r="H3067" s="38">
        <f t="shared" si="364"/>
        <v>6</v>
      </c>
      <c r="I3067" s="54">
        <f t="shared" si="361"/>
        <v>27</v>
      </c>
      <c r="J3067" s="14" t="str">
        <f t="shared" si="365"/>
        <v>FathersDay</v>
      </c>
      <c r="K3067" s="16" t="str">
        <f t="shared" si="366"/>
        <v>3-6</v>
      </c>
      <c r="L3067" s="14" t="str">
        <f t="shared" si="360"/>
        <v>Romper Short | 3-6 | Sage Green</v>
      </c>
      <c r="M3067" s="16" t="s">
        <v>3611</v>
      </c>
    </row>
    <row r="3068" spans="1:13" ht="25" customHeight="1" x14ac:dyDescent="0.45">
      <c r="A3068" s="18">
        <v>45838</v>
      </c>
      <c r="B3068" s="19" t="s">
        <v>3177</v>
      </c>
      <c r="C3068" s="23" t="s">
        <v>9</v>
      </c>
      <c r="D3068" s="53" t="str">
        <f t="shared" si="363"/>
        <v>Cream</v>
      </c>
      <c r="E3068" s="21" t="s">
        <v>1420</v>
      </c>
      <c r="F3068" s="21" t="str">
        <f ca="1">IFERROR(__xludf.DUMMYFUNCTION("IFERROR(REGEXEXTRACT(O761, ""\n([A-Za-z ]+)$""), """")
"),"United States")</f>
        <v>United States</v>
      </c>
      <c r="G3068" s="4" t="str">
        <f t="shared" si="362"/>
        <v>Romper Short</v>
      </c>
      <c r="H3068" s="38">
        <f t="shared" si="364"/>
        <v>6</v>
      </c>
      <c r="I3068" s="54">
        <f t="shared" si="361"/>
        <v>27</v>
      </c>
      <c r="J3068" s="14" t="str">
        <f t="shared" si="365"/>
        <v>FathersDay</v>
      </c>
      <c r="K3068" s="16" t="str">
        <f t="shared" si="366"/>
        <v>6-12</v>
      </c>
      <c r="L3068" s="14" t="str">
        <f t="shared" si="360"/>
        <v>Romper Short | 6-12 | Cream</v>
      </c>
      <c r="M3068" s="16" t="s">
        <v>3611</v>
      </c>
    </row>
    <row r="3069" spans="1:13" ht="25" customHeight="1" x14ac:dyDescent="0.45">
      <c r="A3069" s="18">
        <v>45839</v>
      </c>
      <c r="B3069" s="19" t="s">
        <v>3178</v>
      </c>
      <c r="C3069" s="23" t="s">
        <v>110</v>
      </c>
      <c r="D3069" s="53" t="str">
        <f t="shared" si="363"/>
        <v>Sage Green</v>
      </c>
      <c r="E3069" s="21" t="s">
        <v>1849</v>
      </c>
      <c r="F3069" s="21" t="str">
        <f ca="1">IFERROR(__xludf.DUMMYFUNCTION("IFERROR(REGEXEXTRACT(O761, ""\n([A-Za-z ]+)$""), """")
"),"United States")</f>
        <v>United States</v>
      </c>
      <c r="G3069" s="4" t="str">
        <f t="shared" si="362"/>
        <v>Romper Short</v>
      </c>
      <c r="H3069" s="38">
        <f t="shared" si="364"/>
        <v>7</v>
      </c>
      <c r="I3069" s="54">
        <f t="shared" si="361"/>
        <v>27</v>
      </c>
      <c r="J3069" s="14" t="str">
        <f t="shared" si="365"/>
        <v>Summer</v>
      </c>
      <c r="K3069" s="16" t="str">
        <f t="shared" si="366"/>
        <v>3-6</v>
      </c>
      <c r="L3069" s="14" t="str">
        <f t="shared" si="360"/>
        <v>Romper Short | 3-6 | Sage Green</v>
      </c>
      <c r="M3069" s="16" t="s">
        <v>3611</v>
      </c>
    </row>
    <row r="3070" spans="1:13" ht="25" customHeight="1" x14ac:dyDescent="0.45">
      <c r="A3070" s="18">
        <v>45840</v>
      </c>
      <c r="B3070" s="19" t="s">
        <v>3179</v>
      </c>
      <c r="C3070" s="23" t="s">
        <v>76</v>
      </c>
      <c r="D3070" s="53" t="str">
        <f t="shared" si="363"/>
        <v>Caldet Blue</v>
      </c>
      <c r="E3070" s="21" t="s">
        <v>1849</v>
      </c>
      <c r="F3070" s="21" t="str">
        <f ca="1">IFERROR(__xludf.DUMMYFUNCTION("IFERROR(REGEXEXTRACT(O761, ""\n([A-Za-z ]+)$""), """")
"),"United States")</f>
        <v>United States</v>
      </c>
      <c r="G3070" s="4" t="str">
        <f t="shared" si="362"/>
        <v>Romper Short</v>
      </c>
      <c r="H3070" s="38">
        <f t="shared" si="364"/>
        <v>7</v>
      </c>
      <c r="I3070" s="54">
        <f t="shared" si="361"/>
        <v>27</v>
      </c>
      <c r="J3070" s="14" t="str">
        <f t="shared" si="365"/>
        <v>Summer</v>
      </c>
      <c r="K3070" s="16" t="str">
        <f t="shared" si="366"/>
        <v>3-6</v>
      </c>
      <c r="L3070" s="14" t="str">
        <f t="shared" si="360"/>
        <v>Romper Short | 3-6 | Caldet Blue</v>
      </c>
      <c r="M3070" s="16" t="s">
        <v>3610</v>
      </c>
    </row>
    <row r="3071" spans="1:13" ht="25" customHeight="1" x14ac:dyDescent="0.45">
      <c r="A3071" s="18">
        <v>45841</v>
      </c>
      <c r="B3071" s="19" t="s">
        <v>3180</v>
      </c>
      <c r="C3071" s="23" t="s">
        <v>110</v>
      </c>
      <c r="D3071" s="53" t="str">
        <f t="shared" si="363"/>
        <v>Sage Green</v>
      </c>
      <c r="E3071" s="21" t="s">
        <v>1834</v>
      </c>
      <c r="F3071" s="21" t="str">
        <f ca="1">IFERROR(__xludf.DUMMYFUNCTION("IFERROR(REGEXEXTRACT(O761, ""\n([A-Za-z ]+)$""), """")
"),"United States")</f>
        <v>United States</v>
      </c>
      <c r="G3071" s="4" t="str">
        <f t="shared" si="362"/>
        <v>Romper Short</v>
      </c>
      <c r="H3071" s="38">
        <f t="shared" si="364"/>
        <v>7</v>
      </c>
      <c r="I3071" s="54">
        <f t="shared" si="361"/>
        <v>27</v>
      </c>
      <c r="J3071" s="14" t="str">
        <f t="shared" si="365"/>
        <v>Summer</v>
      </c>
      <c r="K3071" s="16" t="str">
        <f t="shared" si="366"/>
        <v>0-3</v>
      </c>
      <c r="L3071" s="14" t="str">
        <f t="shared" si="360"/>
        <v>Romper Short | 0-3 | Sage Green</v>
      </c>
      <c r="M3071" s="16" t="s">
        <v>3610</v>
      </c>
    </row>
    <row r="3072" spans="1:13" ht="25" customHeight="1" x14ac:dyDescent="0.45">
      <c r="A3072" s="18">
        <v>45842</v>
      </c>
      <c r="B3072" s="35" t="s">
        <v>3181</v>
      </c>
      <c r="C3072" s="36" t="s">
        <v>85</v>
      </c>
      <c r="D3072" s="53" t="str">
        <f t="shared" si="363"/>
        <v>Forest Green</v>
      </c>
      <c r="E3072" s="24" t="s">
        <v>1834</v>
      </c>
      <c r="F3072" s="21" t="str">
        <f ca="1">IFERROR(__xludf.DUMMYFUNCTION("IFERROR(REGEXEXTRACT(O761, ""\n([A-Za-z ]+)$""), """")
"),"United States")</f>
        <v>United States</v>
      </c>
      <c r="G3072" s="4" t="str">
        <f t="shared" si="362"/>
        <v>Romper Short</v>
      </c>
      <c r="H3072" s="38">
        <f t="shared" si="364"/>
        <v>7</v>
      </c>
      <c r="I3072" s="54">
        <f t="shared" si="361"/>
        <v>27</v>
      </c>
      <c r="J3072" s="14" t="str">
        <f t="shared" si="365"/>
        <v>Summer</v>
      </c>
      <c r="K3072" s="16" t="str">
        <f t="shared" si="366"/>
        <v>0-3</v>
      </c>
      <c r="L3072" s="14" t="str">
        <f t="shared" si="360"/>
        <v>Romper Short | 0-3 | Forest Green</v>
      </c>
      <c r="M3072" s="16" t="s">
        <v>3610</v>
      </c>
    </row>
    <row r="3073" spans="1:13" ht="25" customHeight="1" x14ac:dyDescent="0.45">
      <c r="A3073" s="18">
        <v>45843</v>
      </c>
      <c r="B3073" s="19" t="s">
        <v>3182</v>
      </c>
      <c r="C3073" s="23" t="s">
        <v>110</v>
      </c>
      <c r="D3073" s="53" t="str">
        <f t="shared" si="363"/>
        <v>Sage Green</v>
      </c>
      <c r="E3073" s="21" t="s">
        <v>1447</v>
      </c>
      <c r="F3073" s="21" t="str">
        <f ca="1">IFERROR(__xludf.DUMMYFUNCTION("IFERROR(REGEXEXTRACT(O761, ""\n([A-Za-z ]+)$""), """")
"),"United States")</f>
        <v>United States</v>
      </c>
      <c r="G3073" s="4" t="str">
        <f t="shared" si="362"/>
        <v>Romper Longer</v>
      </c>
      <c r="H3073" s="38">
        <f t="shared" si="364"/>
        <v>7</v>
      </c>
      <c r="I3073" s="54">
        <f t="shared" si="361"/>
        <v>27</v>
      </c>
      <c r="J3073" s="14" t="str">
        <f t="shared" si="365"/>
        <v>Summer</v>
      </c>
      <c r="K3073" s="16" t="str">
        <f t="shared" si="366"/>
        <v>18-24</v>
      </c>
      <c r="L3073" s="14" t="str">
        <f t="shared" si="360"/>
        <v>Romper Longer | 18-24 | Sage Green</v>
      </c>
      <c r="M3073" s="16" t="s">
        <v>3610</v>
      </c>
    </row>
    <row r="3074" spans="1:13" ht="25" customHeight="1" x14ac:dyDescent="0.45">
      <c r="A3074" s="18">
        <v>45844</v>
      </c>
      <c r="B3074" s="19" t="s">
        <v>3183</v>
      </c>
      <c r="C3074" s="23" t="s">
        <v>85</v>
      </c>
      <c r="D3074" s="53" t="str">
        <f t="shared" si="363"/>
        <v>Forest Green</v>
      </c>
      <c r="E3074" s="21" t="s">
        <v>1831</v>
      </c>
      <c r="F3074" s="21" t="str">
        <f ca="1">IFERROR(__xludf.DUMMYFUNCTION("IFERROR(REGEXEXTRACT(O761, ""\n([A-Za-z ]+)$""), """")
"),"United States")</f>
        <v>United States</v>
      </c>
      <c r="G3074" s="4" t="str">
        <f t="shared" si="362"/>
        <v>Romper Longer</v>
      </c>
      <c r="H3074" s="38">
        <f t="shared" si="364"/>
        <v>7</v>
      </c>
      <c r="I3074" s="54">
        <f t="shared" si="361"/>
        <v>28</v>
      </c>
      <c r="J3074" s="14" t="str">
        <f t="shared" si="365"/>
        <v>Summer</v>
      </c>
      <c r="K3074" s="16" t="str">
        <f t="shared" si="366"/>
        <v>0-3</v>
      </c>
      <c r="L3074" s="14" t="str">
        <f t="shared" ref="L3074:L3137" si="367">TRIM(G3074)&amp;" | "&amp;TRIM(K3074)&amp;" | "&amp;PROPER(TRIM(D3074))</f>
        <v>Romper Longer | 0-3 | Forest Green</v>
      </c>
      <c r="M3074" s="16" t="s">
        <v>3610</v>
      </c>
    </row>
    <row r="3075" spans="1:13" ht="25" customHeight="1" x14ac:dyDescent="0.45">
      <c r="A3075" s="18">
        <v>45845</v>
      </c>
      <c r="B3075" s="19" t="s">
        <v>3184</v>
      </c>
      <c r="C3075" s="23" t="s">
        <v>110</v>
      </c>
      <c r="D3075" s="53" t="str">
        <f t="shared" si="363"/>
        <v>Sage Green</v>
      </c>
      <c r="E3075" s="21" t="s">
        <v>1834</v>
      </c>
      <c r="F3075" s="21" t="str">
        <f ca="1">IFERROR(__xludf.DUMMYFUNCTION("IFERROR(REGEXEXTRACT(O761, ""\n([A-Za-z ]+)$""), """")
"),"United States")</f>
        <v>United States</v>
      </c>
      <c r="G3075" s="4" t="str">
        <f t="shared" si="362"/>
        <v>Romper Short</v>
      </c>
      <c r="H3075" s="38">
        <f t="shared" si="364"/>
        <v>7</v>
      </c>
      <c r="I3075" s="54">
        <f t="shared" si="361"/>
        <v>28</v>
      </c>
      <c r="J3075" s="14" t="str">
        <f t="shared" si="365"/>
        <v>Summer</v>
      </c>
      <c r="K3075" s="16" t="str">
        <f t="shared" si="366"/>
        <v>0-3</v>
      </c>
      <c r="L3075" s="14" t="str">
        <f t="shared" si="367"/>
        <v>Romper Short | 0-3 | Sage Green</v>
      </c>
      <c r="M3075" s="16" t="s">
        <v>3610</v>
      </c>
    </row>
    <row r="3076" spans="1:13" ht="25" customHeight="1" x14ac:dyDescent="0.45">
      <c r="A3076" s="18">
        <v>45846</v>
      </c>
      <c r="B3076" s="19" t="s">
        <v>3185</v>
      </c>
      <c r="C3076" s="23" t="s">
        <v>110</v>
      </c>
      <c r="D3076" s="53" t="str">
        <f t="shared" si="363"/>
        <v>Sage Green</v>
      </c>
      <c r="E3076" s="21" t="s">
        <v>1831</v>
      </c>
      <c r="F3076" s="21" t="str">
        <f ca="1">IFERROR(__xludf.DUMMYFUNCTION("IFERROR(REGEXEXTRACT(O761, ""\n([A-Za-z ]+)$""), """")
"),"United States")</f>
        <v>United States</v>
      </c>
      <c r="G3076" s="4" t="str">
        <f t="shared" si="362"/>
        <v>Romper Longer</v>
      </c>
      <c r="H3076" s="38">
        <f t="shared" si="364"/>
        <v>7</v>
      </c>
      <c r="I3076" s="54">
        <f t="shared" si="361"/>
        <v>28</v>
      </c>
      <c r="J3076" s="14" t="str">
        <f t="shared" si="365"/>
        <v>Summer</v>
      </c>
      <c r="K3076" s="16" t="str">
        <f t="shared" si="366"/>
        <v>0-3</v>
      </c>
      <c r="L3076" s="14" t="str">
        <f t="shared" si="367"/>
        <v>Romper Longer | 0-3 | Sage Green</v>
      </c>
      <c r="M3076" s="16" t="s">
        <v>3611</v>
      </c>
    </row>
    <row r="3077" spans="1:13" ht="25" customHeight="1" x14ac:dyDescent="0.45">
      <c r="A3077" s="18">
        <v>45847</v>
      </c>
      <c r="B3077" s="19" t="s">
        <v>2916</v>
      </c>
      <c r="C3077" s="23" t="s">
        <v>85</v>
      </c>
      <c r="D3077" s="53" t="str">
        <f t="shared" si="363"/>
        <v>Forest Green</v>
      </c>
      <c r="E3077" s="21" t="s">
        <v>1828</v>
      </c>
      <c r="F3077" s="21" t="str">
        <f ca="1">IFERROR(__xludf.DUMMYFUNCTION("IFERROR(REGEXEXTRACT(O761, ""\n([A-Za-z ]+)$""), """")
"),"United States")</f>
        <v>United States</v>
      </c>
      <c r="G3077" s="4" t="str">
        <f t="shared" si="362"/>
        <v>Romper Longer</v>
      </c>
      <c r="H3077" s="38">
        <f t="shared" si="364"/>
        <v>7</v>
      </c>
      <c r="I3077" s="54">
        <f t="shared" si="361"/>
        <v>28</v>
      </c>
      <c r="J3077" s="14" t="str">
        <f t="shared" si="365"/>
        <v>Summer</v>
      </c>
      <c r="K3077" s="16" t="str">
        <f t="shared" si="366"/>
        <v>3-6</v>
      </c>
      <c r="L3077" s="14" t="str">
        <f t="shared" si="367"/>
        <v>Romper Longer | 3-6 | Forest Green</v>
      </c>
      <c r="M3077" s="16" t="s">
        <v>3610</v>
      </c>
    </row>
    <row r="3078" spans="1:13" ht="25" customHeight="1" x14ac:dyDescent="0.45">
      <c r="A3078" s="18">
        <v>45848</v>
      </c>
      <c r="B3078" s="19" t="s">
        <v>2941</v>
      </c>
      <c r="C3078" s="23" t="s">
        <v>9</v>
      </c>
      <c r="D3078" s="53" t="str">
        <f t="shared" si="363"/>
        <v>Cream</v>
      </c>
      <c r="E3078" s="21" t="s">
        <v>1550</v>
      </c>
      <c r="F3078" s="21" t="str">
        <f ca="1">IFERROR(__xludf.DUMMYFUNCTION("IFERROR(REGEXEXTRACT(O761, ""\n([A-Za-z ]+)$""), """")
"),"United States")</f>
        <v>United States</v>
      </c>
      <c r="G3078" s="4" t="str">
        <f t="shared" si="362"/>
        <v>Romper Longer</v>
      </c>
      <c r="H3078" s="38">
        <f t="shared" si="364"/>
        <v>7</v>
      </c>
      <c r="I3078" s="54">
        <f t="shared" si="361"/>
        <v>28</v>
      </c>
      <c r="J3078" s="14" t="str">
        <f t="shared" si="365"/>
        <v>Summer</v>
      </c>
      <c r="K3078" s="16" t="str">
        <f t="shared" si="366"/>
        <v>12-18</v>
      </c>
      <c r="L3078" s="14" t="str">
        <f t="shared" si="367"/>
        <v>Romper Longer | 12-18 | Cream</v>
      </c>
      <c r="M3078" s="16" t="s">
        <v>3610</v>
      </c>
    </row>
    <row r="3079" spans="1:13" ht="25" customHeight="1" x14ac:dyDescent="0.45">
      <c r="A3079" s="18">
        <v>45849</v>
      </c>
      <c r="B3079" s="19" t="s">
        <v>2936</v>
      </c>
      <c r="C3079" s="23" t="s">
        <v>79</v>
      </c>
      <c r="D3079" s="53" t="str">
        <f t="shared" si="363"/>
        <v>White</v>
      </c>
      <c r="E3079" s="21" t="s">
        <v>1834</v>
      </c>
      <c r="F3079" s="21" t="str">
        <f ca="1">IFERROR(__xludf.DUMMYFUNCTION("IFERROR(REGEXEXTRACT(O761, ""\n([A-Za-z ]+)$""), """")
"),"United States")</f>
        <v>United States</v>
      </c>
      <c r="G3079" s="4" t="str">
        <f t="shared" si="362"/>
        <v>Romper Short</v>
      </c>
      <c r="H3079" s="38">
        <f t="shared" si="364"/>
        <v>7</v>
      </c>
      <c r="I3079" s="54">
        <f t="shared" si="361"/>
        <v>28</v>
      </c>
      <c r="J3079" s="14" t="str">
        <f t="shared" si="365"/>
        <v>Summer</v>
      </c>
      <c r="K3079" s="16" t="str">
        <f t="shared" si="366"/>
        <v>0-3</v>
      </c>
      <c r="L3079" s="14" t="str">
        <f t="shared" si="367"/>
        <v>Romper Short | 0-3 | White</v>
      </c>
      <c r="M3079" s="16" t="s">
        <v>3610</v>
      </c>
    </row>
    <row r="3080" spans="1:13" ht="25" customHeight="1" x14ac:dyDescent="0.45">
      <c r="A3080" s="18">
        <v>45850</v>
      </c>
      <c r="B3080" s="19" t="s">
        <v>2938</v>
      </c>
      <c r="C3080" s="23" t="s">
        <v>81</v>
      </c>
      <c r="D3080" s="53" t="str">
        <f t="shared" si="363"/>
        <v>Dusty Pink</v>
      </c>
      <c r="E3080" s="21" t="s">
        <v>1841</v>
      </c>
      <c r="F3080" s="21" t="str">
        <f ca="1">IFERROR(__xludf.DUMMYFUNCTION("IFERROR(REGEXEXTRACT(O761, ""\n([A-Za-z ]+)$""), """")
"),"United States")</f>
        <v>United States</v>
      </c>
      <c r="G3080" s="4" t="str">
        <f t="shared" si="362"/>
        <v>Romper Longer</v>
      </c>
      <c r="H3080" s="38">
        <f t="shared" si="364"/>
        <v>7</v>
      </c>
      <c r="I3080" s="54">
        <f t="shared" ref="I3080:I3143" si="368">WEEKNUM(A3080)</f>
        <v>28</v>
      </c>
      <c r="J3080" s="14" t="str">
        <f t="shared" si="365"/>
        <v>Summer</v>
      </c>
      <c r="K3080" s="16" t="str">
        <f t="shared" si="366"/>
        <v>6-12</v>
      </c>
      <c r="L3080" s="14" t="str">
        <f t="shared" si="367"/>
        <v>Romper Longer | 6-12 | Dusty Pink</v>
      </c>
      <c r="M3080" s="16" t="s">
        <v>3610</v>
      </c>
    </row>
    <row r="3081" spans="1:13" ht="25" customHeight="1" x14ac:dyDescent="0.45">
      <c r="A3081" s="18">
        <v>45851</v>
      </c>
      <c r="B3081" s="19" t="s">
        <v>2882</v>
      </c>
      <c r="C3081" s="23" t="s">
        <v>9</v>
      </c>
      <c r="D3081" s="53" t="str">
        <f t="shared" si="363"/>
        <v>Cream</v>
      </c>
      <c r="E3081" s="21" t="s">
        <v>1831</v>
      </c>
      <c r="F3081" s="21" t="str">
        <f ca="1">IFERROR(__xludf.DUMMYFUNCTION("IFERROR(REGEXEXTRACT(O761, ""\n([A-Za-z ]+)$""), """")
"),"United States")</f>
        <v>United States</v>
      </c>
      <c r="G3081" s="4" t="str">
        <f t="shared" si="362"/>
        <v>Romper Longer</v>
      </c>
      <c r="H3081" s="38">
        <f t="shared" si="364"/>
        <v>7</v>
      </c>
      <c r="I3081" s="54">
        <f t="shared" si="368"/>
        <v>29</v>
      </c>
      <c r="J3081" s="14" t="str">
        <f t="shared" si="365"/>
        <v>Summer</v>
      </c>
      <c r="K3081" s="16" t="str">
        <f t="shared" si="366"/>
        <v>0-3</v>
      </c>
      <c r="L3081" s="14" t="str">
        <f t="shared" si="367"/>
        <v>Romper Longer | 0-3 | Cream</v>
      </c>
      <c r="M3081" s="16" t="s">
        <v>3609</v>
      </c>
    </row>
    <row r="3082" spans="1:13" ht="25" customHeight="1" x14ac:dyDescent="0.45">
      <c r="A3082" s="18">
        <v>45852</v>
      </c>
      <c r="B3082" s="19" t="s">
        <v>2909</v>
      </c>
      <c r="C3082" s="23" t="s">
        <v>81</v>
      </c>
      <c r="D3082" s="53" t="str">
        <f t="shared" si="363"/>
        <v>Dusty Pink</v>
      </c>
      <c r="E3082" s="21" t="s">
        <v>1828</v>
      </c>
      <c r="F3082" s="21" t="str">
        <f ca="1">IFERROR(__xludf.DUMMYFUNCTION("IFERROR(REGEXEXTRACT(O761, ""\n([A-Za-z ]+)$""), """")
"),"United States")</f>
        <v>United States</v>
      </c>
      <c r="G3082" s="4" t="str">
        <f t="shared" si="362"/>
        <v>Romper Longer</v>
      </c>
      <c r="H3082" s="38">
        <f t="shared" si="364"/>
        <v>7</v>
      </c>
      <c r="I3082" s="54">
        <f t="shared" si="368"/>
        <v>29</v>
      </c>
      <c r="J3082" s="14" t="str">
        <f t="shared" si="365"/>
        <v>Summer</v>
      </c>
      <c r="K3082" s="16" t="str">
        <f t="shared" si="366"/>
        <v>3-6</v>
      </c>
      <c r="L3082" s="14" t="str">
        <f t="shared" si="367"/>
        <v>Romper Longer | 3-6 | Dusty Pink</v>
      </c>
      <c r="M3082" s="16" t="s">
        <v>3610</v>
      </c>
    </row>
    <row r="3083" spans="1:13" ht="25" customHeight="1" x14ac:dyDescent="0.45">
      <c r="A3083" s="18">
        <v>45853</v>
      </c>
      <c r="B3083" s="19" t="s">
        <v>2924</v>
      </c>
      <c r="C3083" s="23" t="s">
        <v>110</v>
      </c>
      <c r="D3083" s="53" t="str">
        <f t="shared" si="363"/>
        <v>Sage Green</v>
      </c>
      <c r="E3083" s="21" t="s">
        <v>1841</v>
      </c>
      <c r="F3083" s="21" t="str">
        <f ca="1">IFERROR(__xludf.DUMMYFUNCTION("IFERROR(REGEXEXTRACT(O761, ""\n([A-Za-z ]+)$""), """")
"),"United States")</f>
        <v>United States</v>
      </c>
      <c r="G3083" s="4" t="str">
        <f t="shared" si="362"/>
        <v>Romper Longer</v>
      </c>
      <c r="H3083" s="38">
        <f t="shared" si="364"/>
        <v>7</v>
      </c>
      <c r="I3083" s="54">
        <f t="shared" si="368"/>
        <v>29</v>
      </c>
      <c r="J3083" s="14" t="str">
        <f t="shared" si="365"/>
        <v>Summer</v>
      </c>
      <c r="K3083" s="16" t="str">
        <f t="shared" si="366"/>
        <v>6-12</v>
      </c>
      <c r="L3083" s="14" t="str">
        <f t="shared" si="367"/>
        <v>Romper Longer | 6-12 | Sage Green</v>
      </c>
      <c r="M3083" s="16" t="s">
        <v>3610</v>
      </c>
    </row>
    <row r="3084" spans="1:13" ht="25" customHeight="1" x14ac:dyDescent="0.45">
      <c r="A3084" s="18">
        <v>45854</v>
      </c>
      <c r="B3084" s="19" t="s">
        <v>3186</v>
      </c>
      <c r="C3084" s="23" t="s">
        <v>79</v>
      </c>
      <c r="D3084" s="53" t="str">
        <f t="shared" si="363"/>
        <v>White</v>
      </c>
      <c r="E3084" s="21" t="s">
        <v>1849</v>
      </c>
      <c r="F3084" s="21" t="str">
        <f ca="1">IFERROR(__xludf.DUMMYFUNCTION("IFERROR(REGEXEXTRACT(O761, ""\n([A-Za-z ]+)$""), """")
"),"United States")</f>
        <v>United States</v>
      </c>
      <c r="G3084" s="4" t="str">
        <f t="shared" si="362"/>
        <v>Romper Short</v>
      </c>
      <c r="H3084" s="38">
        <f t="shared" si="364"/>
        <v>7</v>
      </c>
      <c r="I3084" s="54">
        <f t="shared" si="368"/>
        <v>29</v>
      </c>
      <c r="J3084" s="14" t="str">
        <f t="shared" si="365"/>
        <v>Summer</v>
      </c>
      <c r="K3084" s="16" t="str">
        <f t="shared" si="366"/>
        <v>3-6</v>
      </c>
      <c r="L3084" s="14" t="str">
        <f t="shared" si="367"/>
        <v>Romper Short | 3-6 | White</v>
      </c>
      <c r="M3084" s="16" t="s">
        <v>3610</v>
      </c>
    </row>
    <row r="3085" spans="1:13" ht="25" customHeight="1" x14ac:dyDescent="0.45">
      <c r="A3085" s="18">
        <v>45855</v>
      </c>
      <c r="B3085" s="19" t="s">
        <v>3187</v>
      </c>
      <c r="C3085" s="23" t="s">
        <v>9</v>
      </c>
      <c r="D3085" s="53" t="str">
        <f t="shared" si="363"/>
        <v>Cream</v>
      </c>
      <c r="E3085" s="21" t="s">
        <v>1841</v>
      </c>
      <c r="F3085" s="21" t="str">
        <f ca="1">IFERROR(__xludf.DUMMYFUNCTION("IFERROR(REGEXEXTRACT(O761, ""\n([A-Za-z ]+)$""), """")
"),"United States")</f>
        <v>United States</v>
      </c>
      <c r="G3085" s="4" t="str">
        <f t="shared" si="362"/>
        <v>Romper Longer</v>
      </c>
      <c r="H3085" s="38">
        <f t="shared" si="364"/>
        <v>7</v>
      </c>
      <c r="I3085" s="54">
        <f t="shared" si="368"/>
        <v>29</v>
      </c>
      <c r="J3085" s="14" t="str">
        <f t="shared" si="365"/>
        <v>Summer</v>
      </c>
      <c r="K3085" s="16" t="str">
        <f t="shared" si="366"/>
        <v>6-12</v>
      </c>
      <c r="L3085" s="14" t="str">
        <f t="shared" si="367"/>
        <v>Romper Longer | 6-12 | Cream</v>
      </c>
      <c r="M3085" s="16" t="s">
        <v>3611</v>
      </c>
    </row>
    <row r="3086" spans="1:13" ht="25" customHeight="1" x14ac:dyDescent="0.45">
      <c r="A3086" s="18">
        <v>45856</v>
      </c>
      <c r="B3086" s="19" t="s">
        <v>3188</v>
      </c>
      <c r="C3086" s="23" t="s">
        <v>178</v>
      </c>
      <c r="D3086" s="53" t="str">
        <f t="shared" si="363"/>
        <v>Mauve Taupe</v>
      </c>
      <c r="E3086" s="21" t="s">
        <v>1849</v>
      </c>
      <c r="F3086" s="21" t="str">
        <f ca="1">IFERROR(__xludf.DUMMYFUNCTION("IFERROR(REGEXEXTRACT(O761, ""\n([A-Za-z ]+)$""), """")
"),"United States")</f>
        <v>United States</v>
      </c>
      <c r="G3086" s="4" t="str">
        <f t="shared" si="362"/>
        <v>Romper Short</v>
      </c>
      <c r="H3086" s="38">
        <f t="shared" si="364"/>
        <v>7</v>
      </c>
      <c r="I3086" s="54">
        <f t="shared" si="368"/>
        <v>29</v>
      </c>
      <c r="J3086" s="14" t="str">
        <f t="shared" si="365"/>
        <v>Summer</v>
      </c>
      <c r="K3086" s="16" t="str">
        <f t="shared" si="366"/>
        <v>3-6</v>
      </c>
      <c r="L3086" s="14" t="str">
        <f t="shared" si="367"/>
        <v>Romper Short | 3-6 | Mauve Taupe</v>
      </c>
      <c r="M3086" s="16" t="s">
        <v>3610</v>
      </c>
    </row>
    <row r="3087" spans="1:13" ht="25" customHeight="1" x14ac:dyDescent="0.45">
      <c r="A3087" s="18">
        <v>45857</v>
      </c>
      <c r="B3087" s="19" t="s">
        <v>3189</v>
      </c>
      <c r="C3087" s="23" t="s">
        <v>71</v>
      </c>
      <c r="D3087" s="53" t="str">
        <f t="shared" si="363"/>
        <v>Coffee</v>
      </c>
      <c r="E3087" s="21" t="s">
        <v>1831</v>
      </c>
      <c r="F3087" s="21" t="str">
        <f ca="1">IFERROR(__xludf.DUMMYFUNCTION("IFERROR(REGEXEXTRACT(O761, ""\n([A-Za-z ]+)$""), """")
"),"United States")</f>
        <v>United States</v>
      </c>
      <c r="G3087" s="4" t="str">
        <f t="shared" ref="G3087:G3150" si="369">IF(ISNUMBER(SEARCH("LONG",E3087)),"Romper Longer",IF(ISNUMBER(SEARCH("SHORT",E3087)),"Romper Short","Bodysuit"))</f>
        <v>Romper Longer</v>
      </c>
      <c r="H3087" s="38">
        <f t="shared" si="364"/>
        <v>7</v>
      </c>
      <c r="I3087" s="54">
        <f t="shared" si="368"/>
        <v>29</v>
      </c>
      <c r="J3087" s="14" t="str">
        <f t="shared" si="365"/>
        <v>Summer</v>
      </c>
      <c r="K3087" s="16" t="str">
        <f t="shared" si="366"/>
        <v>0-3</v>
      </c>
      <c r="L3087" s="14" t="str">
        <f t="shared" si="367"/>
        <v>Romper Longer | 0-3 | Coffee</v>
      </c>
      <c r="M3087" s="16" t="s">
        <v>3610</v>
      </c>
    </row>
    <row r="3088" spans="1:13" ht="25" customHeight="1" x14ac:dyDescent="0.45">
      <c r="A3088" s="18">
        <v>45858</v>
      </c>
      <c r="B3088" s="19" t="s">
        <v>3190</v>
      </c>
      <c r="C3088" s="23" t="s">
        <v>81</v>
      </c>
      <c r="D3088" s="53" t="str">
        <f t="shared" si="363"/>
        <v>Dusty Pink</v>
      </c>
      <c r="E3088" s="21" t="s">
        <v>1841</v>
      </c>
      <c r="F3088" s="21" t="str">
        <f ca="1">IFERROR(__xludf.DUMMYFUNCTION("IFERROR(REGEXEXTRACT(O761, ""\n([A-Za-z ]+)$""), """")
"),"United States")</f>
        <v>United States</v>
      </c>
      <c r="G3088" s="4" t="str">
        <f t="shared" si="369"/>
        <v>Romper Longer</v>
      </c>
      <c r="H3088" s="38">
        <f t="shared" si="364"/>
        <v>7</v>
      </c>
      <c r="I3088" s="54">
        <f t="shared" si="368"/>
        <v>30</v>
      </c>
      <c r="J3088" s="14" t="str">
        <f t="shared" si="365"/>
        <v>Summer</v>
      </c>
      <c r="K3088" s="16" t="str">
        <f t="shared" si="366"/>
        <v>6-12</v>
      </c>
      <c r="L3088" s="14" t="str">
        <f t="shared" si="367"/>
        <v>Romper Longer | 6-12 | Dusty Pink</v>
      </c>
      <c r="M3088" s="16" t="s">
        <v>3610</v>
      </c>
    </row>
    <row r="3089" spans="1:13" ht="25" customHeight="1" x14ac:dyDescent="0.45">
      <c r="A3089" s="18">
        <v>45859</v>
      </c>
      <c r="B3089" s="19" t="s">
        <v>3191</v>
      </c>
      <c r="C3089" s="23" t="s">
        <v>9</v>
      </c>
      <c r="D3089" s="53" t="str">
        <f t="shared" si="363"/>
        <v>Cream</v>
      </c>
      <c r="E3089" s="21" t="s">
        <v>1831</v>
      </c>
      <c r="F3089" s="21" t="str">
        <f ca="1">IFERROR(__xludf.DUMMYFUNCTION("IFERROR(REGEXEXTRACT(O761, ""\n([A-Za-z ]+)$""), """")
"),"United States")</f>
        <v>United States</v>
      </c>
      <c r="G3089" s="4" t="str">
        <f t="shared" si="369"/>
        <v>Romper Longer</v>
      </c>
      <c r="H3089" s="38">
        <f t="shared" si="364"/>
        <v>7</v>
      </c>
      <c r="I3089" s="54">
        <f t="shared" si="368"/>
        <v>30</v>
      </c>
      <c r="J3089" s="14" t="str">
        <f t="shared" si="365"/>
        <v>Summer</v>
      </c>
      <c r="K3089" s="16" t="str">
        <f t="shared" si="366"/>
        <v>0-3</v>
      </c>
      <c r="L3089" s="14" t="str">
        <f t="shared" si="367"/>
        <v>Romper Longer | 0-3 | Cream</v>
      </c>
      <c r="M3089" s="16" t="s">
        <v>3609</v>
      </c>
    </row>
    <row r="3090" spans="1:13" ht="25" customHeight="1" x14ac:dyDescent="0.45">
      <c r="A3090" s="18">
        <v>45860</v>
      </c>
      <c r="B3090" s="19" t="s">
        <v>3192</v>
      </c>
      <c r="C3090" s="23" t="s">
        <v>110</v>
      </c>
      <c r="D3090" s="53" t="str">
        <f t="shared" si="363"/>
        <v>Sage Green</v>
      </c>
      <c r="E3090" s="21" t="s">
        <v>1828</v>
      </c>
      <c r="F3090" s="21" t="str">
        <f ca="1">IFERROR(__xludf.DUMMYFUNCTION("IFERROR(REGEXEXTRACT(O761, ""\n([A-Za-z ]+)$""), """")
"),"United States")</f>
        <v>United States</v>
      </c>
      <c r="G3090" s="4" t="str">
        <f t="shared" si="369"/>
        <v>Romper Longer</v>
      </c>
      <c r="H3090" s="38">
        <f t="shared" si="364"/>
        <v>7</v>
      </c>
      <c r="I3090" s="54">
        <f t="shared" si="368"/>
        <v>30</v>
      </c>
      <c r="J3090" s="14" t="str">
        <f t="shared" si="365"/>
        <v>Summer</v>
      </c>
      <c r="K3090" s="16" t="str">
        <f t="shared" si="366"/>
        <v>3-6</v>
      </c>
      <c r="L3090" s="14" t="str">
        <f t="shared" si="367"/>
        <v>Romper Longer | 3-6 | Sage Green</v>
      </c>
      <c r="M3090" s="16" t="s">
        <v>3611</v>
      </c>
    </row>
    <row r="3091" spans="1:13" ht="25" customHeight="1" x14ac:dyDescent="0.45">
      <c r="A3091" s="18">
        <v>45861</v>
      </c>
      <c r="B3091" s="19" t="s">
        <v>3193</v>
      </c>
      <c r="C3091" s="23" t="s">
        <v>76</v>
      </c>
      <c r="D3091" s="53" t="str">
        <f t="shared" ref="D3091:D3144" si="370">PROPER(C3091)</f>
        <v>Caldet Blue</v>
      </c>
      <c r="E3091" s="21" t="s">
        <v>1828</v>
      </c>
      <c r="F3091" s="21" t="str">
        <f ca="1">IFERROR(__xludf.DUMMYFUNCTION("IFERROR(REGEXEXTRACT(O761, ""\n([A-Za-z ]+)$""), """")
"),"United States")</f>
        <v>United States</v>
      </c>
      <c r="G3091" s="4" t="str">
        <f t="shared" si="369"/>
        <v>Romper Longer</v>
      </c>
      <c r="H3091" s="38">
        <f t="shared" si="364"/>
        <v>7</v>
      </c>
      <c r="I3091" s="54">
        <f t="shared" si="368"/>
        <v>30</v>
      </c>
      <c r="J3091" s="14" t="str">
        <f t="shared" si="365"/>
        <v>Summer</v>
      </c>
      <c r="K3091" s="16" t="str">
        <f t="shared" si="366"/>
        <v>3-6</v>
      </c>
      <c r="L3091" s="14" t="str">
        <f t="shared" si="367"/>
        <v>Romper Longer | 3-6 | Caldet Blue</v>
      </c>
      <c r="M3091" s="16" t="s">
        <v>3610</v>
      </c>
    </row>
    <row r="3092" spans="1:13" ht="25" customHeight="1" x14ac:dyDescent="0.45">
      <c r="A3092" s="18">
        <v>45862</v>
      </c>
      <c r="B3092" s="19" t="s">
        <v>3194</v>
      </c>
      <c r="C3092" s="23" t="s">
        <v>110</v>
      </c>
      <c r="D3092" s="53" t="str">
        <f t="shared" si="370"/>
        <v>Sage Green</v>
      </c>
      <c r="E3092" s="21" t="s">
        <v>1420</v>
      </c>
      <c r="F3092" s="21" t="str">
        <f ca="1">IFERROR(__xludf.DUMMYFUNCTION("IFERROR(REGEXEXTRACT(O761, ""\n([A-Za-z ]+)$""), """")
"),"United States")</f>
        <v>United States</v>
      </c>
      <c r="G3092" s="4" t="str">
        <f t="shared" si="369"/>
        <v>Romper Short</v>
      </c>
      <c r="H3092" s="38">
        <f t="shared" si="364"/>
        <v>7</v>
      </c>
      <c r="I3092" s="54">
        <f t="shared" si="368"/>
        <v>30</v>
      </c>
      <c r="J3092" s="14" t="str">
        <f t="shared" si="365"/>
        <v>Summer</v>
      </c>
      <c r="K3092" s="16" t="str">
        <f t="shared" si="366"/>
        <v>6-12</v>
      </c>
      <c r="L3092" s="14" t="str">
        <f t="shared" si="367"/>
        <v>Romper Short | 6-12 | Sage Green</v>
      </c>
      <c r="M3092" s="16" t="s">
        <v>3610</v>
      </c>
    </row>
    <row r="3093" spans="1:13" ht="25" customHeight="1" x14ac:dyDescent="0.45">
      <c r="A3093" s="18">
        <v>45863</v>
      </c>
      <c r="B3093" s="19" t="s">
        <v>3195</v>
      </c>
      <c r="C3093" s="23" t="s">
        <v>81</v>
      </c>
      <c r="D3093" s="53" t="str">
        <f t="shared" si="370"/>
        <v>Dusty Pink</v>
      </c>
      <c r="E3093" s="21" t="s">
        <v>1420</v>
      </c>
      <c r="F3093" s="21" t="str">
        <f ca="1">IFERROR(__xludf.DUMMYFUNCTION("IFERROR(REGEXEXTRACT(O761, ""\n([A-Za-z ]+)$""), """")
"),"United States")</f>
        <v>United States</v>
      </c>
      <c r="G3093" s="4" t="str">
        <f t="shared" si="369"/>
        <v>Romper Short</v>
      </c>
      <c r="H3093" s="38">
        <f t="shared" si="364"/>
        <v>7</v>
      </c>
      <c r="I3093" s="54">
        <f t="shared" si="368"/>
        <v>30</v>
      </c>
      <c r="J3093" s="14" t="str">
        <f t="shared" si="365"/>
        <v>Summer</v>
      </c>
      <c r="K3093" s="16" t="str">
        <f t="shared" si="366"/>
        <v>6-12</v>
      </c>
      <c r="L3093" s="14" t="str">
        <f t="shared" si="367"/>
        <v>Romper Short | 6-12 | Dusty Pink</v>
      </c>
      <c r="M3093" s="16" t="s">
        <v>3610</v>
      </c>
    </row>
    <row r="3094" spans="1:13" ht="25" customHeight="1" x14ac:dyDescent="0.45">
      <c r="A3094" s="18">
        <v>45864</v>
      </c>
      <c r="B3094" s="19" t="s">
        <v>3196</v>
      </c>
      <c r="C3094" s="23" t="s">
        <v>81</v>
      </c>
      <c r="D3094" s="53" t="str">
        <f t="shared" si="370"/>
        <v>Dusty Pink</v>
      </c>
      <c r="E3094" s="21" t="s">
        <v>1828</v>
      </c>
      <c r="F3094" s="21" t="str">
        <f ca="1">IFERROR(__xludf.DUMMYFUNCTION("IFERROR(REGEXEXTRACT(O761, ""\n([A-Za-z ]+)$""), """")
"),"United States")</f>
        <v>United States</v>
      </c>
      <c r="G3094" s="4" t="str">
        <f t="shared" si="369"/>
        <v>Romper Longer</v>
      </c>
      <c r="H3094" s="38">
        <f t="shared" si="364"/>
        <v>7</v>
      </c>
      <c r="I3094" s="54">
        <f t="shared" si="368"/>
        <v>30</v>
      </c>
      <c r="J3094" s="14" t="str">
        <f t="shared" si="365"/>
        <v>Summer</v>
      </c>
      <c r="K3094" s="16" t="str">
        <f t="shared" si="366"/>
        <v>3-6</v>
      </c>
      <c r="L3094" s="14" t="str">
        <f t="shared" si="367"/>
        <v>Romper Longer | 3-6 | Dusty Pink</v>
      </c>
      <c r="M3094" s="16" t="s">
        <v>3610</v>
      </c>
    </row>
    <row r="3095" spans="1:13" ht="25" customHeight="1" x14ac:dyDescent="0.45">
      <c r="A3095" s="18">
        <v>45865</v>
      </c>
      <c r="B3095" s="19" t="s">
        <v>3197</v>
      </c>
      <c r="C3095" s="23" t="s">
        <v>9</v>
      </c>
      <c r="D3095" s="53" t="str">
        <f t="shared" si="370"/>
        <v>Cream</v>
      </c>
      <c r="E3095" s="21" t="s">
        <v>1831</v>
      </c>
      <c r="F3095" s="21" t="str">
        <f ca="1">IFERROR(__xludf.DUMMYFUNCTION("IFERROR(REGEXEXTRACT(O761, ""\n([A-Za-z ]+)$""), """")
"),"United States")</f>
        <v>United States</v>
      </c>
      <c r="G3095" s="4" t="str">
        <f t="shared" si="369"/>
        <v>Romper Longer</v>
      </c>
      <c r="H3095" s="38">
        <f t="shared" si="364"/>
        <v>7</v>
      </c>
      <c r="I3095" s="54">
        <f t="shared" si="368"/>
        <v>31</v>
      </c>
      <c r="J3095" s="14" t="str">
        <f t="shared" si="365"/>
        <v>Summer</v>
      </c>
      <c r="K3095" s="16" t="str">
        <f t="shared" si="366"/>
        <v>0-3</v>
      </c>
      <c r="L3095" s="14" t="str">
        <f t="shared" si="367"/>
        <v>Romper Longer | 0-3 | Cream</v>
      </c>
      <c r="M3095" s="16" t="s">
        <v>3609</v>
      </c>
    </row>
    <row r="3096" spans="1:13" ht="25" customHeight="1" x14ac:dyDescent="0.45">
      <c r="A3096" s="18">
        <v>45866</v>
      </c>
      <c r="B3096" s="19" t="s">
        <v>3198</v>
      </c>
      <c r="C3096" s="23" t="s">
        <v>81</v>
      </c>
      <c r="D3096" s="53" t="str">
        <f t="shared" si="370"/>
        <v>Dusty Pink</v>
      </c>
      <c r="E3096" s="21" t="s">
        <v>1834</v>
      </c>
      <c r="F3096" s="21" t="str">
        <f ca="1">IFERROR(__xludf.DUMMYFUNCTION("IFERROR(REGEXEXTRACT(O761, ""\n([A-Za-z ]+)$""), """")
"),"United States")</f>
        <v>United States</v>
      </c>
      <c r="G3096" s="4" t="str">
        <f t="shared" si="369"/>
        <v>Romper Short</v>
      </c>
      <c r="H3096" s="38">
        <f t="shared" si="364"/>
        <v>7</v>
      </c>
      <c r="I3096" s="54">
        <f t="shared" si="368"/>
        <v>31</v>
      </c>
      <c r="J3096" s="14" t="str">
        <f t="shared" si="365"/>
        <v>Summer</v>
      </c>
      <c r="K3096" s="16" t="str">
        <f t="shared" si="366"/>
        <v>0-3</v>
      </c>
      <c r="L3096" s="14" t="str">
        <f t="shared" si="367"/>
        <v>Romper Short | 0-3 | Dusty Pink</v>
      </c>
      <c r="M3096" s="16" t="s">
        <v>3610</v>
      </c>
    </row>
    <row r="3097" spans="1:13" ht="25" customHeight="1" x14ac:dyDescent="0.45">
      <c r="A3097" s="18">
        <v>45867</v>
      </c>
      <c r="B3097" s="19" t="s">
        <v>3199</v>
      </c>
      <c r="C3097" s="23" t="s">
        <v>9</v>
      </c>
      <c r="D3097" s="53" t="str">
        <f t="shared" si="370"/>
        <v>Cream</v>
      </c>
      <c r="E3097" s="21" t="s">
        <v>1828</v>
      </c>
      <c r="F3097" s="21" t="str">
        <f ca="1">IFERROR(__xludf.DUMMYFUNCTION("IFERROR(REGEXEXTRACT(O761, ""\n([A-Za-z ]+)$""), """")
"),"United States")</f>
        <v>United States</v>
      </c>
      <c r="G3097" s="4" t="str">
        <f t="shared" si="369"/>
        <v>Romper Longer</v>
      </c>
      <c r="H3097" s="38">
        <f t="shared" si="364"/>
        <v>7</v>
      </c>
      <c r="I3097" s="54">
        <f t="shared" si="368"/>
        <v>31</v>
      </c>
      <c r="J3097" s="14" t="str">
        <f t="shared" si="365"/>
        <v>Summer</v>
      </c>
      <c r="K3097" s="16" t="str">
        <f t="shared" si="366"/>
        <v>3-6</v>
      </c>
      <c r="L3097" s="14" t="str">
        <f t="shared" si="367"/>
        <v>Romper Longer | 3-6 | Cream</v>
      </c>
      <c r="M3097" s="16" t="s">
        <v>3609</v>
      </c>
    </row>
    <row r="3098" spans="1:13" ht="25" customHeight="1" x14ac:dyDescent="0.45">
      <c r="A3098" s="18">
        <v>45868</v>
      </c>
      <c r="B3098" s="19" t="s">
        <v>3200</v>
      </c>
      <c r="C3098" s="23" t="s">
        <v>81</v>
      </c>
      <c r="D3098" s="53" t="str">
        <f t="shared" si="370"/>
        <v>Dusty Pink</v>
      </c>
      <c r="E3098" s="21" t="s">
        <v>1834</v>
      </c>
      <c r="F3098" s="21" t="str">
        <f ca="1">IFERROR(__xludf.DUMMYFUNCTION("IFERROR(REGEXEXTRACT(O761, ""\n([A-Za-z ]+)$""), """")
"),"United States")</f>
        <v>United States</v>
      </c>
      <c r="G3098" s="4" t="str">
        <f t="shared" si="369"/>
        <v>Romper Short</v>
      </c>
      <c r="H3098" s="38">
        <f t="shared" si="364"/>
        <v>7</v>
      </c>
      <c r="I3098" s="54">
        <f t="shared" si="368"/>
        <v>31</v>
      </c>
      <c r="J3098" s="14" t="str">
        <f t="shared" si="365"/>
        <v>Summer</v>
      </c>
      <c r="K3098" s="16" t="str">
        <f t="shared" si="366"/>
        <v>0-3</v>
      </c>
      <c r="L3098" s="14" t="str">
        <f t="shared" si="367"/>
        <v>Romper Short | 0-3 | Dusty Pink</v>
      </c>
      <c r="M3098" s="16" t="s">
        <v>3610</v>
      </c>
    </row>
    <row r="3099" spans="1:13" ht="25" customHeight="1" x14ac:dyDescent="0.45">
      <c r="A3099" s="18">
        <v>45869</v>
      </c>
      <c r="B3099" s="19" t="s">
        <v>3201</v>
      </c>
      <c r="C3099" s="23" t="s">
        <v>79</v>
      </c>
      <c r="D3099" s="53" t="str">
        <f t="shared" si="370"/>
        <v>White</v>
      </c>
      <c r="E3099" s="21" t="s">
        <v>1834</v>
      </c>
      <c r="F3099" s="21" t="str">
        <f ca="1">IFERROR(__xludf.DUMMYFUNCTION("IFERROR(REGEXEXTRACT(O761, ""\n([A-Za-z ]+)$""), """")
"),"United States")</f>
        <v>United States</v>
      </c>
      <c r="G3099" s="4" t="str">
        <f t="shared" si="369"/>
        <v>Romper Short</v>
      </c>
      <c r="H3099" s="38">
        <f t="shared" si="364"/>
        <v>7</v>
      </c>
      <c r="I3099" s="54">
        <f t="shared" si="368"/>
        <v>31</v>
      </c>
      <c r="J3099" s="14" t="str">
        <f t="shared" si="365"/>
        <v>Summer</v>
      </c>
      <c r="K3099" s="16" t="str">
        <f t="shared" si="366"/>
        <v>0-3</v>
      </c>
      <c r="L3099" s="14" t="str">
        <f t="shared" si="367"/>
        <v>Romper Short | 0-3 | White</v>
      </c>
      <c r="M3099" s="16" t="s">
        <v>3610</v>
      </c>
    </row>
    <row r="3100" spans="1:13" ht="25" customHeight="1" x14ac:dyDescent="0.45">
      <c r="A3100" s="18">
        <v>45870</v>
      </c>
      <c r="B3100" s="19" t="s">
        <v>3202</v>
      </c>
      <c r="C3100" s="23" t="s">
        <v>85</v>
      </c>
      <c r="D3100" s="53" t="str">
        <f t="shared" si="370"/>
        <v>Forest Green</v>
      </c>
      <c r="E3100" s="21" t="s">
        <v>1831</v>
      </c>
      <c r="F3100" s="21" t="str">
        <f ca="1">IFERROR(__xludf.DUMMYFUNCTION("IFERROR(REGEXEXTRACT(O761, ""\n([A-Za-z ]+)$""), """")
"),"United States")</f>
        <v>United States</v>
      </c>
      <c r="G3100" s="4" t="str">
        <f t="shared" si="369"/>
        <v>Romper Longer</v>
      </c>
      <c r="H3100" s="38">
        <f t="shared" si="364"/>
        <v>8</v>
      </c>
      <c r="I3100" s="54">
        <f t="shared" si="368"/>
        <v>31</v>
      </c>
      <c r="J3100" s="14" t="str">
        <f t="shared" si="365"/>
        <v>Summer</v>
      </c>
      <c r="K3100" s="16" t="str">
        <f t="shared" si="366"/>
        <v>0-3</v>
      </c>
      <c r="L3100" s="14" t="str">
        <f t="shared" si="367"/>
        <v>Romper Longer | 0-3 | Forest Green</v>
      </c>
      <c r="M3100" s="16" t="s">
        <v>3610</v>
      </c>
    </row>
    <row r="3101" spans="1:13" ht="25" customHeight="1" x14ac:dyDescent="0.45">
      <c r="A3101" s="18">
        <v>45871</v>
      </c>
      <c r="B3101" s="19" t="s">
        <v>3203</v>
      </c>
      <c r="C3101" s="23" t="s">
        <v>79</v>
      </c>
      <c r="D3101" s="53" t="str">
        <f t="shared" si="370"/>
        <v>White</v>
      </c>
      <c r="E3101" s="21" t="s">
        <v>1828</v>
      </c>
      <c r="F3101" s="21" t="str">
        <f ca="1">IFERROR(__xludf.DUMMYFUNCTION("IFERROR(REGEXEXTRACT(O761, ""\n([A-Za-z ]+)$""), """")
"),"United States")</f>
        <v>United States</v>
      </c>
      <c r="G3101" s="4" t="str">
        <f t="shared" si="369"/>
        <v>Romper Longer</v>
      </c>
      <c r="H3101" s="38">
        <f t="shared" si="364"/>
        <v>8</v>
      </c>
      <c r="I3101" s="54">
        <f t="shared" si="368"/>
        <v>31</v>
      </c>
      <c r="J3101" s="14" t="str">
        <f t="shared" si="365"/>
        <v>Summer</v>
      </c>
      <c r="K3101" s="16" t="str">
        <f t="shared" si="366"/>
        <v>3-6</v>
      </c>
      <c r="L3101" s="14" t="str">
        <f t="shared" si="367"/>
        <v>Romper Longer | 3-6 | White</v>
      </c>
      <c r="M3101" s="16" t="s">
        <v>3610</v>
      </c>
    </row>
    <row r="3102" spans="1:13" ht="25" customHeight="1" x14ac:dyDescent="0.45">
      <c r="A3102" s="18">
        <v>45872</v>
      </c>
      <c r="B3102" s="19" t="s">
        <v>3204</v>
      </c>
      <c r="C3102" s="23" t="s">
        <v>74</v>
      </c>
      <c r="D3102" s="53" t="str">
        <f t="shared" si="370"/>
        <v>Watermelon</v>
      </c>
      <c r="E3102" s="21" t="s">
        <v>1828</v>
      </c>
      <c r="F3102" s="21" t="str">
        <f ca="1">IFERROR(__xludf.DUMMYFUNCTION("IFERROR(REGEXEXTRACT(O761, ""\n([A-Za-z ]+)$""), """")
"),"United States")</f>
        <v>United States</v>
      </c>
      <c r="G3102" s="4" t="str">
        <f t="shared" si="369"/>
        <v>Romper Longer</v>
      </c>
      <c r="H3102" s="38">
        <f t="shared" si="364"/>
        <v>8</v>
      </c>
      <c r="I3102" s="54">
        <f t="shared" si="368"/>
        <v>32</v>
      </c>
      <c r="J3102" s="14" t="str">
        <f t="shared" si="365"/>
        <v>Summer</v>
      </c>
      <c r="K3102" s="16" t="str">
        <f t="shared" si="366"/>
        <v>3-6</v>
      </c>
      <c r="L3102" s="14" t="str">
        <f t="shared" si="367"/>
        <v>Romper Longer | 3-6 | Watermelon</v>
      </c>
      <c r="M3102" s="16" t="s">
        <v>3610</v>
      </c>
    </row>
    <row r="3103" spans="1:13" ht="25" customHeight="1" x14ac:dyDescent="0.45">
      <c r="A3103" s="18">
        <v>45873</v>
      </c>
      <c r="B3103" s="19" t="s">
        <v>3205</v>
      </c>
      <c r="C3103" s="23" t="s">
        <v>76</v>
      </c>
      <c r="D3103" s="53" t="str">
        <f t="shared" si="370"/>
        <v>Caldet Blue</v>
      </c>
      <c r="E3103" s="21" t="s">
        <v>1849</v>
      </c>
      <c r="F3103" s="21" t="str">
        <f ca="1">IFERROR(__xludf.DUMMYFUNCTION("IFERROR(REGEXEXTRACT(O761, ""\n([A-Za-z ]+)$""), """")
"),"United States")</f>
        <v>United States</v>
      </c>
      <c r="G3103" s="4" t="str">
        <f t="shared" si="369"/>
        <v>Romper Short</v>
      </c>
      <c r="H3103" s="38">
        <f t="shared" si="364"/>
        <v>8</v>
      </c>
      <c r="I3103" s="54">
        <f t="shared" si="368"/>
        <v>32</v>
      </c>
      <c r="J3103" s="14" t="str">
        <f t="shared" si="365"/>
        <v>Summer</v>
      </c>
      <c r="K3103" s="16" t="str">
        <f t="shared" si="366"/>
        <v>3-6</v>
      </c>
      <c r="L3103" s="14" t="str">
        <f t="shared" si="367"/>
        <v>Romper Short | 3-6 | Caldet Blue</v>
      </c>
      <c r="M3103" s="16" t="s">
        <v>3610</v>
      </c>
    </row>
    <row r="3104" spans="1:13" ht="25" customHeight="1" x14ac:dyDescent="0.45">
      <c r="A3104" s="18">
        <v>45874</v>
      </c>
      <c r="B3104" s="19" t="s">
        <v>3206</v>
      </c>
      <c r="C3104" s="23" t="s">
        <v>224</v>
      </c>
      <c r="D3104" s="53" t="str">
        <f t="shared" si="370"/>
        <v>Salmon</v>
      </c>
      <c r="E3104" s="21" t="s">
        <v>1841</v>
      </c>
      <c r="F3104" s="21" t="str">
        <f ca="1">IFERROR(__xludf.DUMMYFUNCTION("IFERROR(REGEXEXTRACT(O761, ""\n([A-Za-z ]+)$""), """")
"),"United States")</f>
        <v>United States</v>
      </c>
      <c r="G3104" s="4" t="str">
        <f t="shared" si="369"/>
        <v>Romper Longer</v>
      </c>
      <c r="H3104" s="38">
        <f t="shared" si="364"/>
        <v>8</v>
      </c>
      <c r="I3104" s="54">
        <f t="shared" si="368"/>
        <v>32</v>
      </c>
      <c r="J3104" s="14" t="str">
        <f t="shared" si="365"/>
        <v>Summer</v>
      </c>
      <c r="K3104" s="16" t="str">
        <f t="shared" si="366"/>
        <v>6-12</v>
      </c>
      <c r="L3104" s="14" t="str">
        <f t="shared" si="367"/>
        <v>Romper Longer | 6-12 | Salmon</v>
      </c>
      <c r="M3104" s="16" t="s">
        <v>3610</v>
      </c>
    </row>
    <row r="3105" spans="1:13" ht="25" customHeight="1" x14ac:dyDescent="0.45">
      <c r="A3105" s="18">
        <v>45875</v>
      </c>
      <c r="B3105" s="19" t="s">
        <v>3207</v>
      </c>
      <c r="C3105" s="23" t="s">
        <v>110</v>
      </c>
      <c r="D3105" s="53" t="str">
        <f t="shared" si="370"/>
        <v>Sage Green</v>
      </c>
      <c r="E3105" s="21" t="s">
        <v>1828</v>
      </c>
      <c r="F3105" s="21" t="str">
        <f ca="1">IFERROR(__xludf.DUMMYFUNCTION("IFERROR(REGEXEXTRACT(O761, ""\n([A-Za-z ]+)$""), """")
"),"United States")</f>
        <v>United States</v>
      </c>
      <c r="G3105" s="4" t="str">
        <f t="shared" si="369"/>
        <v>Romper Longer</v>
      </c>
      <c r="H3105" s="38">
        <f t="shared" si="364"/>
        <v>8</v>
      </c>
      <c r="I3105" s="54">
        <f t="shared" si="368"/>
        <v>32</v>
      </c>
      <c r="J3105" s="14" t="str">
        <f t="shared" si="365"/>
        <v>Summer</v>
      </c>
      <c r="K3105" s="16" t="str">
        <f t="shared" si="366"/>
        <v>3-6</v>
      </c>
      <c r="L3105" s="14" t="str">
        <f t="shared" si="367"/>
        <v>Romper Longer | 3-6 | Sage Green</v>
      </c>
      <c r="M3105" s="16" t="s">
        <v>3611</v>
      </c>
    </row>
    <row r="3106" spans="1:13" ht="25" customHeight="1" x14ac:dyDescent="0.45">
      <c r="A3106" s="18">
        <v>45876</v>
      </c>
      <c r="B3106" s="19" t="s">
        <v>3208</v>
      </c>
      <c r="C3106" s="23" t="s">
        <v>76</v>
      </c>
      <c r="D3106" s="53" t="str">
        <f t="shared" si="370"/>
        <v>Caldet Blue</v>
      </c>
      <c r="E3106" s="21" t="s">
        <v>1834</v>
      </c>
      <c r="F3106" s="21" t="str">
        <f ca="1">IFERROR(__xludf.DUMMYFUNCTION("IFERROR(REGEXEXTRACT(O761, ""\n([A-Za-z ]+)$""), """")
"),"United States")</f>
        <v>United States</v>
      </c>
      <c r="G3106" s="4" t="str">
        <f t="shared" si="369"/>
        <v>Romper Short</v>
      </c>
      <c r="H3106" s="38">
        <f t="shared" si="364"/>
        <v>8</v>
      </c>
      <c r="I3106" s="54">
        <f t="shared" si="368"/>
        <v>32</v>
      </c>
      <c r="J3106" s="14" t="str">
        <f t="shared" si="365"/>
        <v>Summer</v>
      </c>
      <c r="K3106" s="16" t="str">
        <f t="shared" si="366"/>
        <v>0-3</v>
      </c>
      <c r="L3106" s="14" t="str">
        <f t="shared" si="367"/>
        <v>Romper Short | 0-3 | Caldet Blue</v>
      </c>
      <c r="M3106" s="16" t="s">
        <v>3610</v>
      </c>
    </row>
    <row r="3107" spans="1:13" ht="25" customHeight="1" x14ac:dyDescent="0.45">
      <c r="A3107" s="18">
        <v>45877</v>
      </c>
      <c r="B3107" s="19" t="s">
        <v>3209</v>
      </c>
      <c r="C3107" s="23" t="s">
        <v>71</v>
      </c>
      <c r="D3107" s="53" t="str">
        <f t="shared" si="370"/>
        <v>Coffee</v>
      </c>
      <c r="E3107" s="21" t="s">
        <v>1828</v>
      </c>
      <c r="F3107" s="21" t="str">
        <f ca="1">IFERROR(__xludf.DUMMYFUNCTION("IFERROR(REGEXEXTRACT(O761, ""\n([A-Za-z ]+)$""), """")
"),"United States")</f>
        <v>United States</v>
      </c>
      <c r="G3107" s="4" t="str">
        <f t="shared" si="369"/>
        <v>Romper Longer</v>
      </c>
      <c r="H3107" s="38">
        <f t="shared" si="364"/>
        <v>8</v>
      </c>
      <c r="I3107" s="54">
        <f t="shared" si="368"/>
        <v>32</v>
      </c>
      <c r="J3107" s="14" t="str">
        <f t="shared" si="365"/>
        <v>Summer</v>
      </c>
      <c r="K3107" s="16" t="str">
        <f t="shared" si="366"/>
        <v>3-6</v>
      </c>
      <c r="L3107" s="14" t="str">
        <f t="shared" si="367"/>
        <v>Romper Longer | 3-6 | Coffee</v>
      </c>
      <c r="M3107" s="16" t="s">
        <v>3610</v>
      </c>
    </row>
    <row r="3108" spans="1:13" ht="25" customHeight="1" x14ac:dyDescent="0.45">
      <c r="A3108" s="18">
        <v>45878</v>
      </c>
      <c r="B3108" s="19" t="s">
        <v>3210</v>
      </c>
      <c r="C3108" s="23" t="s">
        <v>9</v>
      </c>
      <c r="D3108" s="53" t="str">
        <f t="shared" si="370"/>
        <v>Cream</v>
      </c>
      <c r="E3108" s="21" t="s">
        <v>1831</v>
      </c>
      <c r="F3108" s="21" t="str">
        <f ca="1">IFERROR(__xludf.DUMMYFUNCTION("IFERROR(REGEXEXTRACT(O761, ""\n([A-Za-z ]+)$""), """")
"),"United States")</f>
        <v>United States</v>
      </c>
      <c r="G3108" s="4" t="str">
        <f t="shared" si="369"/>
        <v>Romper Longer</v>
      </c>
      <c r="H3108" s="38">
        <f t="shared" si="364"/>
        <v>8</v>
      </c>
      <c r="I3108" s="54">
        <f t="shared" si="368"/>
        <v>32</v>
      </c>
      <c r="J3108" s="14" t="str">
        <f t="shared" si="365"/>
        <v>Summer</v>
      </c>
      <c r="K3108" s="16" t="str">
        <f t="shared" si="366"/>
        <v>0-3</v>
      </c>
      <c r="L3108" s="14" t="str">
        <f t="shared" si="367"/>
        <v>Romper Longer | 0-3 | Cream</v>
      </c>
      <c r="M3108" s="16" t="s">
        <v>3609</v>
      </c>
    </row>
    <row r="3109" spans="1:13" ht="25" customHeight="1" x14ac:dyDescent="0.45">
      <c r="A3109" s="18">
        <v>45879</v>
      </c>
      <c r="B3109" s="19" t="s">
        <v>3211</v>
      </c>
      <c r="C3109" s="23" t="s">
        <v>9</v>
      </c>
      <c r="D3109" s="53" t="str">
        <f t="shared" si="370"/>
        <v>Cream</v>
      </c>
      <c r="E3109" s="21" t="s">
        <v>1831</v>
      </c>
      <c r="F3109" s="21" t="str">
        <f ca="1">IFERROR(__xludf.DUMMYFUNCTION("IFERROR(REGEXEXTRACT(O761, ""\n([A-Za-z ]+)$""), """")
"),"United States")</f>
        <v>United States</v>
      </c>
      <c r="G3109" s="4" t="str">
        <f t="shared" si="369"/>
        <v>Romper Longer</v>
      </c>
      <c r="H3109" s="38">
        <f t="shared" si="364"/>
        <v>8</v>
      </c>
      <c r="I3109" s="54">
        <f t="shared" si="368"/>
        <v>33</v>
      </c>
      <c r="J3109" s="14" t="str">
        <f t="shared" si="365"/>
        <v>Summer</v>
      </c>
      <c r="K3109" s="16" t="str">
        <f t="shared" si="366"/>
        <v>0-3</v>
      </c>
      <c r="L3109" s="14" t="str">
        <f t="shared" si="367"/>
        <v>Romper Longer | 0-3 | Cream</v>
      </c>
      <c r="M3109" s="16" t="s">
        <v>3609</v>
      </c>
    </row>
    <row r="3110" spans="1:13" ht="25" customHeight="1" x14ac:dyDescent="0.45">
      <c r="A3110" s="18">
        <v>45880</v>
      </c>
      <c r="B3110" s="19" t="s">
        <v>3212</v>
      </c>
      <c r="C3110" s="23" t="s">
        <v>76</v>
      </c>
      <c r="D3110" s="53" t="str">
        <f t="shared" si="370"/>
        <v>Caldet Blue</v>
      </c>
      <c r="E3110" s="21" t="s">
        <v>1828</v>
      </c>
      <c r="F3110" s="21" t="str">
        <f ca="1">IFERROR(__xludf.DUMMYFUNCTION("IFERROR(REGEXEXTRACT(O761, ""\n([A-Za-z ]+)$""), """")
"),"United States")</f>
        <v>United States</v>
      </c>
      <c r="G3110" s="4" t="str">
        <f t="shared" si="369"/>
        <v>Romper Longer</v>
      </c>
      <c r="H3110" s="38">
        <f t="shared" si="364"/>
        <v>8</v>
      </c>
      <c r="I3110" s="54">
        <f t="shared" si="368"/>
        <v>33</v>
      </c>
      <c r="J3110" s="14" t="str">
        <f t="shared" si="365"/>
        <v>Summer</v>
      </c>
      <c r="K3110" s="16" t="str">
        <f t="shared" si="366"/>
        <v>3-6</v>
      </c>
      <c r="L3110" s="14" t="str">
        <f t="shared" si="367"/>
        <v>Romper Longer | 3-6 | Caldet Blue</v>
      </c>
      <c r="M3110" s="16" t="s">
        <v>3610</v>
      </c>
    </row>
    <row r="3111" spans="1:13" ht="25" customHeight="1" x14ac:dyDescent="0.45">
      <c r="A3111" s="18">
        <v>45881</v>
      </c>
      <c r="B3111" s="19" t="s">
        <v>3213</v>
      </c>
      <c r="C3111" s="23" t="s">
        <v>110</v>
      </c>
      <c r="D3111" s="53" t="str">
        <f t="shared" si="370"/>
        <v>Sage Green</v>
      </c>
      <c r="E3111" s="21" t="s">
        <v>1849</v>
      </c>
      <c r="F3111" s="21" t="str">
        <f ca="1">IFERROR(__xludf.DUMMYFUNCTION("IFERROR(REGEXEXTRACT(O761, ""\n([A-Za-z ]+)$""), """")
"),"United States")</f>
        <v>United States</v>
      </c>
      <c r="G3111" s="4" t="str">
        <f t="shared" si="369"/>
        <v>Romper Short</v>
      </c>
      <c r="H3111" s="38">
        <f t="shared" si="364"/>
        <v>8</v>
      </c>
      <c r="I3111" s="54">
        <f t="shared" si="368"/>
        <v>33</v>
      </c>
      <c r="J3111" s="14" t="str">
        <f t="shared" si="365"/>
        <v>Summer</v>
      </c>
      <c r="K3111" s="16" t="str">
        <f t="shared" si="366"/>
        <v>3-6</v>
      </c>
      <c r="L3111" s="14" t="str">
        <f t="shared" si="367"/>
        <v>Romper Short | 3-6 | Sage Green</v>
      </c>
      <c r="M3111" s="16" t="s">
        <v>3611</v>
      </c>
    </row>
    <row r="3112" spans="1:13" ht="25" customHeight="1" x14ac:dyDescent="0.45">
      <c r="A3112" s="18">
        <v>45882</v>
      </c>
      <c r="B3112" s="19" t="s">
        <v>3214</v>
      </c>
      <c r="C3112" s="23" t="s">
        <v>9</v>
      </c>
      <c r="D3112" s="53" t="str">
        <f t="shared" si="370"/>
        <v>Cream</v>
      </c>
      <c r="E3112" s="21" t="s">
        <v>1834</v>
      </c>
      <c r="F3112" s="21" t="str">
        <f ca="1">IFERROR(__xludf.DUMMYFUNCTION("IFERROR(REGEXEXTRACT(O761, ""\n([A-Za-z ]+)$""), """")
"),"United States")</f>
        <v>United States</v>
      </c>
      <c r="G3112" s="4" t="str">
        <f t="shared" si="369"/>
        <v>Romper Short</v>
      </c>
      <c r="H3112" s="38">
        <f t="shared" si="364"/>
        <v>8</v>
      </c>
      <c r="I3112" s="54">
        <f t="shared" si="368"/>
        <v>33</v>
      </c>
      <c r="J3112" s="14" t="str">
        <f t="shared" si="365"/>
        <v>Summer</v>
      </c>
      <c r="K3112" s="16" t="str">
        <f t="shared" si="366"/>
        <v>0-3</v>
      </c>
      <c r="L3112" s="14" t="str">
        <f t="shared" si="367"/>
        <v>Romper Short | 0-3 | Cream</v>
      </c>
      <c r="M3112" s="16" t="s">
        <v>3609</v>
      </c>
    </row>
    <row r="3113" spans="1:13" ht="25" customHeight="1" x14ac:dyDescent="0.45">
      <c r="A3113" s="18">
        <v>45883</v>
      </c>
      <c r="B3113" s="19" t="s">
        <v>3215</v>
      </c>
      <c r="C3113" s="23" t="s">
        <v>81</v>
      </c>
      <c r="D3113" s="53" t="str">
        <f t="shared" si="370"/>
        <v>Dusty Pink</v>
      </c>
      <c r="E3113" s="21" t="s">
        <v>1834</v>
      </c>
      <c r="F3113" s="21" t="str">
        <f ca="1">IFERROR(__xludf.DUMMYFUNCTION("IFERROR(REGEXEXTRACT(O761, ""\n([A-Za-z ]+)$""), """")
"),"United States")</f>
        <v>United States</v>
      </c>
      <c r="G3113" s="4" t="str">
        <f t="shared" si="369"/>
        <v>Romper Short</v>
      </c>
      <c r="H3113" s="38">
        <f t="shared" si="364"/>
        <v>8</v>
      </c>
      <c r="I3113" s="54">
        <f t="shared" si="368"/>
        <v>33</v>
      </c>
      <c r="J3113" s="14" t="str">
        <f t="shared" si="365"/>
        <v>Summer</v>
      </c>
      <c r="K3113" s="16" t="str">
        <f t="shared" si="366"/>
        <v>0-3</v>
      </c>
      <c r="L3113" s="14" t="str">
        <f t="shared" si="367"/>
        <v>Romper Short | 0-3 | Dusty Pink</v>
      </c>
      <c r="M3113" s="16" t="s">
        <v>3610</v>
      </c>
    </row>
    <row r="3114" spans="1:13" ht="25" customHeight="1" x14ac:dyDescent="0.45">
      <c r="A3114" s="18">
        <v>45884</v>
      </c>
      <c r="B3114" s="19" t="s">
        <v>3216</v>
      </c>
      <c r="C3114" s="23" t="s">
        <v>9</v>
      </c>
      <c r="D3114" s="53" t="str">
        <f t="shared" si="370"/>
        <v>Cream</v>
      </c>
      <c r="E3114" s="21" t="s">
        <v>1834</v>
      </c>
      <c r="F3114" s="21" t="str">
        <f ca="1">IFERROR(__xludf.DUMMYFUNCTION("IFERROR(REGEXEXTRACT(O761, ""\n([A-Za-z ]+)$""), """")
"),"United States")</f>
        <v>United States</v>
      </c>
      <c r="G3114" s="4" t="str">
        <f t="shared" si="369"/>
        <v>Romper Short</v>
      </c>
      <c r="H3114" s="38">
        <f t="shared" si="364"/>
        <v>8</v>
      </c>
      <c r="I3114" s="54">
        <f t="shared" si="368"/>
        <v>33</v>
      </c>
      <c r="J3114" s="14" t="str">
        <f t="shared" si="365"/>
        <v>Summer</v>
      </c>
      <c r="K3114" s="16" t="str">
        <f t="shared" si="366"/>
        <v>0-3</v>
      </c>
      <c r="L3114" s="14" t="str">
        <f t="shared" si="367"/>
        <v>Romper Short | 0-3 | Cream</v>
      </c>
      <c r="M3114" s="16" t="s">
        <v>3609</v>
      </c>
    </row>
    <row r="3115" spans="1:13" ht="25" customHeight="1" x14ac:dyDescent="0.45">
      <c r="A3115" s="18">
        <v>45885</v>
      </c>
      <c r="B3115" s="19" t="s">
        <v>3069</v>
      </c>
      <c r="C3115" s="23" t="s">
        <v>81</v>
      </c>
      <c r="D3115" s="53" t="str">
        <f t="shared" si="370"/>
        <v>Dusty Pink</v>
      </c>
      <c r="E3115" s="21" t="s">
        <v>1849</v>
      </c>
      <c r="F3115" s="21" t="str">
        <f ca="1">IFERROR(__xludf.DUMMYFUNCTION("IFERROR(REGEXEXTRACT(O761, ""\n([A-Za-z ]+)$""), """")
"),"United States")</f>
        <v>United States</v>
      </c>
      <c r="G3115" s="4" t="str">
        <f t="shared" si="369"/>
        <v>Romper Short</v>
      </c>
      <c r="H3115" s="38">
        <f t="shared" si="364"/>
        <v>8</v>
      </c>
      <c r="I3115" s="54">
        <f t="shared" si="368"/>
        <v>33</v>
      </c>
      <c r="J3115" s="14" t="str">
        <f t="shared" si="365"/>
        <v>Summer</v>
      </c>
      <c r="K3115" s="16" t="str">
        <f t="shared" si="366"/>
        <v>3-6</v>
      </c>
      <c r="L3115" s="14" t="str">
        <f t="shared" si="367"/>
        <v>Romper Short | 3-6 | Dusty Pink</v>
      </c>
      <c r="M3115" s="16" t="s">
        <v>3610</v>
      </c>
    </row>
    <row r="3116" spans="1:13" ht="25" customHeight="1" x14ac:dyDescent="0.45">
      <c r="A3116" s="18">
        <v>45886</v>
      </c>
      <c r="B3116" s="19" t="s">
        <v>3217</v>
      </c>
      <c r="C3116" s="23" t="s">
        <v>407</v>
      </c>
      <c r="D3116" s="53" t="str">
        <f t="shared" si="370"/>
        <v>Texas Orange</v>
      </c>
      <c r="E3116" s="21" t="s">
        <v>1841</v>
      </c>
      <c r="F3116" s="21" t="str">
        <f ca="1">IFERROR(__xludf.DUMMYFUNCTION("IFERROR(REGEXEXTRACT(O761, ""\n([A-Za-z ]+)$""), """")
"),"United States")</f>
        <v>United States</v>
      </c>
      <c r="G3116" s="4" t="str">
        <f t="shared" si="369"/>
        <v>Romper Longer</v>
      </c>
      <c r="H3116" s="38">
        <f t="shared" si="364"/>
        <v>8</v>
      </c>
      <c r="I3116" s="54">
        <f t="shared" si="368"/>
        <v>34</v>
      </c>
      <c r="J3116" s="14" t="str">
        <f t="shared" si="365"/>
        <v>Summer</v>
      </c>
      <c r="K3116" s="16" t="str">
        <f t="shared" si="366"/>
        <v>6-12</v>
      </c>
      <c r="L3116" s="14" t="str">
        <f t="shared" si="367"/>
        <v>Romper Longer | 6-12 | Texas Orange</v>
      </c>
      <c r="M3116" s="16" t="s">
        <v>3610</v>
      </c>
    </row>
    <row r="3117" spans="1:13" ht="25" customHeight="1" x14ac:dyDescent="0.45">
      <c r="A3117" s="18">
        <v>45887</v>
      </c>
      <c r="B3117" s="19" t="s">
        <v>3218</v>
      </c>
      <c r="C3117" s="23" t="s">
        <v>110</v>
      </c>
      <c r="D3117" s="53" t="str">
        <f t="shared" si="370"/>
        <v>Sage Green</v>
      </c>
      <c r="E3117" s="21" t="s">
        <v>1828</v>
      </c>
      <c r="F3117" s="21" t="str">
        <f ca="1">IFERROR(__xludf.DUMMYFUNCTION("IFERROR(REGEXEXTRACT(O761, ""\n([A-Za-z ]+)$""), """")
"),"United States")</f>
        <v>United States</v>
      </c>
      <c r="G3117" s="4" t="str">
        <f t="shared" si="369"/>
        <v>Romper Longer</v>
      </c>
      <c r="H3117" s="38">
        <f t="shared" si="364"/>
        <v>8</v>
      </c>
      <c r="I3117" s="54">
        <f t="shared" si="368"/>
        <v>34</v>
      </c>
      <c r="J3117" s="14" t="str">
        <f t="shared" si="365"/>
        <v>Summer</v>
      </c>
      <c r="K3117" s="16" t="str">
        <f t="shared" si="366"/>
        <v>3-6</v>
      </c>
      <c r="L3117" s="14" t="str">
        <f t="shared" si="367"/>
        <v>Romper Longer | 3-6 | Sage Green</v>
      </c>
      <c r="M3117" s="16" t="s">
        <v>3611</v>
      </c>
    </row>
    <row r="3118" spans="1:13" ht="25" customHeight="1" x14ac:dyDescent="0.45">
      <c r="A3118" s="18">
        <v>45888</v>
      </c>
      <c r="B3118" s="19" t="s">
        <v>3219</v>
      </c>
      <c r="C3118" s="23" t="s">
        <v>110</v>
      </c>
      <c r="D3118" s="53" t="str">
        <f t="shared" si="370"/>
        <v>Sage Green</v>
      </c>
      <c r="E3118" s="21" t="s">
        <v>1841</v>
      </c>
      <c r="F3118" s="21" t="str">
        <f ca="1">IFERROR(__xludf.DUMMYFUNCTION("IFERROR(REGEXEXTRACT(O761, ""\n([A-Za-z ]+)$""), """")
"),"United States")</f>
        <v>United States</v>
      </c>
      <c r="G3118" s="4" t="str">
        <f t="shared" si="369"/>
        <v>Romper Longer</v>
      </c>
      <c r="H3118" s="38">
        <f t="shared" si="364"/>
        <v>8</v>
      </c>
      <c r="I3118" s="54">
        <f t="shared" si="368"/>
        <v>34</v>
      </c>
      <c r="J3118" s="14" t="str">
        <f t="shared" si="365"/>
        <v>Summer</v>
      </c>
      <c r="K3118" s="16" t="str">
        <f t="shared" si="366"/>
        <v>6-12</v>
      </c>
      <c r="L3118" s="14" t="str">
        <f t="shared" si="367"/>
        <v>Romper Longer | 6-12 | Sage Green</v>
      </c>
      <c r="M3118" s="16" t="s">
        <v>3610</v>
      </c>
    </row>
    <row r="3119" spans="1:13" ht="25" customHeight="1" x14ac:dyDescent="0.45">
      <c r="A3119" s="18">
        <v>45889</v>
      </c>
      <c r="B3119" s="19" t="s">
        <v>3220</v>
      </c>
      <c r="C3119" s="23" t="s">
        <v>110</v>
      </c>
      <c r="D3119" s="53" t="str">
        <f t="shared" si="370"/>
        <v>Sage Green</v>
      </c>
      <c r="E3119" s="21" t="s">
        <v>1849</v>
      </c>
      <c r="F3119" s="21" t="str">
        <f ca="1">IFERROR(__xludf.DUMMYFUNCTION("IFERROR(REGEXEXTRACT(O761, ""\n([A-Za-z ]+)$""), """")
"),"United States")</f>
        <v>United States</v>
      </c>
      <c r="G3119" s="4" t="str">
        <f t="shared" si="369"/>
        <v>Romper Short</v>
      </c>
      <c r="H3119" s="38">
        <f t="shared" si="364"/>
        <v>8</v>
      </c>
      <c r="I3119" s="54">
        <f t="shared" si="368"/>
        <v>34</v>
      </c>
      <c r="J3119" s="14" t="str">
        <f t="shared" si="365"/>
        <v>Summer</v>
      </c>
      <c r="K3119" s="16" t="str">
        <f t="shared" si="366"/>
        <v>3-6</v>
      </c>
      <c r="L3119" s="14" t="str">
        <f t="shared" si="367"/>
        <v>Romper Short | 3-6 | Sage Green</v>
      </c>
      <c r="M3119" s="16" t="s">
        <v>3611</v>
      </c>
    </row>
    <row r="3120" spans="1:13" ht="25" customHeight="1" x14ac:dyDescent="0.45">
      <c r="A3120" s="18">
        <v>45890</v>
      </c>
      <c r="B3120" s="19" t="s">
        <v>3221</v>
      </c>
      <c r="C3120" s="23" t="s">
        <v>79</v>
      </c>
      <c r="D3120" s="53" t="str">
        <f t="shared" si="370"/>
        <v>White</v>
      </c>
      <c r="E3120" s="21" t="s">
        <v>1849</v>
      </c>
      <c r="F3120" s="21" t="str">
        <f ca="1">IFERROR(__xludf.DUMMYFUNCTION("IFERROR(REGEXEXTRACT(O761, ""\n([A-Za-z ]+)$""), """")
"),"United States")</f>
        <v>United States</v>
      </c>
      <c r="G3120" s="4" t="str">
        <f t="shared" si="369"/>
        <v>Romper Short</v>
      </c>
      <c r="H3120" s="38">
        <f t="shared" si="364"/>
        <v>8</v>
      </c>
      <c r="I3120" s="54">
        <f t="shared" si="368"/>
        <v>34</v>
      </c>
      <c r="J3120" s="14" t="str">
        <f t="shared" si="365"/>
        <v>Summer</v>
      </c>
      <c r="K3120" s="16" t="str">
        <f t="shared" si="366"/>
        <v>3-6</v>
      </c>
      <c r="L3120" s="14" t="str">
        <f t="shared" si="367"/>
        <v>Romper Short | 3-6 | White</v>
      </c>
      <c r="M3120" s="16" t="s">
        <v>3610</v>
      </c>
    </row>
    <row r="3121" spans="1:13" ht="25" customHeight="1" x14ac:dyDescent="0.45">
      <c r="A3121" s="18">
        <v>45891</v>
      </c>
      <c r="B3121" s="19" t="s">
        <v>3222</v>
      </c>
      <c r="C3121" s="23" t="s">
        <v>79</v>
      </c>
      <c r="D3121" s="53" t="str">
        <f t="shared" si="370"/>
        <v>White</v>
      </c>
      <c r="E3121" s="21" t="s">
        <v>1831</v>
      </c>
      <c r="F3121" s="21" t="str">
        <f ca="1">IFERROR(__xludf.DUMMYFUNCTION("IFERROR(REGEXEXTRACT(O761, ""\n([A-Za-z ]+)$""), """")
"),"United States")</f>
        <v>United States</v>
      </c>
      <c r="G3121" s="4" t="str">
        <f t="shared" si="369"/>
        <v>Romper Longer</v>
      </c>
      <c r="H3121" s="38">
        <f t="shared" si="364"/>
        <v>8</v>
      </c>
      <c r="I3121" s="54">
        <f t="shared" si="368"/>
        <v>34</v>
      </c>
      <c r="J3121" s="14" t="str">
        <f t="shared" si="365"/>
        <v>Summer</v>
      </c>
      <c r="K3121" s="16" t="str">
        <f t="shared" si="366"/>
        <v>0-3</v>
      </c>
      <c r="L3121" s="14" t="str">
        <f t="shared" si="367"/>
        <v>Romper Longer | 0-3 | White</v>
      </c>
      <c r="M3121" s="16" t="s">
        <v>3610</v>
      </c>
    </row>
    <row r="3122" spans="1:13" ht="25" customHeight="1" x14ac:dyDescent="0.45">
      <c r="A3122" s="18">
        <v>45892</v>
      </c>
      <c r="B3122" s="19" t="s">
        <v>3223</v>
      </c>
      <c r="C3122" s="23" t="s">
        <v>9</v>
      </c>
      <c r="D3122" s="53" t="str">
        <f t="shared" si="370"/>
        <v>Cream</v>
      </c>
      <c r="E3122" s="21" t="s">
        <v>1828</v>
      </c>
      <c r="F3122" s="21" t="str">
        <f ca="1">IFERROR(__xludf.DUMMYFUNCTION("IFERROR(REGEXEXTRACT(O761, ""\n([A-Za-z ]+)$""), """")
"),"United States")</f>
        <v>United States</v>
      </c>
      <c r="G3122" s="4" t="str">
        <f t="shared" si="369"/>
        <v>Romper Longer</v>
      </c>
      <c r="H3122" s="38">
        <f t="shared" si="364"/>
        <v>8</v>
      </c>
      <c r="I3122" s="54">
        <f t="shared" si="368"/>
        <v>34</v>
      </c>
      <c r="J3122" s="14" t="str">
        <f t="shared" si="365"/>
        <v>Summer</v>
      </c>
      <c r="K3122" s="16" t="str">
        <f t="shared" si="366"/>
        <v>3-6</v>
      </c>
      <c r="L3122" s="14" t="str">
        <f t="shared" si="367"/>
        <v>Romper Longer | 3-6 | Cream</v>
      </c>
      <c r="M3122" s="16" t="s">
        <v>3609</v>
      </c>
    </row>
    <row r="3123" spans="1:13" ht="25" customHeight="1" x14ac:dyDescent="0.45">
      <c r="A3123" s="18">
        <v>45893</v>
      </c>
      <c r="B3123" s="19" t="s">
        <v>3224</v>
      </c>
      <c r="C3123" s="23" t="s">
        <v>74</v>
      </c>
      <c r="D3123" s="53" t="str">
        <f t="shared" si="370"/>
        <v>Watermelon</v>
      </c>
      <c r="E3123" s="21" t="s">
        <v>1831</v>
      </c>
      <c r="F3123" s="21" t="str">
        <f ca="1">IFERROR(__xludf.DUMMYFUNCTION("IFERROR(REGEXEXTRACT(O761, ""\n([A-Za-z ]+)$""), """")
"),"United States")</f>
        <v>United States</v>
      </c>
      <c r="G3123" s="4" t="str">
        <f t="shared" si="369"/>
        <v>Romper Longer</v>
      </c>
      <c r="H3123" s="38">
        <f t="shared" si="364"/>
        <v>8</v>
      </c>
      <c r="I3123" s="54">
        <f t="shared" si="368"/>
        <v>35</v>
      </c>
      <c r="J3123" s="14" t="str">
        <f t="shared" si="365"/>
        <v>Summer</v>
      </c>
      <c r="K3123" s="16" t="str">
        <f t="shared" si="366"/>
        <v>0-3</v>
      </c>
      <c r="L3123" s="14" t="str">
        <f t="shared" si="367"/>
        <v>Romper Longer | 0-3 | Watermelon</v>
      </c>
      <c r="M3123" s="16" t="s">
        <v>3610</v>
      </c>
    </row>
    <row r="3124" spans="1:13" ht="25" customHeight="1" x14ac:dyDescent="0.45">
      <c r="A3124" s="18">
        <v>45894</v>
      </c>
      <c r="B3124" s="19" t="s">
        <v>3225</v>
      </c>
      <c r="C3124" s="23" t="s">
        <v>9</v>
      </c>
      <c r="D3124" s="53" t="str">
        <f t="shared" si="370"/>
        <v>Cream</v>
      </c>
      <c r="E3124" s="21" t="s">
        <v>1828</v>
      </c>
      <c r="F3124" s="21" t="str">
        <f ca="1">IFERROR(__xludf.DUMMYFUNCTION("IFERROR(REGEXEXTRACT(O761, ""\n([A-Za-z ]+)$""), """")
"),"United States")</f>
        <v>United States</v>
      </c>
      <c r="G3124" s="4" t="str">
        <f t="shared" si="369"/>
        <v>Romper Longer</v>
      </c>
      <c r="H3124" s="38">
        <f t="shared" si="364"/>
        <v>8</v>
      </c>
      <c r="I3124" s="54">
        <f t="shared" si="368"/>
        <v>35</v>
      </c>
      <c r="J3124" s="14" t="str">
        <f t="shared" si="365"/>
        <v>Summer</v>
      </c>
      <c r="K3124" s="16" t="str">
        <f t="shared" si="366"/>
        <v>3-6</v>
      </c>
      <c r="L3124" s="14" t="str">
        <f t="shared" si="367"/>
        <v>Romper Longer | 3-6 | Cream</v>
      </c>
      <c r="M3124" s="16" t="s">
        <v>3609</v>
      </c>
    </row>
    <row r="3125" spans="1:13" ht="25" customHeight="1" x14ac:dyDescent="0.45">
      <c r="A3125" s="18">
        <v>45895</v>
      </c>
      <c r="B3125" s="19" t="s">
        <v>3226</v>
      </c>
      <c r="C3125" s="23" t="s">
        <v>9</v>
      </c>
      <c r="D3125" s="53" t="str">
        <f t="shared" si="370"/>
        <v>Cream</v>
      </c>
      <c r="E3125" s="21" t="s">
        <v>1849</v>
      </c>
      <c r="F3125" s="21" t="str">
        <f ca="1">IFERROR(__xludf.DUMMYFUNCTION("IFERROR(REGEXEXTRACT(O761, ""\n([A-Za-z ]+)$""), """")
"),"United States")</f>
        <v>United States</v>
      </c>
      <c r="G3125" s="4" t="str">
        <f t="shared" si="369"/>
        <v>Romper Short</v>
      </c>
      <c r="H3125" s="38">
        <f t="shared" si="364"/>
        <v>8</v>
      </c>
      <c r="I3125" s="54">
        <f t="shared" si="368"/>
        <v>35</v>
      </c>
      <c r="J3125" s="14" t="str">
        <f t="shared" si="365"/>
        <v>Summer</v>
      </c>
      <c r="K3125" s="16" t="str">
        <f t="shared" si="366"/>
        <v>3-6</v>
      </c>
      <c r="L3125" s="14" t="str">
        <f t="shared" si="367"/>
        <v>Romper Short | 3-6 | Cream</v>
      </c>
      <c r="M3125" s="16" t="s">
        <v>3609</v>
      </c>
    </row>
    <row r="3126" spans="1:13" ht="25" customHeight="1" x14ac:dyDescent="0.45">
      <c r="A3126" s="18">
        <v>45896</v>
      </c>
      <c r="B3126" s="19" t="s">
        <v>3227</v>
      </c>
      <c r="C3126" s="23" t="s">
        <v>110</v>
      </c>
      <c r="D3126" s="53" t="str">
        <f t="shared" si="370"/>
        <v>Sage Green</v>
      </c>
      <c r="E3126" s="21" t="s">
        <v>1849</v>
      </c>
      <c r="F3126" s="21" t="str">
        <f ca="1">IFERROR(__xludf.DUMMYFUNCTION("IFERROR(REGEXEXTRACT(O761, ""\n([A-Za-z ]+)$""), """")
"),"United States")</f>
        <v>United States</v>
      </c>
      <c r="G3126" s="4" t="str">
        <f t="shared" si="369"/>
        <v>Romper Short</v>
      </c>
      <c r="H3126" s="38">
        <f t="shared" si="364"/>
        <v>8</v>
      </c>
      <c r="I3126" s="54">
        <f t="shared" si="368"/>
        <v>35</v>
      </c>
      <c r="J3126" s="14" t="str">
        <f t="shared" si="365"/>
        <v>Summer</v>
      </c>
      <c r="K3126" s="16" t="str">
        <f t="shared" si="366"/>
        <v>3-6</v>
      </c>
      <c r="L3126" s="14" t="str">
        <f t="shared" si="367"/>
        <v>Romper Short | 3-6 | Sage Green</v>
      </c>
      <c r="M3126" s="16" t="s">
        <v>3611</v>
      </c>
    </row>
    <row r="3127" spans="1:13" ht="25" customHeight="1" x14ac:dyDescent="0.45">
      <c r="A3127" s="18">
        <v>45897</v>
      </c>
      <c r="B3127" s="19" t="s">
        <v>3228</v>
      </c>
      <c r="C3127" s="23" t="s">
        <v>9</v>
      </c>
      <c r="D3127" s="53" t="str">
        <f t="shared" si="370"/>
        <v>Cream</v>
      </c>
      <c r="E3127" s="21" t="s">
        <v>1849</v>
      </c>
      <c r="F3127" s="21" t="str">
        <f ca="1">IFERROR(__xludf.DUMMYFUNCTION("IFERROR(REGEXEXTRACT(O761, ""\n([A-Za-z ]+)$""), """")
"),"United States")</f>
        <v>United States</v>
      </c>
      <c r="G3127" s="4" t="str">
        <f t="shared" si="369"/>
        <v>Romper Short</v>
      </c>
      <c r="H3127" s="38">
        <f t="shared" si="364"/>
        <v>8</v>
      </c>
      <c r="I3127" s="54">
        <f t="shared" si="368"/>
        <v>35</v>
      </c>
      <c r="J3127" s="14" t="str">
        <f t="shared" si="365"/>
        <v>Summer</v>
      </c>
      <c r="K3127" s="16" t="str">
        <f t="shared" si="366"/>
        <v>3-6</v>
      </c>
      <c r="L3127" s="14" t="str">
        <f t="shared" si="367"/>
        <v>Romper Short | 3-6 | Cream</v>
      </c>
      <c r="M3127" s="16" t="s">
        <v>3609</v>
      </c>
    </row>
    <row r="3128" spans="1:13" ht="25" customHeight="1" x14ac:dyDescent="0.45">
      <c r="A3128" s="18">
        <v>45898</v>
      </c>
      <c r="B3128" s="19" t="s">
        <v>3229</v>
      </c>
      <c r="C3128" s="23" t="s">
        <v>81</v>
      </c>
      <c r="D3128" s="53" t="str">
        <f t="shared" si="370"/>
        <v>Dusty Pink</v>
      </c>
      <c r="E3128" s="21" t="s">
        <v>1841</v>
      </c>
      <c r="F3128" s="21" t="str">
        <f ca="1">IFERROR(__xludf.DUMMYFUNCTION("IFERROR(REGEXEXTRACT(O761, ""\n([A-Za-z ]+)$""), """")
"),"United States")</f>
        <v>United States</v>
      </c>
      <c r="G3128" s="4" t="str">
        <f t="shared" si="369"/>
        <v>Romper Longer</v>
      </c>
      <c r="H3128" s="38">
        <f t="shared" ref="H3128:H3156" si="371">MONTH(A3128)</f>
        <v>8</v>
      </c>
      <c r="I3128" s="54">
        <f t="shared" si="368"/>
        <v>35</v>
      </c>
      <c r="J3128" s="14" t="str">
        <f t="shared" ref="J3128:J3156" si="372">IF(H3128=1,"NewYear",
IF(H3128=2,"Valentine",
IF(OR(H3128=3,H3128=4),"Easter",
IF(H3128=5,"MothersDay",
IF(H3128=6,"FathersDay",
IF(OR(H3128=7,H3128=8),"Summer",
IF(H3128=10,"Halloween",
IF(OR(H3128=11,H3128=12),"Christmas","Normal"))))))))</f>
        <v>Summer</v>
      </c>
      <c r="K3128" s="16" t="str">
        <f t="shared" ref="K3128:K3156" si="373">TRIM(LEFT(E3128,FIND("(",E3128&amp;"(")-3))</f>
        <v>6-12</v>
      </c>
      <c r="L3128" s="14" t="str">
        <f t="shared" si="367"/>
        <v>Romper Longer | 6-12 | Dusty Pink</v>
      </c>
      <c r="M3128" s="16" t="s">
        <v>3610</v>
      </c>
    </row>
    <row r="3129" spans="1:13" ht="25" customHeight="1" x14ac:dyDescent="0.45">
      <c r="A3129" s="18">
        <v>45899</v>
      </c>
      <c r="B3129" s="19" t="s">
        <v>3230</v>
      </c>
      <c r="C3129" s="23" t="s">
        <v>9</v>
      </c>
      <c r="D3129" s="53" t="str">
        <f t="shared" si="370"/>
        <v>Cream</v>
      </c>
      <c r="E3129" s="21" t="s">
        <v>1828</v>
      </c>
      <c r="F3129" s="21" t="str">
        <f ca="1">IFERROR(__xludf.DUMMYFUNCTION("IFERROR(REGEXEXTRACT(O761, ""\n([A-Za-z ]+)$""), """")
"),"United States")</f>
        <v>United States</v>
      </c>
      <c r="G3129" s="4" t="str">
        <f t="shared" si="369"/>
        <v>Romper Longer</v>
      </c>
      <c r="H3129" s="38">
        <f t="shared" si="371"/>
        <v>8</v>
      </c>
      <c r="I3129" s="54">
        <f t="shared" si="368"/>
        <v>35</v>
      </c>
      <c r="J3129" s="14" t="str">
        <f t="shared" si="372"/>
        <v>Summer</v>
      </c>
      <c r="K3129" s="16" t="str">
        <f t="shared" si="373"/>
        <v>3-6</v>
      </c>
      <c r="L3129" s="14" t="str">
        <f t="shared" si="367"/>
        <v>Romper Longer | 3-6 | Cream</v>
      </c>
      <c r="M3129" s="16" t="s">
        <v>3609</v>
      </c>
    </row>
    <row r="3130" spans="1:13" ht="25" customHeight="1" x14ac:dyDescent="0.45">
      <c r="A3130" s="18">
        <v>45900</v>
      </c>
      <c r="B3130" s="19" t="s">
        <v>3231</v>
      </c>
      <c r="C3130" s="23" t="s">
        <v>110</v>
      </c>
      <c r="D3130" s="53" t="str">
        <f t="shared" si="370"/>
        <v>Sage Green</v>
      </c>
      <c r="E3130" s="21" t="s">
        <v>1841</v>
      </c>
      <c r="F3130" s="21" t="str">
        <f ca="1">IFERROR(__xludf.DUMMYFUNCTION("IFERROR(REGEXEXTRACT(O761, ""\n([A-Za-z ]+)$""), """")
"),"United States")</f>
        <v>United States</v>
      </c>
      <c r="G3130" s="4" t="str">
        <f t="shared" si="369"/>
        <v>Romper Longer</v>
      </c>
      <c r="H3130" s="38">
        <f t="shared" si="371"/>
        <v>8</v>
      </c>
      <c r="I3130" s="54">
        <f t="shared" si="368"/>
        <v>36</v>
      </c>
      <c r="J3130" s="14" t="str">
        <f t="shared" si="372"/>
        <v>Summer</v>
      </c>
      <c r="K3130" s="16" t="str">
        <f t="shared" si="373"/>
        <v>6-12</v>
      </c>
      <c r="L3130" s="14" t="str">
        <f t="shared" si="367"/>
        <v>Romper Longer | 6-12 | Sage Green</v>
      </c>
      <c r="M3130" s="16" t="s">
        <v>3610</v>
      </c>
    </row>
    <row r="3131" spans="1:13" ht="25" customHeight="1" x14ac:dyDescent="0.45">
      <c r="A3131" s="18">
        <v>45901</v>
      </c>
      <c r="B3131" s="19" t="s">
        <v>3232</v>
      </c>
      <c r="C3131" s="23" t="s">
        <v>9</v>
      </c>
      <c r="D3131" s="53" t="str">
        <f t="shared" si="370"/>
        <v>Cream</v>
      </c>
      <c r="E3131" s="21" t="s">
        <v>1831</v>
      </c>
      <c r="F3131" s="21" t="str">
        <f ca="1">IFERROR(__xludf.DUMMYFUNCTION("IFERROR(REGEXEXTRACT(O761, ""\n([A-Za-z ]+)$""), """")
"),"United States")</f>
        <v>United States</v>
      </c>
      <c r="G3131" s="4" t="str">
        <f t="shared" si="369"/>
        <v>Romper Longer</v>
      </c>
      <c r="H3131" s="38">
        <f t="shared" si="371"/>
        <v>9</v>
      </c>
      <c r="I3131" s="54">
        <f t="shared" si="368"/>
        <v>36</v>
      </c>
      <c r="J3131" s="14" t="str">
        <f t="shared" si="372"/>
        <v>Normal</v>
      </c>
      <c r="K3131" s="16" t="str">
        <f t="shared" si="373"/>
        <v>0-3</v>
      </c>
      <c r="L3131" s="14" t="str">
        <f t="shared" si="367"/>
        <v>Romper Longer | 0-3 | Cream</v>
      </c>
      <c r="M3131" s="16" t="s">
        <v>3609</v>
      </c>
    </row>
    <row r="3132" spans="1:13" ht="25" customHeight="1" x14ac:dyDescent="0.45">
      <c r="A3132" s="18">
        <v>45902</v>
      </c>
      <c r="B3132" s="19" t="s">
        <v>3233</v>
      </c>
      <c r="C3132" s="23" t="s">
        <v>9</v>
      </c>
      <c r="D3132" s="53" t="str">
        <f t="shared" si="370"/>
        <v>Cream</v>
      </c>
      <c r="E3132" s="21" t="s">
        <v>1828</v>
      </c>
      <c r="F3132" s="21" t="str">
        <f ca="1">IFERROR(__xludf.DUMMYFUNCTION("IFERROR(REGEXEXTRACT(O761, ""\n([A-Za-z ]+)$""), """")
"),"United States")</f>
        <v>United States</v>
      </c>
      <c r="G3132" s="4" t="str">
        <f t="shared" si="369"/>
        <v>Romper Longer</v>
      </c>
      <c r="H3132" s="38">
        <f t="shared" si="371"/>
        <v>9</v>
      </c>
      <c r="I3132" s="54">
        <f t="shared" si="368"/>
        <v>36</v>
      </c>
      <c r="J3132" s="14" t="str">
        <f t="shared" si="372"/>
        <v>Normal</v>
      </c>
      <c r="K3132" s="16" t="str">
        <f t="shared" si="373"/>
        <v>3-6</v>
      </c>
      <c r="L3132" s="14" t="str">
        <f t="shared" si="367"/>
        <v>Romper Longer | 3-6 | Cream</v>
      </c>
      <c r="M3132" s="16" t="s">
        <v>3609</v>
      </c>
    </row>
    <row r="3133" spans="1:13" ht="25" customHeight="1" x14ac:dyDescent="0.45">
      <c r="A3133" s="18">
        <v>45903</v>
      </c>
      <c r="B3133" s="19" t="s">
        <v>3234</v>
      </c>
      <c r="C3133" s="23" t="s">
        <v>224</v>
      </c>
      <c r="D3133" s="53" t="str">
        <f t="shared" si="370"/>
        <v>Salmon</v>
      </c>
      <c r="E3133" s="21" t="s">
        <v>1849</v>
      </c>
      <c r="F3133" s="21" t="str">
        <f ca="1">IFERROR(__xludf.DUMMYFUNCTION("IFERROR(REGEXEXTRACT(O761, ""\n([A-Za-z ]+)$""), """")
"),"United States")</f>
        <v>United States</v>
      </c>
      <c r="G3133" s="4" t="str">
        <f t="shared" si="369"/>
        <v>Romper Short</v>
      </c>
      <c r="H3133" s="38">
        <f t="shared" si="371"/>
        <v>9</v>
      </c>
      <c r="I3133" s="54">
        <f t="shared" si="368"/>
        <v>36</v>
      </c>
      <c r="J3133" s="14" t="str">
        <f t="shared" si="372"/>
        <v>Normal</v>
      </c>
      <c r="K3133" s="16" t="str">
        <f t="shared" si="373"/>
        <v>3-6</v>
      </c>
      <c r="L3133" s="14" t="str">
        <f t="shared" si="367"/>
        <v>Romper Short | 3-6 | Salmon</v>
      </c>
      <c r="M3133" s="16" t="s">
        <v>3610</v>
      </c>
    </row>
    <row r="3134" spans="1:13" ht="25" customHeight="1" x14ac:dyDescent="0.45">
      <c r="A3134" s="18">
        <v>45904</v>
      </c>
      <c r="B3134" s="19" t="s">
        <v>3235</v>
      </c>
      <c r="C3134" s="23" t="s">
        <v>9</v>
      </c>
      <c r="D3134" s="53" t="str">
        <f t="shared" si="370"/>
        <v>Cream</v>
      </c>
      <c r="E3134" s="21" t="s">
        <v>1849</v>
      </c>
      <c r="F3134" s="21" t="str">
        <f ca="1">IFERROR(__xludf.DUMMYFUNCTION("IFERROR(REGEXEXTRACT(O761, ""\n([A-Za-z ]+)$""), """")
"),"United States")</f>
        <v>United States</v>
      </c>
      <c r="G3134" s="4" t="str">
        <f t="shared" si="369"/>
        <v>Romper Short</v>
      </c>
      <c r="H3134" s="38">
        <f t="shared" si="371"/>
        <v>9</v>
      </c>
      <c r="I3134" s="54">
        <f t="shared" si="368"/>
        <v>36</v>
      </c>
      <c r="J3134" s="14" t="str">
        <f t="shared" si="372"/>
        <v>Normal</v>
      </c>
      <c r="K3134" s="16" t="str">
        <f t="shared" si="373"/>
        <v>3-6</v>
      </c>
      <c r="L3134" s="14" t="str">
        <f t="shared" si="367"/>
        <v>Romper Short | 3-6 | Cream</v>
      </c>
      <c r="M3134" s="16" t="s">
        <v>3609</v>
      </c>
    </row>
    <row r="3135" spans="1:13" ht="25" customHeight="1" x14ac:dyDescent="0.45">
      <c r="A3135" s="18">
        <v>45905</v>
      </c>
      <c r="B3135" s="19" t="s">
        <v>3236</v>
      </c>
      <c r="C3135" s="23" t="s">
        <v>110</v>
      </c>
      <c r="D3135" s="53" t="str">
        <f t="shared" si="370"/>
        <v>Sage Green</v>
      </c>
      <c r="E3135" s="21" t="s">
        <v>1849</v>
      </c>
      <c r="F3135" s="21" t="str">
        <f ca="1">IFERROR(__xludf.DUMMYFUNCTION("IFERROR(REGEXEXTRACT(O761, ""\n([A-Za-z ]+)$""), """")
"),"United States")</f>
        <v>United States</v>
      </c>
      <c r="G3135" s="4" t="str">
        <f t="shared" si="369"/>
        <v>Romper Short</v>
      </c>
      <c r="H3135" s="38">
        <f t="shared" si="371"/>
        <v>9</v>
      </c>
      <c r="I3135" s="54">
        <f t="shared" si="368"/>
        <v>36</v>
      </c>
      <c r="J3135" s="14" t="str">
        <f t="shared" si="372"/>
        <v>Normal</v>
      </c>
      <c r="K3135" s="16" t="str">
        <f t="shared" si="373"/>
        <v>3-6</v>
      </c>
      <c r="L3135" s="14" t="str">
        <f t="shared" si="367"/>
        <v>Romper Short | 3-6 | Sage Green</v>
      </c>
      <c r="M3135" s="16" t="s">
        <v>3611</v>
      </c>
    </row>
    <row r="3136" spans="1:13" ht="25" customHeight="1" x14ac:dyDescent="0.45">
      <c r="A3136" s="18">
        <v>45906</v>
      </c>
      <c r="B3136" s="19" t="s">
        <v>3237</v>
      </c>
      <c r="C3136" s="23" t="s">
        <v>110</v>
      </c>
      <c r="D3136" s="53" t="str">
        <f t="shared" si="370"/>
        <v>Sage Green</v>
      </c>
      <c r="E3136" s="21" t="s">
        <v>1841</v>
      </c>
      <c r="F3136" s="21" t="str">
        <f ca="1">IFERROR(__xludf.DUMMYFUNCTION("IFERROR(REGEXEXTRACT(O761, ""\n([A-Za-z ]+)$""), """")
"),"United States")</f>
        <v>United States</v>
      </c>
      <c r="G3136" s="4" t="str">
        <f t="shared" si="369"/>
        <v>Romper Longer</v>
      </c>
      <c r="H3136" s="38">
        <f t="shared" si="371"/>
        <v>9</v>
      </c>
      <c r="I3136" s="54">
        <f t="shared" si="368"/>
        <v>36</v>
      </c>
      <c r="J3136" s="14" t="str">
        <f t="shared" si="372"/>
        <v>Normal</v>
      </c>
      <c r="K3136" s="16" t="str">
        <f t="shared" si="373"/>
        <v>6-12</v>
      </c>
      <c r="L3136" s="14" t="str">
        <f t="shared" si="367"/>
        <v>Romper Longer | 6-12 | Sage Green</v>
      </c>
      <c r="M3136" s="16" t="s">
        <v>3610</v>
      </c>
    </row>
    <row r="3137" spans="1:13" ht="25" customHeight="1" x14ac:dyDescent="0.45">
      <c r="A3137" s="18">
        <v>45907</v>
      </c>
      <c r="B3137" s="19" t="s">
        <v>3238</v>
      </c>
      <c r="C3137" s="23" t="s">
        <v>9</v>
      </c>
      <c r="D3137" s="53" t="str">
        <f t="shared" si="370"/>
        <v>Cream</v>
      </c>
      <c r="E3137" s="21" t="s">
        <v>1831</v>
      </c>
      <c r="F3137" s="21" t="str">
        <f ca="1">IFERROR(__xludf.DUMMYFUNCTION("IFERROR(REGEXEXTRACT(O761, ""\n([A-Za-z ]+)$""), """")
"),"United States")</f>
        <v>United States</v>
      </c>
      <c r="G3137" s="4" t="str">
        <f t="shared" si="369"/>
        <v>Romper Longer</v>
      </c>
      <c r="H3137" s="38">
        <f t="shared" si="371"/>
        <v>9</v>
      </c>
      <c r="I3137" s="54">
        <f t="shared" si="368"/>
        <v>37</v>
      </c>
      <c r="J3137" s="14" t="str">
        <f t="shared" si="372"/>
        <v>Normal</v>
      </c>
      <c r="K3137" s="16" t="str">
        <f t="shared" si="373"/>
        <v>0-3</v>
      </c>
      <c r="L3137" s="14" t="str">
        <f t="shared" si="367"/>
        <v>Romper Longer | 0-3 | Cream</v>
      </c>
      <c r="M3137" s="16" t="s">
        <v>3609</v>
      </c>
    </row>
    <row r="3138" spans="1:13" ht="25" customHeight="1" x14ac:dyDescent="0.45">
      <c r="A3138" s="18">
        <v>45908</v>
      </c>
      <c r="B3138" s="19" t="s">
        <v>3239</v>
      </c>
      <c r="C3138" s="23" t="s">
        <v>110</v>
      </c>
      <c r="D3138" s="53" t="str">
        <f t="shared" si="370"/>
        <v>Sage Green</v>
      </c>
      <c r="E3138" s="21" t="s">
        <v>1831</v>
      </c>
      <c r="F3138" s="21" t="str">
        <f ca="1">IFERROR(__xludf.DUMMYFUNCTION("IFERROR(REGEXEXTRACT(O761, ""\n([A-Za-z ]+)$""), """")
"),"United States")</f>
        <v>United States</v>
      </c>
      <c r="G3138" s="4" t="str">
        <f t="shared" si="369"/>
        <v>Romper Longer</v>
      </c>
      <c r="H3138" s="38">
        <f t="shared" si="371"/>
        <v>9</v>
      </c>
      <c r="I3138" s="54">
        <f t="shared" si="368"/>
        <v>37</v>
      </c>
      <c r="J3138" s="14" t="str">
        <f t="shared" si="372"/>
        <v>Normal</v>
      </c>
      <c r="K3138" s="16" t="str">
        <f t="shared" si="373"/>
        <v>0-3</v>
      </c>
      <c r="L3138" s="14" t="str">
        <f t="shared" ref="L3138:L3201" si="374">TRIM(G3138)&amp;" | "&amp;TRIM(K3138)&amp;" | "&amp;PROPER(TRIM(D3138))</f>
        <v>Romper Longer | 0-3 | Sage Green</v>
      </c>
      <c r="M3138" s="16" t="s">
        <v>3611</v>
      </c>
    </row>
    <row r="3139" spans="1:13" ht="25" customHeight="1" x14ac:dyDescent="0.45">
      <c r="A3139" s="18">
        <v>45909</v>
      </c>
      <c r="B3139" s="19" t="s">
        <v>3240</v>
      </c>
      <c r="C3139" s="23" t="s">
        <v>224</v>
      </c>
      <c r="D3139" s="53" t="str">
        <f t="shared" si="370"/>
        <v>Salmon</v>
      </c>
      <c r="E3139" s="21" t="s">
        <v>1828</v>
      </c>
      <c r="F3139" s="21" t="str">
        <f ca="1">IFERROR(__xludf.DUMMYFUNCTION("IFERROR(REGEXEXTRACT(O761, ""\n([A-Za-z ]+)$""), """")
"),"United States")</f>
        <v>United States</v>
      </c>
      <c r="G3139" s="4" t="str">
        <f t="shared" si="369"/>
        <v>Romper Longer</v>
      </c>
      <c r="H3139" s="38">
        <f t="shared" si="371"/>
        <v>9</v>
      </c>
      <c r="I3139" s="54">
        <f t="shared" si="368"/>
        <v>37</v>
      </c>
      <c r="J3139" s="14" t="str">
        <f t="shared" si="372"/>
        <v>Normal</v>
      </c>
      <c r="K3139" s="16" t="str">
        <f t="shared" si="373"/>
        <v>3-6</v>
      </c>
      <c r="L3139" s="14" t="str">
        <f t="shared" si="374"/>
        <v>Romper Longer | 3-6 | Salmon</v>
      </c>
      <c r="M3139" s="16" t="s">
        <v>3610</v>
      </c>
    </row>
    <row r="3140" spans="1:13" ht="25" customHeight="1" x14ac:dyDescent="0.45">
      <c r="A3140" s="18">
        <v>45910</v>
      </c>
      <c r="B3140" s="19" t="s">
        <v>3241</v>
      </c>
      <c r="C3140" s="23" t="s">
        <v>9</v>
      </c>
      <c r="D3140" s="53" t="str">
        <f t="shared" si="370"/>
        <v>Cream</v>
      </c>
      <c r="E3140" s="21" t="s">
        <v>1831</v>
      </c>
      <c r="F3140" s="21" t="str">
        <f ca="1">IFERROR(__xludf.DUMMYFUNCTION("IFERROR(REGEXEXTRACT(O761, ""\n([A-Za-z ]+)$""), """")
"),"United States")</f>
        <v>United States</v>
      </c>
      <c r="G3140" s="4" t="str">
        <f t="shared" si="369"/>
        <v>Romper Longer</v>
      </c>
      <c r="H3140" s="38">
        <f t="shared" si="371"/>
        <v>9</v>
      </c>
      <c r="I3140" s="54">
        <f t="shared" si="368"/>
        <v>37</v>
      </c>
      <c r="J3140" s="14" t="str">
        <f t="shared" si="372"/>
        <v>Normal</v>
      </c>
      <c r="K3140" s="16" t="str">
        <f t="shared" si="373"/>
        <v>0-3</v>
      </c>
      <c r="L3140" s="14" t="str">
        <f t="shared" si="374"/>
        <v>Romper Longer | 0-3 | Cream</v>
      </c>
      <c r="M3140" s="16" t="s">
        <v>3609</v>
      </c>
    </row>
    <row r="3141" spans="1:13" ht="25" customHeight="1" x14ac:dyDescent="0.45">
      <c r="A3141" s="18">
        <v>45911</v>
      </c>
      <c r="B3141" s="19" t="s">
        <v>3242</v>
      </c>
      <c r="C3141" s="23" t="s">
        <v>79</v>
      </c>
      <c r="D3141" s="53" t="str">
        <f t="shared" si="370"/>
        <v>White</v>
      </c>
      <c r="E3141" s="21" t="s">
        <v>1828</v>
      </c>
      <c r="F3141" s="21" t="str">
        <f ca="1">IFERROR(__xludf.DUMMYFUNCTION("IFERROR(REGEXEXTRACT(O761, ""\n([A-Za-z ]+)$""), """")
"),"United States")</f>
        <v>United States</v>
      </c>
      <c r="G3141" s="4" t="str">
        <f t="shared" si="369"/>
        <v>Romper Longer</v>
      </c>
      <c r="H3141" s="38">
        <f t="shared" si="371"/>
        <v>9</v>
      </c>
      <c r="I3141" s="54">
        <f t="shared" si="368"/>
        <v>37</v>
      </c>
      <c r="J3141" s="14" t="str">
        <f t="shared" si="372"/>
        <v>Normal</v>
      </c>
      <c r="K3141" s="16" t="str">
        <f t="shared" si="373"/>
        <v>3-6</v>
      </c>
      <c r="L3141" s="14" t="str">
        <f t="shared" si="374"/>
        <v>Romper Longer | 3-6 | White</v>
      </c>
      <c r="M3141" s="16" t="s">
        <v>3610</v>
      </c>
    </row>
    <row r="3142" spans="1:13" ht="25" customHeight="1" x14ac:dyDescent="0.45">
      <c r="A3142" s="18">
        <v>45912</v>
      </c>
      <c r="B3142" s="19" t="s">
        <v>3243</v>
      </c>
      <c r="C3142" s="23" t="s">
        <v>76</v>
      </c>
      <c r="D3142" s="53" t="str">
        <f t="shared" si="370"/>
        <v>Caldet Blue</v>
      </c>
      <c r="E3142" s="21" t="s">
        <v>1834</v>
      </c>
      <c r="F3142" s="21" t="str">
        <f ca="1">IFERROR(__xludf.DUMMYFUNCTION("IFERROR(REGEXEXTRACT(O761, ""\n([A-Za-z ]+)$""), """")
"),"United States")</f>
        <v>United States</v>
      </c>
      <c r="G3142" s="4" t="str">
        <f t="shared" si="369"/>
        <v>Romper Short</v>
      </c>
      <c r="H3142" s="38">
        <f t="shared" si="371"/>
        <v>9</v>
      </c>
      <c r="I3142" s="54">
        <f t="shared" si="368"/>
        <v>37</v>
      </c>
      <c r="J3142" s="14" t="str">
        <f t="shared" si="372"/>
        <v>Normal</v>
      </c>
      <c r="K3142" s="16" t="str">
        <f t="shared" si="373"/>
        <v>0-3</v>
      </c>
      <c r="L3142" s="14" t="str">
        <f t="shared" si="374"/>
        <v>Romper Short | 0-3 | Caldet Blue</v>
      </c>
      <c r="M3142" s="16" t="s">
        <v>3610</v>
      </c>
    </row>
    <row r="3143" spans="1:13" ht="25" customHeight="1" x14ac:dyDescent="0.45">
      <c r="A3143" s="18">
        <v>45913</v>
      </c>
      <c r="B3143" s="19" t="s">
        <v>3244</v>
      </c>
      <c r="C3143" s="23" t="s">
        <v>9</v>
      </c>
      <c r="D3143" s="53" t="str">
        <f t="shared" si="370"/>
        <v>Cream</v>
      </c>
      <c r="E3143" s="21" t="s">
        <v>1849</v>
      </c>
      <c r="F3143" s="21" t="str">
        <f ca="1">IFERROR(__xludf.DUMMYFUNCTION("IFERROR(REGEXEXTRACT(O761, ""\n([A-Za-z ]+)$""), """")
"),"United States")</f>
        <v>United States</v>
      </c>
      <c r="G3143" s="4" t="str">
        <f t="shared" si="369"/>
        <v>Romper Short</v>
      </c>
      <c r="H3143" s="38">
        <f t="shared" si="371"/>
        <v>9</v>
      </c>
      <c r="I3143" s="54">
        <f t="shared" si="368"/>
        <v>37</v>
      </c>
      <c r="J3143" s="14" t="str">
        <f t="shared" si="372"/>
        <v>Normal</v>
      </c>
      <c r="K3143" s="16" t="str">
        <f t="shared" si="373"/>
        <v>3-6</v>
      </c>
      <c r="L3143" s="14" t="str">
        <f t="shared" si="374"/>
        <v>Romper Short | 3-6 | Cream</v>
      </c>
      <c r="M3143" s="16" t="s">
        <v>3609</v>
      </c>
    </row>
    <row r="3144" spans="1:13" ht="25" customHeight="1" x14ac:dyDescent="0.45">
      <c r="A3144" s="18">
        <v>45914</v>
      </c>
      <c r="B3144" s="19" t="s">
        <v>3245</v>
      </c>
      <c r="C3144" s="23" t="s">
        <v>81</v>
      </c>
      <c r="D3144" s="53" t="str">
        <f t="shared" si="370"/>
        <v>Dusty Pink</v>
      </c>
      <c r="E3144" s="21" t="s">
        <v>1834</v>
      </c>
      <c r="F3144" s="21" t="str">
        <f ca="1">IFERROR(__xludf.DUMMYFUNCTION("IFERROR(REGEXEXTRACT(O761, ""\n([A-Za-z ]+)$""), """")
"),"United States")</f>
        <v>United States</v>
      </c>
      <c r="G3144" s="4" t="str">
        <f t="shared" si="369"/>
        <v>Romper Short</v>
      </c>
      <c r="H3144" s="38">
        <f t="shared" si="371"/>
        <v>9</v>
      </c>
      <c r="I3144" s="54">
        <f t="shared" ref="I3144:I3207" si="375">WEEKNUM(A3144)</f>
        <v>38</v>
      </c>
      <c r="J3144" s="14" t="str">
        <f t="shared" si="372"/>
        <v>Normal</v>
      </c>
      <c r="K3144" s="16" t="str">
        <f t="shared" si="373"/>
        <v>0-3</v>
      </c>
      <c r="L3144" s="14" t="str">
        <f t="shared" si="374"/>
        <v>Romper Short | 0-3 | Dusty Pink</v>
      </c>
      <c r="M3144" s="16" t="s">
        <v>3610</v>
      </c>
    </row>
    <row r="3145" spans="1:13" ht="25" customHeight="1" x14ac:dyDescent="0.45">
      <c r="A3145" s="18">
        <v>45915</v>
      </c>
      <c r="B3145" s="19" t="s">
        <v>3246</v>
      </c>
      <c r="C3145" s="23" t="s">
        <v>79</v>
      </c>
      <c r="D3145" s="53" t="str">
        <f>PROPER(C3145)</f>
        <v>White</v>
      </c>
      <c r="E3145" s="21" t="s">
        <v>1828</v>
      </c>
      <c r="F3145" s="21" t="str">
        <f ca="1">IFERROR(__xludf.DUMMYFUNCTION("IFERROR(REGEXEXTRACT(O761, ""\n([A-Za-z ]+)$""), """")
"),"United States")</f>
        <v>United States</v>
      </c>
      <c r="G3145" s="4" t="str">
        <f t="shared" si="369"/>
        <v>Romper Longer</v>
      </c>
      <c r="H3145" s="38">
        <f t="shared" si="371"/>
        <v>9</v>
      </c>
      <c r="I3145" s="54">
        <f t="shared" si="375"/>
        <v>38</v>
      </c>
      <c r="J3145" s="14" t="str">
        <f t="shared" si="372"/>
        <v>Normal</v>
      </c>
      <c r="K3145" s="16" t="str">
        <f t="shared" si="373"/>
        <v>3-6</v>
      </c>
      <c r="L3145" s="14" t="str">
        <f t="shared" si="374"/>
        <v>Romper Longer | 3-6 | White</v>
      </c>
      <c r="M3145" s="16" t="s">
        <v>3610</v>
      </c>
    </row>
    <row r="3146" spans="1:13" ht="25" customHeight="1" x14ac:dyDescent="0.45">
      <c r="A3146" s="18">
        <v>45916</v>
      </c>
      <c r="B3146" s="19" t="s">
        <v>3247</v>
      </c>
      <c r="C3146" s="23" t="s">
        <v>81</v>
      </c>
      <c r="D3146" s="53" t="str">
        <f t="shared" ref="D3146:D3209" si="376">PROPER(C3146)</f>
        <v>Dusty Pink</v>
      </c>
      <c r="E3146" s="21" t="s">
        <v>1849</v>
      </c>
      <c r="F3146" s="21" t="str">
        <f ca="1">IFERROR(__xludf.DUMMYFUNCTION("IFERROR(REGEXEXTRACT(O761, ""\n([A-Za-z ]+)$""), """")
"),"United States")</f>
        <v>United States</v>
      </c>
      <c r="G3146" s="4" t="str">
        <f t="shared" si="369"/>
        <v>Romper Short</v>
      </c>
      <c r="H3146" s="38">
        <f t="shared" si="371"/>
        <v>9</v>
      </c>
      <c r="I3146" s="54">
        <f t="shared" si="375"/>
        <v>38</v>
      </c>
      <c r="J3146" s="14" t="str">
        <f t="shared" si="372"/>
        <v>Normal</v>
      </c>
      <c r="K3146" s="16" t="str">
        <f t="shared" si="373"/>
        <v>3-6</v>
      </c>
      <c r="L3146" s="14" t="str">
        <f t="shared" si="374"/>
        <v>Romper Short | 3-6 | Dusty Pink</v>
      </c>
      <c r="M3146" s="16" t="s">
        <v>3610</v>
      </c>
    </row>
    <row r="3147" spans="1:13" ht="25" customHeight="1" x14ac:dyDescent="0.45">
      <c r="A3147" s="18">
        <v>45917</v>
      </c>
      <c r="B3147" s="19" t="s">
        <v>3248</v>
      </c>
      <c r="C3147" s="23" t="s">
        <v>9</v>
      </c>
      <c r="D3147" s="53" t="str">
        <f t="shared" si="376"/>
        <v>Cream</v>
      </c>
      <c r="E3147" s="21" t="s">
        <v>1831</v>
      </c>
      <c r="F3147" s="21" t="str">
        <f ca="1">IFERROR(__xludf.DUMMYFUNCTION("IFERROR(REGEXEXTRACT(O761, ""\n([A-Za-z ]+)$""), """")
"),"United States")</f>
        <v>United States</v>
      </c>
      <c r="G3147" s="4" t="str">
        <f t="shared" si="369"/>
        <v>Romper Longer</v>
      </c>
      <c r="H3147" s="38">
        <f t="shared" si="371"/>
        <v>9</v>
      </c>
      <c r="I3147" s="54">
        <f t="shared" si="375"/>
        <v>38</v>
      </c>
      <c r="J3147" s="14" t="str">
        <f t="shared" si="372"/>
        <v>Normal</v>
      </c>
      <c r="K3147" s="16" t="str">
        <f t="shared" si="373"/>
        <v>0-3</v>
      </c>
      <c r="L3147" s="14" t="str">
        <f t="shared" si="374"/>
        <v>Romper Longer | 0-3 | Cream</v>
      </c>
      <c r="M3147" s="16" t="s">
        <v>3609</v>
      </c>
    </row>
    <row r="3148" spans="1:13" ht="25" customHeight="1" x14ac:dyDescent="0.45">
      <c r="A3148" s="18">
        <v>45918</v>
      </c>
      <c r="B3148" s="19" t="s">
        <v>3249</v>
      </c>
      <c r="C3148" s="23" t="s">
        <v>110</v>
      </c>
      <c r="D3148" s="53" t="str">
        <f t="shared" si="376"/>
        <v>Sage Green</v>
      </c>
      <c r="E3148" s="21" t="s">
        <v>1828</v>
      </c>
      <c r="F3148" s="21" t="str">
        <f ca="1">IFERROR(__xludf.DUMMYFUNCTION("IFERROR(REGEXEXTRACT(O761, ""\n([A-Za-z ]+)$""), """")
"),"United States")</f>
        <v>United States</v>
      </c>
      <c r="G3148" s="4" t="str">
        <f t="shared" si="369"/>
        <v>Romper Longer</v>
      </c>
      <c r="H3148" s="38">
        <f t="shared" si="371"/>
        <v>9</v>
      </c>
      <c r="I3148" s="54">
        <f t="shared" si="375"/>
        <v>38</v>
      </c>
      <c r="J3148" s="14" t="str">
        <f t="shared" si="372"/>
        <v>Normal</v>
      </c>
      <c r="K3148" s="16" t="str">
        <f t="shared" si="373"/>
        <v>3-6</v>
      </c>
      <c r="L3148" s="14" t="str">
        <f t="shared" si="374"/>
        <v>Romper Longer | 3-6 | Sage Green</v>
      </c>
      <c r="M3148" s="16" t="s">
        <v>3611</v>
      </c>
    </row>
    <row r="3149" spans="1:13" ht="25" customHeight="1" x14ac:dyDescent="0.45">
      <c r="A3149" s="18">
        <v>45919</v>
      </c>
      <c r="B3149" s="19" t="s">
        <v>2960</v>
      </c>
      <c r="C3149" s="23" t="s">
        <v>110</v>
      </c>
      <c r="D3149" s="53" t="str">
        <f t="shared" si="376"/>
        <v>Sage Green</v>
      </c>
      <c r="E3149" s="21" t="s">
        <v>1841</v>
      </c>
      <c r="F3149" s="21" t="str">
        <f ca="1">IFERROR(__xludf.DUMMYFUNCTION("IFERROR(REGEXEXTRACT(O761, ""\n([A-Za-z ]+)$""), """")
"),"United States")</f>
        <v>United States</v>
      </c>
      <c r="G3149" s="4" t="str">
        <f t="shared" si="369"/>
        <v>Romper Longer</v>
      </c>
      <c r="H3149" s="38">
        <f t="shared" si="371"/>
        <v>9</v>
      </c>
      <c r="I3149" s="54">
        <f t="shared" si="375"/>
        <v>38</v>
      </c>
      <c r="J3149" s="14" t="str">
        <f t="shared" si="372"/>
        <v>Normal</v>
      </c>
      <c r="K3149" s="16" t="str">
        <f t="shared" si="373"/>
        <v>6-12</v>
      </c>
      <c r="L3149" s="14" t="str">
        <f t="shared" si="374"/>
        <v>Romper Longer | 6-12 | Sage Green</v>
      </c>
      <c r="M3149" s="16" t="s">
        <v>3610</v>
      </c>
    </row>
    <row r="3150" spans="1:13" ht="25" customHeight="1" x14ac:dyDescent="0.45">
      <c r="A3150" s="18">
        <v>45920</v>
      </c>
      <c r="B3150" s="19" t="s">
        <v>3250</v>
      </c>
      <c r="C3150" s="23" t="s">
        <v>110</v>
      </c>
      <c r="D3150" s="53" t="str">
        <f t="shared" si="376"/>
        <v>Sage Green</v>
      </c>
      <c r="E3150" s="21" t="s">
        <v>1831</v>
      </c>
      <c r="F3150" s="21" t="str">
        <f ca="1">IFERROR(__xludf.DUMMYFUNCTION("IFERROR(REGEXEXTRACT(O761, ""\n([A-Za-z ]+)$""), """")
"),"United States")</f>
        <v>United States</v>
      </c>
      <c r="G3150" s="4" t="str">
        <f t="shared" si="369"/>
        <v>Romper Longer</v>
      </c>
      <c r="H3150" s="38">
        <f t="shared" si="371"/>
        <v>9</v>
      </c>
      <c r="I3150" s="54">
        <f t="shared" si="375"/>
        <v>38</v>
      </c>
      <c r="J3150" s="14" t="str">
        <f t="shared" si="372"/>
        <v>Normal</v>
      </c>
      <c r="K3150" s="16" t="str">
        <f t="shared" si="373"/>
        <v>0-3</v>
      </c>
      <c r="L3150" s="14" t="str">
        <f t="shared" si="374"/>
        <v>Romper Longer | 0-3 | Sage Green</v>
      </c>
      <c r="M3150" s="16" t="s">
        <v>3611</v>
      </c>
    </row>
    <row r="3151" spans="1:13" ht="25" customHeight="1" x14ac:dyDescent="0.45">
      <c r="A3151" s="18">
        <v>45921</v>
      </c>
      <c r="B3151" s="19" t="s">
        <v>3251</v>
      </c>
      <c r="C3151" s="23" t="s">
        <v>9</v>
      </c>
      <c r="D3151" s="53" t="str">
        <f t="shared" si="376"/>
        <v>Cream</v>
      </c>
      <c r="E3151" s="21" t="s">
        <v>1841</v>
      </c>
      <c r="F3151" s="21" t="str">
        <f ca="1">IFERROR(__xludf.DUMMYFUNCTION("IFERROR(REGEXEXTRACT(O761, ""\n([A-Za-z ]+)$""), """")
"),"United States")</f>
        <v>United States</v>
      </c>
      <c r="G3151" s="4" t="str">
        <f t="shared" ref="G3151:G3214" si="377">IF(ISNUMBER(SEARCH("LONG",E3151)),"Romper Longer",IF(ISNUMBER(SEARCH("SHORT",E3151)),"Romper Short","Bodysuit"))</f>
        <v>Romper Longer</v>
      </c>
      <c r="H3151" s="38">
        <f t="shared" si="371"/>
        <v>9</v>
      </c>
      <c r="I3151" s="54">
        <f t="shared" si="375"/>
        <v>39</v>
      </c>
      <c r="J3151" s="14" t="str">
        <f t="shared" si="372"/>
        <v>Normal</v>
      </c>
      <c r="K3151" s="16" t="str">
        <f t="shared" si="373"/>
        <v>6-12</v>
      </c>
      <c r="L3151" s="14" t="str">
        <f t="shared" si="374"/>
        <v>Romper Longer | 6-12 | Cream</v>
      </c>
      <c r="M3151" s="16" t="s">
        <v>3611</v>
      </c>
    </row>
    <row r="3152" spans="1:13" ht="25" customHeight="1" x14ac:dyDescent="0.45">
      <c r="A3152" s="18">
        <v>45922</v>
      </c>
      <c r="B3152" s="19" t="s">
        <v>3252</v>
      </c>
      <c r="C3152" s="23" t="s">
        <v>74</v>
      </c>
      <c r="D3152" s="53" t="str">
        <f t="shared" si="376"/>
        <v>Watermelon</v>
      </c>
      <c r="E3152" s="21" t="s">
        <v>1828</v>
      </c>
      <c r="F3152" s="21" t="str">
        <f ca="1">IFERROR(__xludf.DUMMYFUNCTION("IFERROR(REGEXEXTRACT(O761, ""\n([A-Za-z ]+)$""), """")
"),"United States")</f>
        <v>United States</v>
      </c>
      <c r="G3152" s="4" t="str">
        <f t="shared" si="377"/>
        <v>Romper Longer</v>
      </c>
      <c r="H3152" s="38">
        <f t="shared" si="371"/>
        <v>9</v>
      </c>
      <c r="I3152" s="54">
        <f t="shared" si="375"/>
        <v>39</v>
      </c>
      <c r="J3152" s="14" t="str">
        <f t="shared" si="372"/>
        <v>Normal</v>
      </c>
      <c r="K3152" s="16" t="str">
        <f t="shared" si="373"/>
        <v>3-6</v>
      </c>
      <c r="L3152" s="14" t="str">
        <f t="shared" si="374"/>
        <v>Romper Longer | 3-6 | Watermelon</v>
      </c>
      <c r="M3152" s="16" t="s">
        <v>3610</v>
      </c>
    </row>
    <row r="3153" spans="1:13" ht="25" customHeight="1" x14ac:dyDescent="0.45">
      <c r="A3153" s="18">
        <v>45923</v>
      </c>
      <c r="B3153" s="19" t="s">
        <v>3253</v>
      </c>
      <c r="C3153" s="23" t="s">
        <v>110</v>
      </c>
      <c r="D3153" s="53" t="str">
        <f t="shared" si="376"/>
        <v>Sage Green</v>
      </c>
      <c r="E3153" s="21" t="s">
        <v>1831</v>
      </c>
      <c r="F3153" s="21" t="str">
        <f ca="1">IFERROR(__xludf.DUMMYFUNCTION("IFERROR(REGEXEXTRACT(O761, ""\n([A-Za-z ]+)$""), """")
"),"United States")</f>
        <v>United States</v>
      </c>
      <c r="G3153" s="4" t="str">
        <f t="shared" si="377"/>
        <v>Romper Longer</v>
      </c>
      <c r="H3153" s="38">
        <f t="shared" si="371"/>
        <v>9</v>
      </c>
      <c r="I3153" s="54">
        <f t="shared" si="375"/>
        <v>39</v>
      </c>
      <c r="J3153" s="14" t="str">
        <f t="shared" si="372"/>
        <v>Normal</v>
      </c>
      <c r="K3153" s="16" t="str">
        <f t="shared" si="373"/>
        <v>0-3</v>
      </c>
      <c r="L3153" s="14" t="str">
        <f t="shared" si="374"/>
        <v>Romper Longer | 0-3 | Sage Green</v>
      </c>
      <c r="M3153" s="16" t="s">
        <v>3611</v>
      </c>
    </row>
    <row r="3154" spans="1:13" ht="25" customHeight="1" x14ac:dyDescent="0.45">
      <c r="A3154" s="18">
        <v>45924</v>
      </c>
      <c r="B3154" s="19" t="s">
        <v>3254</v>
      </c>
      <c r="C3154" s="23" t="s">
        <v>110</v>
      </c>
      <c r="D3154" s="53" t="str">
        <f t="shared" si="376"/>
        <v>Sage Green</v>
      </c>
      <c r="E3154" s="21" t="s">
        <v>1828</v>
      </c>
      <c r="F3154" s="21" t="str">
        <f ca="1">IFERROR(__xludf.DUMMYFUNCTION("IFERROR(REGEXEXTRACT(O761, ""\n([A-Za-z ]+)$""), """")
"),"United States")</f>
        <v>United States</v>
      </c>
      <c r="G3154" s="4" t="str">
        <f t="shared" si="377"/>
        <v>Romper Longer</v>
      </c>
      <c r="H3154" s="38">
        <f t="shared" si="371"/>
        <v>9</v>
      </c>
      <c r="I3154" s="54">
        <f t="shared" si="375"/>
        <v>39</v>
      </c>
      <c r="J3154" s="14" t="str">
        <f t="shared" si="372"/>
        <v>Normal</v>
      </c>
      <c r="K3154" s="16" t="str">
        <f t="shared" si="373"/>
        <v>3-6</v>
      </c>
      <c r="L3154" s="14" t="str">
        <f t="shared" si="374"/>
        <v>Romper Longer | 3-6 | Sage Green</v>
      </c>
      <c r="M3154" s="16" t="s">
        <v>3611</v>
      </c>
    </row>
    <row r="3155" spans="1:13" ht="25" customHeight="1" x14ac:dyDescent="0.45">
      <c r="A3155" s="18">
        <v>45925</v>
      </c>
      <c r="B3155" s="19" t="s">
        <v>3255</v>
      </c>
      <c r="C3155" s="23" t="s">
        <v>178</v>
      </c>
      <c r="D3155" s="53" t="str">
        <f t="shared" si="376"/>
        <v>Mauve Taupe</v>
      </c>
      <c r="E3155" s="21" t="s">
        <v>1828</v>
      </c>
      <c r="F3155" s="21" t="str">
        <f ca="1">IFERROR(__xludf.DUMMYFUNCTION("IFERROR(REGEXEXTRACT(O761, ""\n([A-Za-z ]+)$""), """")
"),"United States")</f>
        <v>United States</v>
      </c>
      <c r="G3155" s="4" t="str">
        <f t="shared" si="377"/>
        <v>Romper Longer</v>
      </c>
      <c r="H3155" s="38">
        <f t="shared" si="371"/>
        <v>9</v>
      </c>
      <c r="I3155" s="54">
        <f t="shared" si="375"/>
        <v>39</v>
      </c>
      <c r="J3155" s="14" t="str">
        <f t="shared" si="372"/>
        <v>Normal</v>
      </c>
      <c r="K3155" s="16" t="str">
        <f t="shared" si="373"/>
        <v>3-6</v>
      </c>
      <c r="L3155" s="14" t="str">
        <f t="shared" si="374"/>
        <v>Romper Longer | 3-6 | Mauve Taupe</v>
      </c>
      <c r="M3155" s="16" t="s">
        <v>3610</v>
      </c>
    </row>
    <row r="3156" spans="1:13" ht="25" customHeight="1" x14ac:dyDescent="0.45">
      <c r="A3156" s="18">
        <v>45926</v>
      </c>
      <c r="B3156" s="19" t="s">
        <v>3256</v>
      </c>
      <c r="C3156" s="23" t="s">
        <v>81</v>
      </c>
      <c r="D3156" s="53" t="str">
        <f t="shared" si="376"/>
        <v>Dusty Pink</v>
      </c>
      <c r="E3156" s="21" t="s">
        <v>1828</v>
      </c>
      <c r="F3156" s="21" t="str">
        <f ca="1">IFERROR(__xludf.DUMMYFUNCTION("IFERROR(REGEXEXTRACT(O761, ""\n([A-Za-z ]+)$""), """")
"),"United States")</f>
        <v>United States</v>
      </c>
      <c r="G3156" s="4" t="str">
        <f t="shared" si="377"/>
        <v>Romper Longer</v>
      </c>
      <c r="H3156" s="38">
        <f t="shared" si="371"/>
        <v>9</v>
      </c>
      <c r="I3156" s="54">
        <f t="shared" si="375"/>
        <v>39</v>
      </c>
      <c r="J3156" s="14" t="str">
        <f t="shared" si="372"/>
        <v>Normal</v>
      </c>
      <c r="K3156" s="16" t="str">
        <f t="shared" si="373"/>
        <v>3-6</v>
      </c>
      <c r="L3156" s="14" t="str">
        <f t="shared" si="374"/>
        <v>Romper Longer | 3-6 | Dusty Pink</v>
      </c>
      <c r="M3156" s="16" t="s">
        <v>3610</v>
      </c>
    </row>
    <row r="3157" spans="1:13" ht="25" customHeight="1" x14ac:dyDescent="0.45">
      <c r="A3157" s="18">
        <v>45927</v>
      </c>
      <c r="B3157" s="19" t="s">
        <v>3257</v>
      </c>
      <c r="C3157" s="23" t="s">
        <v>110</v>
      </c>
      <c r="D3157" s="53" t="str">
        <f t="shared" si="376"/>
        <v>Sage Green</v>
      </c>
      <c r="E3157" s="21" t="s">
        <v>1841</v>
      </c>
      <c r="F3157" s="21" t="str">
        <f ca="1">IFERROR(__xludf.DUMMYFUNCTION("IFERROR(REGEXEXTRACT(O761, ""\n([A-Za-z ]+)$""), """")
"),"United States")</f>
        <v>United States</v>
      </c>
      <c r="G3157" s="4" t="str">
        <f t="shared" si="377"/>
        <v>Romper Longer</v>
      </c>
      <c r="H3157" s="38">
        <f t="shared" ref="H3157:H3220" si="378">MONTH(A3157)</f>
        <v>9</v>
      </c>
      <c r="I3157" s="54">
        <f t="shared" si="375"/>
        <v>39</v>
      </c>
      <c r="J3157" s="14" t="str">
        <f t="shared" ref="J3157:J3164" si="379">IF(H3157=1,"NewYear",
IF(H3157=2,"Valentine",
IF(OR(H3157=3,H3157=4),"Easter",
IF(H3157=5,"MothersDay",
IF(H3157=6,"FathersDay",
IF(OR(H3157=7,H3157=8),"Summer",
IF(H3157=10,"Halloween",
IF(OR(H3157=11,H3157=12),"Christmas","Normal"))))))))</f>
        <v>Normal</v>
      </c>
      <c r="K3157" s="16" t="str">
        <f t="shared" ref="K3157:K3220" si="380">TRIM(LEFT(E3157,FIND("(",E3157&amp;"(")-3))</f>
        <v>6-12</v>
      </c>
      <c r="L3157" s="14" t="str">
        <f t="shared" si="374"/>
        <v>Romper Longer | 6-12 | Sage Green</v>
      </c>
      <c r="M3157" s="16" t="s">
        <v>3610</v>
      </c>
    </row>
    <row r="3158" spans="1:13" ht="25" customHeight="1" x14ac:dyDescent="0.45">
      <c r="A3158" s="18">
        <v>45928</v>
      </c>
      <c r="B3158" s="19" t="s">
        <v>3258</v>
      </c>
      <c r="C3158" s="23" t="s">
        <v>9</v>
      </c>
      <c r="D3158" s="53" t="str">
        <f t="shared" si="376"/>
        <v>Cream</v>
      </c>
      <c r="E3158" s="21" t="s">
        <v>1831</v>
      </c>
      <c r="F3158" s="21" t="str">
        <f ca="1">IFERROR(__xludf.DUMMYFUNCTION("IFERROR(REGEXEXTRACT(O761, ""\n([A-Za-z ]+)$""), """")
"),"United States")</f>
        <v>United States</v>
      </c>
      <c r="G3158" s="4" t="str">
        <f t="shared" si="377"/>
        <v>Romper Longer</v>
      </c>
      <c r="H3158" s="38">
        <f t="shared" si="378"/>
        <v>9</v>
      </c>
      <c r="I3158" s="54">
        <f t="shared" si="375"/>
        <v>40</v>
      </c>
      <c r="J3158" s="14" t="str">
        <f t="shared" si="379"/>
        <v>Normal</v>
      </c>
      <c r="K3158" s="16" t="str">
        <f t="shared" si="380"/>
        <v>0-3</v>
      </c>
      <c r="L3158" s="14" t="str">
        <f t="shared" si="374"/>
        <v>Romper Longer | 0-3 | Cream</v>
      </c>
      <c r="M3158" s="16" t="s">
        <v>3609</v>
      </c>
    </row>
    <row r="3159" spans="1:13" ht="25" customHeight="1" x14ac:dyDescent="0.45">
      <c r="A3159" s="18">
        <v>45929</v>
      </c>
      <c r="B3159" s="19" t="s">
        <v>3259</v>
      </c>
      <c r="C3159" s="23" t="s">
        <v>110</v>
      </c>
      <c r="D3159" s="53" t="str">
        <f t="shared" si="376"/>
        <v>Sage Green</v>
      </c>
      <c r="E3159" s="21" t="s">
        <v>1834</v>
      </c>
      <c r="F3159" s="21" t="str">
        <f ca="1">IFERROR(__xludf.DUMMYFUNCTION("IFERROR(REGEXEXTRACT(O761, ""\n([A-Za-z ]+)$""), """")
"),"United States")</f>
        <v>United States</v>
      </c>
      <c r="G3159" s="4" t="str">
        <f t="shared" si="377"/>
        <v>Romper Short</v>
      </c>
      <c r="H3159" s="38">
        <f t="shared" si="378"/>
        <v>9</v>
      </c>
      <c r="I3159" s="54">
        <f t="shared" si="375"/>
        <v>40</v>
      </c>
      <c r="J3159" s="14" t="str">
        <f t="shared" si="379"/>
        <v>Normal</v>
      </c>
      <c r="K3159" s="16" t="str">
        <f t="shared" si="380"/>
        <v>0-3</v>
      </c>
      <c r="L3159" s="14" t="str">
        <f t="shared" si="374"/>
        <v>Romper Short | 0-3 | Sage Green</v>
      </c>
      <c r="M3159" s="16" t="s">
        <v>3610</v>
      </c>
    </row>
    <row r="3160" spans="1:13" ht="25" customHeight="1" x14ac:dyDescent="0.45">
      <c r="A3160" s="18">
        <v>45930</v>
      </c>
      <c r="B3160" s="19" t="s">
        <v>3260</v>
      </c>
      <c r="C3160" s="23" t="s">
        <v>81</v>
      </c>
      <c r="D3160" s="53" t="str">
        <f t="shared" si="376"/>
        <v>Dusty Pink</v>
      </c>
      <c r="E3160" s="21" t="s">
        <v>1828</v>
      </c>
      <c r="F3160" s="21" t="str">
        <f ca="1">IFERROR(__xludf.DUMMYFUNCTION("IFERROR(REGEXEXTRACT(O761, ""\n([A-Za-z ]+)$""), """")
"),"United States")</f>
        <v>United States</v>
      </c>
      <c r="G3160" s="4" t="str">
        <f t="shared" si="377"/>
        <v>Romper Longer</v>
      </c>
      <c r="H3160" s="38">
        <f t="shared" si="378"/>
        <v>9</v>
      </c>
      <c r="I3160" s="54">
        <f t="shared" si="375"/>
        <v>40</v>
      </c>
      <c r="J3160" s="14" t="str">
        <f t="shared" si="379"/>
        <v>Normal</v>
      </c>
      <c r="K3160" s="16" t="str">
        <f t="shared" si="380"/>
        <v>3-6</v>
      </c>
      <c r="L3160" s="14" t="str">
        <f t="shared" si="374"/>
        <v>Romper Longer | 3-6 | Dusty Pink</v>
      </c>
      <c r="M3160" s="16" t="s">
        <v>3610</v>
      </c>
    </row>
    <row r="3161" spans="1:13" ht="25" customHeight="1" x14ac:dyDescent="0.45">
      <c r="A3161" s="18">
        <v>45931</v>
      </c>
      <c r="B3161" s="19" t="s">
        <v>3261</v>
      </c>
      <c r="C3161" s="23" t="s">
        <v>110</v>
      </c>
      <c r="D3161" s="53" t="str">
        <f t="shared" si="376"/>
        <v>Sage Green</v>
      </c>
      <c r="E3161" s="21" t="s">
        <v>1831</v>
      </c>
      <c r="F3161" s="21" t="str">
        <f ca="1">IFERROR(__xludf.DUMMYFUNCTION("IFERROR(REGEXEXTRACT(O761, ""\n([A-Za-z ]+)$""), """")
"),"United States")</f>
        <v>United States</v>
      </c>
      <c r="G3161" s="4" t="str">
        <f t="shared" si="377"/>
        <v>Romper Longer</v>
      </c>
      <c r="H3161" s="38">
        <f t="shared" si="378"/>
        <v>10</v>
      </c>
      <c r="I3161" s="54">
        <f t="shared" si="375"/>
        <v>40</v>
      </c>
      <c r="J3161" s="14" t="str">
        <f t="shared" si="379"/>
        <v>Halloween</v>
      </c>
      <c r="K3161" s="16" t="str">
        <f t="shared" si="380"/>
        <v>0-3</v>
      </c>
      <c r="L3161" s="14" t="str">
        <f t="shared" si="374"/>
        <v>Romper Longer | 0-3 | Sage Green</v>
      </c>
      <c r="M3161" s="16" t="s">
        <v>3611</v>
      </c>
    </row>
    <row r="3162" spans="1:13" ht="25" customHeight="1" x14ac:dyDescent="0.45">
      <c r="A3162" s="18">
        <v>45932</v>
      </c>
      <c r="B3162" s="19" t="s">
        <v>3262</v>
      </c>
      <c r="C3162" s="23" t="s">
        <v>79</v>
      </c>
      <c r="D3162" s="53" t="str">
        <f t="shared" si="376"/>
        <v>White</v>
      </c>
      <c r="E3162" s="21" t="s">
        <v>1834</v>
      </c>
      <c r="F3162" s="21" t="str">
        <f ca="1">IFERROR(__xludf.DUMMYFUNCTION("IFERROR(REGEXEXTRACT(O761, ""\n([A-Za-z ]+)$""), """")
"),"United States")</f>
        <v>United States</v>
      </c>
      <c r="G3162" s="4" t="str">
        <f t="shared" si="377"/>
        <v>Romper Short</v>
      </c>
      <c r="H3162" s="38">
        <f t="shared" si="378"/>
        <v>10</v>
      </c>
      <c r="I3162" s="54">
        <f t="shared" si="375"/>
        <v>40</v>
      </c>
      <c r="J3162" s="14" t="str">
        <f t="shared" si="379"/>
        <v>Halloween</v>
      </c>
      <c r="K3162" s="16" t="str">
        <f t="shared" si="380"/>
        <v>0-3</v>
      </c>
      <c r="L3162" s="14" t="str">
        <f t="shared" si="374"/>
        <v>Romper Short | 0-3 | White</v>
      </c>
      <c r="M3162" s="16" t="s">
        <v>3610</v>
      </c>
    </row>
    <row r="3163" spans="1:13" ht="25" customHeight="1" x14ac:dyDescent="0.45">
      <c r="A3163" s="18">
        <v>45933</v>
      </c>
      <c r="B3163" s="19" t="s">
        <v>3263</v>
      </c>
      <c r="C3163" s="23" t="s">
        <v>9</v>
      </c>
      <c r="D3163" s="53" t="str">
        <f t="shared" si="376"/>
        <v>Cream</v>
      </c>
      <c r="E3163" s="21" t="s">
        <v>1834</v>
      </c>
      <c r="F3163" s="21" t="str">
        <f ca="1">IFERROR(__xludf.DUMMYFUNCTION("IFERROR(REGEXEXTRACT(O761, ""\n([A-Za-z ]+)$""), """")
"),"United States")</f>
        <v>United States</v>
      </c>
      <c r="G3163" s="4" t="str">
        <f t="shared" si="377"/>
        <v>Romper Short</v>
      </c>
      <c r="H3163" s="38">
        <f t="shared" si="378"/>
        <v>10</v>
      </c>
      <c r="I3163" s="54">
        <f t="shared" si="375"/>
        <v>40</v>
      </c>
      <c r="J3163" s="14" t="str">
        <f t="shared" si="379"/>
        <v>Halloween</v>
      </c>
      <c r="K3163" s="16" t="str">
        <f t="shared" si="380"/>
        <v>0-3</v>
      </c>
      <c r="L3163" s="14" t="str">
        <f t="shared" si="374"/>
        <v>Romper Short | 0-3 | Cream</v>
      </c>
      <c r="M3163" s="16" t="s">
        <v>3609</v>
      </c>
    </row>
    <row r="3164" spans="1:13" ht="25" customHeight="1" x14ac:dyDescent="0.45">
      <c r="A3164" s="18">
        <v>45934</v>
      </c>
      <c r="B3164" s="19" t="s">
        <v>3264</v>
      </c>
      <c r="C3164" s="23" t="s">
        <v>9</v>
      </c>
      <c r="D3164" s="53" t="str">
        <f t="shared" si="376"/>
        <v>Cream</v>
      </c>
      <c r="E3164" s="21" t="s">
        <v>1828</v>
      </c>
      <c r="F3164" s="21" t="str">
        <f ca="1">IFERROR(__xludf.DUMMYFUNCTION("IFERROR(REGEXEXTRACT(O761, ""\n([A-Za-z ]+)$""), """")
"),"United States")</f>
        <v>United States</v>
      </c>
      <c r="G3164" s="4" t="str">
        <f t="shared" si="377"/>
        <v>Romper Longer</v>
      </c>
      <c r="H3164" s="38">
        <f t="shared" si="378"/>
        <v>10</v>
      </c>
      <c r="I3164" s="54">
        <f t="shared" si="375"/>
        <v>40</v>
      </c>
      <c r="J3164" s="14" t="str">
        <f t="shared" si="379"/>
        <v>Halloween</v>
      </c>
      <c r="K3164" s="16" t="str">
        <f t="shared" si="380"/>
        <v>3-6</v>
      </c>
      <c r="L3164" s="14" t="str">
        <f t="shared" si="374"/>
        <v>Romper Longer | 3-6 | Cream</v>
      </c>
      <c r="M3164" s="16" t="s">
        <v>3609</v>
      </c>
    </row>
    <row r="3165" spans="1:13" ht="25" customHeight="1" x14ac:dyDescent="0.45">
      <c r="A3165" s="18">
        <v>45935</v>
      </c>
      <c r="B3165" s="19" t="s">
        <v>3265</v>
      </c>
      <c r="C3165" s="23" t="s">
        <v>178</v>
      </c>
      <c r="D3165" s="53" t="str">
        <f t="shared" si="376"/>
        <v>Mauve Taupe</v>
      </c>
      <c r="E3165" s="21" t="s">
        <v>1834</v>
      </c>
      <c r="F3165" s="21" t="str">
        <f ca="1">IFERROR(__xludf.DUMMYFUNCTION("IFERROR(REGEXEXTRACT(O761, ""\n([A-Za-z ]+)$""), """")
"),"United States")</f>
        <v>United States</v>
      </c>
      <c r="G3165" s="4" t="str">
        <f t="shared" si="377"/>
        <v>Romper Short</v>
      </c>
      <c r="H3165" s="38">
        <f t="shared" si="378"/>
        <v>10</v>
      </c>
      <c r="I3165" s="54">
        <f t="shared" si="375"/>
        <v>41</v>
      </c>
      <c r="J3165" s="14" t="str">
        <f>IF(H3165=1,"NewYear",
IF(H3165=2,"Valentine",
IF(OR(H3165=3,H3165=4),"Easter",
IF(H3165=5,"MothersDay",
IF(H3165=6,"FathersDay",
IF(OR(H3165=7,H3165=8),"Summer",
IF(H3165=10,"Halloween",
IF(OR(H3165=11,H3165=12),"Christmas","Normal"))))))))</f>
        <v>Halloween</v>
      </c>
      <c r="K3165" s="16" t="str">
        <f t="shared" si="380"/>
        <v>0-3</v>
      </c>
      <c r="L3165" s="14" t="str">
        <f t="shared" si="374"/>
        <v>Romper Short | 0-3 | Mauve Taupe</v>
      </c>
      <c r="M3165" s="16" t="s">
        <v>3610</v>
      </c>
    </row>
    <row r="3166" spans="1:13" ht="25" customHeight="1" x14ac:dyDescent="0.45">
      <c r="A3166" s="18">
        <v>45936</v>
      </c>
      <c r="B3166" s="19" t="s">
        <v>3266</v>
      </c>
      <c r="C3166" s="23" t="s">
        <v>9</v>
      </c>
      <c r="D3166" s="53" t="str">
        <f t="shared" si="376"/>
        <v>Cream</v>
      </c>
      <c r="E3166" s="21" t="s">
        <v>1849</v>
      </c>
      <c r="F3166" s="21" t="str">
        <f ca="1">IFERROR(__xludf.DUMMYFUNCTION("IFERROR(REGEXEXTRACT(O761, ""\n([A-Za-z ]+)$""), """")
"),"United States")</f>
        <v>United States</v>
      </c>
      <c r="G3166" s="4" t="str">
        <f t="shared" si="377"/>
        <v>Romper Short</v>
      </c>
      <c r="H3166" s="38">
        <f t="shared" si="378"/>
        <v>10</v>
      </c>
      <c r="I3166" s="54">
        <f t="shared" si="375"/>
        <v>41</v>
      </c>
      <c r="J3166" s="14" t="str">
        <f>IF(H3166=1,"NewYear",
IF(H3166=2,"Valentine",
IF(OR(H3166=3,H3166=4),"Easter",
IF(H3166=5,"MothersDay",
IF(H3166=6,"FathersDay",
IF(OR(H3166=7,H3166=8),"Summer",
IF(H3166=10,"Halloween",
IF(OR(H3166=11,H3166=12),"Christmas","Normal"))))))))</f>
        <v>Halloween</v>
      </c>
      <c r="K3166" s="16" t="str">
        <f t="shared" si="380"/>
        <v>3-6</v>
      </c>
      <c r="L3166" s="14" t="str">
        <f t="shared" si="374"/>
        <v>Romper Short | 3-6 | Cream</v>
      </c>
      <c r="M3166" s="16" t="s">
        <v>3609</v>
      </c>
    </row>
    <row r="3167" spans="1:13" ht="25" customHeight="1" x14ac:dyDescent="0.45">
      <c r="A3167" s="18">
        <v>45937</v>
      </c>
      <c r="B3167" s="19" t="s">
        <v>3267</v>
      </c>
      <c r="C3167" s="23" t="s">
        <v>85</v>
      </c>
      <c r="D3167" s="53" t="str">
        <f t="shared" si="376"/>
        <v>Forest Green</v>
      </c>
      <c r="E3167" s="21" t="s">
        <v>1841</v>
      </c>
      <c r="F3167" s="21" t="str">
        <f ca="1">IFERROR(__xludf.DUMMYFUNCTION("IFERROR(REGEXEXTRACT(O761, ""\n([A-Za-z ]+)$""), """")
"),"United States")</f>
        <v>United States</v>
      </c>
      <c r="G3167" s="4" t="str">
        <f t="shared" si="377"/>
        <v>Romper Longer</v>
      </c>
      <c r="H3167" s="38">
        <f t="shared" si="378"/>
        <v>10</v>
      </c>
      <c r="I3167" s="54">
        <f t="shared" si="375"/>
        <v>41</v>
      </c>
      <c r="J3167" s="14" t="str">
        <f>IF(H3167=1,"NewYear",
IF(H3167=2,"Valentine",
IF(OR(H3167=3,H3167=4),"Easter",
IF(H3167=5,"MothersDay",
IF(H3167=6,"FathersDay",
IF(OR(H3167=7,H3167=8),"Summer",
IF(H3167=10,"Halloween",
IF(OR(H3167=11,H3167=12),"Christmas","Normal"))))))))</f>
        <v>Halloween</v>
      </c>
      <c r="K3167" s="16" t="str">
        <f t="shared" si="380"/>
        <v>6-12</v>
      </c>
      <c r="L3167" s="14" t="str">
        <f t="shared" si="374"/>
        <v>Romper Longer | 6-12 | Forest Green</v>
      </c>
      <c r="M3167" s="16" t="s">
        <v>3610</v>
      </c>
    </row>
    <row r="3168" spans="1:13" ht="25" customHeight="1" x14ac:dyDescent="0.45">
      <c r="A3168" s="18">
        <v>45938</v>
      </c>
      <c r="B3168" s="19" t="s">
        <v>3268</v>
      </c>
      <c r="C3168" s="23" t="s">
        <v>71</v>
      </c>
      <c r="D3168" s="53" t="str">
        <f t="shared" si="376"/>
        <v>Coffee</v>
      </c>
      <c r="E3168" s="21" t="s">
        <v>1831</v>
      </c>
      <c r="F3168" s="21" t="str">
        <f ca="1">IFERROR(__xludf.DUMMYFUNCTION("IFERROR(REGEXEXTRACT(O761, ""\n([A-Za-z ]+)$""), """")
"),"United States")</f>
        <v>United States</v>
      </c>
      <c r="G3168" s="4" t="str">
        <f t="shared" si="377"/>
        <v>Romper Longer</v>
      </c>
      <c r="H3168" s="38">
        <f t="shared" si="378"/>
        <v>10</v>
      </c>
      <c r="I3168" s="54">
        <f t="shared" si="375"/>
        <v>41</v>
      </c>
      <c r="J3168" s="14" t="str">
        <f>IF(H3168=1,"NewYear",
IF(H3168=2,"Valentine",
IF(OR(H3168=3,H3168=4),"Easter",
IF(H3168=5,"MothersDay",
IF(H3168=6,"FathersDay",
IF(OR(H3168=7,H3168=8),"Summer",
IF(H3168=10,"Halloween",
IF(OR(H3168=11,H3168=12),"Christmas","Normal"))))))))</f>
        <v>Halloween</v>
      </c>
      <c r="K3168" s="16" t="str">
        <f t="shared" si="380"/>
        <v>0-3</v>
      </c>
      <c r="L3168" s="14" t="str">
        <f t="shared" si="374"/>
        <v>Romper Longer | 0-3 | Coffee</v>
      </c>
      <c r="M3168" s="16" t="s">
        <v>3610</v>
      </c>
    </row>
    <row r="3169" spans="1:13" ht="25" customHeight="1" x14ac:dyDescent="0.45">
      <c r="A3169" s="18">
        <v>45939</v>
      </c>
      <c r="B3169" s="19" t="s">
        <v>3269</v>
      </c>
      <c r="C3169" s="23" t="s">
        <v>74</v>
      </c>
      <c r="D3169" s="53" t="str">
        <f t="shared" si="376"/>
        <v>Watermelon</v>
      </c>
      <c r="E3169" s="21" t="s">
        <v>1828</v>
      </c>
      <c r="F3169" s="21" t="str">
        <f ca="1">IFERROR(__xludf.DUMMYFUNCTION("IFERROR(REGEXEXTRACT(O761, ""\n([A-Za-z ]+)$""), """")
"),"United States")</f>
        <v>United States</v>
      </c>
      <c r="G3169" s="4" t="str">
        <f t="shared" si="377"/>
        <v>Romper Longer</v>
      </c>
      <c r="H3169" s="38">
        <f t="shared" si="378"/>
        <v>10</v>
      </c>
      <c r="I3169" s="54">
        <f t="shared" si="375"/>
        <v>41</v>
      </c>
      <c r="J3169" s="14" t="str">
        <f t="shared" ref="J3169:J3232" si="381">IF(H3169=1,"NewYear",
IF(H3169=2,"Valentine",
IF(OR(H3169=3,H3169=4),"Easter",
IF(H3169=5,"MothersDay",
IF(H3169=6,"FathersDay",
IF(OR(H3169=7,H3169=8),"Summer",
IF(H3169=10,"Halloween",
IF(OR(H3169=11,H3169=12),"Christmas","Normal"))))))))</f>
        <v>Halloween</v>
      </c>
      <c r="K3169" s="16" t="str">
        <f t="shared" si="380"/>
        <v>3-6</v>
      </c>
      <c r="L3169" s="14" t="str">
        <f t="shared" si="374"/>
        <v>Romper Longer | 3-6 | Watermelon</v>
      </c>
      <c r="M3169" s="16" t="s">
        <v>3610</v>
      </c>
    </row>
    <row r="3170" spans="1:13" ht="25" customHeight="1" x14ac:dyDescent="0.45">
      <c r="A3170" s="18">
        <v>45940</v>
      </c>
      <c r="B3170" s="19" t="s">
        <v>3270</v>
      </c>
      <c r="C3170" s="23" t="s">
        <v>81</v>
      </c>
      <c r="D3170" s="53" t="str">
        <f t="shared" si="376"/>
        <v>Dusty Pink</v>
      </c>
      <c r="E3170" s="21" t="s">
        <v>1838</v>
      </c>
      <c r="F3170" s="21" t="str">
        <f ca="1">IFERROR(__xludf.DUMMYFUNCTION("IFERROR(REGEXEXTRACT(O761, ""\n([A-Za-z ]+)$""), """")
"),"United States")</f>
        <v>United States</v>
      </c>
      <c r="G3170" s="4" t="str">
        <f t="shared" si="377"/>
        <v>Romper Short</v>
      </c>
      <c r="H3170" s="38">
        <f t="shared" si="378"/>
        <v>10</v>
      </c>
      <c r="I3170" s="54">
        <f t="shared" si="375"/>
        <v>41</v>
      </c>
      <c r="J3170" s="14" t="str">
        <f t="shared" si="381"/>
        <v>Halloween</v>
      </c>
      <c r="K3170" s="16" t="str">
        <f t="shared" si="380"/>
        <v>12-18</v>
      </c>
      <c r="L3170" s="14" t="str">
        <f t="shared" si="374"/>
        <v>Romper Short | 12-18 | Dusty Pink</v>
      </c>
      <c r="M3170" s="16" t="s">
        <v>3610</v>
      </c>
    </row>
    <row r="3171" spans="1:13" ht="25" customHeight="1" x14ac:dyDescent="0.45">
      <c r="A3171" s="18">
        <v>45941</v>
      </c>
      <c r="B3171" s="19" t="s">
        <v>3083</v>
      </c>
      <c r="C3171" s="23" t="s">
        <v>9</v>
      </c>
      <c r="D3171" s="53" t="str">
        <f t="shared" si="376"/>
        <v>Cream</v>
      </c>
      <c r="E3171" s="21" t="s">
        <v>1841</v>
      </c>
      <c r="F3171" s="21" t="str">
        <f ca="1">IFERROR(__xludf.DUMMYFUNCTION("IFERROR(REGEXEXTRACT(O761, ""\n([A-Za-z ]+)$""), """")
"),"United States")</f>
        <v>United States</v>
      </c>
      <c r="G3171" s="4" t="str">
        <f t="shared" si="377"/>
        <v>Romper Longer</v>
      </c>
      <c r="H3171" s="38">
        <f t="shared" si="378"/>
        <v>10</v>
      </c>
      <c r="I3171" s="54">
        <f t="shared" si="375"/>
        <v>41</v>
      </c>
      <c r="J3171" s="14" t="str">
        <f t="shared" si="381"/>
        <v>Halloween</v>
      </c>
      <c r="K3171" s="16" t="str">
        <f t="shared" si="380"/>
        <v>6-12</v>
      </c>
      <c r="L3171" s="14" t="str">
        <f t="shared" si="374"/>
        <v>Romper Longer | 6-12 | Cream</v>
      </c>
      <c r="M3171" s="16" t="s">
        <v>3611</v>
      </c>
    </row>
    <row r="3172" spans="1:13" ht="25" customHeight="1" x14ac:dyDescent="0.45">
      <c r="A3172" s="18">
        <v>45942</v>
      </c>
      <c r="B3172" s="19" t="s">
        <v>3271</v>
      </c>
      <c r="C3172" s="23" t="s">
        <v>110</v>
      </c>
      <c r="D3172" s="53" t="str">
        <f t="shared" si="376"/>
        <v>Sage Green</v>
      </c>
      <c r="E3172" s="21" t="s">
        <v>1849</v>
      </c>
      <c r="F3172" s="21" t="str">
        <f ca="1">IFERROR(__xludf.DUMMYFUNCTION("IFERROR(REGEXEXTRACT(O761, ""\n([A-Za-z ]+)$""), """")
"),"United States")</f>
        <v>United States</v>
      </c>
      <c r="G3172" s="4" t="str">
        <f t="shared" si="377"/>
        <v>Romper Short</v>
      </c>
      <c r="H3172" s="38">
        <f t="shared" si="378"/>
        <v>10</v>
      </c>
      <c r="I3172" s="54">
        <f t="shared" si="375"/>
        <v>42</v>
      </c>
      <c r="J3172" s="14" t="str">
        <f t="shared" si="381"/>
        <v>Halloween</v>
      </c>
      <c r="K3172" s="16" t="str">
        <f t="shared" si="380"/>
        <v>3-6</v>
      </c>
      <c r="L3172" s="14" t="str">
        <f t="shared" si="374"/>
        <v>Romper Short | 3-6 | Sage Green</v>
      </c>
      <c r="M3172" s="16" t="s">
        <v>3611</v>
      </c>
    </row>
    <row r="3173" spans="1:13" ht="25" customHeight="1" x14ac:dyDescent="0.45">
      <c r="A3173" s="18">
        <v>45943</v>
      </c>
      <c r="B3173" s="19" t="s">
        <v>3272</v>
      </c>
      <c r="C3173" s="23" t="s">
        <v>178</v>
      </c>
      <c r="D3173" s="53" t="str">
        <f t="shared" si="376"/>
        <v>Mauve Taupe</v>
      </c>
      <c r="E3173" s="21" t="s">
        <v>1834</v>
      </c>
      <c r="F3173" s="21" t="str">
        <f ca="1">IFERROR(__xludf.DUMMYFUNCTION("IFERROR(REGEXEXTRACT(O761, ""\n([A-Za-z ]+)$""), """")
"),"United States")</f>
        <v>United States</v>
      </c>
      <c r="G3173" s="4" t="str">
        <f t="shared" si="377"/>
        <v>Romper Short</v>
      </c>
      <c r="H3173" s="38">
        <f t="shared" si="378"/>
        <v>10</v>
      </c>
      <c r="I3173" s="54">
        <f t="shared" si="375"/>
        <v>42</v>
      </c>
      <c r="J3173" s="14" t="str">
        <f t="shared" si="381"/>
        <v>Halloween</v>
      </c>
      <c r="K3173" s="16" t="str">
        <f t="shared" si="380"/>
        <v>0-3</v>
      </c>
      <c r="L3173" s="14" t="str">
        <f t="shared" si="374"/>
        <v>Romper Short | 0-3 | Mauve Taupe</v>
      </c>
      <c r="M3173" s="16" t="s">
        <v>3610</v>
      </c>
    </row>
    <row r="3174" spans="1:13" ht="25" customHeight="1" x14ac:dyDescent="0.45">
      <c r="A3174" s="18">
        <v>45944</v>
      </c>
      <c r="B3174" s="19" t="s">
        <v>3273</v>
      </c>
      <c r="C3174" s="23" t="s">
        <v>9</v>
      </c>
      <c r="D3174" s="53" t="str">
        <f t="shared" si="376"/>
        <v>Cream</v>
      </c>
      <c r="E3174" s="21" t="s">
        <v>1834</v>
      </c>
      <c r="F3174" s="21" t="str">
        <f ca="1">IFERROR(__xludf.DUMMYFUNCTION("IFERROR(REGEXEXTRACT(O761, ""\n([A-Za-z ]+)$""), """")
"),"United States")</f>
        <v>United States</v>
      </c>
      <c r="G3174" s="4" t="str">
        <f t="shared" si="377"/>
        <v>Romper Short</v>
      </c>
      <c r="H3174" s="38">
        <f t="shared" si="378"/>
        <v>10</v>
      </c>
      <c r="I3174" s="54">
        <f t="shared" si="375"/>
        <v>42</v>
      </c>
      <c r="J3174" s="14" t="str">
        <f t="shared" si="381"/>
        <v>Halloween</v>
      </c>
      <c r="K3174" s="16" t="str">
        <f t="shared" si="380"/>
        <v>0-3</v>
      </c>
      <c r="L3174" s="14" t="str">
        <f t="shared" si="374"/>
        <v>Romper Short | 0-3 | Cream</v>
      </c>
      <c r="M3174" s="16" t="s">
        <v>3609</v>
      </c>
    </row>
    <row r="3175" spans="1:13" ht="25" customHeight="1" x14ac:dyDescent="0.45">
      <c r="A3175" s="18">
        <v>45945</v>
      </c>
      <c r="B3175" s="19" t="s">
        <v>3274</v>
      </c>
      <c r="C3175" s="23" t="s">
        <v>9</v>
      </c>
      <c r="D3175" s="53" t="str">
        <f t="shared" si="376"/>
        <v>Cream</v>
      </c>
      <c r="E3175" s="21" t="s">
        <v>1831</v>
      </c>
      <c r="F3175" s="21" t="str">
        <f ca="1">IFERROR(__xludf.DUMMYFUNCTION("IFERROR(REGEXEXTRACT(O761, ""\n([A-Za-z ]+)$""), """")
"),"United States")</f>
        <v>United States</v>
      </c>
      <c r="G3175" s="4" t="str">
        <f t="shared" si="377"/>
        <v>Romper Longer</v>
      </c>
      <c r="H3175" s="38">
        <f t="shared" si="378"/>
        <v>10</v>
      </c>
      <c r="I3175" s="54">
        <f t="shared" si="375"/>
        <v>42</v>
      </c>
      <c r="J3175" s="14" t="str">
        <f t="shared" si="381"/>
        <v>Halloween</v>
      </c>
      <c r="K3175" s="16" t="str">
        <f t="shared" si="380"/>
        <v>0-3</v>
      </c>
      <c r="L3175" s="14" t="str">
        <f t="shared" si="374"/>
        <v>Romper Longer | 0-3 | Cream</v>
      </c>
      <c r="M3175" s="16" t="s">
        <v>3609</v>
      </c>
    </row>
    <row r="3176" spans="1:13" ht="25" customHeight="1" x14ac:dyDescent="0.45">
      <c r="A3176" s="18">
        <v>45946</v>
      </c>
      <c r="B3176" s="19" t="s">
        <v>3275</v>
      </c>
      <c r="C3176" s="23" t="s">
        <v>178</v>
      </c>
      <c r="D3176" s="53" t="str">
        <f t="shared" si="376"/>
        <v>Mauve Taupe</v>
      </c>
      <c r="E3176" s="21" t="s">
        <v>1834</v>
      </c>
      <c r="F3176" s="21" t="str">
        <f ca="1">IFERROR(__xludf.DUMMYFUNCTION("IFERROR(REGEXEXTRACT(O761, ""\n([A-Za-z ]+)$""), """")
"),"United States")</f>
        <v>United States</v>
      </c>
      <c r="G3176" s="4" t="str">
        <f t="shared" si="377"/>
        <v>Romper Short</v>
      </c>
      <c r="H3176" s="38">
        <f t="shared" si="378"/>
        <v>10</v>
      </c>
      <c r="I3176" s="54">
        <f t="shared" si="375"/>
        <v>42</v>
      </c>
      <c r="J3176" s="14" t="str">
        <f t="shared" si="381"/>
        <v>Halloween</v>
      </c>
      <c r="K3176" s="16" t="str">
        <f t="shared" si="380"/>
        <v>0-3</v>
      </c>
      <c r="L3176" s="14" t="str">
        <f t="shared" si="374"/>
        <v>Romper Short | 0-3 | Mauve Taupe</v>
      </c>
      <c r="M3176" s="16" t="s">
        <v>3610</v>
      </c>
    </row>
    <row r="3177" spans="1:13" ht="25" customHeight="1" x14ac:dyDescent="0.45">
      <c r="A3177" s="18">
        <v>45947</v>
      </c>
      <c r="B3177" s="19" t="s">
        <v>3276</v>
      </c>
      <c r="C3177" s="23" t="s">
        <v>9</v>
      </c>
      <c r="D3177" s="53" t="str">
        <f t="shared" si="376"/>
        <v>Cream</v>
      </c>
      <c r="E3177" s="21" t="s">
        <v>1420</v>
      </c>
      <c r="F3177" s="21" t="str">
        <f ca="1">IFERROR(__xludf.DUMMYFUNCTION("IFERROR(REGEXEXTRACT(O761, ""\n([A-Za-z ]+)$""), """")
"),"United States")</f>
        <v>United States</v>
      </c>
      <c r="G3177" s="4" t="str">
        <f t="shared" si="377"/>
        <v>Romper Short</v>
      </c>
      <c r="H3177" s="38">
        <f t="shared" si="378"/>
        <v>10</v>
      </c>
      <c r="I3177" s="54">
        <f t="shared" si="375"/>
        <v>42</v>
      </c>
      <c r="J3177" s="14" t="str">
        <f t="shared" si="381"/>
        <v>Halloween</v>
      </c>
      <c r="K3177" s="16" t="str">
        <f t="shared" si="380"/>
        <v>6-12</v>
      </c>
      <c r="L3177" s="14" t="str">
        <f t="shared" si="374"/>
        <v>Romper Short | 6-12 | Cream</v>
      </c>
      <c r="M3177" s="16" t="s">
        <v>3611</v>
      </c>
    </row>
    <row r="3178" spans="1:13" ht="25" customHeight="1" x14ac:dyDescent="0.45">
      <c r="A3178" s="18">
        <v>45948</v>
      </c>
      <c r="B3178" s="19" t="s">
        <v>3277</v>
      </c>
      <c r="C3178" s="23" t="s">
        <v>74</v>
      </c>
      <c r="D3178" s="53" t="str">
        <f t="shared" si="376"/>
        <v>Watermelon</v>
      </c>
      <c r="E3178" s="21" t="s">
        <v>1849</v>
      </c>
      <c r="F3178" s="21" t="str">
        <f ca="1">IFERROR(__xludf.DUMMYFUNCTION("IFERROR(REGEXEXTRACT(O761, ""\n([A-Za-z ]+)$""), """")
"),"United States")</f>
        <v>United States</v>
      </c>
      <c r="G3178" s="4" t="str">
        <f t="shared" si="377"/>
        <v>Romper Short</v>
      </c>
      <c r="H3178" s="38">
        <f t="shared" si="378"/>
        <v>10</v>
      </c>
      <c r="I3178" s="54">
        <f t="shared" si="375"/>
        <v>42</v>
      </c>
      <c r="J3178" s="14" t="str">
        <f t="shared" si="381"/>
        <v>Halloween</v>
      </c>
      <c r="K3178" s="16" t="str">
        <f t="shared" si="380"/>
        <v>3-6</v>
      </c>
      <c r="L3178" s="14" t="str">
        <f t="shared" si="374"/>
        <v>Romper Short | 3-6 | Watermelon</v>
      </c>
      <c r="M3178" s="16" t="s">
        <v>3610</v>
      </c>
    </row>
    <row r="3179" spans="1:13" ht="25" customHeight="1" x14ac:dyDescent="0.45">
      <c r="A3179" s="18">
        <v>45949</v>
      </c>
      <c r="B3179" s="19" t="s">
        <v>3278</v>
      </c>
      <c r="C3179" s="23" t="s">
        <v>178</v>
      </c>
      <c r="D3179" s="53" t="str">
        <f t="shared" si="376"/>
        <v>Mauve Taupe</v>
      </c>
      <c r="E3179" s="21" t="s">
        <v>1849</v>
      </c>
      <c r="F3179" s="21" t="str">
        <f ca="1">IFERROR(__xludf.DUMMYFUNCTION("IFERROR(REGEXEXTRACT(O761, ""\n([A-Za-z ]+)$""), """")
"),"United States")</f>
        <v>United States</v>
      </c>
      <c r="G3179" s="4" t="str">
        <f t="shared" si="377"/>
        <v>Romper Short</v>
      </c>
      <c r="H3179" s="38">
        <f t="shared" si="378"/>
        <v>10</v>
      </c>
      <c r="I3179" s="54">
        <f t="shared" si="375"/>
        <v>43</v>
      </c>
      <c r="J3179" s="14" t="str">
        <f t="shared" si="381"/>
        <v>Halloween</v>
      </c>
      <c r="K3179" s="16" t="str">
        <f t="shared" si="380"/>
        <v>3-6</v>
      </c>
      <c r="L3179" s="14" t="str">
        <f t="shared" si="374"/>
        <v>Romper Short | 3-6 | Mauve Taupe</v>
      </c>
      <c r="M3179" s="16" t="s">
        <v>3610</v>
      </c>
    </row>
    <row r="3180" spans="1:13" ht="25" customHeight="1" x14ac:dyDescent="0.45">
      <c r="A3180" s="18">
        <v>45950</v>
      </c>
      <c r="B3180" s="19" t="s">
        <v>3279</v>
      </c>
      <c r="C3180" s="23" t="s">
        <v>71</v>
      </c>
      <c r="D3180" s="53" t="str">
        <f t="shared" si="376"/>
        <v>Coffee</v>
      </c>
      <c r="E3180" s="21" t="s">
        <v>1831</v>
      </c>
      <c r="F3180" s="21" t="str">
        <f ca="1">IFERROR(__xludf.DUMMYFUNCTION("IFERROR(REGEXEXTRACT(O761, ""\n([A-Za-z ]+)$""), """")
"),"United States")</f>
        <v>United States</v>
      </c>
      <c r="G3180" s="4" t="str">
        <f t="shared" si="377"/>
        <v>Romper Longer</v>
      </c>
      <c r="H3180" s="38">
        <f t="shared" si="378"/>
        <v>10</v>
      </c>
      <c r="I3180" s="54">
        <f t="shared" si="375"/>
        <v>43</v>
      </c>
      <c r="J3180" s="14" t="str">
        <f t="shared" si="381"/>
        <v>Halloween</v>
      </c>
      <c r="K3180" s="16" t="str">
        <f t="shared" si="380"/>
        <v>0-3</v>
      </c>
      <c r="L3180" s="14" t="str">
        <f t="shared" si="374"/>
        <v>Romper Longer | 0-3 | Coffee</v>
      </c>
      <c r="M3180" s="16" t="s">
        <v>3610</v>
      </c>
    </row>
    <row r="3181" spans="1:13" ht="25" customHeight="1" x14ac:dyDescent="0.45">
      <c r="A3181" s="18">
        <v>45951</v>
      </c>
      <c r="B3181" s="19" t="s">
        <v>3280</v>
      </c>
      <c r="C3181" s="23" t="s">
        <v>9</v>
      </c>
      <c r="D3181" s="53" t="str">
        <f t="shared" si="376"/>
        <v>Cream</v>
      </c>
      <c r="E3181" s="21" t="s">
        <v>1831</v>
      </c>
      <c r="F3181" s="21" t="str">
        <f ca="1">IFERROR(__xludf.DUMMYFUNCTION("IFERROR(REGEXEXTRACT(O761, ""\n([A-Za-z ]+)$""), """")
"),"United States")</f>
        <v>United States</v>
      </c>
      <c r="G3181" s="4" t="str">
        <f t="shared" si="377"/>
        <v>Romper Longer</v>
      </c>
      <c r="H3181" s="38">
        <f t="shared" si="378"/>
        <v>10</v>
      </c>
      <c r="I3181" s="54">
        <f t="shared" si="375"/>
        <v>43</v>
      </c>
      <c r="J3181" s="14" t="str">
        <f t="shared" si="381"/>
        <v>Halloween</v>
      </c>
      <c r="K3181" s="16" t="str">
        <f t="shared" si="380"/>
        <v>0-3</v>
      </c>
      <c r="L3181" s="14" t="str">
        <f t="shared" si="374"/>
        <v>Romper Longer | 0-3 | Cream</v>
      </c>
      <c r="M3181" s="16" t="s">
        <v>3609</v>
      </c>
    </row>
    <row r="3182" spans="1:13" ht="25" customHeight="1" x14ac:dyDescent="0.45">
      <c r="A3182" s="18">
        <v>45952</v>
      </c>
      <c r="B3182" s="19" t="s">
        <v>3281</v>
      </c>
      <c r="C3182" s="23" t="s">
        <v>110</v>
      </c>
      <c r="D3182" s="53" t="str">
        <f t="shared" si="376"/>
        <v>Sage Green</v>
      </c>
      <c r="E3182" s="21" t="s">
        <v>1841</v>
      </c>
      <c r="F3182" s="21" t="str">
        <f ca="1">IFERROR(__xludf.DUMMYFUNCTION("IFERROR(REGEXEXTRACT(O761, ""\n([A-Za-z ]+)$""), """")
"),"United States")</f>
        <v>United States</v>
      </c>
      <c r="G3182" s="4" t="str">
        <f t="shared" si="377"/>
        <v>Romper Longer</v>
      </c>
      <c r="H3182" s="38">
        <f t="shared" si="378"/>
        <v>10</v>
      </c>
      <c r="I3182" s="54">
        <f t="shared" si="375"/>
        <v>43</v>
      </c>
      <c r="J3182" s="14" t="str">
        <f t="shared" si="381"/>
        <v>Halloween</v>
      </c>
      <c r="K3182" s="16" t="str">
        <f t="shared" si="380"/>
        <v>6-12</v>
      </c>
      <c r="L3182" s="14" t="str">
        <f t="shared" si="374"/>
        <v>Romper Longer | 6-12 | Sage Green</v>
      </c>
      <c r="M3182" s="16" t="s">
        <v>3610</v>
      </c>
    </row>
    <row r="3183" spans="1:13" ht="25" customHeight="1" x14ac:dyDescent="0.45">
      <c r="A3183" s="18">
        <v>45953</v>
      </c>
      <c r="B3183" s="19" t="s">
        <v>3282</v>
      </c>
      <c r="C3183" s="23" t="s">
        <v>9</v>
      </c>
      <c r="D3183" s="53" t="str">
        <f t="shared" si="376"/>
        <v>Cream</v>
      </c>
      <c r="E3183" s="21" t="s">
        <v>1834</v>
      </c>
      <c r="F3183" s="21" t="str">
        <f ca="1">IFERROR(__xludf.DUMMYFUNCTION("IFERROR(REGEXEXTRACT(O761, ""\n([A-Za-z ]+)$""), """")
"),"United States")</f>
        <v>United States</v>
      </c>
      <c r="G3183" s="4" t="str">
        <f t="shared" si="377"/>
        <v>Romper Short</v>
      </c>
      <c r="H3183" s="38">
        <f t="shared" si="378"/>
        <v>10</v>
      </c>
      <c r="I3183" s="54">
        <f t="shared" si="375"/>
        <v>43</v>
      </c>
      <c r="J3183" s="14" t="str">
        <f t="shared" si="381"/>
        <v>Halloween</v>
      </c>
      <c r="K3183" s="16" t="str">
        <f t="shared" si="380"/>
        <v>0-3</v>
      </c>
      <c r="L3183" s="14" t="str">
        <f t="shared" si="374"/>
        <v>Romper Short | 0-3 | Cream</v>
      </c>
      <c r="M3183" s="16" t="s">
        <v>3609</v>
      </c>
    </row>
    <row r="3184" spans="1:13" ht="25" customHeight="1" x14ac:dyDescent="0.45">
      <c r="A3184" s="18">
        <v>45954</v>
      </c>
      <c r="B3184" s="19" t="s">
        <v>3283</v>
      </c>
      <c r="C3184" s="23" t="s">
        <v>81</v>
      </c>
      <c r="D3184" s="53" t="str">
        <f t="shared" si="376"/>
        <v>Dusty Pink</v>
      </c>
      <c r="E3184" s="21" t="s">
        <v>1841</v>
      </c>
      <c r="F3184" s="21" t="str">
        <f ca="1">IFERROR(__xludf.DUMMYFUNCTION("IFERROR(REGEXEXTRACT(O761, ""\n([A-Za-z ]+)$""), """")
"),"United States")</f>
        <v>United States</v>
      </c>
      <c r="G3184" s="4" t="str">
        <f t="shared" si="377"/>
        <v>Romper Longer</v>
      </c>
      <c r="H3184" s="38">
        <f t="shared" si="378"/>
        <v>10</v>
      </c>
      <c r="I3184" s="54">
        <f t="shared" si="375"/>
        <v>43</v>
      </c>
      <c r="J3184" s="14" t="str">
        <f t="shared" si="381"/>
        <v>Halloween</v>
      </c>
      <c r="K3184" s="16" t="str">
        <f t="shared" si="380"/>
        <v>6-12</v>
      </c>
      <c r="L3184" s="14" t="str">
        <f t="shared" si="374"/>
        <v>Romper Longer | 6-12 | Dusty Pink</v>
      </c>
      <c r="M3184" s="16" t="s">
        <v>3610</v>
      </c>
    </row>
    <row r="3185" spans="1:13" ht="25" customHeight="1" x14ac:dyDescent="0.45">
      <c r="A3185" s="18">
        <v>45955</v>
      </c>
      <c r="B3185" s="19" t="s">
        <v>3284</v>
      </c>
      <c r="C3185" s="23" t="s">
        <v>224</v>
      </c>
      <c r="D3185" s="53" t="str">
        <f t="shared" si="376"/>
        <v>Salmon</v>
      </c>
      <c r="E3185" s="21" t="s">
        <v>1828</v>
      </c>
      <c r="F3185" s="21" t="str">
        <f ca="1">IFERROR(__xludf.DUMMYFUNCTION("IFERROR(REGEXEXTRACT(O761, ""\n([A-Za-z ]+)$""), """")
"),"United States")</f>
        <v>United States</v>
      </c>
      <c r="G3185" s="4" t="str">
        <f t="shared" si="377"/>
        <v>Romper Longer</v>
      </c>
      <c r="H3185" s="38">
        <f t="shared" si="378"/>
        <v>10</v>
      </c>
      <c r="I3185" s="54">
        <f t="shared" si="375"/>
        <v>43</v>
      </c>
      <c r="J3185" s="14" t="str">
        <f t="shared" si="381"/>
        <v>Halloween</v>
      </c>
      <c r="K3185" s="16" t="str">
        <f t="shared" si="380"/>
        <v>3-6</v>
      </c>
      <c r="L3185" s="14" t="str">
        <f t="shared" si="374"/>
        <v>Romper Longer | 3-6 | Salmon</v>
      </c>
      <c r="M3185" s="16" t="s">
        <v>3610</v>
      </c>
    </row>
    <row r="3186" spans="1:13" ht="25" customHeight="1" x14ac:dyDescent="0.45">
      <c r="A3186" s="18">
        <v>45956</v>
      </c>
      <c r="B3186" s="19" t="s">
        <v>3285</v>
      </c>
      <c r="C3186" s="23" t="s">
        <v>9</v>
      </c>
      <c r="D3186" s="53" t="str">
        <f t="shared" si="376"/>
        <v>Cream</v>
      </c>
      <c r="E3186" s="21" t="s">
        <v>1834</v>
      </c>
      <c r="F3186" s="21" t="str">
        <f ca="1">IFERROR(__xludf.DUMMYFUNCTION("IFERROR(REGEXEXTRACT(O761, ""\n([A-Za-z ]+)$""), """")
"),"United States")</f>
        <v>United States</v>
      </c>
      <c r="G3186" s="4" t="str">
        <f t="shared" si="377"/>
        <v>Romper Short</v>
      </c>
      <c r="H3186" s="38">
        <f t="shared" si="378"/>
        <v>10</v>
      </c>
      <c r="I3186" s="54">
        <f t="shared" si="375"/>
        <v>44</v>
      </c>
      <c r="J3186" s="14" t="str">
        <f t="shared" si="381"/>
        <v>Halloween</v>
      </c>
      <c r="K3186" s="16" t="str">
        <f t="shared" si="380"/>
        <v>0-3</v>
      </c>
      <c r="L3186" s="14" t="str">
        <f t="shared" si="374"/>
        <v>Romper Short | 0-3 | Cream</v>
      </c>
      <c r="M3186" s="16" t="s">
        <v>3609</v>
      </c>
    </row>
    <row r="3187" spans="1:13" ht="25" customHeight="1" x14ac:dyDescent="0.45">
      <c r="A3187" s="18">
        <v>45957</v>
      </c>
      <c r="B3187" s="19" t="s">
        <v>3286</v>
      </c>
      <c r="C3187" s="23" t="s">
        <v>9</v>
      </c>
      <c r="D3187" s="53" t="str">
        <f t="shared" si="376"/>
        <v>Cream</v>
      </c>
      <c r="E3187" s="21" t="s">
        <v>1841</v>
      </c>
      <c r="F3187" s="21" t="str">
        <f ca="1">IFERROR(__xludf.DUMMYFUNCTION("IFERROR(REGEXEXTRACT(O761, ""\n([A-Za-z ]+)$""), """")
"),"United States")</f>
        <v>United States</v>
      </c>
      <c r="G3187" s="4" t="str">
        <f t="shared" si="377"/>
        <v>Romper Longer</v>
      </c>
      <c r="H3187" s="38">
        <f t="shared" si="378"/>
        <v>10</v>
      </c>
      <c r="I3187" s="54">
        <f t="shared" si="375"/>
        <v>44</v>
      </c>
      <c r="J3187" s="14" t="str">
        <f t="shared" si="381"/>
        <v>Halloween</v>
      </c>
      <c r="K3187" s="16" t="str">
        <f t="shared" si="380"/>
        <v>6-12</v>
      </c>
      <c r="L3187" s="14" t="str">
        <f t="shared" si="374"/>
        <v>Romper Longer | 6-12 | Cream</v>
      </c>
      <c r="M3187" s="16" t="s">
        <v>3611</v>
      </c>
    </row>
    <row r="3188" spans="1:13" ht="25" customHeight="1" x14ac:dyDescent="0.45">
      <c r="A3188" s="18">
        <v>45958</v>
      </c>
      <c r="B3188" s="19" t="s">
        <v>3287</v>
      </c>
      <c r="C3188" s="23" t="s">
        <v>110</v>
      </c>
      <c r="D3188" s="53" t="str">
        <f t="shared" si="376"/>
        <v>Sage Green</v>
      </c>
      <c r="E3188" s="21" t="s">
        <v>1834</v>
      </c>
      <c r="F3188" s="21" t="str">
        <f ca="1">IFERROR(__xludf.DUMMYFUNCTION("IFERROR(REGEXEXTRACT(O761, ""\n([A-Za-z ]+)$""), """")
"),"United States")</f>
        <v>United States</v>
      </c>
      <c r="G3188" s="4" t="str">
        <f t="shared" si="377"/>
        <v>Romper Short</v>
      </c>
      <c r="H3188" s="38">
        <f t="shared" si="378"/>
        <v>10</v>
      </c>
      <c r="I3188" s="54">
        <f t="shared" si="375"/>
        <v>44</v>
      </c>
      <c r="J3188" s="14" t="str">
        <f t="shared" si="381"/>
        <v>Halloween</v>
      </c>
      <c r="K3188" s="16" t="str">
        <f t="shared" si="380"/>
        <v>0-3</v>
      </c>
      <c r="L3188" s="14" t="str">
        <f t="shared" si="374"/>
        <v>Romper Short | 0-3 | Sage Green</v>
      </c>
      <c r="M3188" s="16" t="s">
        <v>3610</v>
      </c>
    </row>
    <row r="3189" spans="1:13" ht="25" customHeight="1" x14ac:dyDescent="0.45">
      <c r="A3189" s="18">
        <v>45959</v>
      </c>
      <c r="B3189" s="19" t="s">
        <v>3288</v>
      </c>
      <c r="C3189" s="23" t="s">
        <v>9</v>
      </c>
      <c r="D3189" s="53" t="str">
        <f t="shared" si="376"/>
        <v>Cream</v>
      </c>
      <c r="E3189" s="21" t="s">
        <v>1849</v>
      </c>
      <c r="F3189" s="21" t="str">
        <f ca="1">IFERROR(__xludf.DUMMYFUNCTION("IFERROR(REGEXEXTRACT(O761, ""\n([A-Za-z ]+)$""), """")
"),"United States")</f>
        <v>United States</v>
      </c>
      <c r="G3189" s="4" t="str">
        <f t="shared" si="377"/>
        <v>Romper Short</v>
      </c>
      <c r="H3189" s="38">
        <f t="shared" si="378"/>
        <v>10</v>
      </c>
      <c r="I3189" s="54">
        <f t="shared" si="375"/>
        <v>44</v>
      </c>
      <c r="J3189" s="14" t="str">
        <f t="shared" si="381"/>
        <v>Halloween</v>
      </c>
      <c r="K3189" s="16" t="str">
        <f t="shared" si="380"/>
        <v>3-6</v>
      </c>
      <c r="L3189" s="14" t="str">
        <f t="shared" si="374"/>
        <v>Romper Short | 3-6 | Cream</v>
      </c>
      <c r="M3189" s="16" t="s">
        <v>3609</v>
      </c>
    </row>
    <row r="3190" spans="1:13" ht="25" customHeight="1" x14ac:dyDescent="0.45">
      <c r="A3190" s="18">
        <v>45960</v>
      </c>
      <c r="B3190" s="19" t="s">
        <v>3289</v>
      </c>
      <c r="C3190" s="23" t="s">
        <v>224</v>
      </c>
      <c r="D3190" s="53" t="str">
        <f t="shared" si="376"/>
        <v>Salmon</v>
      </c>
      <c r="E3190" s="21" t="s">
        <v>1841</v>
      </c>
      <c r="F3190" s="21" t="str">
        <f ca="1">IFERROR(__xludf.DUMMYFUNCTION("IFERROR(REGEXEXTRACT(O761, ""\n([A-Za-z ]+)$""), """")
"),"United States")</f>
        <v>United States</v>
      </c>
      <c r="G3190" s="4" t="str">
        <f t="shared" si="377"/>
        <v>Romper Longer</v>
      </c>
      <c r="H3190" s="38">
        <f t="shared" si="378"/>
        <v>10</v>
      </c>
      <c r="I3190" s="54">
        <f t="shared" si="375"/>
        <v>44</v>
      </c>
      <c r="J3190" s="14" t="str">
        <f t="shared" si="381"/>
        <v>Halloween</v>
      </c>
      <c r="K3190" s="16" t="str">
        <f t="shared" si="380"/>
        <v>6-12</v>
      </c>
      <c r="L3190" s="14" t="str">
        <f t="shared" si="374"/>
        <v>Romper Longer | 6-12 | Salmon</v>
      </c>
      <c r="M3190" s="16" t="s">
        <v>3610</v>
      </c>
    </row>
    <row r="3191" spans="1:13" ht="25" customHeight="1" x14ac:dyDescent="0.45">
      <c r="A3191" s="18">
        <v>45961</v>
      </c>
      <c r="B3191" s="19" t="s">
        <v>3290</v>
      </c>
      <c r="C3191" s="23" t="s">
        <v>9</v>
      </c>
      <c r="D3191" s="53" t="str">
        <f t="shared" si="376"/>
        <v>Cream</v>
      </c>
      <c r="E3191" s="21" t="s">
        <v>1828</v>
      </c>
      <c r="F3191" s="21" t="str">
        <f ca="1">IFERROR(__xludf.DUMMYFUNCTION("IFERROR(REGEXEXTRACT(O761, ""\n([A-Za-z ]+)$""), """")
"),"United States")</f>
        <v>United States</v>
      </c>
      <c r="G3191" s="4" t="str">
        <f t="shared" si="377"/>
        <v>Romper Longer</v>
      </c>
      <c r="H3191" s="38">
        <f t="shared" si="378"/>
        <v>10</v>
      </c>
      <c r="I3191" s="54">
        <f t="shared" si="375"/>
        <v>44</v>
      </c>
      <c r="J3191" s="14" t="str">
        <f t="shared" si="381"/>
        <v>Halloween</v>
      </c>
      <c r="K3191" s="16" t="str">
        <f t="shared" si="380"/>
        <v>3-6</v>
      </c>
      <c r="L3191" s="14" t="str">
        <f t="shared" si="374"/>
        <v>Romper Longer | 3-6 | Cream</v>
      </c>
      <c r="M3191" s="16" t="s">
        <v>3609</v>
      </c>
    </row>
    <row r="3192" spans="1:13" ht="25" customHeight="1" x14ac:dyDescent="0.45">
      <c r="A3192" s="18">
        <v>45962</v>
      </c>
      <c r="B3192" s="19" t="s">
        <v>3291</v>
      </c>
      <c r="C3192" s="23" t="s">
        <v>81</v>
      </c>
      <c r="D3192" s="53" t="str">
        <f t="shared" si="376"/>
        <v>Dusty Pink</v>
      </c>
      <c r="E3192" s="21" t="s">
        <v>1828</v>
      </c>
      <c r="F3192" s="21" t="str">
        <f ca="1">IFERROR(__xludf.DUMMYFUNCTION("IFERROR(REGEXEXTRACT(O761, ""\n([A-Za-z ]+)$""), """")
"),"United States")</f>
        <v>United States</v>
      </c>
      <c r="G3192" s="4" t="str">
        <f t="shared" si="377"/>
        <v>Romper Longer</v>
      </c>
      <c r="H3192" s="38">
        <f t="shared" si="378"/>
        <v>11</v>
      </c>
      <c r="I3192" s="54">
        <f t="shared" si="375"/>
        <v>44</v>
      </c>
      <c r="J3192" s="14" t="str">
        <f t="shared" si="381"/>
        <v>Christmas</v>
      </c>
      <c r="K3192" s="16" t="str">
        <f t="shared" si="380"/>
        <v>3-6</v>
      </c>
      <c r="L3192" s="14" t="str">
        <f t="shared" si="374"/>
        <v>Romper Longer | 3-6 | Dusty Pink</v>
      </c>
      <c r="M3192" s="16" t="s">
        <v>3610</v>
      </c>
    </row>
    <row r="3193" spans="1:13" ht="25" customHeight="1" x14ac:dyDescent="0.45">
      <c r="A3193" s="18">
        <v>45963</v>
      </c>
      <c r="B3193" s="19" t="s">
        <v>3292</v>
      </c>
      <c r="C3193" s="23" t="s">
        <v>9</v>
      </c>
      <c r="D3193" s="53" t="str">
        <f t="shared" si="376"/>
        <v>Cream</v>
      </c>
      <c r="E3193" s="21" t="s">
        <v>1849</v>
      </c>
      <c r="F3193" s="21" t="str">
        <f ca="1">IFERROR(__xludf.DUMMYFUNCTION("IFERROR(REGEXEXTRACT(O761, ""\n([A-Za-z ]+)$""), """")
"),"United States")</f>
        <v>United States</v>
      </c>
      <c r="G3193" s="4" t="str">
        <f t="shared" si="377"/>
        <v>Romper Short</v>
      </c>
      <c r="H3193" s="38">
        <f t="shared" si="378"/>
        <v>11</v>
      </c>
      <c r="I3193" s="54">
        <f t="shared" si="375"/>
        <v>45</v>
      </c>
      <c r="J3193" s="14" t="str">
        <f t="shared" si="381"/>
        <v>Christmas</v>
      </c>
      <c r="K3193" s="16" t="str">
        <f t="shared" si="380"/>
        <v>3-6</v>
      </c>
      <c r="L3193" s="14" t="str">
        <f t="shared" si="374"/>
        <v>Romper Short | 3-6 | Cream</v>
      </c>
      <c r="M3193" s="16" t="s">
        <v>3609</v>
      </c>
    </row>
    <row r="3194" spans="1:13" ht="25" customHeight="1" x14ac:dyDescent="0.45">
      <c r="A3194" s="18">
        <v>45964</v>
      </c>
      <c r="B3194" s="19" t="s">
        <v>2836</v>
      </c>
      <c r="C3194" s="23" t="s">
        <v>79</v>
      </c>
      <c r="D3194" s="53" t="str">
        <f t="shared" si="376"/>
        <v>White</v>
      </c>
      <c r="E3194" s="21" t="s">
        <v>1834</v>
      </c>
      <c r="F3194" s="21" t="str">
        <f ca="1">IFERROR(__xludf.DUMMYFUNCTION("IFERROR(REGEXEXTRACT(O761, ""\n([A-Za-z ]+)$""), """")
"),"United States")</f>
        <v>United States</v>
      </c>
      <c r="G3194" s="4" t="str">
        <f t="shared" si="377"/>
        <v>Romper Short</v>
      </c>
      <c r="H3194" s="38">
        <f t="shared" si="378"/>
        <v>11</v>
      </c>
      <c r="I3194" s="54">
        <f t="shared" si="375"/>
        <v>45</v>
      </c>
      <c r="J3194" s="14" t="str">
        <f t="shared" si="381"/>
        <v>Christmas</v>
      </c>
      <c r="K3194" s="16" t="str">
        <f t="shared" si="380"/>
        <v>0-3</v>
      </c>
      <c r="L3194" s="14" t="str">
        <f t="shared" si="374"/>
        <v>Romper Short | 0-3 | White</v>
      </c>
      <c r="M3194" s="16" t="s">
        <v>3610</v>
      </c>
    </row>
    <row r="3195" spans="1:13" ht="25" customHeight="1" x14ac:dyDescent="0.45">
      <c r="A3195" s="18">
        <v>45965</v>
      </c>
      <c r="B3195" s="19" t="s">
        <v>2836</v>
      </c>
      <c r="C3195" s="23" t="s">
        <v>79</v>
      </c>
      <c r="D3195" s="53" t="str">
        <f t="shared" si="376"/>
        <v>White</v>
      </c>
      <c r="E3195" s="21" t="s">
        <v>1834</v>
      </c>
      <c r="F3195" s="21" t="str">
        <f ca="1">IFERROR(__xludf.DUMMYFUNCTION("IFERROR(REGEXEXTRACT(O761, ""\n([A-Za-z ]+)$""), """")
"),"United States")</f>
        <v>United States</v>
      </c>
      <c r="G3195" s="4" t="str">
        <f t="shared" si="377"/>
        <v>Romper Short</v>
      </c>
      <c r="H3195" s="38">
        <f t="shared" si="378"/>
        <v>11</v>
      </c>
      <c r="I3195" s="54">
        <f t="shared" si="375"/>
        <v>45</v>
      </c>
      <c r="J3195" s="14" t="str">
        <f t="shared" si="381"/>
        <v>Christmas</v>
      </c>
      <c r="K3195" s="16" t="str">
        <f t="shared" si="380"/>
        <v>0-3</v>
      </c>
      <c r="L3195" s="14" t="str">
        <f t="shared" si="374"/>
        <v>Romper Short | 0-3 | White</v>
      </c>
      <c r="M3195" s="16" t="s">
        <v>3610</v>
      </c>
    </row>
    <row r="3196" spans="1:13" ht="25" customHeight="1" x14ac:dyDescent="0.45">
      <c r="A3196" s="18">
        <v>45966</v>
      </c>
      <c r="B3196" s="19" t="s">
        <v>3293</v>
      </c>
      <c r="C3196" s="23" t="s">
        <v>81</v>
      </c>
      <c r="D3196" s="53" t="str">
        <f t="shared" si="376"/>
        <v>Dusty Pink</v>
      </c>
      <c r="E3196" s="21" t="s">
        <v>1828</v>
      </c>
      <c r="F3196" s="21" t="str">
        <f ca="1">IFERROR(__xludf.DUMMYFUNCTION("IFERROR(REGEXEXTRACT(O761, ""\n([A-Za-z ]+)$""), """")
"),"United States")</f>
        <v>United States</v>
      </c>
      <c r="G3196" s="4" t="str">
        <f t="shared" si="377"/>
        <v>Romper Longer</v>
      </c>
      <c r="H3196" s="38">
        <f t="shared" si="378"/>
        <v>11</v>
      </c>
      <c r="I3196" s="54">
        <f t="shared" si="375"/>
        <v>45</v>
      </c>
      <c r="J3196" s="14" t="str">
        <f t="shared" si="381"/>
        <v>Christmas</v>
      </c>
      <c r="K3196" s="16" t="str">
        <f t="shared" si="380"/>
        <v>3-6</v>
      </c>
      <c r="L3196" s="14" t="str">
        <f t="shared" si="374"/>
        <v>Romper Longer | 3-6 | Dusty Pink</v>
      </c>
      <c r="M3196" s="16" t="s">
        <v>3610</v>
      </c>
    </row>
    <row r="3197" spans="1:13" ht="25" customHeight="1" x14ac:dyDescent="0.45">
      <c r="A3197" s="18">
        <v>45967</v>
      </c>
      <c r="B3197" s="19" t="s">
        <v>3294</v>
      </c>
      <c r="C3197" s="23" t="s">
        <v>81</v>
      </c>
      <c r="D3197" s="53" t="str">
        <f t="shared" si="376"/>
        <v>Dusty Pink</v>
      </c>
      <c r="E3197" s="21" t="s">
        <v>1831</v>
      </c>
      <c r="F3197" s="21" t="str">
        <f ca="1">IFERROR(__xludf.DUMMYFUNCTION("IFERROR(REGEXEXTRACT(O761, ""\n([A-Za-z ]+)$""), """")
"),"United States")</f>
        <v>United States</v>
      </c>
      <c r="G3197" s="4" t="str">
        <f t="shared" si="377"/>
        <v>Romper Longer</v>
      </c>
      <c r="H3197" s="38">
        <f t="shared" si="378"/>
        <v>11</v>
      </c>
      <c r="I3197" s="54">
        <f t="shared" si="375"/>
        <v>45</v>
      </c>
      <c r="J3197" s="14" t="str">
        <f t="shared" si="381"/>
        <v>Christmas</v>
      </c>
      <c r="K3197" s="16" t="str">
        <f t="shared" si="380"/>
        <v>0-3</v>
      </c>
      <c r="L3197" s="14" t="str">
        <f t="shared" si="374"/>
        <v>Romper Longer | 0-3 | Dusty Pink</v>
      </c>
      <c r="M3197" s="16" t="s">
        <v>3610</v>
      </c>
    </row>
    <row r="3198" spans="1:13" ht="25" customHeight="1" x14ac:dyDescent="0.45">
      <c r="A3198" s="18">
        <v>45968</v>
      </c>
      <c r="B3198" s="19" t="s">
        <v>3295</v>
      </c>
      <c r="C3198" s="23" t="s">
        <v>9</v>
      </c>
      <c r="D3198" s="53" t="str">
        <f t="shared" si="376"/>
        <v>Cream</v>
      </c>
      <c r="E3198" s="21" t="s">
        <v>1834</v>
      </c>
      <c r="F3198" s="21" t="str">
        <f ca="1">IFERROR(__xludf.DUMMYFUNCTION("IFERROR(REGEXEXTRACT(O761, ""\n([A-Za-z ]+)$""), """")
"),"United States")</f>
        <v>United States</v>
      </c>
      <c r="G3198" s="4" t="str">
        <f t="shared" si="377"/>
        <v>Romper Short</v>
      </c>
      <c r="H3198" s="38">
        <f t="shared" si="378"/>
        <v>11</v>
      </c>
      <c r="I3198" s="54">
        <f t="shared" si="375"/>
        <v>45</v>
      </c>
      <c r="J3198" s="14" t="str">
        <f t="shared" si="381"/>
        <v>Christmas</v>
      </c>
      <c r="K3198" s="16" t="str">
        <f t="shared" si="380"/>
        <v>0-3</v>
      </c>
      <c r="L3198" s="14" t="str">
        <f t="shared" si="374"/>
        <v>Romper Short | 0-3 | Cream</v>
      </c>
      <c r="M3198" s="16" t="s">
        <v>3609</v>
      </c>
    </row>
    <row r="3199" spans="1:13" ht="25" customHeight="1" x14ac:dyDescent="0.45">
      <c r="A3199" s="18">
        <v>45969</v>
      </c>
      <c r="B3199" s="19" t="s">
        <v>3295</v>
      </c>
      <c r="C3199" s="23" t="s">
        <v>76</v>
      </c>
      <c r="D3199" s="53" t="str">
        <f t="shared" si="376"/>
        <v>Caldet Blue</v>
      </c>
      <c r="E3199" s="21" t="s">
        <v>1828</v>
      </c>
      <c r="F3199" s="21" t="str">
        <f ca="1">IFERROR(__xludf.DUMMYFUNCTION("IFERROR(REGEXEXTRACT(O761, ""\n([A-Za-z ]+)$""), """")
"),"United States")</f>
        <v>United States</v>
      </c>
      <c r="G3199" s="4" t="str">
        <f t="shared" si="377"/>
        <v>Romper Longer</v>
      </c>
      <c r="H3199" s="38">
        <f t="shared" si="378"/>
        <v>11</v>
      </c>
      <c r="I3199" s="54">
        <f t="shared" si="375"/>
        <v>45</v>
      </c>
      <c r="J3199" s="14" t="str">
        <f t="shared" si="381"/>
        <v>Christmas</v>
      </c>
      <c r="K3199" s="16" t="str">
        <f t="shared" si="380"/>
        <v>3-6</v>
      </c>
      <c r="L3199" s="14" t="str">
        <f t="shared" si="374"/>
        <v>Romper Longer | 3-6 | Caldet Blue</v>
      </c>
      <c r="M3199" s="16" t="s">
        <v>3610</v>
      </c>
    </row>
    <row r="3200" spans="1:13" ht="25" customHeight="1" x14ac:dyDescent="0.45">
      <c r="A3200" s="18">
        <v>45970</v>
      </c>
      <c r="B3200" s="19" t="s">
        <v>3295</v>
      </c>
      <c r="C3200" s="23" t="s">
        <v>9</v>
      </c>
      <c r="D3200" s="53" t="str">
        <f t="shared" si="376"/>
        <v>Cream</v>
      </c>
      <c r="E3200" s="21" t="s">
        <v>1828</v>
      </c>
      <c r="F3200" s="21" t="str">
        <f ca="1">IFERROR(__xludf.DUMMYFUNCTION("IFERROR(REGEXEXTRACT(O761, ""\n([A-Za-z ]+)$""), """")
"),"United States")</f>
        <v>United States</v>
      </c>
      <c r="G3200" s="4" t="str">
        <f t="shared" si="377"/>
        <v>Romper Longer</v>
      </c>
      <c r="H3200" s="38">
        <f t="shared" si="378"/>
        <v>11</v>
      </c>
      <c r="I3200" s="54">
        <f t="shared" si="375"/>
        <v>46</v>
      </c>
      <c r="J3200" s="14" t="str">
        <f t="shared" si="381"/>
        <v>Christmas</v>
      </c>
      <c r="K3200" s="16" t="str">
        <f t="shared" si="380"/>
        <v>3-6</v>
      </c>
      <c r="L3200" s="14" t="str">
        <f t="shared" si="374"/>
        <v>Romper Longer | 3-6 | Cream</v>
      </c>
      <c r="M3200" s="16" t="s">
        <v>3609</v>
      </c>
    </row>
    <row r="3201" spans="1:13" ht="25" customHeight="1" x14ac:dyDescent="0.45">
      <c r="A3201" s="18">
        <v>45971</v>
      </c>
      <c r="B3201" s="19" t="s">
        <v>3296</v>
      </c>
      <c r="C3201" s="23" t="s">
        <v>9</v>
      </c>
      <c r="D3201" s="53" t="str">
        <f t="shared" si="376"/>
        <v>Cream</v>
      </c>
      <c r="E3201" s="21" t="s">
        <v>1828</v>
      </c>
      <c r="F3201" s="21" t="str">
        <f ca="1">IFERROR(__xludf.DUMMYFUNCTION("IFERROR(REGEXEXTRACT(O761, ""\n([A-Za-z ]+)$""), """")
"),"United States")</f>
        <v>United States</v>
      </c>
      <c r="G3201" s="4" t="str">
        <f t="shared" si="377"/>
        <v>Romper Longer</v>
      </c>
      <c r="H3201" s="38">
        <f t="shared" si="378"/>
        <v>11</v>
      </c>
      <c r="I3201" s="54">
        <f t="shared" si="375"/>
        <v>46</v>
      </c>
      <c r="J3201" s="14" t="str">
        <f t="shared" si="381"/>
        <v>Christmas</v>
      </c>
      <c r="K3201" s="16" t="str">
        <f t="shared" si="380"/>
        <v>3-6</v>
      </c>
      <c r="L3201" s="14" t="str">
        <f t="shared" si="374"/>
        <v>Romper Longer | 3-6 | Cream</v>
      </c>
      <c r="M3201" s="16" t="s">
        <v>3609</v>
      </c>
    </row>
    <row r="3202" spans="1:13" ht="25" customHeight="1" x14ac:dyDescent="0.45">
      <c r="A3202" s="18">
        <v>45972</v>
      </c>
      <c r="B3202" s="19" t="s">
        <v>3297</v>
      </c>
      <c r="C3202" s="23" t="s">
        <v>9</v>
      </c>
      <c r="D3202" s="53" t="str">
        <f t="shared" si="376"/>
        <v>Cream</v>
      </c>
      <c r="E3202" s="21" t="s">
        <v>1834</v>
      </c>
      <c r="F3202" s="21" t="str">
        <f ca="1">IFERROR(__xludf.DUMMYFUNCTION("IFERROR(REGEXEXTRACT(O761, ""\n([A-Za-z ]+)$""), """")
"),"United States")</f>
        <v>United States</v>
      </c>
      <c r="G3202" s="4" t="str">
        <f t="shared" si="377"/>
        <v>Romper Short</v>
      </c>
      <c r="H3202" s="38">
        <f t="shared" si="378"/>
        <v>11</v>
      </c>
      <c r="I3202" s="54">
        <f t="shared" si="375"/>
        <v>46</v>
      </c>
      <c r="J3202" s="14" t="str">
        <f t="shared" si="381"/>
        <v>Christmas</v>
      </c>
      <c r="K3202" s="16" t="str">
        <f t="shared" si="380"/>
        <v>0-3</v>
      </c>
      <c r="L3202" s="14" t="str">
        <f t="shared" ref="L3202:L3265" si="382">TRIM(G3202)&amp;" | "&amp;TRIM(K3202)&amp;" | "&amp;PROPER(TRIM(D3202))</f>
        <v>Romper Short | 0-3 | Cream</v>
      </c>
      <c r="M3202" s="16" t="s">
        <v>3609</v>
      </c>
    </row>
    <row r="3203" spans="1:13" ht="25" customHeight="1" x14ac:dyDescent="0.45">
      <c r="A3203" s="18">
        <v>45973</v>
      </c>
      <c r="B3203" s="19" t="s">
        <v>3298</v>
      </c>
      <c r="C3203" s="23" t="s">
        <v>9</v>
      </c>
      <c r="D3203" s="53" t="str">
        <f t="shared" si="376"/>
        <v>Cream</v>
      </c>
      <c r="E3203" s="21" t="s">
        <v>1420</v>
      </c>
      <c r="F3203" s="21" t="str">
        <f ca="1">IFERROR(__xludf.DUMMYFUNCTION("IFERROR(REGEXEXTRACT(O761, ""\n([A-Za-z ]+)$""), """")
"),"United States")</f>
        <v>United States</v>
      </c>
      <c r="G3203" s="4" t="str">
        <f t="shared" si="377"/>
        <v>Romper Short</v>
      </c>
      <c r="H3203" s="38">
        <f t="shared" si="378"/>
        <v>11</v>
      </c>
      <c r="I3203" s="54">
        <f t="shared" si="375"/>
        <v>46</v>
      </c>
      <c r="J3203" s="14" t="str">
        <f t="shared" si="381"/>
        <v>Christmas</v>
      </c>
      <c r="K3203" s="16" t="str">
        <f t="shared" si="380"/>
        <v>6-12</v>
      </c>
      <c r="L3203" s="14" t="str">
        <f t="shared" si="382"/>
        <v>Romper Short | 6-12 | Cream</v>
      </c>
      <c r="M3203" s="16" t="s">
        <v>3611</v>
      </c>
    </row>
    <row r="3204" spans="1:13" ht="25" customHeight="1" x14ac:dyDescent="0.45">
      <c r="A3204" s="18">
        <v>45974</v>
      </c>
      <c r="B3204" s="19" t="s">
        <v>3299</v>
      </c>
      <c r="C3204" s="23" t="s">
        <v>9</v>
      </c>
      <c r="D3204" s="53" t="str">
        <f t="shared" si="376"/>
        <v>Cream</v>
      </c>
      <c r="E3204" s="21" t="s">
        <v>1828</v>
      </c>
      <c r="F3204" s="21" t="str">
        <f ca="1">IFERROR(__xludf.DUMMYFUNCTION("IFERROR(REGEXEXTRACT(O761, ""\n([A-Za-z ]+)$""), """")
"),"United States")</f>
        <v>United States</v>
      </c>
      <c r="G3204" s="4" t="str">
        <f t="shared" si="377"/>
        <v>Romper Longer</v>
      </c>
      <c r="H3204" s="38">
        <f t="shared" si="378"/>
        <v>11</v>
      </c>
      <c r="I3204" s="54">
        <f t="shared" si="375"/>
        <v>46</v>
      </c>
      <c r="J3204" s="14" t="str">
        <f t="shared" si="381"/>
        <v>Christmas</v>
      </c>
      <c r="K3204" s="16" t="str">
        <f t="shared" si="380"/>
        <v>3-6</v>
      </c>
      <c r="L3204" s="14" t="str">
        <f t="shared" si="382"/>
        <v>Romper Longer | 3-6 | Cream</v>
      </c>
      <c r="M3204" s="16" t="s">
        <v>3609</v>
      </c>
    </row>
    <row r="3205" spans="1:13" ht="25" customHeight="1" x14ac:dyDescent="0.45">
      <c r="A3205" s="18">
        <v>45975</v>
      </c>
      <c r="B3205" s="19" t="s">
        <v>3300</v>
      </c>
      <c r="C3205" s="23" t="s">
        <v>110</v>
      </c>
      <c r="D3205" s="53" t="str">
        <f t="shared" si="376"/>
        <v>Sage Green</v>
      </c>
      <c r="E3205" s="21" t="s">
        <v>1849</v>
      </c>
      <c r="F3205" s="21" t="str">
        <f ca="1">IFERROR(__xludf.DUMMYFUNCTION("IFERROR(REGEXEXTRACT(O761, ""\n([A-Za-z ]+)$""), """")
"),"United States")</f>
        <v>United States</v>
      </c>
      <c r="G3205" s="4" t="str">
        <f t="shared" si="377"/>
        <v>Romper Short</v>
      </c>
      <c r="H3205" s="38">
        <f t="shared" si="378"/>
        <v>11</v>
      </c>
      <c r="I3205" s="54">
        <f t="shared" si="375"/>
        <v>46</v>
      </c>
      <c r="J3205" s="14" t="str">
        <f t="shared" si="381"/>
        <v>Christmas</v>
      </c>
      <c r="K3205" s="16" t="str">
        <f t="shared" si="380"/>
        <v>3-6</v>
      </c>
      <c r="L3205" s="14" t="str">
        <f t="shared" si="382"/>
        <v>Romper Short | 3-6 | Sage Green</v>
      </c>
      <c r="M3205" s="16" t="s">
        <v>3611</v>
      </c>
    </row>
    <row r="3206" spans="1:13" ht="25" customHeight="1" x14ac:dyDescent="0.45">
      <c r="A3206" s="18">
        <v>45976</v>
      </c>
      <c r="B3206" s="19" t="s">
        <v>3301</v>
      </c>
      <c r="C3206" s="23" t="s">
        <v>71</v>
      </c>
      <c r="D3206" s="53" t="str">
        <f t="shared" si="376"/>
        <v>Coffee</v>
      </c>
      <c r="E3206" s="21" t="s">
        <v>1841</v>
      </c>
      <c r="F3206" s="21" t="str">
        <f ca="1">IFERROR(__xludf.DUMMYFUNCTION("IFERROR(REGEXEXTRACT(O761, ""\n([A-Za-z ]+)$""), """")
"),"United States")</f>
        <v>United States</v>
      </c>
      <c r="G3206" s="4" t="str">
        <f t="shared" si="377"/>
        <v>Romper Longer</v>
      </c>
      <c r="H3206" s="38">
        <f t="shared" si="378"/>
        <v>11</v>
      </c>
      <c r="I3206" s="54">
        <f t="shared" si="375"/>
        <v>46</v>
      </c>
      <c r="J3206" s="14" t="str">
        <f t="shared" si="381"/>
        <v>Christmas</v>
      </c>
      <c r="K3206" s="16" t="str">
        <f t="shared" si="380"/>
        <v>6-12</v>
      </c>
      <c r="L3206" s="14" t="str">
        <f t="shared" si="382"/>
        <v>Romper Longer | 6-12 | Coffee</v>
      </c>
      <c r="M3206" s="16" t="s">
        <v>3610</v>
      </c>
    </row>
    <row r="3207" spans="1:13" ht="25" customHeight="1" x14ac:dyDescent="0.45">
      <c r="A3207" s="18">
        <v>45977</v>
      </c>
      <c r="B3207" s="19" t="s">
        <v>3302</v>
      </c>
      <c r="C3207" s="23" t="s">
        <v>110</v>
      </c>
      <c r="D3207" s="53" t="str">
        <f t="shared" si="376"/>
        <v>Sage Green</v>
      </c>
      <c r="E3207" s="21" t="s">
        <v>1841</v>
      </c>
      <c r="F3207" s="21" t="str">
        <f ca="1">IFERROR(__xludf.DUMMYFUNCTION("IFERROR(REGEXEXTRACT(O761, ""\n([A-Za-z ]+)$""), """")
"),"United States")</f>
        <v>United States</v>
      </c>
      <c r="G3207" s="4" t="str">
        <f t="shared" si="377"/>
        <v>Romper Longer</v>
      </c>
      <c r="H3207" s="38">
        <f t="shared" si="378"/>
        <v>11</v>
      </c>
      <c r="I3207" s="54">
        <f t="shared" si="375"/>
        <v>47</v>
      </c>
      <c r="J3207" s="14" t="str">
        <f t="shared" si="381"/>
        <v>Christmas</v>
      </c>
      <c r="K3207" s="16" t="str">
        <f t="shared" si="380"/>
        <v>6-12</v>
      </c>
      <c r="L3207" s="14" t="str">
        <f t="shared" si="382"/>
        <v>Romper Longer | 6-12 | Sage Green</v>
      </c>
      <c r="M3207" s="16" t="s">
        <v>3610</v>
      </c>
    </row>
    <row r="3208" spans="1:13" ht="25" customHeight="1" x14ac:dyDescent="0.45">
      <c r="A3208" s="18">
        <v>45978</v>
      </c>
      <c r="B3208" s="19" t="s">
        <v>3303</v>
      </c>
      <c r="C3208" s="23" t="s">
        <v>9</v>
      </c>
      <c r="D3208" s="53" t="str">
        <f t="shared" si="376"/>
        <v>Cream</v>
      </c>
      <c r="E3208" s="21" t="s">
        <v>1828</v>
      </c>
      <c r="F3208" s="21" t="str">
        <f ca="1">IFERROR(__xludf.DUMMYFUNCTION("IFERROR(REGEXEXTRACT(O761, ""\n([A-Za-z ]+)$""), """")
"),"United States")</f>
        <v>United States</v>
      </c>
      <c r="G3208" s="4" t="str">
        <f t="shared" si="377"/>
        <v>Romper Longer</v>
      </c>
      <c r="H3208" s="38">
        <f t="shared" si="378"/>
        <v>11</v>
      </c>
      <c r="I3208" s="54">
        <f t="shared" ref="I3208:I3271" si="383">WEEKNUM(A3208)</f>
        <v>47</v>
      </c>
      <c r="J3208" s="14" t="str">
        <f t="shared" si="381"/>
        <v>Christmas</v>
      </c>
      <c r="K3208" s="16" t="str">
        <f t="shared" si="380"/>
        <v>3-6</v>
      </c>
      <c r="L3208" s="14" t="str">
        <f t="shared" si="382"/>
        <v>Romper Longer | 3-6 | Cream</v>
      </c>
      <c r="M3208" s="16" t="s">
        <v>3609</v>
      </c>
    </row>
    <row r="3209" spans="1:13" ht="25" customHeight="1" x14ac:dyDescent="0.45">
      <c r="A3209" s="18">
        <v>45979</v>
      </c>
      <c r="B3209" s="19" t="s">
        <v>3304</v>
      </c>
      <c r="C3209" s="23" t="s">
        <v>9</v>
      </c>
      <c r="D3209" s="53" t="str">
        <f t="shared" si="376"/>
        <v>Cream</v>
      </c>
      <c r="E3209" s="21" t="s">
        <v>1841</v>
      </c>
      <c r="F3209" s="21" t="str">
        <f ca="1">IFERROR(__xludf.DUMMYFUNCTION("IFERROR(REGEXEXTRACT(O761, ""\n([A-Za-z ]+)$""), """")
"),"United States")</f>
        <v>United States</v>
      </c>
      <c r="G3209" s="4" t="str">
        <f t="shared" si="377"/>
        <v>Romper Longer</v>
      </c>
      <c r="H3209" s="38">
        <f t="shared" si="378"/>
        <v>11</v>
      </c>
      <c r="I3209" s="54">
        <f t="shared" si="383"/>
        <v>47</v>
      </c>
      <c r="J3209" s="14" t="str">
        <f t="shared" si="381"/>
        <v>Christmas</v>
      </c>
      <c r="K3209" s="16" t="str">
        <f t="shared" si="380"/>
        <v>6-12</v>
      </c>
      <c r="L3209" s="14" t="str">
        <f t="shared" si="382"/>
        <v>Romper Longer | 6-12 | Cream</v>
      </c>
      <c r="M3209" s="16" t="s">
        <v>3611</v>
      </c>
    </row>
    <row r="3210" spans="1:13" ht="25" customHeight="1" x14ac:dyDescent="0.45">
      <c r="A3210" s="18">
        <v>45980</v>
      </c>
      <c r="B3210" s="19" t="s">
        <v>3305</v>
      </c>
      <c r="C3210" s="23" t="s">
        <v>81</v>
      </c>
      <c r="D3210" s="53" t="str">
        <f t="shared" ref="D3210:D3273" si="384">PROPER(C3210)</f>
        <v>Dusty Pink</v>
      </c>
      <c r="E3210" s="21" t="s">
        <v>1831</v>
      </c>
      <c r="F3210" s="21" t="str">
        <f ca="1">IFERROR(__xludf.DUMMYFUNCTION("IFERROR(REGEXEXTRACT(O761, ""\n([A-Za-z ]+)$""), """")
"),"United States")</f>
        <v>United States</v>
      </c>
      <c r="G3210" s="4" t="str">
        <f t="shared" si="377"/>
        <v>Romper Longer</v>
      </c>
      <c r="H3210" s="38">
        <f t="shared" si="378"/>
        <v>11</v>
      </c>
      <c r="I3210" s="54">
        <f t="shared" si="383"/>
        <v>47</v>
      </c>
      <c r="J3210" s="14" t="str">
        <f t="shared" si="381"/>
        <v>Christmas</v>
      </c>
      <c r="K3210" s="16" t="str">
        <f t="shared" si="380"/>
        <v>0-3</v>
      </c>
      <c r="L3210" s="14" t="str">
        <f t="shared" si="382"/>
        <v>Romper Longer | 0-3 | Dusty Pink</v>
      </c>
      <c r="M3210" s="16" t="s">
        <v>3610</v>
      </c>
    </row>
    <row r="3211" spans="1:13" ht="25" customHeight="1" x14ac:dyDescent="0.45">
      <c r="A3211" s="18">
        <v>45981</v>
      </c>
      <c r="B3211" s="19" t="s">
        <v>3306</v>
      </c>
      <c r="C3211" s="23" t="s">
        <v>110</v>
      </c>
      <c r="D3211" s="53" t="str">
        <f t="shared" si="384"/>
        <v>Sage Green</v>
      </c>
      <c r="E3211" s="21" t="s">
        <v>1831</v>
      </c>
      <c r="F3211" s="21" t="str">
        <f ca="1">IFERROR(__xludf.DUMMYFUNCTION("IFERROR(REGEXEXTRACT(O761, ""\n([A-Za-z ]+)$""), """")
"),"United States")</f>
        <v>United States</v>
      </c>
      <c r="G3211" s="4" t="str">
        <f t="shared" si="377"/>
        <v>Romper Longer</v>
      </c>
      <c r="H3211" s="38">
        <f t="shared" si="378"/>
        <v>11</v>
      </c>
      <c r="I3211" s="54">
        <f t="shared" si="383"/>
        <v>47</v>
      </c>
      <c r="J3211" s="14" t="str">
        <f t="shared" si="381"/>
        <v>Christmas</v>
      </c>
      <c r="K3211" s="16" t="str">
        <f t="shared" si="380"/>
        <v>0-3</v>
      </c>
      <c r="L3211" s="14" t="str">
        <f t="shared" si="382"/>
        <v>Romper Longer | 0-3 | Sage Green</v>
      </c>
      <c r="M3211" s="16" t="s">
        <v>3611</v>
      </c>
    </row>
    <row r="3212" spans="1:13" ht="25" customHeight="1" x14ac:dyDescent="0.45">
      <c r="A3212" s="18">
        <v>45982</v>
      </c>
      <c r="B3212" s="19" t="s">
        <v>3307</v>
      </c>
      <c r="C3212" s="23" t="s">
        <v>224</v>
      </c>
      <c r="D3212" s="53" t="str">
        <f t="shared" si="384"/>
        <v>Salmon</v>
      </c>
      <c r="E3212" s="21" t="s">
        <v>1849</v>
      </c>
      <c r="F3212" s="21" t="str">
        <f ca="1">IFERROR(__xludf.DUMMYFUNCTION("IFERROR(REGEXEXTRACT(O761, ""\n([A-Za-z ]+)$""), """")
"),"United States")</f>
        <v>United States</v>
      </c>
      <c r="G3212" s="4" t="str">
        <f t="shared" si="377"/>
        <v>Romper Short</v>
      </c>
      <c r="H3212" s="38">
        <f t="shared" si="378"/>
        <v>11</v>
      </c>
      <c r="I3212" s="54">
        <f t="shared" si="383"/>
        <v>47</v>
      </c>
      <c r="J3212" s="14" t="str">
        <f t="shared" si="381"/>
        <v>Christmas</v>
      </c>
      <c r="K3212" s="16" t="str">
        <f t="shared" si="380"/>
        <v>3-6</v>
      </c>
      <c r="L3212" s="14" t="str">
        <f t="shared" si="382"/>
        <v>Romper Short | 3-6 | Salmon</v>
      </c>
      <c r="M3212" s="16" t="s">
        <v>3610</v>
      </c>
    </row>
    <row r="3213" spans="1:13" ht="25" customHeight="1" x14ac:dyDescent="0.45">
      <c r="A3213" s="18">
        <v>45983</v>
      </c>
      <c r="B3213" s="19" t="s">
        <v>3308</v>
      </c>
      <c r="C3213" s="23" t="s">
        <v>110</v>
      </c>
      <c r="D3213" s="53" t="str">
        <f t="shared" si="384"/>
        <v>Sage Green</v>
      </c>
      <c r="E3213" s="21" t="s">
        <v>1831</v>
      </c>
      <c r="F3213" s="21" t="str">
        <f ca="1">IFERROR(__xludf.DUMMYFUNCTION("IFERROR(REGEXEXTRACT(O761, ""\n([A-Za-z ]+)$""), """")
"),"United States")</f>
        <v>United States</v>
      </c>
      <c r="G3213" s="4" t="str">
        <f t="shared" si="377"/>
        <v>Romper Longer</v>
      </c>
      <c r="H3213" s="38">
        <f t="shared" si="378"/>
        <v>11</v>
      </c>
      <c r="I3213" s="54">
        <f t="shared" si="383"/>
        <v>47</v>
      </c>
      <c r="J3213" s="14" t="str">
        <f t="shared" si="381"/>
        <v>Christmas</v>
      </c>
      <c r="K3213" s="16" t="str">
        <f t="shared" si="380"/>
        <v>0-3</v>
      </c>
      <c r="L3213" s="14" t="str">
        <f t="shared" si="382"/>
        <v>Romper Longer | 0-3 | Sage Green</v>
      </c>
      <c r="M3213" s="16" t="s">
        <v>3611</v>
      </c>
    </row>
    <row r="3214" spans="1:13" ht="25" customHeight="1" x14ac:dyDescent="0.45">
      <c r="A3214" s="18">
        <v>45984</v>
      </c>
      <c r="B3214" s="19" t="s">
        <v>3309</v>
      </c>
      <c r="C3214" s="23" t="s">
        <v>9</v>
      </c>
      <c r="D3214" s="53" t="str">
        <f t="shared" si="384"/>
        <v>Cream</v>
      </c>
      <c r="E3214" s="21" t="s">
        <v>1841</v>
      </c>
      <c r="F3214" s="21" t="str">
        <f ca="1">IFERROR(__xludf.DUMMYFUNCTION("IFERROR(REGEXEXTRACT(O761, ""\n([A-Za-z ]+)$""), """")
"),"United States")</f>
        <v>United States</v>
      </c>
      <c r="G3214" s="4" t="str">
        <f t="shared" si="377"/>
        <v>Romper Longer</v>
      </c>
      <c r="H3214" s="38">
        <f t="shared" si="378"/>
        <v>11</v>
      </c>
      <c r="I3214" s="54">
        <f t="shared" si="383"/>
        <v>48</v>
      </c>
      <c r="J3214" s="14" t="str">
        <f t="shared" si="381"/>
        <v>Christmas</v>
      </c>
      <c r="K3214" s="16" t="str">
        <f t="shared" si="380"/>
        <v>6-12</v>
      </c>
      <c r="L3214" s="14" t="str">
        <f t="shared" si="382"/>
        <v>Romper Longer | 6-12 | Cream</v>
      </c>
      <c r="M3214" s="16" t="s">
        <v>3611</v>
      </c>
    </row>
    <row r="3215" spans="1:13" ht="25" customHeight="1" x14ac:dyDescent="0.45">
      <c r="A3215" s="18">
        <v>45985</v>
      </c>
      <c r="B3215" s="19" t="s">
        <v>3310</v>
      </c>
      <c r="C3215" s="23" t="s">
        <v>110</v>
      </c>
      <c r="D3215" s="53" t="str">
        <f t="shared" si="384"/>
        <v>Sage Green</v>
      </c>
      <c r="E3215" s="21" t="s">
        <v>1420</v>
      </c>
      <c r="F3215" s="21" t="str">
        <f ca="1">IFERROR(__xludf.DUMMYFUNCTION("IFERROR(REGEXEXTRACT(O761, ""\n([A-Za-z ]+)$""), """")
"),"United States")</f>
        <v>United States</v>
      </c>
      <c r="G3215" s="4" t="str">
        <f t="shared" ref="G3215:G3278" si="385">IF(ISNUMBER(SEARCH("LONG",E3215)),"Romper Longer",IF(ISNUMBER(SEARCH("SHORT",E3215)),"Romper Short","Bodysuit"))</f>
        <v>Romper Short</v>
      </c>
      <c r="H3215" s="38">
        <f t="shared" si="378"/>
        <v>11</v>
      </c>
      <c r="I3215" s="54">
        <f t="shared" si="383"/>
        <v>48</v>
      </c>
      <c r="J3215" s="14" t="str">
        <f t="shared" si="381"/>
        <v>Christmas</v>
      </c>
      <c r="K3215" s="16" t="str">
        <f t="shared" si="380"/>
        <v>6-12</v>
      </c>
      <c r="L3215" s="14" t="str">
        <f t="shared" si="382"/>
        <v>Romper Short | 6-12 | Sage Green</v>
      </c>
      <c r="M3215" s="16" t="s">
        <v>3610</v>
      </c>
    </row>
    <row r="3216" spans="1:13" ht="25" customHeight="1" x14ac:dyDescent="0.45">
      <c r="A3216" s="18">
        <v>45986</v>
      </c>
      <c r="B3216" s="19" t="s">
        <v>3311</v>
      </c>
      <c r="C3216" s="23" t="s">
        <v>110</v>
      </c>
      <c r="D3216" s="53" t="str">
        <f t="shared" si="384"/>
        <v>Sage Green</v>
      </c>
      <c r="E3216" s="21" t="s">
        <v>1849</v>
      </c>
      <c r="F3216" s="21" t="str">
        <f ca="1">IFERROR(__xludf.DUMMYFUNCTION("IFERROR(REGEXEXTRACT(O761, ""\n([A-Za-z ]+)$""), """")
"),"United States")</f>
        <v>United States</v>
      </c>
      <c r="G3216" s="4" t="str">
        <f t="shared" si="385"/>
        <v>Romper Short</v>
      </c>
      <c r="H3216" s="38">
        <f t="shared" si="378"/>
        <v>11</v>
      </c>
      <c r="I3216" s="54">
        <f t="shared" si="383"/>
        <v>48</v>
      </c>
      <c r="J3216" s="14" t="str">
        <f t="shared" si="381"/>
        <v>Christmas</v>
      </c>
      <c r="K3216" s="16" t="str">
        <f t="shared" si="380"/>
        <v>3-6</v>
      </c>
      <c r="L3216" s="14" t="str">
        <f t="shared" si="382"/>
        <v>Romper Short | 3-6 | Sage Green</v>
      </c>
      <c r="M3216" s="16" t="s">
        <v>3611</v>
      </c>
    </row>
    <row r="3217" spans="1:13" ht="25" customHeight="1" x14ac:dyDescent="0.45">
      <c r="A3217" s="18">
        <v>45987</v>
      </c>
      <c r="B3217" s="19" t="s">
        <v>3312</v>
      </c>
      <c r="C3217" s="23" t="s">
        <v>79</v>
      </c>
      <c r="D3217" s="53" t="str">
        <f t="shared" si="384"/>
        <v>White</v>
      </c>
      <c r="E3217" s="21" t="s">
        <v>1828</v>
      </c>
      <c r="F3217" s="21" t="str">
        <f ca="1">IFERROR(__xludf.DUMMYFUNCTION("IFERROR(REGEXEXTRACT(O761, ""\n([A-Za-z ]+)$""), """")
"),"United States")</f>
        <v>United States</v>
      </c>
      <c r="G3217" s="4" t="str">
        <f t="shared" si="385"/>
        <v>Romper Longer</v>
      </c>
      <c r="H3217" s="38">
        <f t="shared" si="378"/>
        <v>11</v>
      </c>
      <c r="I3217" s="54">
        <f t="shared" si="383"/>
        <v>48</v>
      </c>
      <c r="J3217" s="14" t="str">
        <f t="shared" si="381"/>
        <v>Christmas</v>
      </c>
      <c r="K3217" s="16" t="str">
        <f t="shared" si="380"/>
        <v>3-6</v>
      </c>
      <c r="L3217" s="14" t="str">
        <f t="shared" si="382"/>
        <v>Romper Longer | 3-6 | White</v>
      </c>
      <c r="M3217" s="16" t="s">
        <v>3610</v>
      </c>
    </row>
    <row r="3218" spans="1:13" ht="25" customHeight="1" x14ac:dyDescent="0.45">
      <c r="A3218" s="18">
        <v>45988</v>
      </c>
      <c r="B3218" s="19" t="s">
        <v>3313</v>
      </c>
      <c r="C3218" s="23" t="s">
        <v>9</v>
      </c>
      <c r="D3218" s="53" t="str">
        <f t="shared" si="384"/>
        <v>Cream</v>
      </c>
      <c r="E3218" s="21" t="s">
        <v>1834</v>
      </c>
      <c r="F3218" s="21" t="str">
        <f ca="1">IFERROR(__xludf.DUMMYFUNCTION("IFERROR(REGEXEXTRACT(O761, ""\n([A-Za-z ]+)$""), """")
"),"United States")</f>
        <v>United States</v>
      </c>
      <c r="G3218" s="4" t="str">
        <f t="shared" si="385"/>
        <v>Romper Short</v>
      </c>
      <c r="H3218" s="38">
        <f t="shared" si="378"/>
        <v>11</v>
      </c>
      <c r="I3218" s="54">
        <f t="shared" si="383"/>
        <v>48</v>
      </c>
      <c r="J3218" s="14" t="str">
        <f t="shared" si="381"/>
        <v>Christmas</v>
      </c>
      <c r="K3218" s="16" t="str">
        <f t="shared" si="380"/>
        <v>0-3</v>
      </c>
      <c r="L3218" s="14" t="str">
        <f t="shared" si="382"/>
        <v>Romper Short | 0-3 | Cream</v>
      </c>
      <c r="M3218" s="16" t="s">
        <v>3609</v>
      </c>
    </row>
    <row r="3219" spans="1:13" ht="25" customHeight="1" x14ac:dyDescent="0.45">
      <c r="A3219" s="18">
        <v>45989</v>
      </c>
      <c r="B3219" s="19" t="s">
        <v>3313</v>
      </c>
      <c r="C3219" s="23" t="s">
        <v>85</v>
      </c>
      <c r="D3219" s="53" t="str">
        <f t="shared" si="384"/>
        <v>Forest Green</v>
      </c>
      <c r="E3219" s="21" t="s">
        <v>1831</v>
      </c>
      <c r="F3219" s="21" t="str">
        <f ca="1">IFERROR(__xludf.DUMMYFUNCTION("IFERROR(REGEXEXTRACT(O761, ""\n([A-Za-z ]+)$""), """")
"),"United States")</f>
        <v>United States</v>
      </c>
      <c r="G3219" s="4" t="str">
        <f t="shared" si="385"/>
        <v>Romper Longer</v>
      </c>
      <c r="H3219" s="38">
        <f t="shared" si="378"/>
        <v>11</v>
      </c>
      <c r="I3219" s="54">
        <f t="shared" si="383"/>
        <v>48</v>
      </c>
      <c r="J3219" s="14" t="str">
        <f t="shared" si="381"/>
        <v>Christmas</v>
      </c>
      <c r="K3219" s="16" t="str">
        <f t="shared" si="380"/>
        <v>0-3</v>
      </c>
      <c r="L3219" s="14" t="str">
        <f t="shared" si="382"/>
        <v>Romper Longer | 0-3 | Forest Green</v>
      </c>
      <c r="M3219" s="16" t="s">
        <v>3610</v>
      </c>
    </row>
    <row r="3220" spans="1:13" ht="25" customHeight="1" x14ac:dyDescent="0.45">
      <c r="A3220" s="18">
        <v>45990</v>
      </c>
      <c r="B3220" s="19" t="s">
        <v>3314</v>
      </c>
      <c r="C3220" s="23" t="s">
        <v>9</v>
      </c>
      <c r="D3220" s="53" t="str">
        <f t="shared" si="384"/>
        <v>Cream</v>
      </c>
      <c r="E3220" s="21" t="s">
        <v>1834</v>
      </c>
      <c r="F3220" s="21" t="str">
        <f ca="1">IFERROR(__xludf.DUMMYFUNCTION("IFERROR(REGEXEXTRACT(O761, ""\n([A-Za-z ]+)$""), """")
"),"United States")</f>
        <v>United States</v>
      </c>
      <c r="G3220" s="4" t="str">
        <f t="shared" si="385"/>
        <v>Romper Short</v>
      </c>
      <c r="H3220" s="38">
        <f t="shared" si="378"/>
        <v>11</v>
      </c>
      <c r="I3220" s="54">
        <f t="shared" si="383"/>
        <v>48</v>
      </c>
      <c r="J3220" s="14" t="str">
        <f t="shared" si="381"/>
        <v>Christmas</v>
      </c>
      <c r="K3220" s="16" t="str">
        <f t="shared" si="380"/>
        <v>0-3</v>
      </c>
      <c r="L3220" s="14" t="str">
        <f t="shared" si="382"/>
        <v>Romper Short | 0-3 | Cream</v>
      </c>
      <c r="M3220" s="16" t="s">
        <v>3609</v>
      </c>
    </row>
    <row r="3221" spans="1:13" ht="25" customHeight="1" x14ac:dyDescent="0.45">
      <c r="A3221" s="18">
        <v>45991</v>
      </c>
      <c r="B3221" s="19" t="s">
        <v>3315</v>
      </c>
      <c r="C3221" s="23" t="s">
        <v>9</v>
      </c>
      <c r="D3221" s="53" t="str">
        <f t="shared" si="384"/>
        <v>Cream</v>
      </c>
      <c r="E3221" s="21" t="s">
        <v>1849</v>
      </c>
      <c r="F3221" s="21" t="str">
        <f ca="1">IFERROR(__xludf.DUMMYFUNCTION("IFERROR(REGEXEXTRACT(O761, ""\n([A-Za-z ]+)$""), """")
"),"United States")</f>
        <v>United States</v>
      </c>
      <c r="G3221" s="4" t="str">
        <f t="shared" si="385"/>
        <v>Romper Short</v>
      </c>
      <c r="H3221" s="38">
        <f t="shared" ref="H3221:H3284" si="386">MONTH(A3221)</f>
        <v>11</v>
      </c>
      <c r="I3221" s="54">
        <f t="shared" si="383"/>
        <v>49</v>
      </c>
      <c r="J3221" s="14" t="str">
        <f t="shared" si="381"/>
        <v>Christmas</v>
      </c>
      <c r="K3221" s="16" t="str">
        <f t="shared" ref="K3221:K3284" si="387">TRIM(LEFT(E3221,FIND("(",E3221&amp;"(")-3))</f>
        <v>3-6</v>
      </c>
      <c r="L3221" s="14" t="str">
        <f t="shared" si="382"/>
        <v>Romper Short | 3-6 | Cream</v>
      </c>
      <c r="M3221" s="16" t="s">
        <v>3609</v>
      </c>
    </row>
    <row r="3222" spans="1:13" ht="25" customHeight="1" x14ac:dyDescent="0.45">
      <c r="A3222" s="18">
        <v>45992</v>
      </c>
      <c r="B3222" s="19" t="s">
        <v>3316</v>
      </c>
      <c r="C3222" s="23" t="s">
        <v>9</v>
      </c>
      <c r="D3222" s="53" t="str">
        <f t="shared" si="384"/>
        <v>Cream</v>
      </c>
      <c r="E3222" s="21" t="s">
        <v>1849</v>
      </c>
      <c r="F3222" s="21" t="str">
        <f ca="1">IFERROR(__xludf.DUMMYFUNCTION("IFERROR(REGEXEXTRACT(O761, ""\n([A-Za-z ]+)$""), """")
"),"United States")</f>
        <v>United States</v>
      </c>
      <c r="G3222" s="4" t="str">
        <f t="shared" si="385"/>
        <v>Romper Short</v>
      </c>
      <c r="H3222" s="38">
        <f t="shared" si="386"/>
        <v>12</v>
      </c>
      <c r="I3222" s="54">
        <f t="shared" si="383"/>
        <v>49</v>
      </c>
      <c r="J3222" s="14" t="str">
        <f t="shared" si="381"/>
        <v>Christmas</v>
      </c>
      <c r="K3222" s="16" t="str">
        <f t="shared" si="387"/>
        <v>3-6</v>
      </c>
      <c r="L3222" s="14" t="str">
        <f t="shared" si="382"/>
        <v>Romper Short | 3-6 | Cream</v>
      </c>
      <c r="M3222" s="16" t="s">
        <v>3609</v>
      </c>
    </row>
    <row r="3223" spans="1:13" ht="25" customHeight="1" x14ac:dyDescent="0.45">
      <c r="A3223" s="18">
        <v>45993</v>
      </c>
      <c r="B3223" s="19" t="s">
        <v>3317</v>
      </c>
      <c r="C3223" s="23" t="s">
        <v>9</v>
      </c>
      <c r="D3223" s="53" t="str">
        <f t="shared" si="384"/>
        <v>Cream</v>
      </c>
      <c r="E3223" s="21" t="s">
        <v>1831</v>
      </c>
      <c r="F3223" s="21" t="str">
        <f ca="1">IFERROR(__xludf.DUMMYFUNCTION("IFERROR(REGEXEXTRACT(O761, ""\n([A-Za-z ]+)$""), """")
"),"United States")</f>
        <v>United States</v>
      </c>
      <c r="G3223" s="4" t="str">
        <f t="shared" si="385"/>
        <v>Romper Longer</v>
      </c>
      <c r="H3223" s="38">
        <f t="shared" si="386"/>
        <v>12</v>
      </c>
      <c r="I3223" s="54">
        <f t="shared" si="383"/>
        <v>49</v>
      </c>
      <c r="J3223" s="14" t="str">
        <f t="shared" si="381"/>
        <v>Christmas</v>
      </c>
      <c r="K3223" s="16" t="str">
        <f t="shared" si="387"/>
        <v>0-3</v>
      </c>
      <c r="L3223" s="14" t="str">
        <f t="shared" si="382"/>
        <v>Romper Longer | 0-3 | Cream</v>
      </c>
      <c r="M3223" s="16" t="s">
        <v>3609</v>
      </c>
    </row>
    <row r="3224" spans="1:13" ht="25" customHeight="1" x14ac:dyDescent="0.45">
      <c r="A3224" s="18">
        <v>45994</v>
      </c>
      <c r="B3224" s="19" t="s">
        <v>3318</v>
      </c>
      <c r="C3224" s="23" t="s">
        <v>74</v>
      </c>
      <c r="D3224" s="53" t="str">
        <f t="shared" si="384"/>
        <v>Watermelon</v>
      </c>
      <c r="E3224" s="21" t="s">
        <v>1828</v>
      </c>
      <c r="F3224" s="21" t="str">
        <f ca="1">IFERROR(__xludf.DUMMYFUNCTION("IFERROR(REGEXEXTRACT(O761, ""\n([A-Za-z ]+)$""), """")
"),"United States")</f>
        <v>United States</v>
      </c>
      <c r="G3224" s="4" t="str">
        <f t="shared" si="385"/>
        <v>Romper Longer</v>
      </c>
      <c r="H3224" s="38">
        <f t="shared" si="386"/>
        <v>12</v>
      </c>
      <c r="I3224" s="54">
        <f t="shared" si="383"/>
        <v>49</v>
      </c>
      <c r="J3224" s="14" t="str">
        <f t="shared" si="381"/>
        <v>Christmas</v>
      </c>
      <c r="K3224" s="16" t="str">
        <f t="shared" si="387"/>
        <v>3-6</v>
      </c>
      <c r="L3224" s="14" t="str">
        <f t="shared" si="382"/>
        <v>Romper Longer | 3-6 | Watermelon</v>
      </c>
      <c r="M3224" s="16" t="s">
        <v>3610</v>
      </c>
    </row>
    <row r="3225" spans="1:13" ht="25" customHeight="1" x14ac:dyDescent="0.45">
      <c r="A3225" s="18">
        <v>45995</v>
      </c>
      <c r="B3225" s="19" t="s">
        <v>3319</v>
      </c>
      <c r="C3225" s="23" t="s">
        <v>9</v>
      </c>
      <c r="D3225" s="53" t="str">
        <f t="shared" si="384"/>
        <v>Cream</v>
      </c>
      <c r="E3225" s="21" t="s">
        <v>1831</v>
      </c>
      <c r="F3225" s="21" t="str">
        <f ca="1">IFERROR(__xludf.DUMMYFUNCTION("IFERROR(REGEXEXTRACT(O761, ""\n([A-Za-z ]+)$""), """")
"),"United States")</f>
        <v>United States</v>
      </c>
      <c r="G3225" s="4" t="str">
        <f t="shared" si="385"/>
        <v>Romper Longer</v>
      </c>
      <c r="H3225" s="38">
        <f t="shared" si="386"/>
        <v>12</v>
      </c>
      <c r="I3225" s="54">
        <f t="shared" si="383"/>
        <v>49</v>
      </c>
      <c r="J3225" s="14" t="str">
        <f t="shared" si="381"/>
        <v>Christmas</v>
      </c>
      <c r="K3225" s="16" t="str">
        <f t="shared" si="387"/>
        <v>0-3</v>
      </c>
      <c r="L3225" s="14" t="str">
        <f t="shared" si="382"/>
        <v>Romper Longer | 0-3 | Cream</v>
      </c>
      <c r="M3225" s="16" t="s">
        <v>3609</v>
      </c>
    </row>
    <row r="3226" spans="1:13" ht="25" customHeight="1" x14ac:dyDescent="0.45">
      <c r="A3226" s="18">
        <v>45996</v>
      </c>
      <c r="B3226" s="19" t="s">
        <v>3320</v>
      </c>
      <c r="C3226" s="23" t="s">
        <v>9</v>
      </c>
      <c r="D3226" s="53" t="str">
        <f t="shared" si="384"/>
        <v>Cream</v>
      </c>
      <c r="E3226" s="21" t="s">
        <v>1831</v>
      </c>
      <c r="F3226" s="21" t="str">
        <f ca="1">IFERROR(__xludf.DUMMYFUNCTION("IFERROR(REGEXEXTRACT(O761, ""\n([A-Za-z ]+)$""), """")
"),"United States")</f>
        <v>United States</v>
      </c>
      <c r="G3226" s="4" t="str">
        <f t="shared" si="385"/>
        <v>Romper Longer</v>
      </c>
      <c r="H3226" s="38">
        <f t="shared" si="386"/>
        <v>12</v>
      </c>
      <c r="I3226" s="54">
        <f t="shared" si="383"/>
        <v>49</v>
      </c>
      <c r="J3226" s="14" t="str">
        <f t="shared" si="381"/>
        <v>Christmas</v>
      </c>
      <c r="K3226" s="16" t="str">
        <f t="shared" si="387"/>
        <v>0-3</v>
      </c>
      <c r="L3226" s="14" t="str">
        <f t="shared" si="382"/>
        <v>Romper Longer | 0-3 | Cream</v>
      </c>
      <c r="M3226" s="16" t="s">
        <v>3609</v>
      </c>
    </row>
    <row r="3227" spans="1:13" ht="25" customHeight="1" x14ac:dyDescent="0.45">
      <c r="A3227" s="18">
        <v>45997</v>
      </c>
      <c r="B3227" s="19" t="s">
        <v>3321</v>
      </c>
      <c r="C3227" s="23" t="s">
        <v>74</v>
      </c>
      <c r="D3227" s="53" t="str">
        <f t="shared" si="384"/>
        <v>Watermelon</v>
      </c>
      <c r="E3227" s="21" t="s">
        <v>1828</v>
      </c>
      <c r="F3227" s="21" t="str">
        <f ca="1">IFERROR(__xludf.DUMMYFUNCTION("IFERROR(REGEXEXTRACT(O761, ""\n([A-Za-z ]+)$""), """")
"),"United States")</f>
        <v>United States</v>
      </c>
      <c r="G3227" s="4" t="str">
        <f t="shared" si="385"/>
        <v>Romper Longer</v>
      </c>
      <c r="H3227" s="38">
        <f t="shared" si="386"/>
        <v>12</v>
      </c>
      <c r="I3227" s="54">
        <f t="shared" si="383"/>
        <v>49</v>
      </c>
      <c r="J3227" s="14" t="str">
        <f t="shared" si="381"/>
        <v>Christmas</v>
      </c>
      <c r="K3227" s="16" t="str">
        <f t="shared" si="387"/>
        <v>3-6</v>
      </c>
      <c r="L3227" s="14" t="str">
        <f t="shared" si="382"/>
        <v>Romper Longer | 3-6 | Watermelon</v>
      </c>
      <c r="M3227" s="16" t="s">
        <v>3610</v>
      </c>
    </row>
    <row r="3228" spans="1:13" ht="25" customHeight="1" x14ac:dyDescent="0.45">
      <c r="A3228" s="18">
        <v>45998</v>
      </c>
      <c r="B3228" s="19" t="s">
        <v>3318</v>
      </c>
      <c r="C3228" s="23" t="s">
        <v>9</v>
      </c>
      <c r="D3228" s="53" t="str">
        <f t="shared" si="384"/>
        <v>Cream</v>
      </c>
      <c r="E3228" s="21" t="s">
        <v>1849</v>
      </c>
      <c r="F3228" s="21" t="str">
        <f ca="1">IFERROR(__xludf.DUMMYFUNCTION("IFERROR(REGEXEXTRACT(O761, ""\n([A-Za-z ]+)$""), """")
"),"United States")</f>
        <v>United States</v>
      </c>
      <c r="G3228" s="4" t="str">
        <f t="shared" si="385"/>
        <v>Romper Short</v>
      </c>
      <c r="H3228" s="38">
        <f t="shared" si="386"/>
        <v>12</v>
      </c>
      <c r="I3228" s="54">
        <f t="shared" si="383"/>
        <v>50</v>
      </c>
      <c r="J3228" s="14" t="str">
        <f t="shared" si="381"/>
        <v>Christmas</v>
      </c>
      <c r="K3228" s="16" t="str">
        <f t="shared" si="387"/>
        <v>3-6</v>
      </c>
      <c r="L3228" s="14" t="str">
        <f t="shared" si="382"/>
        <v>Romper Short | 3-6 | Cream</v>
      </c>
      <c r="M3228" s="16" t="s">
        <v>3609</v>
      </c>
    </row>
    <row r="3229" spans="1:13" ht="25" customHeight="1" x14ac:dyDescent="0.45">
      <c r="A3229" s="18">
        <v>45999</v>
      </c>
      <c r="B3229" s="19" t="s">
        <v>3322</v>
      </c>
      <c r="C3229" s="23" t="s">
        <v>9</v>
      </c>
      <c r="D3229" s="53" t="str">
        <f t="shared" si="384"/>
        <v>Cream</v>
      </c>
      <c r="E3229" s="21" t="s">
        <v>1828</v>
      </c>
      <c r="F3229" s="21" t="str">
        <f ca="1">IFERROR(__xludf.DUMMYFUNCTION("IFERROR(REGEXEXTRACT(O761, ""\n([A-Za-z ]+)$""), """")
"),"United States")</f>
        <v>United States</v>
      </c>
      <c r="G3229" s="4" t="str">
        <f t="shared" si="385"/>
        <v>Romper Longer</v>
      </c>
      <c r="H3229" s="38">
        <f t="shared" si="386"/>
        <v>12</v>
      </c>
      <c r="I3229" s="54">
        <f t="shared" si="383"/>
        <v>50</v>
      </c>
      <c r="J3229" s="14" t="str">
        <f t="shared" si="381"/>
        <v>Christmas</v>
      </c>
      <c r="K3229" s="16" t="str">
        <f t="shared" si="387"/>
        <v>3-6</v>
      </c>
      <c r="L3229" s="14" t="str">
        <f t="shared" si="382"/>
        <v>Romper Longer | 3-6 | Cream</v>
      </c>
      <c r="M3229" s="16" t="s">
        <v>3609</v>
      </c>
    </row>
    <row r="3230" spans="1:13" ht="25" customHeight="1" x14ac:dyDescent="0.45">
      <c r="A3230" s="18">
        <v>46000</v>
      </c>
      <c r="B3230" s="19" t="s">
        <v>3323</v>
      </c>
      <c r="C3230" s="23" t="s">
        <v>407</v>
      </c>
      <c r="D3230" s="53" t="str">
        <f t="shared" si="384"/>
        <v>Texas Orange</v>
      </c>
      <c r="E3230" s="21" t="s">
        <v>1849</v>
      </c>
      <c r="F3230" s="21" t="str">
        <f ca="1">IFERROR(__xludf.DUMMYFUNCTION("IFERROR(REGEXEXTRACT(O761, ""\n([A-Za-z ]+)$""), """")
"),"United States")</f>
        <v>United States</v>
      </c>
      <c r="G3230" s="4" t="str">
        <f t="shared" si="385"/>
        <v>Romper Short</v>
      </c>
      <c r="H3230" s="38">
        <f t="shared" si="386"/>
        <v>12</v>
      </c>
      <c r="I3230" s="54">
        <f t="shared" si="383"/>
        <v>50</v>
      </c>
      <c r="J3230" s="14" t="str">
        <f t="shared" si="381"/>
        <v>Christmas</v>
      </c>
      <c r="K3230" s="16" t="str">
        <f t="shared" si="387"/>
        <v>3-6</v>
      </c>
      <c r="L3230" s="14" t="str">
        <f t="shared" si="382"/>
        <v>Romper Short | 3-6 | Texas Orange</v>
      </c>
      <c r="M3230" s="16" t="s">
        <v>3610</v>
      </c>
    </row>
    <row r="3231" spans="1:13" ht="25" customHeight="1" x14ac:dyDescent="0.45">
      <c r="A3231" s="18">
        <v>46001</v>
      </c>
      <c r="B3231" s="19" t="s">
        <v>3324</v>
      </c>
      <c r="C3231" s="23" t="s">
        <v>9</v>
      </c>
      <c r="D3231" s="53" t="str">
        <f t="shared" si="384"/>
        <v>Cream</v>
      </c>
      <c r="E3231" s="21" t="s">
        <v>1831</v>
      </c>
      <c r="F3231" s="21" t="str">
        <f ca="1">IFERROR(__xludf.DUMMYFUNCTION("IFERROR(REGEXEXTRACT(O761, ""\n([A-Za-z ]+)$""), """")
"),"United States")</f>
        <v>United States</v>
      </c>
      <c r="G3231" s="4" t="str">
        <f t="shared" si="385"/>
        <v>Romper Longer</v>
      </c>
      <c r="H3231" s="38">
        <f t="shared" si="386"/>
        <v>12</v>
      </c>
      <c r="I3231" s="54">
        <f t="shared" si="383"/>
        <v>50</v>
      </c>
      <c r="J3231" s="14" t="str">
        <f t="shared" si="381"/>
        <v>Christmas</v>
      </c>
      <c r="K3231" s="16" t="str">
        <f t="shared" si="387"/>
        <v>0-3</v>
      </c>
      <c r="L3231" s="14" t="str">
        <f t="shared" si="382"/>
        <v>Romper Longer | 0-3 | Cream</v>
      </c>
      <c r="M3231" s="16" t="s">
        <v>3609</v>
      </c>
    </row>
    <row r="3232" spans="1:13" ht="25" customHeight="1" x14ac:dyDescent="0.45">
      <c r="A3232" s="18">
        <v>46002</v>
      </c>
      <c r="B3232" s="19" t="s">
        <v>3322</v>
      </c>
      <c r="C3232" s="23" t="s">
        <v>9</v>
      </c>
      <c r="D3232" s="53" t="str">
        <f t="shared" si="384"/>
        <v>Cream</v>
      </c>
      <c r="E3232" s="21" t="s">
        <v>1834</v>
      </c>
      <c r="F3232" s="21" t="str">
        <f ca="1">IFERROR(__xludf.DUMMYFUNCTION("IFERROR(REGEXEXTRACT(O761, ""\n([A-Za-z ]+)$""), """")
"),"United States")</f>
        <v>United States</v>
      </c>
      <c r="G3232" s="4" t="str">
        <f t="shared" si="385"/>
        <v>Romper Short</v>
      </c>
      <c r="H3232" s="38">
        <f t="shared" si="386"/>
        <v>12</v>
      </c>
      <c r="I3232" s="54">
        <f t="shared" si="383"/>
        <v>50</v>
      </c>
      <c r="J3232" s="14" t="str">
        <f t="shared" si="381"/>
        <v>Christmas</v>
      </c>
      <c r="K3232" s="16" t="str">
        <f t="shared" si="387"/>
        <v>0-3</v>
      </c>
      <c r="L3232" s="14" t="str">
        <f t="shared" si="382"/>
        <v>Romper Short | 0-3 | Cream</v>
      </c>
      <c r="M3232" s="16" t="s">
        <v>3609</v>
      </c>
    </row>
    <row r="3233" spans="1:13" ht="25" customHeight="1" x14ac:dyDescent="0.45">
      <c r="A3233" s="18">
        <v>46003</v>
      </c>
      <c r="B3233" s="19" t="s">
        <v>3325</v>
      </c>
      <c r="C3233" s="23" t="s">
        <v>76</v>
      </c>
      <c r="D3233" s="53" t="str">
        <f t="shared" si="384"/>
        <v>Caldet Blue</v>
      </c>
      <c r="E3233" s="21" t="s">
        <v>1834</v>
      </c>
      <c r="F3233" s="21" t="str">
        <f ca="1">IFERROR(__xludf.DUMMYFUNCTION("IFERROR(REGEXEXTRACT(O761, ""\n([A-Za-z ]+)$""), """")
"),"United States")</f>
        <v>United States</v>
      </c>
      <c r="G3233" s="4" t="str">
        <f t="shared" si="385"/>
        <v>Romper Short</v>
      </c>
      <c r="H3233" s="38">
        <f t="shared" si="386"/>
        <v>12</v>
      </c>
      <c r="I3233" s="54">
        <f t="shared" si="383"/>
        <v>50</v>
      </c>
      <c r="J3233" s="14" t="str">
        <f t="shared" ref="J3233:J3296" si="388">IF(H3233=1,"NewYear",
IF(H3233=2,"Valentine",
IF(OR(H3233=3,H3233=4),"Easter",
IF(H3233=5,"MothersDay",
IF(H3233=6,"FathersDay",
IF(OR(H3233=7,H3233=8),"Summer",
IF(H3233=10,"Halloween",
IF(OR(H3233=11,H3233=12),"Christmas","Normal"))))))))</f>
        <v>Christmas</v>
      </c>
      <c r="K3233" s="16" t="str">
        <f t="shared" si="387"/>
        <v>0-3</v>
      </c>
      <c r="L3233" s="14" t="str">
        <f t="shared" si="382"/>
        <v>Romper Short | 0-3 | Caldet Blue</v>
      </c>
      <c r="M3233" s="16" t="s">
        <v>3610</v>
      </c>
    </row>
    <row r="3234" spans="1:13" ht="25" customHeight="1" x14ac:dyDescent="0.45">
      <c r="A3234" s="18">
        <v>46004</v>
      </c>
      <c r="B3234" s="19" t="s">
        <v>3326</v>
      </c>
      <c r="C3234" s="23" t="s">
        <v>9</v>
      </c>
      <c r="D3234" s="53" t="str">
        <f t="shared" si="384"/>
        <v>Cream</v>
      </c>
      <c r="E3234" s="21" t="s">
        <v>1420</v>
      </c>
      <c r="F3234" s="21" t="str">
        <f ca="1">IFERROR(__xludf.DUMMYFUNCTION("IFERROR(REGEXEXTRACT(O761, ""\n([A-Za-z ]+)$""), """")
"),"United States")</f>
        <v>United States</v>
      </c>
      <c r="G3234" s="4" t="str">
        <f t="shared" si="385"/>
        <v>Romper Short</v>
      </c>
      <c r="H3234" s="38">
        <f t="shared" si="386"/>
        <v>12</v>
      </c>
      <c r="I3234" s="54">
        <f t="shared" si="383"/>
        <v>50</v>
      </c>
      <c r="J3234" s="14" t="str">
        <f t="shared" si="388"/>
        <v>Christmas</v>
      </c>
      <c r="K3234" s="16" t="str">
        <f t="shared" si="387"/>
        <v>6-12</v>
      </c>
      <c r="L3234" s="14" t="str">
        <f t="shared" si="382"/>
        <v>Romper Short | 6-12 | Cream</v>
      </c>
      <c r="M3234" s="16" t="s">
        <v>3611</v>
      </c>
    </row>
    <row r="3235" spans="1:13" ht="25" customHeight="1" x14ac:dyDescent="0.45">
      <c r="A3235" s="18">
        <v>46005</v>
      </c>
      <c r="B3235" s="19" t="s">
        <v>3327</v>
      </c>
      <c r="C3235" s="23" t="s">
        <v>110</v>
      </c>
      <c r="D3235" s="53" t="str">
        <f t="shared" si="384"/>
        <v>Sage Green</v>
      </c>
      <c r="E3235" s="21" t="s">
        <v>1831</v>
      </c>
      <c r="F3235" s="21" t="str">
        <f ca="1">IFERROR(__xludf.DUMMYFUNCTION("IFERROR(REGEXEXTRACT(O761, ""\n([A-Za-z ]+)$""), """")
"),"United States")</f>
        <v>United States</v>
      </c>
      <c r="G3235" s="4" t="str">
        <f t="shared" si="385"/>
        <v>Romper Longer</v>
      </c>
      <c r="H3235" s="38">
        <f t="shared" si="386"/>
        <v>12</v>
      </c>
      <c r="I3235" s="54">
        <f t="shared" si="383"/>
        <v>51</v>
      </c>
      <c r="J3235" s="14" t="str">
        <f t="shared" si="388"/>
        <v>Christmas</v>
      </c>
      <c r="K3235" s="16" t="str">
        <f t="shared" si="387"/>
        <v>0-3</v>
      </c>
      <c r="L3235" s="14" t="str">
        <f t="shared" si="382"/>
        <v>Romper Longer | 0-3 | Sage Green</v>
      </c>
      <c r="M3235" s="16" t="s">
        <v>3611</v>
      </c>
    </row>
    <row r="3236" spans="1:13" ht="25" customHeight="1" x14ac:dyDescent="0.45">
      <c r="A3236" s="18">
        <v>46006</v>
      </c>
      <c r="B3236" s="19" t="s">
        <v>3328</v>
      </c>
      <c r="C3236" s="23" t="s">
        <v>110</v>
      </c>
      <c r="D3236" s="53" t="str">
        <f t="shared" si="384"/>
        <v>Sage Green</v>
      </c>
      <c r="E3236" s="21" t="s">
        <v>1841</v>
      </c>
      <c r="F3236" s="21" t="str">
        <f ca="1">IFERROR(__xludf.DUMMYFUNCTION("IFERROR(REGEXEXTRACT(O761, ""\n([A-Za-z ]+)$""), """")
"),"United States")</f>
        <v>United States</v>
      </c>
      <c r="G3236" s="4" t="str">
        <f t="shared" si="385"/>
        <v>Romper Longer</v>
      </c>
      <c r="H3236" s="38">
        <f t="shared" si="386"/>
        <v>12</v>
      </c>
      <c r="I3236" s="54">
        <f t="shared" si="383"/>
        <v>51</v>
      </c>
      <c r="J3236" s="14" t="str">
        <f t="shared" si="388"/>
        <v>Christmas</v>
      </c>
      <c r="K3236" s="16" t="str">
        <f t="shared" si="387"/>
        <v>6-12</v>
      </c>
      <c r="L3236" s="14" t="str">
        <f t="shared" si="382"/>
        <v>Romper Longer | 6-12 | Sage Green</v>
      </c>
      <c r="M3236" s="16" t="s">
        <v>3610</v>
      </c>
    </row>
    <row r="3237" spans="1:13" ht="25" customHeight="1" x14ac:dyDescent="0.45">
      <c r="A3237" s="18">
        <v>46007</v>
      </c>
      <c r="B3237" s="19" t="s">
        <v>3329</v>
      </c>
      <c r="C3237" s="23" t="s">
        <v>110</v>
      </c>
      <c r="D3237" s="53" t="str">
        <f t="shared" si="384"/>
        <v>Sage Green</v>
      </c>
      <c r="E3237" s="21" t="s">
        <v>1849</v>
      </c>
      <c r="F3237" s="21" t="str">
        <f ca="1">IFERROR(__xludf.DUMMYFUNCTION("IFERROR(REGEXEXTRACT(O761, ""\n([A-Za-z ]+)$""), """")
"),"United States")</f>
        <v>United States</v>
      </c>
      <c r="G3237" s="4" t="str">
        <f t="shared" si="385"/>
        <v>Romper Short</v>
      </c>
      <c r="H3237" s="38">
        <f t="shared" si="386"/>
        <v>12</v>
      </c>
      <c r="I3237" s="54">
        <f t="shared" si="383"/>
        <v>51</v>
      </c>
      <c r="J3237" s="14" t="str">
        <f t="shared" si="388"/>
        <v>Christmas</v>
      </c>
      <c r="K3237" s="16" t="str">
        <f t="shared" si="387"/>
        <v>3-6</v>
      </c>
      <c r="L3237" s="14" t="str">
        <f t="shared" si="382"/>
        <v>Romper Short | 3-6 | Sage Green</v>
      </c>
      <c r="M3237" s="16" t="s">
        <v>3611</v>
      </c>
    </row>
    <row r="3238" spans="1:13" ht="25" customHeight="1" x14ac:dyDescent="0.45">
      <c r="A3238" s="18">
        <v>46008</v>
      </c>
      <c r="B3238" s="19" t="s">
        <v>3330</v>
      </c>
      <c r="C3238" s="23" t="s">
        <v>81</v>
      </c>
      <c r="D3238" s="53" t="str">
        <f t="shared" si="384"/>
        <v>Dusty Pink</v>
      </c>
      <c r="E3238" s="21" t="s">
        <v>1841</v>
      </c>
      <c r="F3238" s="21" t="str">
        <f ca="1">IFERROR(__xludf.DUMMYFUNCTION("IFERROR(REGEXEXTRACT(O761, ""\n([A-Za-z ]+)$""), """")
"),"United States")</f>
        <v>United States</v>
      </c>
      <c r="G3238" s="4" t="str">
        <f t="shared" si="385"/>
        <v>Romper Longer</v>
      </c>
      <c r="H3238" s="38">
        <f t="shared" si="386"/>
        <v>12</v>
      </c>
      <c r="I3238" s="54">
        <f t="shared" si="383"/>
        <v>51</v>
      </c>
      <c r="J3238" s="14" t="str">
        <f t="shared" si="388"/>
        <v>Christmas</v>
      </c>
      <c r="K3238" s="16" t="str">
        <f t="shared" si="387"/>
        <v>6-12</v>
      </c>
      <c r="L3238" s="14" t="str">
        <f t="shared" si="382"/>
        <v>Romper Longer | 6-12 | Dusty Pink</v>
      </c>
      <c r="M3238" s="16" t="s">
        <v>3610</v>
      </c>
    </row>
    <row r="3239" spans="1:13" ht="25" customHeight="1" x14ac:dyDescent="0.45">
      <c r="A3239" s="18">
        <v>46009</v>
      </c>
      <c r="B3239" s="19" t="s">
        <v>3331</v>
      </c>
      <c r="C3239" s="23" t="s">
        <v>110</v>
      </c>
      <c r="D3239" s="53" t="str">
        <f t="shared" si="384"/>
        <v>Sage Green</v>
      </c>
      <c r="E3239" s="21" t="s">
        <v>1849</v>
      </c>
      <c r="F3239" s="21" t="str">
        <f ca="1">IFERROR(__xludf.DUMMYFUNCTION("IFERROR(REGEXEXTRACT(O761, ""\n([A-Za-z ]+)$""), """")
"),"United States")</f>
        <v>United States</v>
      </c>
      <c r="G3239" s="4" t="str">
        <f t="shared" si="385"/>
        <v>Romper Short</v>
      </c>
      <c r="H3239" s="38">
        <f t="shared" si="386"/>
        <v>12</v>
      </c>
      <c r="I3239" s="54">
        <f t="shared" si="383"/>
        <v>51</v>
      </c>
      <c r="J3239" s="14" t="str">
        <f t="shared" si="388"/>
        <v>Christmas</v>
      </c>
      <c r="K3239" s="16" t="str">
        <f t="shared" si="387"/>
        <v>3-6</v>
      </c>
      <c r="L3239" s="14" t="str">
        <f t="shared" si="382"/>
        <v>Romper Short | 3-6 | Sage Green</v>
      </c>
      <c r="M3239" s="16" t="s">
        <v>3611</v>
      </c>
    </row>
    <row r="3240" spans="1:13" ht="25" customHeight="1" x14ac:dyDescent="0.45">
      <c r="A3240" s="18">
        <v>46010</v>
      </c>
      <c r="B3240" s="19" t="s">
        <v>3332</v>
      </c>
      <c r="C3240" s="23" t="s">
        <v>9</v>
      </c>
      <c r="D3240" s="53" t="str">
        <f t="shared" si="384"/>
        <v>Cream</v>
      </c>
      <c r="E3240" s="21" t="s">
        <v>1828</v>
      </c>
      <c r="F3240" s="21" t="str">
        <f ca="1">IFERROR(__xludf.DUMMYFUNCTION("IFERROR(REGEXEXTRACT(O761, ""\n([A-Za-z ]+)$""), """")
"),"United States")</f>
        <v>United States</v>
      </c>
      <c r="G3240" s="4" t="str">
        <f t="shared" si="385"/>
        <v>Romper Longer</v>
      </c>
      <c r="H3240" s="38">
        <f t="shared" si="386"/>
        <v>12</v>
      </c>
      <c r="I3240" s="54">
        <f t="shared" si="383"/>
        <v>51</v>
      </c>
      <c r="J3240" s="14" t="str">
        <f t="shared" si="388"/>
        <v>Christmas</v>
      </c>
      <c r="K3240" s="16" t="str">
        <f t="shared" si="387"/>
        <v>3-6</v>
      </c>
      <c r="L3240" s="14" t="str">
        <f t="shared" si="382"/>
        <v>Romper Longer | 3-6 | Cream</v>
      </c>
      <c r="M3240" s="16" t="s">
        <v>3609</v>
      </c>
    </row>
    <row r="3241" spans="1:13" ht="25" customHeight="1" x14ac:dyDescent="0.45">
      <c r="A3241" s="18">
        <v>46011</v>
      </c>
      <c r="B3241" s="19" t="s">
        <v>3333</v>
      </c>
      <c r="C3241" s="23" t="s">
        <v>81</v>
      </c>
      <c r="D3241" s="53" t="str">
        <f t="shared" si="384"/>
        <v>Dusty Pink</v>
      </c>
      <c r="E3241" s="21" t="s">
        <v>1834</v>
      </c>
      <c r="F3241" s="21" t="str">
        <f ca="1">IFERROR(__xludf.DUMMYFUNCTION("IFERROR(REGEXEXTRACT(O761, ""\n([A-Za-z ]+)$""), """")
"),"United States")</f>
        <v>United States</v>
      </c>
      <c r="G3241" s="4" t="str">
        <f t="shared" si="385"/>
        <v>Romper Short</v>
      </c>
      <c r="H3241" s="38">
        <f t="shared" si="386"/>
        <v>12</v>
      </c>
      <c r="I3241" s="54">
        <f t="shared" si="383"/>
        <v>51</v>
      </c>
      <c r="J3241" s="14" t="str">
        <f t="shared" si="388"/>
        <v>Christmas</v>
      </c>
      <c r="K3241" s="16" t="str">
        <f t="shared" si="387"/>
        <v>0-3</v>
      </c>
      <c r="L3241" s="14" t="str">
        <f t="shared" si="382"/>
        <v>Romper Short | 0-3 | Dusty Pink</v>
      </c>
      <c r="M3241" s="16" t="s">
        <v>3610</v>
      </c>
    </row>
    <row r="3242" spans="1:13" ht="25" customHeight="1" x14ac:dyDescent="0.45">
      <c r="A3242" s="18">
        <v>46012</v>
      </c>
      <c r="B3242" s="19" t="s">
        <v>3334</v>
      </c>
      <c r="C3242" s="23" t="s">
        <v>74</v>
      </c>
      <c r="D3242" s="53" t="str">
        <f t="shared" si="384"/>
        <v>Watermelon</v>
      </c>
      <c r="E3242" s="21" t="s">
        <v>1834</v>
      </c>
      <c r="F3242" s="21" t="str">
        <f ca="1">IFERROR(__xludf.DUMMYFUNCTION("IFERROR(REGEXEXTRACT(O761, ""\n([A-Za-z ]+)$""), """")
"),"United States")</f>
        <v>United States</v>
      </c>
      <c r="G3242" s="4" t="str">
        <f t="shared" si="385"/>
        <v>Romper Short</v>
      </c>
      <c r="H3242" s="38">
        <f t="shared" si="386"/>
        <v>12</v>
      </c>
      <c r="I3242" s="54">
        <f t="shared" si="383"/>
        <v>52</v>
      </c>
      <c r="J3242" s="14" t="str">
        <f t="shared" si="388"/>
        <v>Christmas</v>
      </c>
      <c r="K3242" s="16" t="str">
        <f t="shared" si="387"/>
        <v>0-3</v>
      </c>
      <c r="L3242" s="14" t="str">
        <f t="shared" si="382"/>
        <v>Romper Short | 0-3 | Watermelon</v>
      </c>
      <c r="M3242" s="16" t="s">
        <v>3610</v>
      </c>
    </row>
    <row r="3243" spans="1:13" ht="25" customHeight="1" x14ac:dyDescent="0.45">
      <c r="A3243" s="18">
        <v>46013</v>
      </c>
      <c r="B3243" s="19" t="s">
        <v>3335</v>
      </c>
      <c r="C3243" s="23" t="s">
        <v>9</v>
      </c>
      <c r="D3243" s="53" t="str">
        <f t="shared" si="384"/>
        <v>Cream</v>
      </c>
      <c r="E3243" s="21" t="s">
        <v>1834</v>
      </c>
      <c r="F3243" s="21" t="str">
        <f ca="1">IFERROR(__xludf.DUMMYFUNCTION("IFERROR(REGEXEXTRACT(O761, ""\n([A-Za-z ]+)$""), """")
"),"United States")</f>
        <v>United States</v>
      </c>
      <c r="G3243" s="4" t="str">
        <f t="shared" si="385"/>
        <v>Romper Short</v>
      </c>
      <c r="H3243" s="38">
        <f t="shared" si="386"/>
        <v>12</v>
      </c>
      <c r="I3243" s="54">
        <f t="shared" si="383"/>
        <v>52</v>
      </c>
      <c r="J3243" s="14" t="str">
        <f t="shared" si="388"/>
        <v>Christmas</v>
      </c>
      <c r="K3243" s="16" t="str">
        <f t="shared" si="387"/>
        <v>0-3</v>
      </c>
      <c r="L3243" s="14" t="str">
        <f t="shared" si="382"/>
        <v>Romper Short | 0-3 | Cream</v>
      </c>
      <c r="M3243" s="16" t="s">
        <v>3609</v>
      </c>
    </row>
    <row r="3244" spans="1:13" ht="25" customHeight="1" x14ac:dyDescent="0.45">
      <c r="A3244" s="18">
        <v>46014</v>
      </c>
      <c r="B3244" s="19" t="s">
        <v>3336</v>
      </c>
      <c r="C3244" s="23" t="s">
        <v>178</v>
      </c>
      <c r="D3244" s="53" t="str">
        <f t="shared" si="384"/>
        <v>Mauve Taupe</v>
      </c>
      <c r="E3244" s="21" t="s">
        <v>1834</v>
      </c>
      <c r="F3244" s="21" t="str">
        <f ca="1">IFERROR(__xludf.DUMMYFUNCTION("IFERROR(REGEXEXTRACT(O761, ""\n([A-Za-z ]+)$""), """")
"),"United States")</f>
        <v>United States</v>
      </c>
      <c r="G3244" s="4" t="str">
        <f t="shared" si="385"/>
        <v>Romper Short</v>
      </c>
      <c r="H3244" s="38">
        <f t="shared" si="386"/>
        <v>12</v>
      </c>
      <c r="I3244" s="54">
        <f t="shared" si="383"/>
        <v>52</v>
      </c>
      <c r="J3244" s="14" t="str">
        <f t="shared" si="388"/>
        <v>Christmas</v>
      </c>
      <c r="K3244" s="16" t="str">
        <f t="shared" si="387"/>
        <v>0-3</v>
      </c>
      <c r="L3244" s="14" t="str">
        <f t="shared" si="382"/>
        <v>Romper Short | 0-3 | Mauve Taupe</v>
      </c>
      <c r="M3244" s="16" t="s">
        <v>3610</v>
      </c>
    </row>
    <row r="3245" spans="1:13" ht="25" customHeight="1" x14ac:dyDescent="0.45">
      <c r="A3245" s="18">
        <v>46015</v>
      </c>
      <c r="B3245" s="19" t="s">
        <v>3337</v>
      </c>
      <c r="C3245" s="23" t="s">
        <v>76</v>
      </c>
      <c r="D3245" s="53" t="str">
        <f t="shared" si="384"/>
        <v>Caldet Blue</v>
      </c>
      <c r="E3245" s="21" t="s">
        <v>1550</v>
      </c>
      <c r="F3245" s="21" t="str">
        <f ca="1">IFERROR(__xludf.DUMMYFUNCTION("IFERROR(REGEXEXTRACT(O761, ""\n([A-Za-z ]+)$""), """")
"),"United States")</f>
        <v>United States</v>
      </c>
      <c r="G3245" s="4" t="str">
        <f t="shared" si="385"/>
        <v>Romper Longer</v>
      </c>
      <c r="H3245" s="38">
        <f t="shared" si="386"/>
        <v>12</v>
      </c>
      <c r="I3245" s="54">
        <f t="shared" si="383"/>
        <v>52</v>
      </c>
      <c r="J3245" s="14" t="str">
        <f t="shared" si="388"/>
        <v>Christmas</v>
      </c>
      <c r="K3245" s="16" t="str">
        <f t="shared" si="387"/>
        <v>12-18</v>
      </c>
      <c r="L3245" s="14" t="str">
        <f t="shared" si="382"/>
        <v>Romper Longer | 12-18 | Caldet Blue</v>
      </c>
      <c r="M3245" s="16" t="s">
        <v>3610</v>
      </c>
    </row>
    <row r="3246" spans="1:13" ht="25" customHeight="1" x14ac:dyDescent="0.45">
      <c r="A3246" s="18">
        <v>46016</v>
      </c>
      <c r="B3246" s="19" t="s">
        <v>3338</v>
      </c>
      <c r="C3246" s="23" t="s">
        <v>74</v>
      </c>
      <c r="D3246" s="53" t="str">
        <f t="shared" si="384"/>
        <v>Watermelon</v>
      </c>
      <c r="E3246" s="21" t="s">
        <v>1849</v>
      </c>
      <c r="F3246" s="21" t="str">
        <f ca="1">IFERROR(__xludf.DUMMYFUNCTION("IFERROR(REGEXEXTRACT(O761, ""\n([A-Za-z ]+)$""), """")
"),"United States")</f>
        <v>United States</v>
      </c>
      <c r="G3246" s="4" t="str">
        <f t="shared" si="385"/>
        <v>Romper Short</v>
      </c>
      <c r="H3246" s="38">
        <f t="shared" si="386"/>
        <v>12</v>
      </c>
      <c r="I3246" s="54">
        <f t="shared" si="383"/>
        <v>52</v>
      </c>
      <c r="J3246" s="14" t="str">
        <f t="shared" si="388"/>
        <v>Christmas</v>
      </c>
      <c r="K3246" s="16" t="str">
        <f t="shared" si="387"/>
        <v>3-6</v>
      </c>
      <c r="L3246" s="14" t="str">
        <f t="shared" si="382"/>
        <v>Romper Short | 3-6 | Watermelon</v>
      </c>
      <c r="M3246" s="16" t="s">
        <v>3610</v>
      </c>
    </row>
    <row r="3247" spans="1:13" ht="25" customHeight="1" x14ac:dyDescent="0.45">
      <c r="A3247" s="18">
        <v>46017</v>
      </c>
      <c r="B3247" s="19" t="s">
        <v>3338</v>
      </c>
      <c r="C3247" s="23" t="s">
        <v>81</v>
      </c>
      <c r="D3247" s="53" t="str">
        <f t="shared" si="384"/>
        <v>Dusty Pink</v>
      </c>
      <c r="E3247" s="21" t="s">
        <v>1841</v>
      </c>
      <c r="F3247" s="21" t="str">
        <f ca="1">IFERROR(__xludf.DUMMYFUNCTION("IFERROR(REGEXEXTRACT(O761, ""\n([A-Za-z ]+)$""), """")
"),"United States")</f>
        <v>United States</v>
      </c>
      <c r="G3247" s="4" t="str">
        <f t="shared" si="385"/>
        <v>Romper Longer</v>
      </c>
      <c r="H3247" s="38">
        <f t="shared" si="386"/>
        <v>12</v>
      </c>
      <c r="I3247" s="54">
        <f t="shared" si="383"/>
        <v>52</v>
      </c>
      <c r="J3247" s="14" t="str">
        <f t="shared" si="388"/>
        <v>Christmas</v>
      </c>
      <c r="K3247" s="16" t="str">
        <f t="shared" si="387"/>
        <v>6-12</v>
      </c>
      <c r="L3247" s="14" t="str">
        <f t="shared" si="382"/>
        <v>Romper Longer | 6-12 | Dusty Pink</v>
      </c>
      <c r="M3247" s="16" t="s">
        <v>3610</v>
      </c>
    </row>
    <row r="3248" spans="1:13" ht="25" customHeight="1" x14ac:dyDescent="0.45">
      <c r="A3248" s="18">
        <v>46018</v>
      </c>
      <c r="B3248" s="19" t="s">
        <v>3339</v>
      </c>
      <c r="C3248" s="23" t="s">
        <v>76</v>
      </c>
      <c r="D3248" s="53" t="str">
        <f t="shared" si="384"/>
        <v>Caldet Blue</v>
      </c>
      <c r="E3248" s="21" t="s">
        <v>1834</v>
      </c>
      <c r="F3248" s="21" t="str">
        <f ca="1">IFERROR(__xludf.DUMMYFUNCTION("IFERROR(REGEXEXTRACT(O761, ""\n([A-Za-z ]+)$""), """")
"),"United States")</f>
        <v>United States</v>
      </c>
      <c r="G3248" s="4" t="str">
        <f t="shared" si="385"/>
        <v>Romper Short</v>
      </c>
      <c r="H3248" s="38">
        <f t="shared" si="386"/>
        <v>12</v>
      </c>
      <c r="I3248" s="54">
        <f t="shared" si="383"/>
        <v>52</v>
      </c>
      <c r="J3248" s="14" t="str">
        <f t="shared" si="388"/>
        <v>Christmas</v>
      </c>
      <c r="K3248" s="16" t="str">
        <f t="shared" si="387"/>
        <v>0-3</v>
      </c>
      <c r="L3248" s="14" t="str">
        <f t="shared" si="382"/>
        <v>Romper Short | 0-3 | Caldet Blue</v>
      </c>
      <c r="M3248" s="16" t="s">
        <v>3610</v>
      </c>
    </row>
    <row r="3249" spans="1:13" ht="25" customHeight="1" x14ac:dyDescent="0.45">
      <c r="A3249" s="18">
        <v>46019</v>
      </c>
      <c r="B3249" s="19" t="s">
        <v>3340</v>
      </c>
      <c r="C3249" s="23" t="s">
        <v>110</v>
      </c>
      <c r="D3249" s="53" t="str">
        <f t="shared" si="384"/>
        <v>Sage Green</v>
      </c>
      <c r="E3249" s="21" t="s">
        <v>1828</v>
      </c>
      <c r="F3249" s="21" t="str">
        <f ca="1">IFERROR(__xludf.DUMMYFUNCTION("IFERROR(REGEXEXTRACT(O761, ""\n([A-Za-z ]+)$""), """")
"),"United States")</f>
        <v>United States</v>
      </c>
      <c r="G3249" s="4" t="str">
        <f t="shared" si="385"/>
        <v>Romper Longer</v>
      </c>
      <c r="H3249" s="38">
        <f t="shared" si="386"/>
        <v>12</v>
      </c>
      <c r="I3249" s="54">
        <f t="shared" si="383"/>
        <v>53</v>
      </c>
      <c r="J3249" s="14" t="str">
        <f t="shared" si="388"/>
        <v>Christmas</v>
      </c>
      <c r="K3249" s="16" t="str">
        <f t="shared" si="387"/>
        <v>3-6</v>
      </c>
      <c r="L3249" s="14" t="str">
        <f t="shared" si="382"/>
        <v>Romper Longer | 3-6 | Sage Green</v>
      </c>
      <c r="M3249" s="16" t="s">
        <v>3611</v>
      </c>
    </row>
    <row r="3250" spans="1:13" ht="25" customHeight="1" x14ac:dyDescent="0.45">
      <c r="A3250" s="18">
        <v>46020</v>
      </c>
      <c r="B3250" s="19" t="s">
        <v>3341</v>
      </c>
      <c r="C3250" s="23" t="s">
        <v>81</v>
      </c>
      <c r="D3250" s="53" t="str">
        <f t="shared" si="384"/>
        <v>Dusty Pink</v>
      </c>
      <c r="E3250" s="21" t="s">
        <v>1841</v>
      </c>
      <c r="F3250" s="21" t="str">
        <f ca="1">IFERROR(__xludf.DUMMYFUNCTION("IFERROR(REGEXEXTRACT(O761, ""\n([A-Za-z ]+)$""), """")
"),"United States")</f>
        <v>United States</v>
      </c>
      <c r="G3250" s="4" t="str">
        <f t="shared" si="385"/>
        <v>Romper Longer</v>
      </c>
      <c r="H3250" s="38">
        <f t="shared" si="386"/>
        <v>12</v>
      </c>
      <c r="I3250" s="54">
        <f t="shared" si="383"/>
        <v>53</v>
      </c>
      <c r="J3250" s="14" t="str">
        <f t="shared" si="388"/>
        <v>Christmas</v>
      </c>
      <c r="K3250" s="16" t="str">
        <f t="shared" si="387"/>
        <v>6-12</v>
      </c>
      <c r="L3250" s="14" t="str">
        <f t="shared" si="382"/>
        <v>Romper Longer | 6-12 | Dusty Pink</v>
      </c>
      <c r="M3250" s="16" t="s">
        <v>3610</v>
      </c>
    </row>
    <row r="3251" spans="1:13" ht="25" customHeight="1" x14ac:dyDescent="0.45">
      <c r="A3251" s="18">
        <v>46021</v>
      </c>
      <c r="B3251" s="19" t="s">
        <v>3342</v>
      </c>
      <c r="C3251" s="23" t="s">
        <v>110</v>
      </c>
      <c r="D3251" s="53" t="str">
        <f t="shared" si="384"/>
        <v>Sage Green</v>
      </c>
      <c r="E3251" s="21" t="s">
        <v>1831</v>
      </c>
      <c r="F3251" s="21" t="str">
        <f ca="1">IFERROR(__xludf.DUMMYFUNCTION("IFERROR(REGEXEXTRACT(O761, ""\n([A-Za-z ]+)$""), """")
"),"United States")</f>
        <v>United States</v>
      </c>
      <c r="G3251" s="4" t="str">
        <f t="shared" si="385"/>
        <v>Romper Longer</v>
      </c>
      <c r="H3251" s="38">
        <f t="shared" si="386"/>
        <v>12</v>
      </c>
      <c r="I3251" s="54">
        <f t="shared" si="383"/>
        <v>53</v>
      </c>
      <c r="J3251" s="14" t="str">
        <f t="shared" si="388"/>
        <v>Christmas</v>
      </c>
      <c r="K3251" s="16" t="str">
        <f t="shared" si="387"/>
        <v>0-3</v>
      </c>
      <c r="L3251" s="14" t="str">
        <f t="shared" si="382"/>
        <v>Romper Longer | 0-3 | Sage Green</v>
      </c>
      <c r="M3251" s="16" t="s">
        <v>3611</v>
      </c>
    </row>
    <row r="3252" spans="1:13" ht="25" customHeight="1" x14ac:dyDescent="0.45">
      <c r="A3252" s="18">
        <v>46022</v>
      </c>
      <c r="B3252" s="19" t="s">
        <v>3343</v>
      </c>
      <c r="C3252" s="23" t="s">
        <v>9</v>
      </c>
      <c r="D3252" s="53" t="str">
        <f t="shared" si="384"/>
        <v>Cream</v>
      </c>
      <c r="E3252" s="21" t="s">
        <v>1447</v>
      </c>
      <c r="F3252" s="21" t="str">
        <f ca="1">IFERROR(__xludf.DUMMYFUNCTION("IFERROR(REGEXEXTRACT(O761, ""\n([A-Za-z ]+)$""), """")
"),"United States")</f>
        <v>United States</v>
      </c>
      <c r="G3252" s="4" t="str">
        <f t="shared" si="385"/>
        <v>Romper Longer</v>
      </c>
      <c r="H3252" s="38">
        <f t="shared" si="386"/>
        <v>12</v>
      </c>
      <c r="I3252" s="54">
        <f t="shared" si="383"/>
        <v>53</v>
      </c>
      <c r="J3252" s="14" t="str">
        <f t="shared" si="388"/>
        <v>Christmas</v>
      </c>
      <c r="K3252" s="16" t="str">
        <f t="shared" si="387"/>
        <v>18-24</v>
      </c>
      <c r="L3252" s="14" t="str">
        <f t="shared" si="382"/>
        <v>Romper Longer | 18-24 | Cream</v>
      </c>
      <c r="M3252" s="16" t="s">
        <v>3610</v>
      </c>
    </row>
    <row r="3253" spans="1:13" ht="25" customHeight="1" x14ac:dyDescent="0.45">
      <c r="A3253" s="18">
        <v>46023</v>
      </c>
      <c r="B3253" s="19" t="s">
        <v>3344</v>
      </c>
      <c r="C3253" s="23" t="s">
        <v>110</v>
      </c>
      <c r="D3253" s="53" t="str">
        <f t="shared" si="384"/>
        <v>Sage Green</v>
      </c>
      <c r="E3253" s="21" t="s">
        <v>1849</v>
      </c>
      <c r="F3253" s="21" t="str">
        <f ca="1">IFERROR(__xludf.DUMMYFUNCTION("IFERROR(REGEXEXTRACT(O761, ""\n([A-Za-z ]+)$""), """")
"),"United States")</f>
        <v>United States</v>
      </c>
      <c r="G3253" s="4" t="str">
        <f t="shared" si="385"/>
        <v>Romper Short</v>
      </c>
      <c r="H3253" s="38">
        <f t="shared" si="386"/>
        <v>1</v>
      </c>
      <c r="I3253" s="54">
        <f t="shared" si="383"/>
        <v>1</v>
      </c>
      <c r="J3253" s="14" t="str">
        <f t="shared" si="388"/>
        <v>NewYear</v>
      </c>
      <c r="K3253" s="16" t="str">
        <f t="shared" si="387"/>
        <v>3-6</v>
      </c>
      <c r="L3253" s="14" t="str">
        <f t="shared" si="382"/>
        <v>Romper Short | 3-6 | Sage Green</v>
      </c>
      <c r="M3253" s="16" t="s">
        <v>3611</v>
      </c>
    </row>
    <row r="3254" spans="1:13" ht="25" customHeight="1" x14ac:dyDescent="0.45">
      <c r="A3254" s="18">
        <v>46024</v>
      </c>
      <c r="B3254" s="19" t="s">
        <v>3345</v>
      </c>
      <c r="C3254" s="23" t="s">
        <v>110</v>
      </c>
      <c r="D3254" s="53" t="str">
        <f t="shared" si="384"/>
        <v>Sage Green</v>
      </c>
      <c r="E3254" s="21" t="s">
        <v>1831</v>
      </c>
      <c r="F3254" s="21" t="str">
        <f ca="1">IFERROR(__xludf.DUMMYFUNCTION("IFERROR(REGEXEXTRACT(O761, ""\n([A-Za-z ]+)$""), """")
"),"United States")</f>
        <v>United States</v>
      </c>
      <c r="G3254" s="4" t="str">
        <f t="shared" si="385"/>
        <v>Romper Longer</v>
      </c>
      <c r="H3254" s="38">
        <f t="shared" si="386"/>
        <v>1</v>
      </c>
      <c r="I3254" s="54">
        <f t="shared" si="383"/>
        <v>1</v>
      </c>
      <c r="J3254" s="14" t="str">
        <f t="shared" si="388"/>
        <v>NewYear</v>
      </c>
      <c r="K3254" s="16" t="str">
        <f t="shared" si="387"/>
        <v>0-3</v>
      </c>
      <c r="L3254" s="14" t="str">
        <f t="shared" si="382"/>
        <v>Romper Longer | 0-3 | Sage Green</v>
      </c>
      <c r="M3254" s="16" t="s">
        <v>3611</v>
      </c>
    </row>
    <row r="3255" spans="1:13" ht="25" customHeight="1" x14ac:dyDescent="0.45">
      <c r="A3255" s="18">
        <v>46025</v>
      </c>
      <c r="B3255" s="19" t="s">
        <v>3345</v>
      </c>
      <c r="C3255" s="23" t="s">
        <v>81</v>
      </c>
      <c r="D3255" s="53" t="str">
        <f t="shared" si="384"/>
        <v>Dusty Pink</v>
      </c>
      <c r="E3255" s="21" t="s">
        <v>1831</v>
      </c>
      <c r="F3255" s="21" t="str">
        <f ca="1">IFERROR(__xludf.DUMMYFUNCTION("IFERROR(REGEXEXTRACT(O761, ""\n([A-Za-z ]+)$""), """")
"),"United States")</f>
        <v>United States</v>
      </c>
      <c r="G3255" s="4" t="str">
        <f t="shared" si="385"/>
        <v>Romper Longer</v>
      </c>
      <c r="H3255" s="38">
        <f t="shared" si="386"/>
        <v>1</v>
      </c>
      <c r="I3255" s="54">
        <f t="shared" si="383"/>
        <v>1</v>
      </c>
      <c r="J3255" s="14" t="str">
        <f t="shared" si="388"/>
        <v>NewYear</v>
      </c>
      <c r="K3255" s="16" t="str">
        <f t="shared" si="387"/>
        <v>0-3</v>
      </c>
      <c r="L3255" s="14" t="str">
        <f t="shared" si="382"/>
        <v>Romper Longer | 0-3 | Dusty Pink</v>
      </c>
      <c r="M3255" s="16" t="s">
        <v>3610</v>
      </c>
    </row>
    <row r="3256" spans="1:13" ht="25" customHeight="1" x14ac:dyDescent="0.45">
      <c r="A3256" s="18">
        <v>46026</v>
      </c>
      <c r="B3256" s="19" t="s">
        <v>3345</v>
      </c>
      <c r="C3256" s="23" t="s">
        <v>9</v>
      </c>
      <c r="D3256" s="53" t="str">
        <f t="shared" si="384"/>
        <v>Cream</v>
      </c>
      <c r="E3256" s="21" t="s">
        <v>1834</v>
      </c>
      <c r="F3256" s="21" t="str">
        <f ca="1">IFERROR(__xludf.DUMMYFUNCTION("IFERROR(REGEXEXTRACT(O761, ""\n([A-Za-z ]+)$""), """")
"),"United States")</f>
        <v>United States</v>
      </c>
      <c r="G3256" s="4" t="str">
        <f t="shared" si="385"/>
        <v>Romper Short</v>
      </c>
      <c r="H3256" s="38">
        <f t="shared" si="386"/>
        <v>1</v>
      </c>
      <c r="I3256" s="54">
        <f t="shared" si="383"/>
        <v>2</v>
      </c>
      <c r="J3256" s="14" t="str">
        <f t="shared" si="388"/>
        <v>NewYear</v>
      </c>
      <c r="K3256" s="16" t="str">
        <f t="shared" si="387"/>
        <v>0-3</v>
      </c>
      <c r="L3256" s="14" t="str">
        <f t="shared" si="382"/>
        <v>Romper Short | 0-3 | Cream</v>
      </c>
      <c r="M3256" s="16" t="s">
        <v>3609</v>
      </c>
    </row>
    <row r="3257" spans="1:13" ht="25" customHeight="1" x14ac:dyDescent="0.45">
      <c r="A3257" s="18">
        <v>46027</v>
      </c>
      <c r="B3257" s="19" t="s">
        <v>3345</v>
      </c>
      <c r="C3257" s="23" t="s">
        <v>110</v>
      </c>
      <c r="D3257" s="53" t="str">
        <f t="shared" si="384"/>
        <v>Sage Green</v>
      </c>
      <c r="E3257" s="21" t="s">
        <v>1831</v>
      </c>
      <c r="F3257" s="21" t="str">
        <f ca="1">IFERROR(__xludf.DUMMYFUNCTION("IFERROR(REGEXEXTRACT(O761, ""\n([A-Za-z ]+)$""), """")
"),"United States")</f>
        <v>United States</v>
      </c>
      <c r="G3257" s="4" t="str">
        <f t="shared" si="385"/>
        <v>Romper Longer</v>
      </c>
      <c r="H3257" s="38">
        <f t="shared" si="386"/>
        <v>1</v>
      </c>
      <c r="I3257" s="54">
        <f t="shared" si="383"/>
        <v>2</v>
      </c>
      <c r="J3257" s="14" t="str">
        <f t="shared" si="388"/>
        <v>NewYear</v>
      </c>
      <c r="K3257" s="16" t="str">
        <f t="shared" si="387"/>
        <v>0-3</v>
      </c>
      <c r="L3257" s="14" t="str">
        <f t="shared" si="382"/>
        <v>Romper Longer | 0-3 | Sage Green</v>
      </c>
      <c r="M3257" s="16" t="s">
        <v>3611</v>
      </c>
    </row>
    <row r="3258" spans="1:13" ht="25" customHeight="1" x14ac:dyDescent="0.45">
      <c r="A3258" s="18">
        <v>46028</v>
      </c>
      <c r="B3258" s="19" t="s">
        <v>3345</v>
      </c>
      <c r="C3258" s="23" t="s">
        <v>178</v>
      </c>
      <c r="D3258" s="53" t="str">
        <f t="shared" si="384"/>
        <v>Mauve Taupe</v>
      </c>
      <c r="E3258" s="21" t="s">
        <v>1841</v>
      </c>
      <c r="F3258" s="21" t="str">
        <f ca="1">IFERROR(__xludf.DUMMYFUNCTION("IFERROR(REGEXEXTRACT(O761, ""\n([A-Za-z ]+)$""), """")
"),"United States")</f>
        <v>United States</v>
      </c>
      <c r="G3258" s="4" t="str">
        <f t="shared" si="385"/>
        <v>Romper Longer</v>
      </c>
      <c r="H3258" s="38">
        <f t="shared" si="386"/>
        <v>1</v>
      </c>
      <c r="I3258" s="54">
        <f t="shared" si="383"/>
        <v>2</v>
      </c>
      <c r="J3258" s="14" t="str">
        <f t="shared" si="388"/>
        <v>NewYear</v>
      </c>
      <c r="K3258" s="16" t="str">
        <f t="shared" si="387"/>
        <v>6-12</v>
      </c>
      <c r="L3258" s="14" t="str">
        <f t="shared" si="382"/>
        <v>Romper Longer | 6-12 | Mauve Taupe</v>
      </c>
      <c r="M3258" s="16" t="s">
        <v>3610</v>
      </c>
    </row>
    <row r="3259" spans="1:13" ht="25" customHeight="1" x14ac:dyDescent="0.45">
      <c r="A3259" s="18">
        <v>46029</v>
      </c>
      <c r="B3259" s="19" t="s">
        <v>3346</v>
      </c>
      <c r="C3259" s="23" t="s">
        <v>9</v>
      </c>
      <c r="D3259" s="53" t="str">
        <f t="shared" si="384"/>
        <v>Cream</v>
      </c>
      <c r="E3259" s="21" t="s">
        <v>1828</v>
      </c>
      <c r="F3259" s="21" t="str">
        <f ca="1">IFERROR(__xludf.DUMMYFUNCTION("IFERROR(REGEXEXTRACT(O761, ""\n([A-Za-z ]+)$""), """")
"),"United States")</f>
        <v>United States</v>
      </c>
      <c r="G3259" s="4" t="str">
        <f t="shared" si="385"/>
        <v>Romper Longer</v>
      </c>
      <c r="H3259" s="38">
        <f t="shared" si="386"/>
        <v>1</v>
      </c>
      <c r="I3259" s="54">
        <f t="shared" si="383"/>
        <v>2</v>
      </c>
      <c r="J3259" s="14" t="str">
        <f t="shared" si="388"/>
        <v>NewYear</v>
      </c>
      <c r="K3259" s="16" t="str">
        <f t="shared" si="387"/>
        <v>3-6</v>
      </c>
      <c r="L3259" s="14" t="str">
        <f t="shared" si="382"/>
        <v>Romper Longer | 3-6 | Cream</v>
      </c>
      <c r="M3259" s="16" t="s">
        <v>3609</v>
      </c>
    </row>
    <row r="3260" spans="1:13" ht="25" customHeight="1" x14ac:dyDescent="0.45">
      <c r="A3260" s="18">
        <v>46030</v>
      </c>
      <c r="B3260" s="19" t="s">
        <v>3347</v>
      </c>
      <c r="C3260" s="23" t="s">
        <v>9</v>
      </c>
      <c r="D3260" s="53" t="str">
        <f t="shared" si="384"/>
        <v>Cream</v>
      </c>
      <c r="E3260" s="21" t="s">
        <v>1828</v>
      </c>
      <c r="F3260" s="21" t="str">
        <f ca="1">IFERROR(__xludf.DUMMYFUNCTION("IFERROR(REGEXEXTRACT(O761, ""\n([A-Za-z ]+)$""), """")
"),"United States")</f>
        <v>United States</v>
      </c>
      <c r="G3260" s="4" t="str">
        <f t="shared" si="385"/>
        <v>Romper Longer</v>
      </c>
      <c r="H3260" s="38">
        <f t="shared" si="386"/>
        <v>1</v>
      </c>
      <c r="I3260" s="54">
        <f t="shared" si="383"/>
        <v>2</v>
      </c>
      <c r="J3260" s="14" t="str">
        <f t="shared" si="388"/>
        <v>NewYear</v>
      </c>
      <c r="K3260" s="16" t="str">
        <f t="shared" si="387"/>
        <v>3-6</v>
      </c>
      <c r="L3260" s="14" t="str">
        <f t="shared" si="382"/>
        <v>Romper Longer | 3-6 | Cream</v>
      </c>
      <c r="M3260" s="16" t="s">
        <v>3609</v>
      </c>
    </row>
    <row r="3261" spans="1:13" ht="25" customHeight="1" x14ac:dyDescent="0.45">
      <c r="A3261" s="18">
        <v>46031</v>
      </c>
      <c r="B3261" s="19" t="s">
        <v>3348</v>
      </c>
      <c r="C3261" s="23" t="s">
        <v>76</v>
      </c>
      <c r="D3261" s="53" t="str">
        <f t="shared" si="384"/>
        <v>Caldet Blue</v>
      </c>
      <c r="E3261" s="21" t="s">
        <v>1841</v>
      </c>
      <c r="F3261" s="21" t="str">
        <f ca="1">IFERROR(__xludf.DUMMYFUNCTION("IFERROR(REGEXEXTRACT(O761, ""\n([A-Za-z ]+)$""), """")
"),"United States")</f>
        <v>United States</v>
      </c>
      <c r="G3261" s="4" t="str">
        <f t="shared" si="385"/>
        <v>Romper Longer</v>
      </c>
      <c r="H3261" s="38">
        <f t="shared" si="386"/>
        <v>1</v>
      </c>
      <c r="I3261" s="54">
        <f t="shared" si="383"/>
        <v>2</v>
      </c>
      <c r="J3261" s="14" t="str">
        <f t="shared" si="388"/>
        <v>NewYear</v>
      </c>
      <c r="K3261" s="16" t="str">
        <f t="shared" si="387"/>
        <v>6-12</v>
      </c>
      <c r="L3261" s="14" t="str">
        <f t="shared" si="382"/>
        <v>Romper Longer | 6-12 | Caldet Blue</v>
      </c>
      <c r="M3261" s="16" t="s">
        <v>3610</v>
      </c>
    </row>
    <row r="3262" spans="1:13" ht="25" customHeight="1" x14ac:dyDescent="0.45">
      <c r="A3262" s="18">
        <v>46032</v>
      </c>
      <c r="B3262" s="19" t="s">
        <v>3349</v>
      </c>
      <c r="C3262" s="23" t="s">
        <v>110</v>
      </c>
      <c r="D3262" s="53" t="str">
        <f t="shared" si="384"/>
        <v>Sage Green</v>
      </c>
      <c r="E3262" s="21" t="s">
        <v>1841</v>
      </c>
      <c r="F3262" s="21" t="str">
        <f ca="1">IFERROR(__xludf.DUMMYFUNCTION("IFERROR(REGEXEXTRACT(O761, ""\n([A-Za-z ]+)$""), """")
"),"United States")</f>
        <v>United States</v>
      </c>
      <c r="G3262" s="4" t="str">
        <f t="shared" si="385"/>
        <v>Romper Longer</v>
      </c>
      <c r="H3262" s="38">
        <f t="shared" si="386"/>
        <v>1</v>
      </c>
      <c r="I3262" s="54">
        <f t="shared" si="383"/>
        <v>2</v>
      </c>
      <c r="J3262" s="14" t="str">
        <f t="shared" si="388"/>
        <v>NewYear</v>
      </c>
      <c r="K3262" s="16" t="str">
        <f t="shared" si="387"/>
        <v>6-12</v>
      </c>
      <c r="L3262" s="14" t="str">
        <f t="shared" si="382"/>
        <v>Romper Longer | 6-12 | Sage Green</v>
      </c>
      <c r="M3262" s="16" t="s">
        <v>3610</v>
      </c>
    </row>
    <row r="3263" spans="1:13" ht="25" customHeight="1" x14ac:dyDescent="0.45">
      <c r="A3263" s="18">
        <v>46033</v>
      </c>
      <c r="B3263" s="19" t="s">
        <v>3350</v>
      </c>
      <c r="C3263" s="23" t="s">
        <v>9</v>
      </c>
      <c r="D3263" s="53" t="str">
        <f t="shared" si="384"/>
        <v>Cream</v>
      </c>
      <c r="E3263" s="21" t="s">
        <v>1841</v>
      </c>
      <c r="F3263" s="21" t="str">
        <f ca="1">IFERROR(__xludf.DUMMYFUNCTION("IFERROR(REGEXEXTRACT(O761, ""\n([A-Za-z ]+)$""), """")
"),"United States")</f>
        <v>United States</v>
      </c>
      <c r="G3263" s="4" t="str">
        <f t="shared" si="385"/>
        <v>Romper Longer</v>
      </c>
      <c r="H3263" s="38">
        <f t="shared" si="386"/>
        <v>1</v>
      </c>
      <c r="I3263" s="54">
        <f t="shared" si="383"/>
        <v>3</v>
      </c>
      <c r="J3263" s="14" t="str">
        <f t="shared" si="388"/>
        <v>NewYear</v>
      </c>
      <c r="K3263" s="16" t="str">
        <f t="shared" si="387"/>
        <v>6-12</v>
      </c>
      <c r="L3263" s="14" t="str">
        <f t="shared" si="382"/>
        <v>Romper Longer | 6-12 | Cream</v>
      </c>
      <c r="M3263" s="16" t="s">
        <v>3611</v>
      </c>
    </row>
    <row r="3264" spans="1:13" ht="25" customHeight="1" x14ac:dyDescent="0.45">
      <c r="A3264" s="18">
        <v>46034</v>
      </c>
      <c r="B3264" s="19" t="s">
        <v>3351</v>
      </c>
      <c r="C3264" s="23" t="s">
        <v>9</v>
      </c>
      <c r="D3264" s="53" t="str">
        <f t="shared" si="384"/>
        <v>Cream</v>
      </c>
      <c r="E3264" s="21" t="s">
        <v>1831</v>
      </c>
      <c r="F3264" s="21" t="str">
        <f ca="1">IFERROR(__xludf.DUMMYFUNCTION("IFERROR(REGEXEXTRACT(O761, ""\n([A-Za-z ]+)$""), """")
"),"United States")</f>
        <v>United States</v>
      </c>
      <c r="G3264" s="4" t="str">
        <f t="shared" si="385"/>
        <v>Romper Longer</v>
      </c>
      <c r="H3264" s="38">
        <f t="shared" si="386"/>
        <v>1</v>
      </c>
      <c r="I3264" s="54">
        <f t="shared" si="383"/>
        <v>3</v>
      </c>
      <c r="J3264" s="14" t="str">
        <f t="shared" si="388"/>
        <v>NewYear</v>
      </c>
      <c r="K3264" s="16" t="str">
        <f t="shared" si="387"/>
        <v>0-3</v>
      </c>
      <c r="L3264" s="14" t="str">
        <f t="shared" si="382"/>
        <v>Romper Longer | 0-3 | Cream</v>
      </c>
      <c r="M3264" s="16" t="s">
        <v>3609</v>
      </c>
    </row>
    <row r="3265" spans="1:13" ht="25" customHeight="1" x14ac:dyDescent="0.45">
      <c r="A3265" s="18">
        <v>46035</v>
      </c>
      <c r="B3265" s="19" t="s">
        <v>3352</v>
      </c>
      <c r="C3265" s="23" t="s">
        <v>9</v>
      </c>
      <c r="D3265" s="53" t="str">
        <f t="shared" si="384"/>
        <v>Cream</v>
      </c>
      <c r="E3265" s="21" t="s">
        <v>1831</v>
      </c>
      <c r="F3265" s="21" t="str">
        <f ca="1">IFERROR(__xludf.DUMMYFUNCTION("IFERROR(REGEXEXTRACT(O761, ""\n([A-Za-z ]+)$""), """")
"),"United States")</f>
        <v>United States</v>
      </c>
      <c r="G3265" s="4" t="str">
        <f t="shared" si="385"/>
        <v>Romper Longer</v>
      </c>
      <c r="H3265" s="38">
        <f t="shared" si="386"/>
        <v>1</v>
      </c>
      <c r="I3265" s="54">
        <f t="shared" si="383"/>
        <v>3</v>
      </c>
      <c r="J3265" s="14" t="str">
        <f t="shared" si="388"/>
        <v>NewYear</v>
      </c>
      <c r="K3265" s="16" t="str">
        <f t="shared" si="387"/>
        <v>0-3</v>
      </c>
      <c r="L3265" s="14" t="str">
        <f t="shared" si="382"/>
        <v>Romper Longer | 0-3 | Cream</v>
      </c>
      <c r="M3265" s="16" t="s">
        <v>3609</v>
      </c>
    </row>
    <row r="3266" spans="1:13" ht="25" customHeight="1" x14ac:dyDescent="0.45">
      <c r="A3266" s="18">
        <v>46036</v>
      </c>
      <c r="B3266" s="19" t="s">
        <v>3353</v>
      </c>
      <c r="C3266" s="23" t="s">
        <v>79</v>
      </c>
      <c r="D3266" s="53" t="str">
        <f t="shared" si="384"/>
        <v>White</v>
      </c>
      <c r="E3266" s="21" t="s">
        <v>1834</v>
      </c>
      <c r="F3266" s="21" t="str">
        <f ca="1">IFERROR(__xludf.DUMMYFUNCTION("IFERROR(REGEXEXTRACT(O761, ""\n([A-Za-z ]+)$""), """")
"),"United States")</f>
        <v>United States</v>
      </c>
      <c r="G3266" s="4" t="str">
        <f t="shared" si="385"/>
        <v>Romper Short</v>
      </c>
      <c r="H3266" s="38">
        <f t="shared" si="386"/>
        <v>1</v>
      </c>
      <c r="I3266" s="54">
        <f t="shared" si="383"/>
        <v>3</v>
      </c>
      <c r="J3266" s="14" t="str">
        <f t="shared" si="388"/>
        <v>NewYear</v>
      </c>
      <c r="K3266" s="16" t="str">
        <f t="shared" si="387"/>
        <v>0-3</v>
      </c>
      <c r="L3266" s="14" t="str">
        <f t="shared" ref="L3266:L3329" si="389">TRIM(G3266)&amp;" | "&amp;TRIM(K3266)&amp;" | "&amp;PROPER(TRIM(D3266))</f>
        <v>Romper Short | 0-3 | White</v>
      </c>
      <c r="M3266" s="16" t="s">
        <v>3610</v>
      </c>
    </row>
    <row r="3267" spans="1:13" ht="25" customHeight="1" x14ac:dyDescent="0.45">
      <c r="A3267" s="18">
        <v>46037</v>
      </c>
      <c r="B3267" s="19" t="s">
        <v>3354</v>
      </c>
      <c r="C3267" s="23" t="s">
        <v>110</v>
      </c>
      <c r="D3267" s="53" t="str">
        <f t="shared" si="384"/>
        <v>Sage Green</v>
      </c>
      <c r="E3267" s="21" t="s">
        <v>1828</v>
      </c>
      <c r="F3267" s="21" t="str">
        <f ca="1">IFERROR(__xludf.DUMMYFUNCTION("IFERROR(REGEXEXTRACT(O761, ""\n([A-Za-z ]+)$""), """")
"),"United States")</f>
        <v>United States</v>
      </c>
      <c r="G3267" s="4" t="str">
        <f t="shared" si="385"/>
        <v>Romper Longer</v>
      </c>
      <c r="H3267" s="38">
        <f t="shared" si="386"/>
        <v>1</v>
      </c>
      <c r="I3267" s="54">
        <f t="shared" si="383"/>
        <v>3</v>
      </c>
      <c r="J3267" s="14" t="str">
        <f t="shared" si="388"/>
        <v>NewYear</v>
      </c>
      <c r="K3267" s="16" t="str">
        <f t="shared" si="387"/>
        <v>3-6</v>
      </c>
      <c r="L3267" s="14" t="str">
        <f t="shared" si="389"/>
        <v>Romper Longer | 3-6 | Sage Green</v>
      </c>
      <c r="M3267" s="16" t="s">
        <v>3611</v>
      </c>
    </row>
    <row r="3268" spans="1:13" ht="25" customHeight="1" x14ac:dyDescent="0.45">
      <c r="A3268" s="18">
        <v>46038</v>
      </c>
      <c r="B3268" s="19" t="s">
        <v>3355</v>
      </c>
      <c r="C3268" s="23" t="s">
        <v>81</v>
      </c>
      <c r="D3268" s="53" t="str">
        <f t="shared" si="384"/>
        <v>Dusty Pink</v>
      </c>
      <c r="E3268" s="21" t="s">
        <v>1834</v>
      </c>
      <c r="F3268" s="21" t="str">
        <f ca="1">IFERROR(__xludf.DUMMYFUNCTION("IFERROR(REGEXEXTRACT(O761, ""\n([A-Za-z ]+)$""), """")
"),"United States")</f>
        <v>United States</v>
      </c>
      <c r="G3268" s="4" t="str">
        <f t="shared" si="385"/>
        <v>Romper Short</v>
      </c>
      <c r="H3268" s="38">
        <f t="shared" si="386"/>
        <v>1</v>
      </c>
      <c r="I3268" s="54">
        <f t="shared" si="383"/>
        <v>3</v>
      </c>
      <c r="J3268" s="14" t="str">
        <f t="shared" si="388"/>
        <v>NewYear</v>
      </c>
      <c r="K3268" s="16" t="str">
        <f t="shared" si="387"/>
        <v>0-3</v>
      </c>
      <c r="L3268" s="14" t="str">
        <f t="shared" si="389"/>
        <v>Romper Short | 0-3 | Dusty Pink</v>
      </c>
      <c r="M3268" s="16" t="s">
        <v>3610</v>
      </c>
    </row>
    <row r="3269" spans="1:13" ht="25" customHeight="1" x14ac:dyDescent="0.45">
      <c r="A3269" s="18">
        <v>46039</v>
      </c>
      <c r="B3269" s="19" t="s">
        <v>3356</v>
      </c>
      <c r="C3269" s="23" t="s">
        <v>110</v>
      </c>
      <c r="D3269" s="53" t="str">
        <f t="shared" si="384"/>
        <v>Sage Green</v>
      </c>
      <c r="E3269" s="21" t="s">
        <v>1550</v>
      </c>
      <c r="F3269" s="21" t="str">
        <f ca="1">IFERROR(__xludf.DUMMYFUNCTION("IFERROR(REGEXEXTRACT(O761, ""\n([A-Za-z ]+)$""), """")
"),"United States")</f>
        <v>United States</v>
      </c>
      <c r="G3269" s="4" t="str">
        <f t="shared" si="385"/>
        <v>Romper Longer</v>
      </c>
      <c r="H3269" s="38">
        <f t="shared" si="386"/>
        <v>1</v>
      </c>
      <c r="I3269" s="54">
        <f t="shared" si="383"/>
        <v>3</v>
      </c>
      <c r="J3269" s="14" t="str">
        <f t="shared" si="388"/>
        <v>NewYear</v>
      </c>
      <c r="K3269" s="16" t="str">
        <f t="shared" si="387"/>
        <v>12-18</v>
      </c>
      <c r="L3269" s="14" t="str">
        <f t="shared" si="389"/>
        <v>Romper Longer | 12-18 | Sage Green</v>
      </c>
      <c r="M3269" s="16" t="s">
        <v>3610</v>
      </c>
    </row>
    <row r="3270" spans="1:13" ht="25" customHeight="1" x14ac:dyDescent="0.45">
      <c r="A3270" s="18">
        <v>46040</v>
      </c>
      <c r="B3270" s="19" t="s">
        <v>3357</v>
      </c>
      <c r="C3270" s="23" t="s">
        <v>110</v>
      </c>
      <c r="D3270" s="53" t="str">
        <f t="shared" si="384"/>
        <v>Sage Green</v>
      </c>
      <c r="E3270" s="21" t="s">
        <v>1420</v>
      </c>
      <c r="F3270" s="21" t="str">
        <f ca="1">IFERROR(__xludf.DUMMYFUNCTION("IFERROR(REGEXEXTRACT(O761, ""\n([A-Za-z ]+)$""), """")
"),"United States")</f>
        <v>United States</v>
      </c>
      <c r="G3270" s="4" t="str">
        <f t="shared" si="385"/>
        <v>Romper Short</v>
      </c>
      <c r="H3270" s="38">
        <f t="shared" si="386"/>
        <v>1</v>
      </c>
      <c r="I3270" s="54">
        <f t="shared" si="383"/>
        <v>4</v>
      </c>
      <c r="J3270" s="14" t="str">
        <f t="shared" si="388"/>
        <v>NewYear</v>
      </c>
      <c r="K3270" s="16" t="str">
        <f t="shared" si="387"/>
        <v>6-12</v>
      </c>
      <c r="L3270" s="14" t="str">
        <f t="shared" si="389"/>
        <v>Romper Short | 6-12 | Sage Green</v>
      </c>
      <c r="M3270" s="16" t="s">
        <v>3610</v>
      </c>
    </row>
    <row r="3271" spans="1:13" ht="25" customHeight="1" x14ac:dyDescent="0.45">
      <c r="A3271" s="18">
        <v>46041</v>
      </c>
      <c r="B3271" s="19" t="s">
        <v>3358</v>
      </c>
      <c r="C3271" s="23" t="s">
        <v>76</v>
      </c>
      <c r="D3271" s="53" t="str">
        <f t="shared" si="384"/>
        <v>Caldet Blue</v>
      </c>
      <c r="E3271" s="21" t="s">
        <v>1849</v>
      </c>
      <c r="F3271" s="21" t="str">
        <f ca="1">IFERROR(__xludf.DUMMYFUNCTION("IFERROR(REGEXEXTRACT(O761, ""\n([A-Za-z ]+)$""), """")
"),"United States")</f>
        <v>United States</v>
      </c>
      <c r="G3271" s="4" t="str">
        <f t="shared" si="385"/>
        <v>Romper Short</v>
      </c>
      <c r="H3271" s="38">
        <f t="shared" si="386"/>
        <v>1</v>
      </c>
      <c r="I3271" s="54">
        <f t="shared" si="383"/>
        <v>4</v>
      </c>
      <c r="J3271" s="14" t="str">
        <f t="shared" si="388"/>
        <v>NewYear</v>
      </c>
      <c r="K3271" s="16" t="str">
        <f t="shared" si="387"/>
        <v>3-6</v>
      </c>
      <c r="L3271" s="14" t="str">
        <f t="shared" si="389"/>
        <v>Romper Short | 3-6 | Caldet Blue</v>
      </c>
      <c r="M3271" s="16" t="s">
        <v>3610</v>
      </c>
    </row>
    <row r="3272" spans="1:13" ht="25" customHeight="1" x14ac:dyDescent="0.45">
      <c r="A3272" s="18">
        <v>46042</v>
      </c>
      <c r="B3272" s="19" t="s">
        <v>3359</v>
      </c>
      <c r="C3272" s="23" t="s">
        <v>9</v>
      </c>
      <c r="D3272" s="53" t="str">
        <f t="shared" si="384"/>
        <v>Cream</v>
      </c>
      <c r="E3272" s="21" t="s">
        <v>1831</v>
      </c>
      <c r="F3272" s="21" t="str">
        <f ca="1">IFERROR(__xludf.DUMMYFUNCTION("IFERROR(REGEXEXTRACT(O761, ""\n([A-Za-z ]+)$""), """")
"),"United States")</f>
        <v>United States</v>
      </c>
      <c r="G3272" s="4" t="str">
        <f t="shared" si="385"/>
        <v>Romper Longer</v>
      </c>
      <c r="H3272" s="38">
        <f t="shared" si="386"/>
        <v>1</v>
      </c>
      <c r="I3272" s="54">
        <f t="shared" ref="I3272:I3335" si="390">WEEKNUM(A3272)</f>
        <v>4</v>
      </c>
      <c r="J3272" s="14" t="str">
        <f t="shared" si="388"/>
        <v>NewYear</v>
      </c>
      <c r="K3272" s="16" t="str">
        <f t="shared" si="387"/>
        <v>0-3</v>
      </c>
      <c r="L3272" s="14" t="str">
        <f t="shared" si="389"/>
        <v>Romper Longer | 0-3 | Cream</v>
      </c>
      <c r="M3272" s="16" t="s">
        <v>3609</v>
      </c>
    </row>
    <row r="3273" spans="1:13" ht="25" customHeight="1" x14ac:dyDescent="0.45">
      <c r="A3273" s="18">
        <v>46043</v>
      </c>
      <c r="B3273" s="19" t="s">
        <v>3360</v>
      </c>
      <c r="C3273" s="23" t="s">
        <v>9</v>
      </c>
      <c r="D3273" s="53" t="str">
        <f t="shared" si="384"/>
        <v>Cream</v>
      </c>
      <c r="E3273" s="21" t="s">
        <v>1420</v>
      </c>
      <c r="F3273" s="21" t="str">
        <f ca="1">IFERROR(__xludf.DUMMYFUNCTION("IFERROR(REGEXEXTRACT(O761, ""\n([A-Za-z ]+)$""), """")
"),"United States")</f>
        <v>United States</v>
      </c>
      <c r="G3273" s="4" t="str">
        <f t="shared" si="385"/>
        <v>Romper Short</v>
      </c>
      <c r="H3273" s="38">
        <f t="shared" si="386"/>
        <v>1</v>
      </c>
      <c r="I3273" s="54">
        <f t="shared" si="390"/>
        <v>4</v>
      </c>
      <c r="J3273" s="14" t="str">
        <f t="shared" si="388"/>
        <v>NewYear</v>
      </c>
      <c r="K3273" s="16" t="str">
        <f t="shared" si="387"/>
        <v>6-12</v>
      </c>
      <c r="L3273" s="14" t="str">
        <f t="shared" si="389"/>
        <v>Romper Short | 6-12 | Cream</v>
      </c>
      <c r="M3273" s="16" t="s">
        <v>3611</v>
      </c>
    </row>
    <row r="3274" spans="1:13" ht="25" customHeight="1" x14ac:dyDescent="0.45">
      <c r="A3274" s="18">
        <v>46044</v>
      </c>
      <c r="B3274" s="19" t="s">
        <v>3361</v>
      </c>
      <c r="C3274" s="23" t="s">
        <v>224</v>
      </c>
      <c r="D3274" s="53" t="str">
        <f t="shared" ref="D3274:D3298" si="391">PROPER(C3274)</f>
        <v>Salmon</v>
      </c>
      <c r="E3274" s="21" t="s">
        <v>1420</v>
      </c>
      <c r="F3274" s="21" t="str">
        <f ca="1">IFERROR(__xludf.DUMMYFUNCTION("IFERROR(REGEXEXTRACT(O761, ""\n([A-Za-z ]+)$""), """")
"),"United States")</f>
        <v>United States</v>
      </c>
      <c r="G3274" s="4" t="str">
        <f t="shared" si="385"/>
        <v>Romper Short</v>
      </c>
      <c r="H3274" s="38">
        <f t="shared" si="386"/>
        <v>1</v>
      </c>
      <c r="I3274" s="54">
        <f t="shared" si="390"/>
        <v>4</v>
      </c>
      <c r="J3274" s="14" t="str">
        <f t="shared" si="388"/>
        <v>NewYear</v>
      </c>
      <c r="K3274" s="16" t="str">
        <f t="shared" si="387"/>
        <v>6-12</v>
      </c>
      <c r="L3274" s="14" t="str">
        <f t="shared" si="389"/>
        <v>Romper Short | 6-12 | Salmon</v>
      </c>
      <c r="M3274" s="16" t="s">
        <v>3610</v>
      </c>
    </row>
    <row r="3275" spans="1:13" ht="25" customHeight="1" x14ac:dyDescent="0.45">
      <c r="A3275" s="18">
        <v>46045</v>
      </c>
      <c r="B3275" s="19" t="s">
        <v>3362</v>
      </c>
      <c r="C3275" s="23" t="s">
        <v>79</v>
      </c>
      <c r="D3275" s="53" t="str">
        <f t="shared" si="391"/>
        <v>White</v>
      </c>
      <c r="E3275" s="21" t="s">
        <v>1828</v>
      </c>
      <c r="F3275" s="21" t="str">
        <f ca="1">IFERROR(__xludf.DUMMYFUNCTION("IFERROR(REGEXEXTRACT(O761, ""\n([A-Za-z ]+)$""), """")
"),"United States")</f>
        <v>United States</v>
      </c>
      <c r="G3275" s="4" t="str">
        <f t="shared" si="385"/>
        <v>Romper Longer</v>
      </c>
      <c r="H3275" s="38">
        <f t="shared" si="386"/>
        <v>1</v>
      </c>
      <c r="I3275" s="54">
        <f t="shared" si="390"/>
        <v>4</v>
      </c>
      <c r="J3275" s="14" t="str">
        <f t="shared" si="388"/>
        <v>NewYear</v>
      </c>
      <c r="K3275" s="16" t="str">
        <f t="shared" si="387"/>
        <v>3-6</v>
      </c>
      <c r="L3275" s="14" t="str">
        <f t="shared" si="389"/>
        <v>Romper Longer | 3-6 | White</v>
      </c>
      <c r="M3275" s="16" t="s">
        <v>3610</v>
      </c>
    </row>
    <row r="3276" spans="1:13" ht="25" customHeight="1" x14ac:dyDescent="0.45">
      <c r="A3276" s="18">
        <v>46046</v>
      </c>
      <c r="B3276" s="19" t="s">
        <v>3363</v>
      </c>
      <c r="C3276" s="23" t="s">
        <v>110</v>
      </c>
      <c r="D3276" s="53" t="str">
        <f t="shared" si="391"/>
        <v>Sage Green</v>
      </c>
      <c r="E3276" s="21" t="s">
        <v>1841</v>
      </c>
      <c r="F3276" s="21" t="str">
        <f ca="1">IFERROR(__xludf.DUMMYFUNCTION("IFERROR(REGEXEXTRACT(O761, ""\n([A-Za-z ]+)$""), """")
"),"United States")</f>
        <v>United States</v>
      </c>
      <c r="G3276" s="4" t="str">
        <f t="shared" si="385"/>
        <v>Romper Longer</v>
      </c>
      <c r="H3276" s="38">
        <f t="shared" si="386"/>
        <v>1</v>
      </c>
      <c r="I3276" s="54">
        <f t="shared" si="390"/>
        <v>4</v>
      </c>
      <c r="J3276" s="14" t="str">
        <f t="shared" si="388"/>
        <v>NewYear</v>
      </c>
      <c r="K3276" s="16" t="str">
        <f t="shared" si="387"/>
        <v>6-12</v>
      </c>
      <c r="L3276" s="14" t="str">
        <f t="shared" si="389"/>
        <v>Romper Longer | 6-12 | Sage Green</v>
      </c>
      <c r="M3276" s="16" t="s">
        <v>3610</v>
      </c>
    </row>
    <row r="3277" spans="1:13" ht="25" customHeight="1" x14ac:dyDescent="0.45">
      <c r="A3277" s="18">
        <v>46047</v>
      </c>
      <c r="B3277" s="19" t="s">
        <v>3364</v>
      </c>
      <c r="C3277" s="23" t="s">
        <v>85</v>
      </c>
      <c r="D3277" s="53" t="str">
        <f t="shared" si="391"/>
        <v>Forest Green</v>
      </c>
      <c r="E3277" s="21" t="s">
        <v>1849</v>
      </c>
      <c r="F3277" s="21" t="str">
        <f ca="1">IFERROR(__xludf.DUMMYFUNCTION("IFERROR(REGEXEXTRACT(O761, ""\n([A-Za-z ]+)$""), """")
"),"United States")</f>
        <v>United States</v>
      </c>
      <c r="G3277" s="4" t="str">
        <f t="shared" si="385"/>
        <v>Romper Short</v>
      </c>
      <c r="H3277" s="38">
        <f t="shared" si="386"/>
        <v>1</v>
      </c>
      <c r="I3277" s="54">
        <f t="shared" si="390"/>
        <v>5</v>
      </c>
      <c r="J3277" s="14" t="str">
        <f t="shared" si="388"/>
        <v>NewYear</v>
      </c>
      <c r="K3277" s="16" t="str">
        <f t="shared" si="387"/>
        <v>3-6</v>
      </c>
      <c r="L3277" s="14" t="str">
        <f t="shared" si="389"/>
        <v>Romper Short | 3-6 | Forest Green</v>
      </c>
      <c r="M3277" s="16" t="s">
        <v>3610</v>
      </c>
    </row>
    <row r="3278" spans="1:13" ht="25" customHeight="1" x14ac:dyDescent="0.45">
      <c r="A3278" s="18">
        <v>46048</v>
      </c>
      <c r="B3278" s="19" t="s">
        <v>3365</v>
      </c>
      <c r="C3278" s="23" t="s">
        <v>85</v>
      </c>
      <c r="D3278" s="53" t="str">
        <f t="shared" si="391"/>
        <v>Forest Green</v>
      </c>
      <c r="E3278" s="21" t="s">
        <v>1841</v>
      </c>
      <c r="F3278" s="21" t="str">
        <f ca="1">IFERROR(__xludf.DUMMYFUNCTION("IFERROR(REGEXEXTRACT(O761, ""\n([A-Za-z ]+)$""), """")
"),"United States")</f>
        <v>United States</v>
      </c>
      <c r="G3278" s="4" t="str">
        <f t="shared" si="385"/>
        <v>Romper Longer</v>
      </c>
      <c r="H3278" s="38">
        <f t="shared" si="386"/>
        <v>1</v>
      </c>
      <c r="I3278" s="54">
        <f t="shared" si="390"/>
        <v>5</v>
      </c>
      <c r="J3278" s="14" t="str">
        <f t="shared" si="388"/>
        <v>NewYear</v>
      </c>
      <c r="K3278" s="16" t="str">
        <f t="shared" si="387"/>
        <v>6-12</v>
      </c>
      <c r="L3278" s="14" t="str">
        <f t="shared" si="389"/>
        <v>Romper Longer | 6-12 | Forest Green</v>
      </c>
      <c r="M3278" s="16" t="s">
        <v>3610</v>
      </c>
    </row>
    <row r="3279" spans="1:13" ht="25" customHeight="1" x14ac:dyDescent="0.45">
      <c r="A3279" s="18">
        <v>46049</v>
      </c>
      <c r="B3279" s="19" t="s">
        <v>3366</v>
      </c>
      <c r="C3279" s="23" t="s">
        <v>9</v>
      </c>
      <c r="D3279" s="53" t="str">
        <f t="shared" si="391"/>
        <v>Cream</v>
      </c>
      <c r="E3279" s="21" t="s">
        <v>1420</v>
      </c>
      <c r="F3279" s="21" t="str">
        <f ca="1">IFERROR(__xludf.DUMMYFUNCTION("IFERROR(REGEXEXTRACT(O761, ""\n([A-Za-z ]+)$""), """")
"),"United States")</f>
        <v>United States</v>
      </c>
      <c r="G3279" s="4" t="str">
        <f t="shared" ref="G3279:G3342" si="392">IF(ISNUMBER(SEARCH("LONG",E3279)),"Romper Longer",IF(ISNUMBER(SEARCH("SHORT",E3279)),"Romper Short","Bodysuit"))</f>
        <v>Romper Short</v>
      </c>
      <c r="H3279" s="38">
        <f t="shared" si="386"/>
        <v>1</v>
      </c>
      <c r="I3279" s="54">
        <f t="shared" si="390"/>
        <v>5</v>
      </c>
      <c r="J3279" s="14" t="str">
        <f t="shared" si="388"/>
        <v>NewYear</v>
      </c>
      <c r="K3279" s="16" t="str">
        <f t="shared" si="387"/>
        <v>6-12</v>
      </c>
      <c r="L3279" s="14" t="str">
        <f t="shared" si="389"/>
        <v>Romper Short | 6-12 | Cream</v>
      </c>
      <c r="M3279" s="16" t="s">
        <v>3611</v>
      </c>
    </row>
    <row r="3280" spans="1:13" ht="25" customHeight="1" x14ac:dyDescent="0.45">
      <c r="A3280" s="18">
        <v>46050</v>
      </c>
      <c r="B3280" s="19" t="s">
        <v>3367</v>
      </c>
      <c r="C3280" s="23" t="s">
        <v>9</v>
      </c>
      <c r="D3280" s="53" t="str">
        <f t="shared" si="391"/>
        <v>Cream</v>
      </c>
      <c r="E3280" s="21" t="s">
        <v>1828</v>
      </c>
      <c r="F3280" s="21" t="str">
        <f ca="1">IFERROR(__xludf.DUMMYFUNCTION("IFERROR(REGEXEXTRACT(O761, ""\n([A-Za-z ]+)$""), """")
"),"United States")</f>
        <v>United States</v>
      </c>
      <c r="G3280" s="4" t="str">
        <f t="shared" si="392"/>
        <v>Romper Longer</v>
      </c>
      <c r="H3280" s="38">
        <f t="shared" si="386"/>
        <v>1</v>
      </c>
      <c r="I3280" s="54">
        <f t="shared" si="390"/>
        <v>5</v>
      </c>
      <c r="J3280" s="14" t="str">
        <f t="shared" si="388"/>
        <v>NewYear</v>
      </c>
      <c r="K3280" s="16" t="str">
        <f t="shared" si="387"/>
        <v>3-6</v>
      </c>
      <c r="L3280" s="14" t="str">
        <f t="shared" si="389"/>
        <v>Romper Longer | 3-6 | Cream</v>
      </c>
      <c r="M3280" s="16" t="s">
        <v>3609</v>
      </c>
    </row>
    <row r="3281" spans="1:13" ht="25" customHeight="1" x14ac:dyDescent="0.45">
      <c r="A3281" s="18">
        <v>46051</v>
      </c>
      <c r="B3281" s="19" t="s">
        <v>3368</v>
      </c>
      <c r="C3281" s="23" t="s">
        <v>9</v>
      </c>
      <c r="D3281" s="53" t="str">
        <f t="shared" si="391"/>
        <v>Cream</v>
      </c>
      <c r="E3281" s="21" t="s">
        <v>1828</v>
      </c>
      <c r="F3281" s="21" t="str">
        <f ca="1">IFERROR(__xludf.DUMMYFUNCTION("IFERROR(REGEXEXTRACT(O761, ""\n([A-Za-z ]+)$""), """")
"),"United States")</f>
        <v>United States</v>
      </c>
      <c r="G3281" s="4" t="str">
        <f t="shared" si="392"/>
        <v>Romper Longer</v>
      </c>
      <c r="H3281" s="38">
        <f t="shared" si="386"/>
        <v>1</v>
      </c>
      <c r="I3281" s="54">
        <f t="shared" si="390"/>
        <v>5</v>
      </c>
      <c r="J3281" s="14" t="str">
        <f t="shared" si="388"/>
        <v>NewYear</v>
      </c>
      <c r="K3281" s="16" t="str">
        <f t="shared" si="387"/>
        <v>3-6</v>
      </c>
      <c r="L3281" s="14" t="str">
        <f t="shared" si="389"/>
        <v>Romper Longer | 3-6 | Cream</v>
      </c>
      <c r="M3281" s="16" t="s">
        <v>3609</v>
      </c>
    </row>
    <row r="3282" spans="1:13" ht="25" customHeight="1" x14ac:dyDescent="0.45">
      <c r="A3282" s="18">
        <v>46052</v>
      </c>
      <c r="B3282" s="19" t="s">
        <v>3369</v>
      </c>
      <c r="C3282" s="23" t="s">
        <v>9</v>
      </c>
      <c r="D3282" s="53" t="str">
        <f t="shared" si="391"/>
        <v>Cream</v>
      </c>
      <c r="E3282" s="21" t="s">
        <v>1849</v>
      </c>
      <c r="F3282" s="21" t="str">
        <f ca="1">IFERROR(__xludf.DUMMYFUNCTION("IFERROR(REGEXEXTRACT(O761, ""\n([A-Za-z ]+)$""), """")
"),"United States")</f>
        <v>United States</v>
      </c>
      <c r="G3282" s="4" t="str">
        <f t="shared" si="392"/>
        <v>Romper Short</v>
      </c>
      <c r="H3282" s="38">
        <f t="shared" si="386"/>
        <v>1</v>
      </c>
      <c r="I3282" s="54">
        <f t="shared" si="390"/>
        <v>5</v>
      </c>
      <c r="J3282" s="14" t="str">
        <f t="shared" si="388"/>
        <v>NewYear</v>
      </c>
      <c r="K3282" s="16" t="str">
        <f t="shared" si="387"/>
        <v>3-6</v>
      </c>
      <c r="L3282" s="14" t="str">
        <f t="shared" si="389"/>
        <v>Romper Short | 3-6 | Cream</v>
      </c>
      <c r="M3282" s="16" t="s">
        <v>3609</v>
      </c>
    </row>
    <row r="3283" spans="1:13" ht="25" customHeight="1" x14ac:dyDescent="0.45">
      <c r="A3283" s="18">
        <v>46053</v>
      </c>
      <c r="B3283" s="19" t="s">
        <v>3370</v>
      </c>
      <c r="C3283" s="23" t="s">
        <v>407</v>
      </c>
      <c r="D3283" s="53" t="str">
        <f t="shared" si="391"/>
        <v>Texas Orange</v>
      </c>
      <c r="E3283" s="21" t="s">
        <v>1828</v>
      </c>
      <c r="F3283" s="21" t="str">
        <f ca="1">IFERROR(__xludf.DUMMYFUNCTION("IFERROR(REGEXEXTRACT(O761, ""\n([A-Za-z ]+)$""), """")
"),"United States")</f>
        <v>United States</v>
      </c>
      <c r="G3283" s="4" t="str">
        <f t="shared" si="392"/>
        <v>Romper Longer</v>
      </c>
      <c r="H3283" s="38">
        <f t="shared" si="386"/>
        <v>1</v>
      </c>
      <c r="I3283" s="54">
        <f t="shared" si="390"/>
        <v>5</v>
      </c>
      <c r="J3283" s="14" t="str">
        <f t="shared" si="388"/>
        <v>NewYear</v>
      </c>
      <c r="K3283" s="16" t="str">
        <f t="shared" si="387"/>
        <v>3-6</v>
      </c>
      <c r="L3283" s="14" t="str">
        <f t="shared" si="389"/>
        <v>Romper Longer | 3-6 | Texas Orange</v>
      </c>
      <c r="M3283" s="16" t="s">
        <v>3610</v>
      </c>
    </row>
    <row r="3284" spans="1:13" ht="25" customHeight="1" x14ac:dyDescent="0.45">
      <c r="A3284" s="18">
        <v>46054</v>
      </c>
      <c r="B3284" s="19" t="s">
        <v>3371</v>
      </c>
      <c r="C3284" s="23" t="s">
        <v>9</v>
      </c>
      <c r="D3284" s="53" t="str">
        <f t="shared" si="391"/>
        <v>Cream</v>
      </c>
      <c r="E3284" s="21" t="s">
        <v>1828</v>
      </c>
      <c r="F3284" s="21" t="str">
        <f ca="1">IFERROR(__xludf.DUMMYFUNCTION("IFERROR(REGEXEXTRACT(O761, ""\n([A-Za-z ]+)$""), """")
"),"United States")</f>
        <v>United States</v>
      </c>
      <c r="G3284" s="4" t="str">
        <f t="shared" si="392"/>
        <v>Romper Longer</v>
      </c>
      <c r="H3284" s="38">
        <f t="shared" si="386"/>
        <v>2</v>
      </c>
      <c r="I3284" s="54">
        <f t="shared" si="390"/>
        <v>6</v>
      </c>
      <c r="J3284" s="14" t="str">
        <f t="shared" si="388"/>
        <v>Valentine</v>
      </c>
      <c r="K3284" s="16" t="str">
        <f t="shared" si="387"/>
        <v>3-6</v>
      </c>
      <c r="L3284" s="14" t="str">
        <f t="shared" si="389"/>
        <v>Romper Longer | 3-6 | Cream</v>
      </c>
      <c r="M3284" s="16" t="s">
        <v>3609</v>
      </c>
    </row>
    <row r="3285" spans="1:13" ht="25" customHeight="1" x14ac:dyDescent="0.45">
      <c r="A3285" s="18">
        <v>46055</v>
      </c>
      <c r="B3285" s="19" t="s">
        <v>3372</v>
      </c>
      <c r="C3285" s="23" t="s">
        <v>85</v>
      </c>
      <c r="D3285" s="53" t="str">
        <f t="shared" si="391"/>
        <v>Forest Green</v>
      </c>
      <c r="E3285" s="21" t="s">
        <v>1828</v>
      </c>
      <c r="F3285" s="21" t="str">
        <f ca="1">IFERROR(__xludf.DUMMYFUNCTION("IFERROR(REGEXEXTRACT(O761, ""\n([A-Za-z ]+)$""), """")
"),"United States")</f>
        <v>United States</v>
      </c>
      <c r="G3285" s="4" t="str">
        <f t="shared" si="392"/>
        <v>Romper Longer</v>
      </c>
      <c r="H3285" s="38">
        <f t="shared" ref="H3285:H3348" si="393">MONTH(A3285)</f>
        <v>2</v>
      </c>
      <c r="I3285" s="54">
        <f t="shared" si="390"/>
        <v>6</v>
      </c>
      <c r="J3285" s="14" t="str">
        <f t="shared" si="388"/>
        <v>Valentine</v>
      </c>
      <c r="K3285" s="16" t="str">
        <f t="shared" ref="K3285:K3348" si="394">TRIM(LEFT(E3285,FIND("(",E3285&amp;"(")-3))</f>
        <v>3-6</v>
      </c>
      <c r="L3285" s="14" t="str">
        <f t="shared" si="389"/>
        <v>Romper Longer | 3-6 | Forest Green</v>
      </c>
      <c r="M3285" s="16" t="s">
        <v>3610</v>
      </c>
    </row>
    <row r="3286" spans="1:13" ht="25" customHeight="1" x14ac:dyDescent="0.45">
      <c r="A3286" s="18">
        <v>46056</v>
      </c>
      <c r="B3286" s="19" t="s">
        <v>3373</v>
      </c>
      <c r="C3286" s="23" t="s">
        <v>110</v>
      </c>
      <c r="D3286" s="53" t="str">
        <f t="shared" si="391"/>
        <v>Sage Green</v>
      </c>
      <c r="E3286" s="21" t="s">
        <v>1831</v>
      </c>
      <c r="F3286" s="21" t="str">
        <f ca="1">IFERROR(__xludf.DUMMYFUNCTION("IFERROR(REGEXEXTRACT(O761, ""\n([A-Za-z ]+)$""), """")
"),"United States")</f>
        <v>United States</v>
      </c>
      <c r="G3286" s="4" t="str">
        <f t="shared" si="392"/>
        <v>Romper Longer</v>
      </c>
      <c r="H3286" s="38">
        <f t="shared" si="393"/>
        <v>2</v>
      </c>
      <c r="I3286" s="54">
        <f t="shared" si="390"/>
        <v>6</v>
      </c>
      <c r="J3286" s="14" t="str">
        <f t="shared" si="388"/>
        <v>Valentine</v>
      </c>
      <c r="K3286" s="16" t="str">
        <f t="shared" si="394"/>
        <v>0-3</v>
      </c>
      <c r="L3286" s="14" t="str">
        <f t="shared" si="389"/>
        <v>Romper Longer | 0-3 | Sage Green</v>
      </c>
      <c r="M3286" s="16" t="s">
        <v>3611</v>
      </c>
    </row>
    <row r="3287" spans="1:13" ht="25" customHeight="1" x14ac:dyDescent="0.45">
      <c r="A3287" s="18">
        <v>46057</v>
      </c>
      <c r="B3287" s="19" t="s">
        <v>3374</v>
      </c>
      <c r="C3287" s="23" t="s">
        <v>9</v>
      </c>
      <c r="D3287" s="53" t="str">
        <f t="shared" si="391"/>
        <v>Cream</v>
      </c>
      <c r="E3287" s="21" t="s">
        <v>1834</v>
      </c>
      <c r="F3287" s="21" t="str">
        <f ca="1">IFERROR(__xludf.DUMMYFUNCTION("IFERROR(REGEXEXTRACT(O761, ""\n([A-Za-z ]+)$""), """")
"),"United States")</f>
        <v>United States</v>
      </c>
      <c r="G3287" s="4" t="str">
        <f t="shared" si="392"/>
        <v>Romper Short</v>
      </c>
      <c r="H3287" s="38">
        <f t="shared" si="393"/>
        <v>2</v>
      </c>
      <c r="I3287" s="54">
        <f t="shared" si="390"/>
        <v>6</v>
      </c>
      <c r="J3287" s="14" t="str">
        <f t="shared" si="388"/>
        <v>Valentine</v>
      </c>
      <c r="K3287" s="16" t="str">
        <f t="shared" si="394"/>
        <v>0-3</v>
      </c>
      <c r="L3287" s="14" t="str">
        <f t="shared" si="389"/>
        <v>Romper Short | 0-3 | Cream</v>
      </c>
      <c r="M3287" s="16" t="s">
        <v>3609</v>
      </c>
    </row>
    <row r="3288" spans="1:13" ht="25" customHeight="1" x14ac:dyDescent="0.45">
      <c r="A3288" s="18">
        <v>46058</v>
      </c>
      <c r="B3288" s="19" t="s">
        <v>3375</v>
      </c>
      <c r="C3288" s="23" t="s">
        <v>81</v>
      </c>
      <c r="D3288" s="53" t="str">
        <f t="shared" si="391"/>
        <v>Dusty Pink</v>
      </c>
      <c r="E3288" s="21" t="s">
        <v>1834</v>
      </c>
      <c r="F3288" s="21" t="str">
        <f ca="1">IFERROR(__xludf.DUMMYFUNCTION("IFERROR(REGEXEXTRACT(O761, ""\n([A-Za-z ]+)$""), """")
"),"United States")</f>
        <v>United States</v>
      </c>
      <c r="G3288" s="4" t="str">
        <f t="shared" si="392"/>
        <v>Romper Short</v>
      </c>
      <c r="H3288" s="38">
        <f t="shared" si="393"/>
        <v>2</v>
      </c>
      <c r="I3288" s="54">
        <f t="shared" si="390"/>
        <v>6</v>
      </c>
      <c r="J3288" s="14" t="str">
        <f t="shared" si="388"/>
        <v>Valentine</v>
      </c>
      <c r="K3288" s="16" t="str">
        <f t="shared" si="394"/>
        <v>0-3</v>
      </c>
      <c r="L3288" s="14" t="str">
        <f t="shared" si="389"/>
        <v>Romper Short | 0-3 | Dusty Pink</v>
      </c>
      <c r="M3288" s="16" t="s">
        <v>3610</v>
      </c>
    </row>
    <row r="3289" spans="1:13" ht="25" customHeight="1" x14ac:dyDescent="0.45">
      <c r="A3289" s="18">
        <v>46059</v>
      </c>
      <c r="B3289" s="19" t="s">
        <v>3376</v>
      </c>
      <c r="C3289" s="23" t="s">
        <v>110</v>
      </c>
      <c r="D3289" s="53" t="str">
        <f t="shared" si="391"/>
        <v>Sage Green</v>
      </c>
      <c r="E3289" s="21" t="s">
        <v>1828</v>
      </c>
      <c r="F3289" s="21" t="str">
        <f ca="1">IFERROR(__xludf.DUMMYFUNCTION("IFERROR(REGEXEXTRACT(O761, ""\n([A-Za-z ]+)$""), """")
"),"United States")</f>
        <v>United States</v>
      </c>
      <c r="G3289" s="4" t="str">
        <f t="shared" si="392"/>
        <v>Romper Longer</v>
      </c>
      <c r="H3289" s="38">
        <f t="shared" si="393"/>
        <v>2</v>
      </c>
      <c r="I3289" s="54">
        <f t="shared" si="390"/>
        <v>6</v>
      </c>
      <c r="J3289" s="14" t="str">
        <f t="shared" si="388"/>
        <v>Valentine</v>
      </c>
      <c r="K3289" s="16" t="str">
        <f t="shared" si="394"/>
        <v>3-6</v>
      </c>
      <c r="L3289" s="14" t="str">
        <f t="shared" si="389"/>
        <v>Romper Longer | 3-6 | Sage Green</v>
      </c>
      <c r="M3289" s="16" t="s">
        <v>3611</v>
      </c>
    </row>
    <row r="3290" spans="1:13" ht="25" customHeight="1" x14ac:dyDescent="0.45">
      <c r="A3290" s="18">
        <v>46060</v>
      </c>
      <c r="B3290" s="19" t="s">
        <v>3377</v>
      </c>
      <c r="C3290" s="23" t="s">
        <v>9</v>
      </c>
      <c r="D3290" s="53" t="str">
        <f t="shared" si="391"/>
        <v>Cream</v>
      </c>
      <c r="E3290" s="21" t="s">
        <v>1834</v>
      </c>
      <c r="F3290" s="21" t="str">
        <f ca="1">IFERROR(__xludf.DUMMYFUNCTION("IFERROR(REGEXEXTRACT(O761, ""\n([A-Za-z ]+)$""), """")
"),"United States")</f>
        <v>United States</v>
      </c>
      <c r="G3290" s="4" t="str">
        <f t="shared" si="392"/>
        <v>Romper Short</v>
      </c>
      <c r="H3290" s="38">
        <f t="shared" si="393"/>
        <v>2</v>
      </c>
      <c r="I3290" s="54">
        <f t="shared" si="390"/>
        <v>6</v>
      </c>
      <c r="J3290" s="14" t="str">
        <f t="shared" si="388"/>
        <v>Valentine</v>
      </c>
      <c r="K3290" s="16" t="str">
        <f t="shared" si="394"/>
        <v>0-3</v>
      </c>
      <c r="L3290" s="14" t="str">
        <f t="shared" si="389"/>
        <v>Romper Short | 0-3 | Cream</v>
      </c>
      <c r="M3290" s="16" t="s">
        <v>3609</v>
      </c>
    </row>
    <row r="3291" spans="1:13" ht="25" customHeight="1" x14ac:dyDescent="0.45">
      <c r="A3291" s="18">
        <v>46061</v>
      </c>
      <c r="B3291" s="19" t="s">
        <v>3378</v>
      </c>
      <c r="C3291" s="23" t="s">
        <v>407</v>
      </c>
      <c r="D3291" s="53" t="str">
        <f t="shared" si="391"/>
        <v>Texas Orange</v>
      </c>
      <c r="E3291" s="21" t="s">
        <v>1841</v>
      </c>
      <c r="F3291" s="21" t="str">
        <f ca="1">IFERROR(__xludf.DUMMYFUNCTION("IFERROR(REGEXEXTRACT(O761, ""\n([A-Za-z ]+)$""), """")
"),"United States")</f>
        <v>United States</v>
      </c>
      <c r="G3291" s="4" t="str">
        <f t="shared" si="392"/>
        <v>Romper Longer</v>
      </c>
      <c r="H3291" s="38">
        <f t="shared" si="393"/>
        <v>2</v>
      </c>
      <c r="I3291" s="54">
        <f t="shared" si="390"/>
        <v>7</v>
      </c>
      <c r="J3291" s="14" t="str">
        <f t="shared" si="388"/>
        <v>Valentine</v>
      </c>
      <c r="K3291" s="16" t="str">
        <f t="shared" si="394"/>
        <v>6-12</v>
      </c>
      <c r="L3291" s="14" t="str">
        <f t="shared" si="389"/>
        <v>Romper Longer | 6-12 | Texas Orange</v>
      </c>
      <c r="M3291" s="16" t="s">
        <v>3610</v>
      </c>
    </row>
    <row r="3292" spans="1:13" ht="25" customHeight="1" x14ac:dyDescent="0.45">
      <c r="A3292" s="18">
        <v>46062</v>
      </c>
      <c r="B3292" s="19" t="s">
        <v>3379</v>
      </c>
      <c r="C3292" s="23" t="s">
        <v>9</v>
      </c>
      <c r="D3292" s="53" t="str">
        <f t="shared" si="391"/>
        <v>Cream</v>
      </c>
      <c r="E3292" s="21" t="s">
        <v>1828</v>
      </c>
      <c r="F3292" s="21" t="str">
        <f ca="1">IFERROR(__xludf.DUMMYFUNCTION("IFERROR(REGEXEXTRACT(O761, ""\n([A-Za-z ]+)$""), """")
"),"United States")</f>
        <v>United States</v>
      </c>
      <c r="G3292" s="4" t="str">
        <f t="shared" si="392"/>
        <v>Romper Longer</v>
      </c>
      <c r="H3292" s="38">
        <f t="shared" si="393"/>
        <v>2</v>
      </c>
      <c r="I3292" s="54">
        <f t="shared" si="390"/>
        <v>7</v>
      </c>
      <c r="J3292" s="14" t="str">
        <f t="shared" si="388"/>
        <v>Valentine</v>
      </c>
      <c r="K3292" s="16" t="str">
        <f t="shared" si="394"/>
        <v>3-6</v>
      </c>
      <c r="L3292" s="14" t="str">
        <f t="shared" si="389"/>
        <v>Romper Longer | 3-6 | Cream</v>
      </c>
      <c r="M3292" s="16" t="s">
        <v>3609</v>
      </c>
    </row>
    <row r="3293" spans="1:13" ht="25" customHeight="1" x14ac:dyDescent="0.45">
      <c r="A3293" s="18">
        <v>46063</v>
      </c>
      <c r="B3293" s="19" t="s">
        <v>3380</v>
      </c>
      <c r="C3293" s="23" t="s">
        <v>178</v>
      </c>
      <c r="D3293" s="53" t="str">
        <f t="shared" si="391"/>
        <v>Mauve Taupe</v>
      </c>
      <c r="E3293" s="21" t="s">
        <v>1834</v>
      </c>
      <c r="F3293" s="21" t="str">
        <f ca="1">IFERROR(__xludf.DUMMYFUNCTION("IFERROR(REGEXEXTRACT(O761, ""\n([A-Za-z ]+)$""), """")
"),"United States")</f>
        <v>United States</v>
      </c>
      <c r="G3293" s="4" t="str">
        <f t="shared" si="392"/>
        <v>Romper Short</v>
      </c>
      <c r="H3293" s="38">
        <f t="shared" si="393"/>
        <v>2</v>
      </c>
      <c r="I3293" s="54">
        <f t="shared" si="390"/>
        <v>7</v>
      </c>
      <c r="J3293" s="14" t="str">
        <f t="shared" si="388"/>
        <v>Valentine</v>
      </c>
      <c r="K3293" s="16" t="str">
        <f t="shared" si="394"/>
        <v>0-3</v>
      </c>
      <c r="L3293" s="14" t="str">
        <f t="shared" si="389"/>
        <v>Romper Short | 0-3 | Mauve Taupe</v>
      </c>
      <c r="M3293" s="16" t="s">
        <v>3610</v>
      </c>
    </row>
    <row r="3294" spans="1:13" ht="25" customHeight="1" x14ac:dyDescent="0.45">
      <c r="A3294" s="18">
        <v>46064</v>
      </c>
      <c r="B3294" s="19" t="s">
        <v>3381</v>
      </c>
      <c r="C3294" s="23" t="s">
        <v>407</v>
      </c>
      <c r="D3294" s="53" t="str">
        <f t="shared" si="391"/>
        <v>Texas Orange</v>
      </c>
      <c r="E3294" s="21" t="s">
        <v>1849</v>
      </c>
      <c r="F3294" s="21" t="str">
        <f ca="1">IFERROR(__xludf.DUMMYFUNCTION("IFERROR(REGEXEXTRACT(O761, ""\n([A-Za-z ]+)$""), """")
"),"United States")</f>
        <v>United States</v>
      </c>
      <c r="G3294" s="4" t="str">
        <f t="shared" si="392"/>
        <v>Romper Short</v>
      </c>
      <c r="H3294" s="38">
        <f t="shared" si="393"/>
        <v>2</v>
      </c>
      <c r="I3294" s="54">
        <f t="shared" si="390"/>
        <v>7</v>
      </c>
      <c r="J3294" s="14" t="str">
        <f t="shared" si="388"/>
        <v>Valentine</v>
      </c>
      <c r="K3294" s="16" t="str">
        <f t="shared" si="394"/>
        <v>3-6</v>
      </c>
      <c r="L3294" s="14" t="str">
        <f t="shared" si="389"/>
        <v>Romper Short | 3-6 | Texas Orange</v>
      </c>
      <c r="M3294" s="16" t="s">
        <v>3610</v>
      </c>
    </row>
    <row r="3295" spans="1:13" ht="25" customHeight="1" x14ac:dyDescent="0.45">
      <c r="A3295" s="18">
        <v>46065</v>
      </c>
      <c r="B3295" s="19" t="s">
        <v>3382</v>
      </c>
      <c r="C3295" s="23" t="s">
        <v>9</v>
      </c>
      <c r="D3295" s="53" t="str">
        <f t="shared" si="391"/>
        <v>Cream</v>
      </c>
      <c r="E3295" s="21" t="s">
        <v>1831</v>
      </c>
      <c r="F3295" s="21" t="str">
        <f ca="1">IFERROR(__xludf.DUMMYFUNCTION("IFERROR(REGEXEXTRACT(O761, ""\n([A-Za-z ]+)$""), """")
"),"United States")</f>
        <v>United States</v>
      </c>
      <c r="G3295" s="4" t="str">
        <f t="shared" si="392"/>
        <v>Romper Longer</v>
      </c>
      <c r="H3295" s="38">
        <f t="shared" si="393"/>
        <v>2</v>
      </c>
      <c r="I3295" s="54">
        <f t="shared" si="390"/>
        <v>7</v>
      </c>
      <c r="J3295" s="14" t="str">
        <f t="shared" si="388"/>
        <v>Valentine</v>
      </c>
      <c r="K3295" s="16" t="str">
        <f t="shared" si="394"/>
        <v>0-3</v>
      </c>
      <c r="L3295" s="14" t="str">
        <f t="shared" si="389"/>
        <v>Romper Longer | 0-3 | Cream</v>
      </c>
      <c r="M3295" s="16" t="s">
        <v>3609</v>
      </c>
    </row>
    <row r="3296" spans="1:13" ht="25" customHeight="1" x14ac:dyDescent="0.45">
      <c r="A3296" s="18">
        <v>46066</v>
      </c>
      <c r="B3296" s="19" t="s">
        <v>3383</v>
      </c>
      <c r="C3296" s="23" t="s">
        <v>81</v>
      </c>
      <c r="D3296" s="53" t="str">
        <f t="shared" si="391"/>
        <v>Dusty Pink</v>
      </c>
      <c r="E3296" s="21" t="s">
        <v>1420</v>
      </c>
      <c r="F3296" s="21" t="str">
        <f ca="1">IFERROR(__xludf.DUMMYFUNCTION("IFERROR(REGEXEXTRACT(O761, ""\n([A-Za-z ]+)$""), """")
"),"United States")</f>
        <v>United States</v>
      </c>
      <c r="G3296" s="4" t="str">
        <f t="shared" si="392"/>
        <v>Romper Short</v>
      </c>
      <c r="H3296" s="38">
        <f t="shared" si="393"/>
        <v>2</v>
      </c>
      <c r="I3296" s="54">
        <f t="shared" si="390"/>
        <v>7</v>
      </c>
      <c r="J3296" s="14" t="str">
        <f t="shared" si="388"/>
        <v>Valentine</v>
      </c>
      <c r="K3296" s="16" t="str">
        <f t="shared" si="394"/>
        <v>6-12</v>
      </c>
      <c r="L3296" s="14" t="str">
        <f t="shared" si="389"/>
        <v>Romper Short | 6-12 | Dusty Pink</v>
      </c>
      <c r="M3296" s="16" t="s">
        <v>3610</v>
      </c>
    </row>
    <row r="3297" spans="1:13" ht="25" customHeight="1" x14ac:dyDescent="0.45">
      <c r="A3297" s="18">
        <v>46067</v>
      </c>
      <c r="B3297" s="19" t="s">
        <v>3384</v>
      </c>
      <c r="C3297" s="23" t="s">
        <v>178</v>
      </c>
      <c r="D3297" s="53" t="str">
        <f t="shared" si="391"/>
        <v>Mauve Taupe</v>
      </c>
      <c r="E3297" s="21" t="s">
        <v>1838</v>
      </c>
      <c r="F3297" s="21" t="str">
        <f ca="1">IFERROR(__xludf.DUMMYFUNCTION("IFERROR(REGEXEXTRACT(O761, ""\n([A-Za-z ]+)$""), """")
"),"United States")</f>
        <v>United States</v>
      </c>
      <c r="G3297" s="4" t="str">
        <f t="shared" si="392"/>
        <v>Romper Short</v>
      </c>
      <c r="H3297" s="38">
        <f t="shared" si="393"/>
        <v>2</v>
      </c>
      <c r="I3297" s="54">
        <f t="shared" si="390"/>
        <v>7</v>
      </c>
      <c r="J3297" s="14" t="str">
        <f t="shared" ref="J3297:J3360" si="395">IF(H3297=1,"NewYear",
IF(H3297=2,"Valentine",
IF(OR(H3297=3,H3297=4),"Easter",
IF(H3297=5,"MothersDay",
IF(H3297=6,"FathersDay",
IF(OR(H3297=7,H3297=8),"Summer",
IF(H3297=10,"Halloween",
IF(OR(H3297=11,H3297=12),"Christmas","Normal"))))))))</f>
        <v>Valentine</v>
      </c>
      <c r="K3297" s="16" t="str">
        <f t="shared" si="394"/>
        <v>12-18</v>
      </c>
      <c r="L3297" s="14" t="str">
        <f t="shared" si="389"/>
        <v>Romper Short | 12-18 | Mauve Taupe</v>
      </c>
      <c r="M3297" s="16" t="s">
        <v>3610</v>
      </c>
    </row>
    <row r="3298" spans="1:13" ht="25" customHeight="1" x14ac:dyDescent="0.45">
      <c r="A3298" s="18">
        <v>46068</v>
      </c>
      <c r="B3298" s="19" t="s">
        <v>3385</v>
      </c>
      <c r="C3298" s="23" t="s">
        <v>9</v>
      </c>
      <c r="D3298" s="53" t="str">
        <f t="shared" si="391"/>
        <v>Cream</v>
      </c>
      <c r="E3298" s="21" t="s">
        <v>1849</v>
      </c>
      <c r="F3298" s="21" t="str">
        <f ca="1">IFERROR(__xludf.DUMMYFUNCTION("IFERROR(REGEXEXTRACT(O761, ""\n([A-Za-z ]+)$""), """")
"),"United States")</f>
        <v>United States</v>
      </c>
      <c r="G3298" s="4" t="str">
        <f t="shared" si="392"/>
        <v>Romper Short</v>
      </c>
      <c r="H3298" s="38">
        <f t="shared" si="393"/>
        <v>2</v>
      </c>
      <c r="I3298" s="54">
        <f t="shared" si="390"/>
        <v>8</v>
      </c>
      <c r="J3298" s="14" t="str">
        <f t="shared" si="395"/>
        <v>Valentine</v>
      </c>
      <c r="K3298" s="16" t="str">
        <f t="shared" si="394"/>
        <v>3-6</v>
      </c>
      <c r="L3298" s="14" t="str">
        <f t="shared" si="389"/>
        <v>Romper Short | 3-6 | Cream</v>
      </c>
      <c r="M3298" s="16" t="s">
        <v>3609</v>
      </c>
    </row>
    <row r="3299" spans="1:13" ht="25" customHeight="1" x14ac:dyDescent="0.45">
      <c r="A3299" s="18">
        <v>46069</v>
      </c>
      <c r="B3299" s="19" t="s">
        <v>3386</v>
      </c>
      <c r="C3299" s="23" t="s">
        <v>110</v>
      </c>
      <c r="D3299" s="53" t="str">
        <f>PROPER(C3299)</f>
        <v>Sage Green</v>
      </c>
      <c r="E3299" s="21" t="s">
        <v>1849</v>
      </c>
      <c r="F3299" s="21" t="str">
        <f ca="1">IFERROR(__xludf.DUMMYFUNCTION("IFERROR(REGEXEXTRACT(O761, ""\n([A-Za-z ]+)$""), """")
"),"United States")</f>
        <v>United States</v>
      </c>
      <c r="G3299" s="4" t="str">
        <f t="shared" si="392"/>
        <v>Romper Short</v>
      </c>
      <c r="H3299" s="38">
        <f t="shared" si="393"/>
        <v>2</v>
      </c>
      <c r="I3299" s="54">
        <f t="shared" si="390"/>
        <v>8</v>
      </c>
      <c r="J3299" s="14" t="str">
        <f t="shared" si="395"/>
        <v>Valentine</v>
      </c>
      <c r="K3299" s="16" t="str">
        <f t="shared" si="394"/>
        <v>3-6</v>
      </c>
      <c r="L3299" s="14" t="str">
        <f t="shared" si="389"/>
        <v>Romper Short | 3-6 | Sage Green</v>
      </c>
      <c r="M3299" s="16" t="s">
        <v>3611</v>
      </c>
    </row>
    <row r="3300" spans="1:13" ht="25" customHeight="1" x14ac:dyDescent="0.45">
      <c r="A3300" s="18">
        <v>46070</v>
      </c>
      <c r="B3300" s="19" t="s">
        <v>3387</v>
      </c>
      <c r="C3300" s="23" t="s">
        <v>9</v>
      </c>
      <c r="D3300" s="53" t="str">
        <f t="shared" ref="D3300:D3363" si="396">PROPER(C3300)</f>
        <v>Cream</v>
      </c>
      <c r="E3300" s="21" t="s">
        <v>1841</v>
      </c>
      <c r="F3300" s="21" t="str">
        <f ca="1">IFERROR(__xludf.DUMMYFUNCTION("IFERROR(REGEXEXTRACT(O761, ""\n([A-Za-z ]+)$""), """")
"),"United States")</f>
        <v>United States</v>
      </c>
      <c r="G3300" s="4" t="str">
        <f t="shared" si="392"/>
        <v>Romper Longer</v>
      </c>
      <c r="H3300" s="38">
        <f t="shared" si="393"/>
        <v>2</v>
      </c>
      <c r="I3300" s="54">
        <f t="shared" si="390"/>
        <v>8</v>
      </c>
      <c r="J3300" s="14" t="str">
        <f t="shared" si="395"/>
        <v>Valentine</v>
      </c>
      <c r="K3300" s="16" t="str">
        <f t="shared" si="394"/>
        <v>6-12</v>
      </c>
      <c r="L3300" s="14" t="str">
        <f t="shared" si="389"/>
        <v>Romper Longer | 6-12 | Cream</v>
      </c>
      <c r="M3300" s="16" t="s">
        <v>3611</v>
      </c>
    </row>
    <row r="3301" spans="1:13" ht="25" customHeight="1" x14ac:dyDescent="0.45">
      <c r="A3301" s="18">
        <v>46071</v>
      </c>
      <c r="B3301" s="19" t="s">
        <v>3388</v>
      </c>
      <c r="C3301" s="23" t="s">
        <v>110</v>
      </c>
      <c r="D3301" s="53" t="str">
        <f t="shared" si="396"/>
        <v>Sage Green</v>
      </c>
      <c r="E3301" s="21" t="s">
        <v>1828</v>
      </c>
      <c r="F3301" s="21" t="str">
        <f ca="1">IFERROR(__xludf.DUMMYFUNCTION("IFERROR(REGEXEXTRACT(O761, ""\n([A-Za-z ]+)$""), """")
"),"United States")</f>
        <v>United States</v>
      </c>
      <c r="G3301" s="4" t="str">
        <f t="shared" si="392"/>
        <v>Romper Longer</v>
      </c>
      <c r="H3301" s="38">
        <f t="shared" si="393"/>
        <v>2</v>
      </c>
      <c r="I3301" s="54">
        <f t="shared" si="390"/>
        <v>8</v>
      </c>
      <c r="J3301" s="14" t="str">
        <f t="shared" si="395"/>
        <v>Valentine</v>
      </c>
      <c r="K3301" s="16" t="str">
        <f t="shared" si="394"/>
        <v>3-6</v>
      </c>
      <c r="L3301" s="14" t="str">
        <f t="shared" si="389"/>
        <v>Romper Longer | 3-6 | Sage Green</v>
      </c>
      <c r="M3301" s="16" t="s">
        <v>3611</v>
      </c>
    </row>
    <row r="3302" spans="1:13" ht="25" customHeight="1" x14ac:dyDescent="0.45">
      <c r="A3302" s="18">
        <v>46072</v>
      </c>
      <c r="B3302" s="19" t="s">
        <v>3389</v>
      </c>
      <c r="C3302" s="23" t="s">
        <v>9</v>
      </c>
      <c r="D3302" s="53" t="str">
        <f t="shared" si="396"/>
        <v>Cream</v>
      </c>
      <c r="E3302" s="21" t="s">
        <v>1841</v>
      </c>
      <c r="F3302" s="21" t="str">
        <f ca="1">IFERROR(__xludf.DUMMYFUNCTION("IFERROR(REGEXEXTRACT(O761, ""\n([A-Za-z ]+)$""), """")
"),"United States")</f>
        <v>United States</v>
      </c>
      <c r="G3302" s="4" t="str">
        <f t="shared" si="392"/>
        <v>Romper Longer</v>
      </c>
      <c r="H3302" s="38">
        <f t="shared" si="393"/>
        <v>2</v>
      </c>
      <c r="I3302" s="54">
        <f t="shared" si="390"/>
        <v>8</v>
      </c>
      <c r="J3302" s="14" t="str">
        <f t="shared" si="395"/>
        <v>Valentine</v>
      </c>
      <c r="K3302" s="16" t="str">
        <f t="shared" si="394"/>
        <v>6-12</v>
      </c>
      <c r="L3302" s="14" t="str">
        <f t="shared" si="389"/>
        <v>Romper Longer | 6-12 | Cream</v>
      </c>
      <c r="M3302" s="16" t="s">
        <v>3611</v>
      </c>
    </row>
    <row r="3303" spans="1:13" ht="25" customHeight="1" x14ac:dyDescent="0.45">
      <c r="A3303" s="18">
        <v>46073</v>
      </c>
      <c r="B3303" s="19" t="s">
        <v>3390</v>
      </c>
      <c r="C3303" s="23" t="s">
        <v>9</v>
      </c>
      <c r="D3303" s="53" t="str">
        <f t="shared" si="396"/>
        <v>Cream</v>
      </c>
      <c r="E3303" s="21" t="s">
        <v>1831</v>
      </c>
      <c r="F3303" s="21" t="str">
        <f ca="1">IFERROR(__xludf.DUMMYFUNCTION("IFERROR(REGEXEXTRACT(O761, ""\n([A-Za-z ]+)$""), """")
"),"United States")</f>
        <v>United States</v>
      </c>
      <c r="G3303" s="4" t="str">
        <f t="shared" si="392"/>
        <v>Romper Longer</v>
      </c>
      <c r="H3303" s="38">
        <f t="shared" si="393"/>
        <v>2</v>
      </c>
      <c r="I3303" s="54">
        <f t="shared" si="390"/>
        <v>8</v>
      </c>
      <c r="J3303" s="14" t="str">
        <f t="shared" si="395"/>
        <v>Valentine</v>
      </c>
      <c r="K3303" s="16" t="str">
        <f t="shared" si="394"/>
        <v>0-3</v>
      </c>
      <c r="L3303" s="14" t="str">
        <f t="shared" si="389"/>
        <v>Romper Longer | 0-3 | Cream</v>
      </c>
      <c r="M3303" s="16" t="s">
        <v>3609</v>
      </c>
    </row>
    <row r="3304" spans="1:13" ht="25" customHeight="1" x14ac:dyDescent="0.45">
      <c r="A3304" s="18">
        <v>46074</v>
      </c>
      <c r="B3304" s="19" t="s">
        <v>3391</v>
      </c>
      <c r="C3304" s="23" t="s">
        <v>81</v>
      </c>
      <c r="D3304" s="53" t="str">
        <f t="shared" si="396"/>
        <v>Dusty Pink</v>
      </c>
      <c r="E3304" s="21" t="s">
        <v>1828</v>
      </c>
      <c r="F3304" s="21" t="str">
        <f ca="1">IFERROR(__xludf.DUMMYFUNCTION("IFERROR(REGEXEXTRACT(O761, ""\n([A-Za-z ]+)$""), """")
"),"United States")</f>
        <v>United States</v>
      </c>
      <c r="G3304" s="4" t="str">
        <f t="shared" si="392"/>
        <v>Romper Longer</v>
      </c>
      <c r="H3304" s="38">
        <f t="shared" si="393"/>
        <v>2</v>
      </c>
      <c r="I3304" s="54">
        <f t="shared" si="390"/>
        <v>8</v>
      </c>
      <c r="J3304" s="14" t="str">
        <f t="shared" si="395"/>
        <v>Valentine</v>
      </c>
      <c r="K3304" s="16" t="str">
        <f t="shared" si="394"/>
        <v>3-6</v>
      </c>
      <c r="L3304" s="14" t="str">
        <f t="shared" si="389"/>
        <v>Romper Longer | 3-6 | Dusty Pink</v>
      </c>
      <c r="M3304" s="16" t="s">
        <v>3610</v>
      </c>
    </row>
    <row r="3305" spans="1:13" ht="25" customHeight="1" x14ac:dyDescent="0.45">
      <c r="A3305" s="18">
        <v>46075</v>
      </c>
      <c r="B3305" s="19" t="s">
        <v>3392</v>
      </c>
      <c r="C3305" s="23" t="s">
        <v>9</v>
      </c>
      <c r="D3305" s="53" t="str">
        <f t="shared" si="396"/>
        <v>Cream</v>
      </c>
      <c r="E3305" s="21" t="s">
        <v>1550</v>
      </c>
      <c r="F3305" s="21" t="str">
        <f ca="1">IFERROR(__xludf.DUMMYFUNCTION("IFERROR(REGEXEXTRACT(O761, ""\n([A-Za-z ]+)$""), """")
"),"United States")</f>
        <v>United States</v>
      </c>
      <c r="G3305" s="4" t="str">
        <f t="shared" si="392"/>
        <v>Romper Longer</v>
      </c>
      <c r="H3305" s="38">
        <f t="shared" si="393"/>
        <v>2</v>
      </c>
      <c r="I3305" s="54">
        <f t="shared" si="390"/>
        <v>9</v>
      </c>
      <c r="J3305" s="14" t="str">
        <f t="shared" si="395"/>
        <v>Valentine</v>
      </c>
      <c r="K3305" s="16" t="str">
        <f t="shared" si="394"/>
        <v>12-18</v>
      </c>
      <c r="L3305" s="14" t="str">
        <f t="shared" si="389"/>
        <v>Romper Longer | 12-18 | Cream</v>
      </c>
      <c r="M3305" s="16" t="s">
        <v>3610</v>
      </c>
    </row>
    <row r="3306" spans="1:13" ht="25" customHeight="1" x14ac:dyDescent="0.45">
      <c r="A3306" s="18">
        <v>46076</v>
      </c>
      <c r="B3306" s="19" t="s">
        <v>3393</v>
      </c>
      <c r="C3306" s="23" t="s">
        <v>85</v>
      </c>
      <c r="D3306" s="53" t="str">
        <f t="shared" si="396"/>
        <v>Forest Green</v>
      </c>
      <c r="E3306" s="21" t="s">
        <v>1831</v>
      </c>
      <c r="F3306" s="21" t="str">
        <f ca="1">IFERROR(__xludf.DUMMYFUNCTION("IFERROR(REGEXEXTRACT(O761, ""\n([A-Za-z ]+)$""), """")
"),"United States")</f>
        <v>United States</v>
      </c>
      <c r="G3306" s="4" t="str">
        <f t="shared" si="392"/>
        <v>Romper Longer</v>
      </c>
      <c r="H3306" s="38">
        <f t="shared" si="393"/>
        <v>2</v>
      </c>
      <c r="I3306" s="54">
        <f t="shared" si="390"/>
        <v>9</v>
      </c>
      <c r="J3306" s="14" t="str">
        <f t="shared" si="395"/>
        <v>Valentine</v>
      </c>
      <c r="K3306" s="16" t="str">
        <f t="shared" si="394"/>
        <v>0-3</v>
      </c>
      <c r="L3306" s="14" t="str">
        <f t="shared" si="389"/>
        <v>Romper Longer | 0-3 | Forest Green</v>
      </c>
      <c r="M3306" s="16" t="s">
        <v>3610</v>
      </c>
    </row>
    <row r="3307" spans="1:13" ht="25" customHeight="1" x14ac:dyDescent="0.45">
      <c r="A3307" s="18">
        <v>46077</v>
      </c>
      <c r="B3307" s="19" t="s">
        <v>3394</v>
      </c>
      <c r="C3307" s="23" t="s">
        <v>110</v>
      </c>
      <c r="D3307" s="53" t="str">
        <f t="shared" si="396"/>
        <v>Sage Green</v>
      </c>
      <c r="E3307" s="21" t="s">
        <v>1834</v>
      </c>
      <c r="F3307" s="21" t="str">
        <f ca="1">IFERROR(__xludf.DUMMYFUNCTION("IFERROR(REGEXEXTRACT(O761, ""\n([A-Za-z ]+)$""), """")
"),"United States")</f>
        <v>United States</v>
      </c>
      <c r="G3307" s="4" t="str">
        <f t="shared" si="392"/>
        <v>Romper Short</v>
      </c>
      <c r="H3307" s="38">
        <f t="shared" si="393"/>
        <v>2</v>
      </c>
      <c r="I3307" s="54">
        <f t="shared" si="390"/>
        <v>9</v>
      </c>
      <c r="J3307" s="14" t="str">
        <f t="shared" si="395"/>
        <v>Valentine</v>
      </c>
      <c r="K3307" s="16" t="str">
        <f t="shared" si="394"/>
        <v>0-3</v>
      </c>
      <c r="L3307" s="14" t="str">
        <f t="shared" si="389"/>
        <v>Romper Short | 0-3 | Sage Green</v>
      </c>
      <c r="M3307" s="16" t="s">
        <v>3610</v>
      </c>
    </row>
    <row r="3308" spans="1:13" ht="25" customHeight="1" x14ac:dyDescent="0.45">
      <c r="A3308" s="18">
        <v>46078</v>
      </c>
      <c r="B3308" s="19" t="s">
        <v>3395</v>
      </c>
      <c r="C3308" s="23" t="s">
        <v>9</v>
      </c>
      <c r="D3308" s="53" t="str">
        <f t="shared" si="396"/>
        <v>Cream</v>
      </c>
      <c r="E3308" s="21" t="s">
        <v>1828</v>
      </c>
      <c r="F3308" s="21" t="str">
        <f ca="1">IFERROR(__xludf.DUMMYFUNCTION("IFERROR(REGEXEXTRACT(O761, ""\n([A-Za-z ]+)$""), """")
"),"United States")</f>
        <v>United States</v>
      </c>
      <c r="G3308" s="4" t="str">
        <f t="shared" si="392"/>
        <v>Romper Longer</v>
      </c>
      <c r="H3308" s="38">
        <f t="shared" si="393"/>
        <v>2</v>
      </c>
      <c r="I3308" s="54">
        <f t="shared" si="390"/>
        <v>9</v>
      </c>
      <c r="J3308" s="14" t="str">
        <f t="shared" si="395"/>
        <v>Valentine</v>
      </c>
      <c r="K3308" s="16" t="str">
        <f t="shared" si="394"/>
        <v>3-6</v>
      </c>
      <c r="L3308" s="14" t="str">
        <f t="shared" si="389"/>
        <v>Romper Longer | 3-6 | Cream</v>
      </c>
      <c r="M3308" s="16" t="s">
        <v>3609</v>
      </c>
    </row>
    <row r="3309" spans="1:13" ht="25" customHeight="1" x14ac:dyDescent="0.45">
      <c r="A3309" s="18">
        <v>46079</v>
      </c>
      <c r="B3309" s="19" t="s">
        <v>3396</v>
      </c>
      <c r="C3309" s="23" t="s">
        <v>74</v>
      </c>
      <c r="D3309" s="53" t="str">
        <f t="shared" si="396"/>
        <v>Watermelon</v>
      </c>
      <c r="E3309" s="21" t="s">
        <v>1841</v>
      </c>
      <c r="F3309" s="21" t="str">
        <f ca="1">IFERROR(__xludf.DUMMYFUNCTION("IFERROR(REGEXEXTRACT(O761, ""\n([A-Za-z ]+)$""), """")
"),"United States")</f>
        <v>United States</v>
      </c>
      <c r="G3309" s="4" t="str">
        <f t="shared" si="392"/>
        <v>Romper Longer</v>
      </c>
      <c r="H3309" s="38">
        <f t="shared" si="393"/>
        <v>2</v>
      </c>
      <c r="I3309" s="54">
        <f t="shared" si="390"/>
        <v>9</v>
      </c>
      <c r="J3309" s="14" t="str">
        <f t="shared" si="395"/>
        <v>Valentine</v>
      </c>
      <c r="K3309" s="16" t="str">
        <f t="shared" si="394"/>
        <v>6-12</v>
      </c>
      <c r="L3309" s="14" t="str">
        <f t="shared" si="389"/>
        <v>Romper Longer | 6-12 | Watermelon</v>
      </c>
      <c r="M3309" s="16" t="s">
        <v>3610</v>
      </c>
    </row>
    <row r="3310" spans="1:13" ht="25" customHeight="1" x14ac:dyDescent="0.45">
      <c r="A3310" s="18">
        <v>46080</v>
      </c>
      <c r="B3310" s="19" t="s">
        <v>3397</v>
      </c>
      <c r="C3310" s="23" t="s">
        <v>110</v>
      </c>
      <c r="D3310" s="53" t="str">
        <f t="shared" si="396"/>
        <v>Sage Green</v>
      </c>
      <c r="E3310" s="21" t="s">
        <v>1420</v>
      </c>
      <c r="F3310" s="21" t="str">
        <f ca="1">IFERROR(__xludf.DUMMYFUNCTION("IFERROR(REGEXEXTRACT(O761, ""\n([A-Za-z ]+)$""), """")
"),"United States")</f>
        <v>United States</v>
      </c>
      <c r="G3310" s="4" t="str">
        <f t="shared" si="392"/>
        <v>Romper Short</v>
      </c>
      <c r="H3310" s="38">
        <f t="shared" si="393"/>
        <v>2</v>
      </c>
      <c r="I3310" s="54">
        <f t="shared" si="390"/>
        <v>9</v>
      </c>
      <c r="J3310" s="14" t="str">
        <f t="shared" si="395"/>
        <v>Valentine</v>
      </c>
      <c r="K3310" s="16" t="str">
        <f t="shared" si="394"/>
        <v>6-12</v>
      </c>
      <c r="L3310" s="14" t="str">
        <f t="shared" si="389"/>
        <v>Romper Short | 6-12 | Sage Green</v>
      </c>
      <c r="M3310" s="16" t="s">
        <v>3610</v>
      </c>
    </row>
    <row r="3311" spans="1:13" ht="25" customHeight="1" x14ac:dyDescent="0.45">
      <c r="A3311" s="18">
        <v>46081</v>
      </c>
      <c r="B3311" s="19" t="s">
        <v>3398</v>
      </c>
      <c r="C3311" s="23" t="s">
        <v>85</v>
      </c>
      <c r="D3311" s="53" t="str">
        <f t="shared" si="396"/>
        <v>Forest Green</v>
      </c>
      <c r="E3311" s="21" t="s">
        <v>1828</v>
      </c>
      <c r="F3311" s="21" t="str">
        <f ca="1">IFERROR(__xludf.DUMMYFUNCTION("IFERROR(REGEXEXTRACT(O761, ""\n([A-Za-z ]+)$""), """")
"),"United States")</f>
        <v>United States</v>
      </c>
      <c r="G3311" s="4" t="str">
        <f t="shared" si="392"/>
        <v>Romper Longer</v>
      </c>
      <c r="H3311" s="38">
        <f t="shared" si="393"/>
        <v>2</v>
      </c>
      <c r="I3311" s="54">
        <f t="shared" si="390"/>
        <v>9</v>
      </c>
      <c r="J3311" s="14" t="str">
        <f t="shared" si="395"/>
        <v>Valentine</v>
      </c>
      <c r="K3311" s="16" t="str">
        <f t="shared" si="394"/>
        <v>3-6</v>
      </c>
      <c r="L3311" s="14" t="str">
        <f t="shared" si="389"/>
        <v>Romper Longer | 3-6 | Forest Green</v>
      </c>
      <c r="M3311" s="16" t="s">
        <v>3610</v>
      </c>
    </row>
    <row r="3312" spans="1:13" ht="25" customHeight="1" x14ac:dyDescent="0.45">
      <c r="A3312" s="18">
        <v>46082</v>
      </c>
      <c r="B3312" s="19" t="s">
        <v>3399</v>
      </c>
      <c r="C3312" s="23" t="s">
        <v>110</v>
      </c>
      <c r="D3312" s="53" t="str">
        <f t="shared" si="396"/>
        <v>Sage Green</v>
      </c>
      <c r="E3312" s="21" t="s">
        <v>1834</v>
      </c>
      <c r="F3312" s="21" t="str">
        <f ca="1">IFERROR(__xludf.DUMMYFUNCTION("IFERROR(REGEXEXTRACT(O761, ""\n([A-Za-z ]+)$""), """")
"),"United States")</f>
        <v>United States</v>
      </c>
      <c r="G3312" s="4" t="str">
        <f t="shared" si="392"/>
        <v>Romper Short</v>
      </c>
      <c r="H3312" s="38">
        <f t="shared" si="393"/>
        <v>3</v>
      </c>
      <c r="I3312" s="54">
        <f t="shared" si="390"/>
        <v>10</v>
      </c>
      <c r="J3312" s="14" t="str">
        <f t="shared" si="395"/>
        <v>Easter</v>
      </c>
      <c r="K3312" s="16" t="str">
        <f t="shared" si="394"/>
        <v>0-3</v>
      </c>
      <c r="L3312" s="14" t="str">
        <f t="shared" si="389"/>
        <v>Romper Short | 0-3 | Sage Green</v>
      </c>
      <c r="M3312" s="16" t="s">
        <v>3610</v>
      </c>
    </row>
    <row r="3313" spans="1:13" ht="25" customHeight="1" x14ac:dyDescent="0.45">
      <c r="A3313" s="18">
        <v>46083</v>
      </c>
      <c r="B3313" s="19" t="s">
        <v>3400</v>
      </c>
      <c r="C3313" s="23" t="s">
        <v>85</v>
      </c>
      <c r="D3313" s="53" t="str">
        <f t="shared" si="396"/>
        <v>Forest Green</v>
      </c>
      <c r="E3313" s="21" t="s">
        <v>1841</v>
      </c>
      <c r="F3313" s="21" t="str">
        <f ca="1">IFERROR(__xludf.DUMMYFUNCTION("IFERROR(REGEXEXTRACT(O761, ""\n([A-Za-z ]+)$""), """")
"),"United States")</f>
        <v>United States</v>
      </c>
      <c r="G3313" s="4" t="str">
        <f t="shared" si="392"/>
        <v>Romper Longer</v>
      </c>
      <c r="H3313" s="38">
        <f t="shared" si="393"/>
        <v>3</v>
      </c>
      <c r="I3313" s="54">
        <f t="shared" si="390"/>
        <v>10</v>
      </c>
      <c r="J3313" s="14" t="str">
        <f t="shared" si="395"/>
        <v>Easter</v>
      </c>
      <c r="K3313" s="16" t="str">
        <f t="shared" si="394"/>
        <v>6-12</v>
      </c>
      <c r="L3313" s="14" t="str">
        <f t="shared" si="389"/>
        <v>Romper Longer | 6-12 | Forest Green</v>
      </c>
      <c r="M3313" s="16" t="s">
        <v>3610</v>
      </c>
    </row>
    <row r="3314" spans="1:13" ht="25" customHeight="1" x14ac:dyDescent="0.45">
      <c r="A3314" s="18">
        <v>46084</v>
      </c>
      <c r="B3314" s="19" t="s">
        <v>3401</v>
      </c>
      <c r="C3314" s="23" t="s">
        <v>9</v>
      </c>
      <c r="D3314" s="53" t="str">
        <f t="shared" si="396"/>
        <v>Cream</v>
      </c>
      <c r="E3314" s="21" t="s">
        <v>1828</v>
      </c>
      <c r="F3314" s="21" t="str">
        <f ca="1">IFERROR(__xludf.DUMMYFUNCTION("IFERROR(REGEXEXTRACT(O761, ""\n([A-Za-z ]+)$""), """")
"),"United States")</f>
        <v>United States</v>
      </c>
      <c r="G3314" s="4" t="str">
        <f t="shared" si="392"/>
        <v>Romper Longer</v>
      </c>
      <c r="H3314" s="38">
        <f t="shared" si="393"/>
        <v>3</v>
      </c>
      <c r="I3314" s="54">
        <f t="shared" si="390"/>
        <v>10</v>
      </c>
      <c r="J3314" s="14" t="str">
        <f t="shared" si="395"/>
        <v>Easter</v>
      </c>
      <c r="K3314" s="16" t="str">
        <f t="shared" si="394"/>
        <v>3-6</v>
      </c>
      <c r="L3314" s="14" t="str">
        <f t="shared" si="389"/>
        <v>Romper Longer | 3-6 | Cream</v>
      </c>
      <c r="M3314" s="16" t="s">
        <v>3609</v>
      </c>
    </row>
    <row r="3315" spans="1:13" ht="25" customHeight="1" x14ac:dyDescent="0.45">
      <c r="A3315" s="18">
        <v>46085</v>
      </c>
      <c r="B3315" s="19" t="s">
        <v>3402</v>
      </c>
      <c r="C3315" s="23" t="s">
        <v>110</v>
      </c>
      <c r="D3315" s="53" t="str">
        <f t="shared" si="396"/>
        <v>Sage Green</v>
      </c>
      <c r="E3315" s="21" t="s">
        <v>1828</v>
      </c>
      <c r="F3315" s="21" t="str">
        <f ca="1">IFERROR(__xludf.DUMMYFUNCTION("IFERROR(REGEXEXTRACT(O761, ""\n([A-Za-z ]+)$""), """")
"),"United States")</f>
        <v>United States</v>
      </c>
      <c r="G3315" s="4" t="str">
        <f t="shared" si="392"/>
        <v>Romper Longer</v>
      </c>
      <c r="H3315" s="38">
        <f t="shared" si="393"/>
        <v>3</v>
      </c>
      <c r="I3315" s="54">
        <f t="shared" si="390"/>
        <v>10</v>
      </c>
      <c r="J3315" s="14" t="str">
        <f t="shared" si="395"/>
        <v>Easter</v>
      </c>
      <c r="K3315" s="16" t="str">
        <f t="shared" si="394"/>
        <v>3-6</v>
      </c>
      <c r="L3315" s="14" t="str">
        <f t="shared" si="389"/>
        <v>Romper Longer | 3-6 | Sage Green</v>
      </c>
      <c r="M3315" s="16" t="s">
        <v>3611</v>
      </c>
    </row>
    <row r="3316" spans="1:13" ht="25" customHeight="1" x14ac:dyDescent="0.45">
      <c r="A3316" s="18">
        <v>46086</v>
      </c>
      <c r="B3316" s="19" t="s">
        <v>3403</v>
      </c>
      <c r="C3316" s="23" t="s">
        <v>110</v>
      </c>
      <c r="D3316" s="53" t="str">
        <f t="shared" si="396"/>
        <v>Sage Green</v>
      </c>
      <c r="E3316" s="21" t="s">
        <v>1849</v>
      </c>
      <c r="F3316" s="21" t="str">
        <f ca="1">IFERROR(__xludf.DUMMYFUNCTION("IFERROR(REGEXEXTRACT(O761, ""\n([A-Za-z ]+)$""), """")
"),"United States")</f>
        <v>United States</v>
      </c>
      <c r="G3316" s="4" t="str">
        <f t="shared" si="392"/>
        <v>Romper Short</v>
      </c>
      <c r="H3316" s="38">
        <f t="shared" si="393"/>
        <v>3</v>
      </c>
      <c r="I3316" s="54">
        <f t="shared" si="390"/>
        <v>10</v>
      </c>
      <c r="J3316" s="14" t="str">
        <f t="shared" si="395"/>
        <v>Easter</v>
      </c>
      <c r="K3316" s="16" t="str">
        <f t="shared" si="394"/>
        <v>3-6</v>
      </c>
      <c r="L3316" s="14" t="str">
        <f t="shared" si="389"/>
        <v>Romper Short | 3-6 | Sage Green</v>
      </c>
      <c r="M3316" s="16" t="s">
        <v>3611</v>
      </c>
    </row>
    <row r="3317" spans="1:13" ht="25" customHeight="1" x14ac:dyDescent="0.45">
      <c r="A3317" s="18">
        <v>46087</v>
      </c>
      <c r="B3317" s="19" t="s">
        <v>3404</v>
      </c>
      <c r="C3317" s="23" t="s">
        <v>81</v>
      </c>
      <c r="D3317" s="53" t="str">
        <f t="shared" si="396"/>
        <v>Dusty Pink</v>
      </c>
      <c r="E3317" s="21" t="s">
        <v>1849</v>
      </c>
      <c r="F3317" s="21" t="str">
        <f ca="1">IFERROR(__xludf.DUMMYFUNCTION("IFERROR(REGEXEXTRACT(O761, ""\n([A-Za-z ]+)$""), """")
"),"United States")</f>
        <v>United States</v>
      </c>
      <c r="G3317" s="4" t="str">
        <f t="shared" si="392"/>
        <v>Romper Short</v>
      </c>
      <c r="H3317" s="38">
        <f t="shared" si="393"/>
        <v>3</v>
      </c>
      <c r="I3317" s="54">
        <f t="shared" si="390"/>
        <v>10</v>
      </c>
      <c r="J3317" s="14" t="str">
        <f t="shared" si="395"/>
        <v>Easter</v>
      </c>
      <c r="K3317" s="16" t="str">
        <f t="shared" si="394"/>
        <v>3-6</v>
      </c>
      <c r="L3317" s="14" t="str">
        <f t="shared" si="389"/>
        <v>Romper Short | 3-6 | Dusty Pink</v>
      </c>
      <c r="M3317" s="16" t="s">
        <v>3610</v>
      </c>
    </row>
    <row r="3318" spans="1:13" ht="25" customHeight="1" x14ac:dyDescent="0.45">
      <c r="A3318" s="18">
        <v>46088</v>
      </c>
      <c r="B3318" s="19" t="s">
        <v>3368</v>
      </c>
      <c r="C3318" s="23" t="s">
        <v>9</v>
      </c>
      <c r="D3318" s="53" t="str">
        <f t="shared" si="396"/>
        <v>Cream</v>
      </c>
      <c r="E3318" s="21" t="s">
        <v>1849</v>
      </c>
      <c r="F3318" s="21" t="str">
        <f ca="1">IFERROR(__xludf.DUMMYFUNCTION("IFERROR(REGEXEXTRACT(O761, ""\n([A-Za-z ]+)$""), """")
"),"United States")</f>
        <v>United States</v>
      </c>
      <c r="G3318" s="4" t="str">
        <f t="shared" si="392"/>
        <v>Romper Short</v>
      </c>
      <c r="H3318" s="38">
        <f t="shared" si="393"/>
        <v>3</v>
      </c>
      <c r="I3318" s="54">
        <f t="shared" si="390"/>
        <v>10</v>
      </c>
      <c r="J3318" s="14" t="str">
        <f t="shared" si="395"/>
        <v>Easter</v>
      </c>
      <c r="K3318" s="16" t="str">
        <f t="shared" si="394"/>
        <v>3-6</v>
      </c>
      <c r="L3318" s="14" t="str">
        <f t="shared" si="389"/>
        <v>Romper Short | 3-6 | Cream</v>
      </c>
      <c r="M3318" s="16" t="s">
        <v>3609</v>
      </c>
    </row>
    <row r="3319" spans="1:13" ht="25" customHeight="1" x14ac:dyDescent="0.45">
      <c r="A3319" s="18">
        <v>46089</v>
      </c>
      <c r="B3319" s="19" t="s">
        <v>3405</v>
      </c>
      <c r="C3319" s="23" t="s">
        <v>9</v>
      </c>
      <c r="D3319" s="53" t="str">
        <f t="shared" si="396"/>
        <v>Cream</v>
      </c>
      <c r="E3319" s="21" t="s">
        <v>1831</v>
      </c>
      <c r="F3319" s="21" t="str">
        <f ca="1">IFERROR(__xludf.DUMMYFUNCTION("IFERROR(REGEXEXTRACT(O761, ""\n([A-Za-z ]+)$""), """")
"),"United States")</f>
        <v>United States</v>
      </c>
      <c r="G3319" s="4" t="str">
        <f t="shared" si="392"/>
        <v>Romper Longer</v>
      </c>
      <c r="H3319" s="38">
        <f t="shared" si="393"/>
        <v>3</v>
      </c>
      <c r="I3319" s="54">
        <f t="shared" si="390"/>
        <v>11</v>
      </c>
      <c r="J3319" s="14" t="str">
        <f t="shared" si="395"/>
        <v>Easter</v>
      </c>
      <c r="K3319" s="16" t="str">
        <f t="shared" si="394"/>
        <v>0-3</v>
      </c>
      <c r="L3319" s="14" t="str">
        <f t="shared" si="389"/>
        <v>Romper Longer | 0-3 | Cream</v>
      </c>
      <c r="M3319" s="16" t="s">
        <v>3609</v>
      </c>
    </row>
    <row r="3320" spans="1:13" ht="25" customHeight="1" x14ac:dyDescent="0.45">
      <c r="A3320" s="18">
        <v>46090</v>
      </c>
      <c r="B3320" s="19" t="s">
        <v>3406</v>
      </c>
      <c r="C3320" s="23" t="s">
        <v>81</v>
      </c>
      <c r="D3320" s="53" t="str">
        <f t="shared" si="396"/>
        <v>Dusty Pink</v>
      </c>
      <c r="E3320" s="21" t="s">
        <v>1834</v>
      </c>
      <c r="F3320" s="21" t="str">
        <f ca="1">IFERROR(__xludf.DUMMYFUNCTION("IFERROR(REGEXEXTRACT(O761, ""\n([A-Za-z ]+)$""), """")
"),"United States")</f>
        <v>United States</v>
      </c>
      <c r="G3320" s="4" t="str">
        <f t="shared" si="392"/>
        <v>Romper Short</v>
      </c>
      <c r="H3320" s="38">
        <f t="shared" si="393"/>
        <v>3</v>
      </c>
      <c r="I3320" s="54">
        <f t="shared" si="390"/>
        <v>11</v>
      </c>
      <c r="J3320" s="14" t="str">
        <f t="shared" si="395"/>
        <v>Easter</v>
      </c>
      <c r="K3320" s="16" t="str">
        <f t="shared" si="394"/>
        <v>0-3</v>
      </c>
      <c r="L3320" s="14" t="str">
        <f t="shared" si="389"/>
        <v>Romper Short | 0-3 | Dusty Pink</v>
      </c>
      <c r="M3320" s="16" t="s">
        <v>3610</v>
      </c>
    </row>
    <row r="3321" spans="1:13" ht="25" customHeight="1" x14ac:dyDescent="0.45">
      <c r="A3321" s="18">
        <v>46091</v>
      </c>
      <c r="B3321" s="19" t="s">
        <v>3407</v>
      </c>
      <c r="C3321" s="23" t="s">
        <v>9</v>
      </c>
      <c r="D3321" s="53" t="str">
        <f t="shared" si="396"/>
        <v>Cream</v>
      </c>
      <c r="E3321" s="21" t="s">
        <v>1831</v>
      </c>
      <c r="F3321" s="21" t="str">
        <f ca="1">IFERROR(__xludf.DUMMYFUNCTION("IFERROR(REGEXEXTRACT(O761, ""\n([A-Za-z ]+)$""), """")
"),"United States")</f>
        <v>United States</v>
      </c>
      <c r="G3321" s="4" t="str">
        <f t="shared" si="392"/>
        <v>Romper Longer</v>
      </c>
      <c r="H3321" s="38">
        <f t="shared" si="393"/>
        <v>3</v>
      </c>
      <c r="I3321" s="54">
        <f t="shared" si="390"/>
        <v>11</v>
      </c>
      <c r="J3321" s="14" t="str">
        <f t="shared" si="395"/>
        <v>Easter</v>
      </c>
      <c r="K3321" s="16" t="str">
        <f t="shared" si="394"/>
        <v>0-3</v>
      </c>
      <c r="L3321" s="14" t="str">
        <f t="shared" si="389"/>
        <v>Romper Longer | 0-3 | Cream</v>
      </c>
      <c r="M3321" s="16" t="s">
        <v>3609</v>
      </c>
    </row>
    <row r="3322" spans="1:13" ht="25" customHeight="1" x14ac:dyDescent="0.45">
      <c r="A3322" s="18">
        <v>46092</v>
      </c>
      <c r="B3322" s="19" t="s">
        <v>3408</v>
      </c>
      <c r="C3322" s="23" t="s">
        <v>85</v>
      </c>
      <c r="D3322" s="53" t="str">
        <f t="shared" si="396"/>
        <v>Forest Green</v>
      </c>
      <c r="E3322" s="21" t="s">
        <v>1834</v>
      </c>
      <c r="F3322" s="21" t="str">
        <f ca="1">IFERROR(__xludf.DUMMYFUNCTION("IFERROR(REGEXEXTRACT(O761, ""\n([A-Za-z ]+)$""), """")
"),"United States")</f>
        <v>United States</v>
      </c>
      <c r="G3322" s="4" t="str">
        <f t="shared" si="392"/>
        <v>Romper Short</v>
      </c>
      <c r="H3322" s="38">
        <f t="shared" si="393"/>
        <v>3</v>
      </c>
      <c r="I3322" s="54">
        <f t="shared" si="390"/>
        <v>11</v>
      </c>
      <c r="J3322" s="14" t="str">
        <f t="shared" si="395"/>
        <v>Easter</v>
      </c>
      <c r="K3322" s="16" t="str">
        <f t="shared" si="394"/>
        <v>0-3</v>
      </c>
      <c r="L3322" s="14" t="str">
        <f t="shared" si="389"/>
        <v>Romper Short | 0-3 | Forest Green</v>
      </c>
      <c r="M3322" s="16" t="s">
        <v>3610</v>
      </c>
    </row>
    <row r="3323" spans="1:13" ht="25" customHeight="1" x14ac:dyDescent="0.45">
      <c r="A3323" s="18">
        <v>46093</v>
      </c>
      <c r="B3323" s="19" t="s">
        <v>3409</v>
      </c>
      <c r="C3323" s="23" t="s">
        <v>9</v>
      </c>
      <c r="D3323" s="53" t="str">
        <f t="shared" si="396"/>
        <v>Cream</v>
      </c>
      <c r="E3323" s="21" t="s">
        <v>1831</v>
      </c>
      <c r="F3323" s="21" t="str">
        <f ca="1">IFERROR(__xludf.DUMMYFUNCTION("IFERROR(REGEXEXTRACT(O761, ""\n([A-Za-z ]+)$""), """")
"),"United States")</f>
        <v>United States</v>
      </c>
      <c r="G3323" s="4" t="str">
        <f t="shared" si="392"/>
        <v>Romper Longer</v>
      </c>
      <c r="H3323" s="38">
        <f t="shared" si="393"/>
        <v>3</v>
      </c>
      <c r="I3323" s="54">
        <f t="shared" si="390"/>
        <v>11</v>
      </c>
      <c r="J3323" s="14" t="str">
        <f t="shared" si="395"/>
        <v>Easter</v>
      </c>
      <c r="K3323" s="16" t="str">
        <f t="shared" si="394"/>
        <v>0-3</v>
      </c>
      <c r="L3323" s="14" t="str">
        <f t="shared" si="389"/>
        <v>Romper Longer | 0-3 | Cream</v>
      </c>
      <c r="M3323" s="16" t="s">
        <v>3609</v>
      </c>
    </row>
    <row r="3324" spans="1:13" ht="25" customHeight="1" x14ac:dyDescent="0.45">
      <c r="A3324" s="18">
        <v>46094</v>
      </c>
      <c r="B3324" s="19" t="s">
        <v>3410</v>
      </c>
      <c r="C3324" s="23" t="s">
        <v>9</v>
      </c>
      <c r="D3324" s="53" t="str">
        <f t="shared" si="396"/>
        <v>Cream</v>
      </c>
      <c r="E3324" s="21" t="s">
        <v>1841</v>
      </c>
      <c r="F3324" s="21" t="str">
        <f ca="1">IFERROR(__xludf.DUMMYFUNCTION("IFERROR(REGEXEXTRACT(O761, ""\n([A-Za-z ]+)$""), """")
"),"United States")</f>
        <v>United States</v>
      </c>
      <c r="G3324" s="4" t="str">
        <f t="shared" si="392"/>
        <v>Romper Longer</v>
      </c>
      <c r="H3324" s="38">
        <f t="shared" si="393"/>
        <v>3</v>
      </c>
      <c r="I3324" s="54">
        <f t="shared" si="390"/>
        <v>11</v>
      </c>
      <c r="J3324" s="14" t="str">
        <f t="shared" si="395"/>
        <v>Easter</v>
      </c>
      <c r="K3324" s="16" t="str">
        <f t="shared" si="394"/>
        <v>6-12</v>
      </c>
      <c r="L3324" s="14" t="str">
        <f t="shared" si="389"/>
        <v>Romper Longer | 6-12 | Cream</v>
      </c>
      <c r="M3324" s="16" t="s">
        <v>3611</v>
      </c>
    </row>
    <row r="3325" spans="1:13" ht="25" customHeight="1" x14ac:dyDescent="0.45">
      <c r="A3325" s="18">
        <v>46095</v>
      </c>
      <c r="B3325" s="19" t="s">
        <v>3411</v>
      </c>
      <c r="C3325" s="23" t="s">
        <v>9</v>
      </c>
      <c r="D3325" s="53" t="str">
        <f t="shared" si="396"/>
        <v>Cream</v>
      </c>
      <c r="E3325" s="21" t="s">
        <v>1831</v>
      </c>
      <c r="F3325" s="21" t="str">
        <f ca="1">IFERROR(__xludf.DUMMYFUNCTION("IFERROR(REGEXEXTRACT(O761, ""\n([A-Za-z ]+)$""), """")
"),"United States")</f>
        <v>United States</v>
      </c>
      <c r="G3325" s="4" t="str">
        <f t="shared" si="392"/>
        <v>Romper Longer</v>
      </c>
      <c r="H3325" s="38">
        <f t="shared" si="393"/>
        <v>3</v>
      </c>
      <c r="I3325" s="54">
        <f t="shared" si="390"/>
        <v>11</v>
      </c>
      <c r="J3325" s="14" t="str">
        <f t="shared" si="395"/>
        <v>Easter</v>
      </c>
      <c r="K3325" s="16" t="str">
        <f t="shared" si="394"/>
        <v>0-3</v>
      </c>
      <c r="L3325" s="14" t="str">
        <f t="shared" si="389"/>
        <v>Romper Longer | 0-3 | Cream</v>
      </c>
      <c r="M3325" s="16" t="s">
        <v>3609</v>
      </c>
    </row>
    <row r="3326" spans="1:13" ht="25" customHeight="1" x14ac:dyDescent="0.45">
      <c r="A3326" s="18">
        <v>46096</v>
      </c>
      <c r="B3326" s="19" t="s">
        <v>630</v>
      </c>
      <c r="C3326" s="23" t="s">
        <v>74</v>
      </c>
      <c r="D3326" s="53" t="str">
        <f t="shared" si="396"/>
        <v>Watermelon</v>
      </c>
      <c r="E3326" s="21" t="s">
        <v>1841</v>
      </c>
      <c r="F3326" s="21" t="str">
        <f ca="1">IFERROR(__xludf.DUMMYFUNCTION("IFERROR(REGEXEXTRACT(O761, ""\n([A-Za-z ]+)$""), """")
"),"United States")</f>
        <v>United States</v>
      </c>
      <c r="G3326" s="4" t="str">
        <f t="shared" si="392"/>
        <v>Romper Longer</v>
      </c>
      <c r="H3326" s="38">
        <f t="shared" si="393"/>
        <v>3</v>
      </c>
      <c r="I3326" s="54">
        <f t="shared" si="390"/>
        <v>12</v>
      </c>
      <c r="J3326" s="14" t="str">
        <f t="shared" si="395"/>
        <v>Easter</v>
      </c>
      <c r="K3326" s="16" t="str">
        <f t="shared" si="394"/>
        <v>6-12</v>
      </c>
      <c r="L3326" s="14" t="str">
        <f t="shared" si="389"/>
        <v>Romper Longer | 6-12 | Watermelon</v>
      </c>
      <c r="M3326" s="16" t="s">
        <v>3610</v>
      </c>
    </row>
    <row r="3327" spans="1:13" ht="25" customHeight="1" x14ac:dyDescent="0.45">
      <c r="A3327" s="18">
        <v>46097</v>
      </c>
      <c r="B3327" s="19" t="s">
        <v>3412</v>
      </c>
      <c r="C3327" s="23" t="s">
        <v>110</v>
      </c>
      <c r="D3327" s="53" t="str">
        <f t="shared" si="396"/>
        <v>Sage Green</v>
      </c>
      <c r="E3327" s="21" t="s">
        <v>1849</v>
      </c>
      <c r="F3327" s="21" t="str">
        <f ca="1">IFERROR(__xludf.DUMMYFUNCTION("IFERROR(REGEXEXTRACT(O761, ""\n([A-Za-z ]+)$""), """")
"),"United States")</f>
        <v>United States</v>
      </c>
      <c r="G3327" s="4" t="str">
        <f t="shared" si="392"/>
        <v>Romper Short</v>
      </c>
      <c r="H3327" s="38">
        <f t="shared" si="393"/>
        <v>3</v>
      </c>
      <c r="I3327" s="54">
        <f t="shared" si="390"/>
        <v>12</v>
      </c>
      <c r="J3327" s="14" t="str">
        <f t="shared" si="395"/>
        <v>Easter</v>
      </c>
      <c r="K3327" s="16" t="str">
        <f t="shared" si="394"/>
        <v>3-6</v>
      </c>
      <c r="L3327" s="14" t="str">
        <f t="shared" si="389"/>
        <v>Romper Short | 3-6 | Sage Green</v>
      </c>
      <c r="M3327" s="16" t="s">
        <v>3611</v>
      </c>
    </row>
    <row r="3328" spans="1:13" ht="25" customHeight="1" x14ac:dyDescent="0.45">
      <c r="A3328" s="18">
        <v>46098</v>
      </c>
      <c r="B3328" s="19" t="s">
        <v>3413</v>
      </c>
      <c r="C3328" s="23" t="s">
        <v>76</v>
      </c>
      <c r="D3328" s="53" t="str">
        <f t="shared" si="396"/>
        <v>Caldet Blue</v>
      </c>
      <c r="E3328" s="21" t="s">
        <v>1841</v>
      </c>
      <c r="F3328" s="21" t="str">
        <f ca="1">IFERROR(__xludf.DUMMYFUNCTION("IFERROR(REGEXEXTRACT(O761, ""\n([A-Za-z ]+)$""), """")
"),"United States")</f>
        <v>United States</v>
      </c>
      <c r="G3328" s="4" t="str">
        <f t="shared" si="392"/>
        <v>Romper Longer</v>
      </c>
      <c r="H3328" s="38">
        <f t="shared" si="393"/>
        <v>3</v>
      </c>
      <c r="I3328" s="54">
        <f t="shared" si="390"/>
        <v>12</v>
      </c>
      <c r="J3328" s="14" t="str">
        <f t="shared" si="395"/>
        <v>Easter</v>
      </c>
      <c r="K3328" s="16" t="str">
        <f t="shared" si="394"/>
        <v>6-12</v>
      </c>
      <c r="L3328" s="14" t="str">
        <f t="shared" si="389"/>
        <v>Romper Longer | 6-12 | Caldet Blue</v>
      </c>
      <c r="M3328" s="16" t="s">
        <v>3610</v>
      </c>
    </row>
    <row r="3329" spans="1:13" ht="25" customHeight="1" x14ac:dyDescent="0.45">
      <c r="A3329" s="18">
        <v>46099</v>
      </c>
      <c r="B3329" s="19" t="s">
        <v>3251</v>
      </c>
      <c r="C3329" s="23" t="s">
        <v>9</v>
      </c>
      <c r="D3329" s="53" t="str">
        <f t="shared" si="396"/>
        <v>Cream</v>
      </c>
      <c r="E3329" s="21" t="s">
        <v>1841</v>
      </c>
      <c r="F3329" s="21" t="str">
        <f ca="1">IFERROR(__xludf.DUMMYFUNCTION("IFERROR(REGEXEXTRACT(O761, ""\n([A-Za-z ]+)$""), """")
"),"United States")</f>
        <v>United States</v>
      </c>
      <c r="G3329" s="4" t="str">
        <f t="shared" si="392"/>
        <v>Romper Longer</v>
      </c>
      <c r="H3329" s="38">
        <f t="shared" si="393"/>
        <v>3</v>
      </c>
      <c r="I3329" s="54">
        <f t="shared" si="390"/>
        <v>12</v>
      </c>
      <c r="J3329" s="14" t="str">
        <f t="shared" si="395"/>
        <v>Easter</v>
      </c>
      <c r="K3329" s="16" t="str">
        <f t="shared" si="394"/>
        <v>6-12</v>
      </c>
      <c r="L3329" s="14" t="str">
        <f t="shared" si="389"/>
        <v>Romper Longer | 6-12 | Cream</v>
      </c>
      <c r="M3329" s="16" t="s">
        <v>3611</v>
      </c>
    </row>
    <row r="3330" spans="1:13" ht="25" customHeight="1" x14ac:dyDescent="0.45">
      <c r="A3330" s="18">
        <v>46100</v>
      </c>
      <c r="B3330" s="19" t="s">
        <v>3414</v>
      </c>
      <c r="C3330" s="23" t="s">
        <v>110</v>
      </c>
      <c r="D3330" s="53" t="str">
        <f t="shared" si="396"/>
        <v>Sage Green</v>
      </c>
      <c r="E3330" s="21" t="s">
        <v>1834</v>
      </c>
      <c r="F3330" s="21" t="str">
        <f ca="1">IFERROR(__xludf.DUMMYFUNCTION("IFERROR(REGEXEXTRACT(O761, ""\n([A-Za-z ]+)$""), """")
"),"United States")</f>
        <v>United States</v>
      </c>
      <c r="G3330" s="4" t="str">
        <f t="shared" si="392"/>
        <v>Romper Short</v>
      </c>
      <c r="H3330" s="38">
        <f t="shared" si="393"/>
        <v>3</v>
      </c>
      <c r="I3330" s="54">
        <f t="shared" si="390"/>
        <v>12</v>
      </c>
      <c r="J3330" s="14" t="str">
        <f t="shared" si="395"/>
        <v>Easter</v>
      </c>
      <c r="K3330" s="16" t="str">
        <f t="shared" si="394"/>
        <v>0-3</v>
      </c>
      <c r="L3330" s="14" t="str">
        <f t="shared" ref="L3330:L3393" si="397">TRIM(G3330)&amp;" | "&amp;TRIM(K3330)&amp;" | "&amp;PROPER(TRIM(D3330))</f>
        <v>Romper Short | 0-3 | Sage Green</v>
      </c>
      <c r="M3330" s="16" t="s">
        <v>3610</v>
      </c>
    </row>
    <row r="3331" spans="1:13" ht="25" customHeight="1" x14ac:dyDescent="0.45">
      <c r="A3331" s="18">
        <v>46101</v>
      </c>
      <c r="B3331" s="19" t="s">
        <v>657</v>
      </c>
      <c r="C3331" s="23" t="s">
        <v>9</v>
      </c>
      <c r="D3331" s="53" t="str">
        <f t="shared" si="396"/>
        <v>Cream</v>
      </c>
      <c r="E3331" s="21" t="s">
        <v>1828</v>
      </c>
      <c r="F3331" s="21" t="str">
        <f ca="1">IFERROR(__xludf.DUMMYFUNCTION("IFERROR(REGEXEXTRACT(O761, ""\n([A-Za-z ]+)$""), """")
"),"United States")</f>
        <v>United States</v>
      </c>
      <c r="G3331" s="4" t="str">
        <f t="shared" si="392"/>
        <v>Romper Longer</v>
      </c>
      <c r="H3331" s="38">
        <f t="shared" si="393"/>
        <v>3</v>
      </c>
      <c r="I3331" s="54">
        <f t="shared" si="390"/>
        <v>12</v>
      </c>
      <c r="J3331" s="14" t="str">
        <f t="shared" si="395"/>
        <v>Easter</v>
      </c>
      <c r="K3331" s="16" t="str">
        <f t="shared" si="394"/>
        <v>3-6</v>
      </c>
      <c r="L3331" s="14" t="str">
        <f t="shared" si="397"/>
        <v>Romper Longer | 3-6 | Cream</v>
      </c>
      <c r="M3331" s="16" t="s">
        <v>3609</v>
      </c>
    </row>
    <row r="3332" spans="1:13" ht="25" customHeight="1" x14ac:dyDescent="0.45">
      <c r="A3332" s="18">
        <v>46102</v>
      </c>
      <c r="B3332" s="19" t="s">
        <v>3415</v>
      </c>
      <c r="C3332" s="23" t="s">
        <v>74</v>
      </c>
      <c r="D3332" s="53" t="str">
        <f t="shared" si="396"/>
        <v>Watermelon</v>
      </c>
      <c r="E3332" s="21" t="s">
        <v>1834</v>
      </c>
      <c r="F3332" s="21" t="str">
        <f ca="1">IFERROR(__xludf.DUMMYFUNCTION("IFERROR(REGEXEXTRACT(O761, ""\n([A-Za-z ]+)$""), """")
"),"United States")</f>
        <v>United States</v>
      </c>
      <c r="G3332" s="4" t="str">
        <f t="shared" si="392"/>
        <v>Romper Short</v>
      </c>
      <c r="H3332" s="38">
        <f t="shared" si="393"/>
        <v>3</v>
      </c>
      <c r="I3332" s="54">
        <f t="shared" si="390"/>
        <v>12</v>
      </c>
      <c r="J3332" s="14" t="str">
        <f t="shared" si="395"/>
        <v>Easter</v>
      </c>
      <c r="K3332" s="16" t="str">
        <f t="shared" si="394"/>
        <v>0-3</v>
      </c>
      <c r="L3332" s="14" t="str">
        <f t="shared" si="397"/>
        <v>Romper Short | 0-3 | Watermelon</v>
      </c>
      <c r="M3332" s="16" t="s">
        <v>3610</v>
      </c>
    </row>
    <row r="3333" spans="1:13" ht="25" customHeight="1" x14ac:dyDescent="0.45">
      <c r="A3333" s="18">
        <v>46103</v>
      </c>
      <c r="B3333" s="19" t="s">
        <v>3416</v>
      </c>
      <c r="C3333" s="23" t="s">
        <v>9</v>
      </c>
      <c r="D3333" s="53" t="str">
        <f t="shared" si="396"/>
        <v>Cream</v>
      </c>
      <c r="E3333" s="21" t="s">
        <v>1828</v>
      </c>
      <c r="F3333" s="21" t="str">
        <f ca="1">IFERROR(__xludf.DUMMYFUNCTION("IFERROR(REGEXEXTRACT(O761, ""\n([A-Za-z ]+)$""), """")
"),"United States")</f>
        <v>United States</v>
      </c>
      <c r="G3333" s="4" t="str">
        <f t="shared" si="392"/>
        <v>Romper Longer</v>
      </c>
      <c r="H3333" s="38">
        <f t="shared" si="393"/>
        <v>3</v>
      </c>
      <c r="I3333" s="54">
        <f t="shared" si="390"/>
        <v>13</v>
      </c>
      <c r="J3333" s="14" t="str">
        <f t="shared" si="395"/>
        <v>Easter</v>
      </c>
      <c r="K3333" s="16" t="str">
        <f t="shared" si="394"/>
        <v>3-6</v>
      </c>
      <c r="L3333" s="14" t="str">
        <f t="shared" si="397"/>
        <v>Romper Longer | 3-6 | Cream</v>
      </c>
      <c r="M3333" s="16" t="s">
        <v>3609</v>
      </c>
    </row>
    <row r="3334" spans="1:13" ht="25" customHeight="1" x14ac:dyDescent="0.45">
      <c r="A3334" s="18">
        <v>46104</v>
      </c>
      <c r="B3334" s="19" t="s">
        <v>3417</v>
      </c>
      <c r="C3334" s="23" t="s">
        <v>9</v>
      </c>
      <c r="D3334" s="53" t="str">
        <f t="shared" si="396"/>
        <v>Cream</v>
      </c>
      <c r="E3334" s="21" t="s">
        <v>1831</v>
      </c>
      <c r="F3334" s="21" t="str">
        <f ca="1">IFERROR(__xludf.DUMMYFUNCTION("IFERROR(REGEXEXTRACT(O761, ""\n([A-Za-z ]+)$""), """")
"),"United States")</f>
        <v>United States</v>
      </c>
      <c r="G3334" s="4" t="str">
        <f t="shared" si="392"/>
        <v>Romper Longer</v>
      </c>
      <c r="H3334" s="38">
        <f t="shared" si="393"/>
        <v>3</v>
      </c>
      <c r="I3334" s="54">
        <f t="shared" si="390"/>
        <v>13</v>
      </c>
      <c r="J3334" s="14" t="str">
        <f t="shared" si="395"/>
        <v>Easter</v>
      </c>
      <c r="K3334" s="16" t="str">
        <f t="shared" si="394"/>
        <v>0-3</v>
      </c>
      <c r="L3334" s="14" t="str">
        <f t="shared" si="397"/>
        <v>Romper Longer | 0-3 | Cream</v>
      </c>
      <c r="M3334" s="16" t="s">
        <v>3609</v>
      </c>
    </row>
    <row r="3335" spans="1:13" ht="25" customHeight="1" x14ac:dyDescent="0.45">
      <c r="A3335" s="18">
        <v>46105</v>
      </c>
      <c r="B3335" s="19" t="s">
        <v>3418</v>
      </c>
      <c r="C3335" s="23" t="s">
        <v>9</v>
      </c>
      <c r="D3335" s="53" t="str">
        <f t="shared" si="396"/>
        <v>Cream</v>
      </c>
      <c r="E3335" s="21" t="s">
        <v>1849</v>
      </c>
      <c r="F3335" s="21" t="str">
        <f ca="1">IFERROR(__xludf.DUMMYFUNCTION("IFERROR(REGEXEXTRACT(O761, ""\n([A-Za-z ]+)$""), """")
"),"United States")</f>
        <v>United States</v>
      </c>
      <c r="G3335" s="4" t="str">
        <f t="shared" si="392"/>
        <v>Romper Short</v>
      </c>
      <c r="H3335" s="38">
        <f t="shared" si="393"/>
        <v>3</v>
      </c>
      <c r="I3335" s="54">
        <f t="shared" si="390"/>
        <v>13</v>
      </c>
      <c r="J3335" s="14" t="str">
        <f t="shared" si="395"/>
        <v>Easter</v>
      </c>
      <c r="K3335" s="16" t="str">
        <f t="shared" si="394"/>
        <v>3-6</v>
      </c>
      <c r="L3335" s="14" t="str">
        <f t="shared" si="397"/>
        <v>Romper Short | 3-6 | Cream</v>
      </c>
      <c r="M3335" s="16" t="s">
        <v>3609</v>
      </c>
    </row>
    <row r="3336" spans="1:13" ht="25" customHeight="1" x14ac:dyDescent="0.45">
      <c r="A3336" s="18">
        <v>46106</v>
      </c>
      <c r="B3336" s="19" t="s">
        <v>3419</v>
      </c>
      <c r="C3336" s="23" t="s">
        <v>9</v>
      </c>
      <c r="D3336" s="53" t="str">
        <f t="shared" si="396"/>
        <v>Cream</v>
      </c>
      <c r="E3336" s="21" t="s">
        <v>1828</v>
      </c>
      <c r="F3336" s="21" t="str">
        <f ca="1">IFERROR(__xludf.DUMMYFUNCTION("IFERROR(REGEXEXTRACT(O761, ""\n([A-Za-z ]+)$""), """")
"),"United States")</f>
        <v>United States</v>
      </c>
      <c r="G3336" s="4" t="str">
        <f t="shared" si="392"/>
        <v>Romper Longer</v>
      </c>
      <c r="H3336" s="38">
        <f t="shared" si="393"/>
        <v>3</v>
      </c>
      <c r="I3336" s="54">
        <f t="shared" ref="I3336:I3399" si="398">WEEKNUM(A3336)</f>
        <v>13</v>
      </c>
      <c r="J3336" s="14" t="str">
        <f t="shared" si="395"/>
        <v>Easter</v>
      </c>
      <c r="K3336" s="16" t="str">
        <f t="shared" si="394"/>
        <v>3-6</v>
      </c>
      <c r="L3336" s="14" t="str">
        <f t="shared" si="397"/>
        <v>Romper Longer | 3-6 | Cream</v>
      </c>
      <c r="M3336" s="16" t="s">
        <v>3609</v>
      </c>
    </row>
    <row r="3337" spans="1:13" ht="25" customHeight="1" x14ac:dyDescent="0.45">
      <c r="A3337" s="18">
        <v>46107</v>
      </c>
      <c r="B3337" s="19" t="s">
        <v>3420</v>
      </c>
      <c r="C3337" s="23" t="s">
        <v>9</v>
      </c>
      <c r="D3337" s="53" t="str">
        <f t="shared" si="396"/>
        <v>Cream</v>
      </c>
      <c r="E3337" s="21" t="s">
        <v>1849</v>
      </c>
      <c r="F3337" s="21" t="str">
        <f ca="1">IFERROR(__xludf.DUMMYFUNCTION("IFERROR(REGEXEXTRACT(O761, ""\n([A-Za-z ]+)$""), """")
"),"United States")</f>
        <v>United States</v>
      </c>
      <c r="G3337" s="4" t="str">
        <f t="shared" si="392"/>
        <v>Romper Short</v>
      </c>
      <c r="H3337" s="38">
        <f t="shared" si="393"/>
        <v>3</v>
      </c>
      <c r="I3337" s="54">
        <f t="shared" si="398"/>
        <v>13</v>
      </c>
      <c r="J3337" s="14" t="str">
        <f t="shared" si="395"/>
        <v>Easter</v>
      </c>
      <c r="K3337" s="16" t="str">
        <f t="shared" si="394"/>
        <v>3-6</v>
      </c>
      <c r="L3337" s="14" t="str">
        <f t="shared" si="397"/>
        <v>Romper Short | 3-6 | Cream</v>
      </c>
      <c r="M3337" s="16" t="s">
        <v>3609</v>
      </c>
    </row>
    <row r="3338" spans="1:13" ht="25" customHeight="1" x14ac:dyDescent="0.45">
      <c r="A3338" s="18">
        <v>46108</v>
      </c>
      <c r="B3338" s="19" t="s">
        <v>3421</v>
      </c>
      <c r="C3338" s="23" t="s">
        <v>85</v>
      </c>
      <c r="D3338" s="53" t="str">
        <f t="shared" si="396"/>
        <v>Forest Green</v>
      </c>
      <c r="E3338" s="21" t="s">
        <v>1841</v>
      </c>
      <c r="F3338" s="21" t="str">
        <f ca="1">IFERROR(__xludf.DUMMYFUNCTION("IFERROR(REGEXEXTRACT(O761, ""\n([A-Za-z ]+)$""), """")
"),"United States")</f>
        <v>United States</v>
      </c>
      <c r="G3338" s="4" t="str">
        <f t="shared" si="392"/>
        <v>Romper Longer</v>
      </c>
      <c r="H3338" s="38">
        <f t="shared" si="393"/>
        <v>3</v>
      </c>
      <c r="I3338" s="54">
        <f t="shared" si="398"/>
        <v>13</v>
      </c>
      <c r="J3338" s="14" t="str">
        <f t="shared" si="395"/>
        <v>Easter</v>
      </c>
      <c r="K3338" s="16" t="str">
        <f t="shared" si="394"/>
        <v>6-12</v>
      </c>
      <c r="L3338" s="14" t="str">
        <f t="shared" si="397"/>
        <v>Romper Longer | 6-12 | Forest Green</v>
      </c>
      <c r="M3338" s="16" t="s">
        <v>3610</v>
      </c>
    </row>
    <row r="3339" spans="1:13" ht="25" customHeight="1" x14ac:dyDescent="0.45">
      <c r="A3339" s="18">
        <v>46109</v>
      </c>
      <c r="B3339" s="19" t="s">
        <v>3422</v>
      </c>
      <c r="C3339" s="23" t="s">
        <v>85</v>
      </c>
      <c r="D3339" s="53" t="str">
        <f t="shared" si="396"/>
        <v>Forest Green</v>
      </c>
      <c r="E3339" s="21" t="s">
        <v>1420</v>
      </c>
      <c r="F3339" s="21" t="str">
        <f ca="1">IFERROR(__xludf.DUMMYFUNCTION("IFERROR(REGEXEXTRACT(O761, ""\n([A-Za-z ]+)$""), """")
"),"United States")</f>
        <v>United States</v>
      </c>
      <c r="G3339" s="4" t="str">
        <f t="shared" si="392"/>
        <v>Romper Short</v>
      </c>
      <c r="H3339" s="38">
        <f t="shared" si="393"/>
        <v>3</v>
      </c>
      <c r="I3339" s="54">
        <f t="shared" si="398"/>
        <v>13</v>
      </c>
      <c r="J3339" s="14" t="str">
        <f t="shared" si="395"/>
        <v>Easter</v>
      </c>
      <c r="K3339" s="16" t="str">
        <f t="shared" si="394"/>
        <v>6-12</v>
      </c>
      <c r="L3339" s="14" t="str">
        <f t="shared" si="397"/>
        <v>Romper Short | 6-12 | Forest Green</v>
      </c>
      <c r="M3339" s="16" t="s">
        <v>3610</v>
      </c>
    </row>
    <row r="3340" spans="1:13" ht="25" customHeight="1" x14ac:dyDescent="0.45">
      <c r="A3340" s="18">
        <v>46110</v>
      </c>
      <c r="B3340" s="19" t="s">
        <v>3423</v>
      </c>
      <c r="C3340" s="23" t="s">
        <v>9</v>
      </c>
      <c r="D3340" s="53" t="str">
        <f t="shared" si="396"/>
        <v>Cream</v>
      </c>
      <c r="E3340" s="21" t="s">
        <v>1828</v>
      </c>
      <c r="F3340" s="21" t="str">
        <f ca="1">IFERROR(__xludf.DUMMYFUNCTION("IFERROR(REGEXEXTRACT(O761, ""\n([A-Za-z ]+)$""), """")
"),"United States")</f>
        <v>United States</v>
      </c>
      <c r="G3340" s="4" t="str">
        <f t="shared" si="392"/>
        <v>Romper Longer</v>
      </c>
      <c r="H3340" s="38">
        <f t="shared" si="393"/>
        <v>3</v>
      </c>
      <c r="I3340" s="54">
        <f t="shared" si="398"/>
        <v>14</v>
      </c>
      <c r="J3340" s="14" t="str">
        <f t="shared" si="395"/>
        <v>Easter</v>
      </c>
      <c r="K3340" s="16" t="str">
        <f t="shared" si="394"/>
        <v>3-6</v>
      </c>
      <c r="L3340" s="14" t="str">
        <f t="shared" si="397"/>
        <v>Romper Longer | 3-6 | Cream</v>
      </c>
      <c r="M3340" s="16" t="s">
        <v>3609</v>
      </c>
    </row>
    <row r="3341" spans="1:13" ht="25" customHeight="1" x14ac:dyDescent="0.45">
      <c r="A3341" s="18">
        <v>46111</v>
      </c>
      <c r="B3341" s="19" t="s">
        <v>3424</v>
      </c>
      <c r="C3341" s="23" t="s">
        <v>9</v>
      </c>
      <c r="D3341" s="53" t="str">
        <f t="shared" si="396"/>
        <v>Cream</v>
      </c>
      <c r="E3341" s="21" t="s">
        <v>1841</v>
      </c>
      <c r="F3341" s="21" t="str">
        <f ca="1">IFERROR(__xludf.DUMMYFUNCTION("IFERROR(REGEXEXTRACT(O761, ""\n([A-Za-z ]+)$""), """")
"),"United States")</f>
        <v>United States</v>
      </c>
      <c r="G3341" s="4" t="str">
        <f t="shared" si="392"/>
        <v>Romper Longer</v>
      </c>
      <c r="H3341" s="38">
        <f t="shared" si="393"/>
        <v>3</v>
      </c>
      <c r="I3341" s="54">
        <f t="shared" si="398"/>
        <v>14</v>
      </c>
      <c r="J3341" s="14" t="str">
        <f t="shared" si="395"/>
        <v>Easter</v>
      </c>
      <c r="K3341" s="16" t="str">
        <f t="shared" si="394"/>
        <v>6-12</v>
      </c>
      <c r="L3341" s="14" t="str">
        <f t="shared" si="397"/>
        <v>Romper Longer | 6-12 | Cream</v>
      </c>
      <c r="M3341" s="16" t="s">
        <v>3611</v>
      </c>
    </row>
    <row r="3342" spans="1:13" ht="25" customHeight="1" x14ac:dyDescent="0.45">
      <c r="A3342" s="18">
        <v>46112</v>
      </c>
      <c r="B3342" s="19" t="s">
        <v>3425</v>
      </c>
      <c r="C3342" s="23" t="s">
        <v>85</v>
      </c>
      <c r="D3342" s="53" t="str">
        <f t="shared" si="396"/>
        <v>Forest Green</v>
      </c>
      <c r="E3342" s="21" t="s">
        <v>1849</v>
      </c>
      <c r="F3342" s="21" t="str">
        <f ca="1">IFERROR(__xludf.DUMMYFUNCTION("IFERROR(REGEXEXTRACT(O761, ""\n([A-Za-z ]+)$""), """")
"),"United States")</f>
        <v>United States</v>
      </c>
      <c r="G3342" s="4" t="str">
        <f t="shared" si="392"/>
        <v>Romper Short</v>
      </c>
      <c r="H3342" s="38">
        <f t="shared" si="393"/>
        <v>3</v>
      </c>
      <c r="I3342" s="54">
        <f t="shared" si="398"/>
        <v>14</v>
      </c>
      <c r="J3342" s="14" t="str">
        <f t="shared" si="395"/>
        <v>Easter</v>
      </c>
      <c r="K3342" s="16" t="str">
        <f t="shared" si="394"/>
        <v>3-6</v>
      </c>
      <c r="L3342" s="14" t="str">
        <f t="shared" si="397"/>
        <v>Romper Short | 3-6 | Forest Green</v>
      </c>
      <c r="M3342" s="16" t="s">
        <v>3610</v>
      </c>
    </row>
    <row r="3343" spans="1:13" ht="25" customHeight="1" x14ac:dyDescent="0.45">
      <c r="A3343" s="18">
        <v>46113</v>
      </c>
      <c r="B3343" s="19" t="s">
        <v>3426</v>
      </c>
      <c r="C3343" s="23" t="s">
        <v>178</v>
      </c>
      <c r="D3343" s="53" t="str">
        <f t="shared" si="396"/>
        <v>Mauve Taupe</v>
      </c>
      <c r="E3343" s="21" t="s">
        <v>1550</v>
      </c>
      <c r="F3343" s="21" t="str">
        <f ca="1">IFERROR(__xludf.DUMMYFUNCTION("IFERROR(REGEXEXTRACT(O761, ""\n([A-Za-z ]+)$""), """")
"),"United States")</f>
        <v>United States</v>
      </c>
      <c r="G3343" s="4" t="str">
        <f t="shared" ref="G3343:G3406" si="399">IF(ISNUMBER(SEARCH("LONG",E3343)),"Romper Longer",IF(ISNUMBER(SEARCH("SHORT",E3343)),"Romper Short","Bodysuit"))</f>
        <v>Romper Longer</v>
      </c>
      <c r="H3343" s="38">
        <f t="shared" si="393"/>
        <v>4</v>
      </c>
      <c r="I3343" s="54">
        <f t="shared" si="398"/>
        <v>14</v>
      </c>
      <c r="J3343" s="14" t="str">
        <f t="shared" si="395"/>
        <v>Easter</v>
      </c>
      <c r="K3343" s="16" t="str">
        <f t="shared" si="394"/>
        <v>12-18</v>
      </c>
      <c r="L3343" s="14" t="str">
        <f t="shared" si="397"/>
        <v>Romper Longer | 12-18 | Mauve Taupe</v>
      </c>
      <c r="M3343" s="16" t="s">
        <v>3610</v>
      </c>
    </row>
    <row r="3344" spans="1:13" ht="25" customHeight="1" x14ac:dyDescent="0.45">
      <c r="A3344" s="18">
        <v>46114</v>
      </c>
      <c r="B3344" s="19" t="s">
        <v>3427</v>
      </c>
      <c r="C3344" s="23" t="s">
        <v>407</v>
      </c>
      <c r="D3344" s="53" t="str">
        <f t="shared" si="396"/>
        <v>Texas Orange</v>
      </c>
      <c r="E3344" s="21" t="s">
        <v>1849</v>
      </c>
      <c r="F3344" s="21" t="str">
        <f ca="1">IFERROR(__xludf.DUMMYFUNCTION("IFERROR(REGEXEXTRACT(O761, ""\n([A-Za-z ]+)$""), """")
"),"United States")</f>
        <v>United States</v>
      </c>
      <c r="G3344" s="4" t="str">
        <f t="shared" si="399"/>
        <v>Romper Short</v>
      </c>
      <c r="H3344" s="38">
        <f t="shared" si="393"/>
        <v>4</v>
      </c>
      <c r="I3344" s="54">
        <f t="shared" si="398"/>
        <v>14</v>
      </c>
      <c r="J3344" s="14" t="str">
        <f t="shared" si="395"/>
        <v>Easter</v>
      </c>
      <c r="K3344" s="16" t="str">
        <f t="shared" si="394"/>
        <v>3-6</v>
      </c>
      <c r="L3344" s="14" t="str">
        <f t="shared" si="397"/>
        <v>Romper Short | 3-6 | Texas Orange</v>
      </c>
      <c r="M3344" s="16" t="s">
        <v>3610</v>
      </c>
    </row>
    <row r="3345" spans="1:13" ht="25" customHeight="1" x14ac:dyDescent="0.45">
      <c r="A3345" s="18">
        <v>46115</v>
      </c>
      <c r="B3345" s="19" t="s">
        <v>3428</v>
      </c>
      <c r="C3345" s="23" t="s">
        <v>74</v>
      </c>
      <c r="D3345" s="53" t="str">
        <f t="shared" si="396"/>
        <v>Watermelon</v>
      </c>
      <c r="E3345" s="21" t="s">
        <v>1828</v>
      </c>
      <c r="F3345" s="21" t="str">
        <f ca="1">IFERROR(__xludf.DUMMYFUNCTION("IFERROR(REGEXEXTRACT(O761, ""\n([A-Za-z ]+)$""), """")
"),"United States")</f>
        <v>United States</v>
      </c>
      <c r="G3345" s="4" t="str">
        <f t="shared" si="399"/>
        <v>Romper Longer</v>
      </c>
      <c r="H3345" s="38">
        <f t="shared" si="393"/>
        <v>4</v>
      </c>
      <c r="I3345" s="54">
        <f t="shared" si="398"/>
        <v>14</v>
      </c>
      <c r="J3345" s="14" t="str">
        <f t="shared" si="395"/>
        <v>Easter</v>
      </c>
      <c r="K3345" s="16" t="str">
        <f t="shared" si="394"/>
        <v>3-6</v>
      </c>
      <c r="L3345" s="14" t="str">
        <f t="shared" si="397"/>
        <v>Romper Longer | 3-6 | Watermelon</v>
      </c>
      <c r="M3345" s="16" t="s">
        <v>3610</v>
      </c>
    </row>
    <row r="3346" spans="1:13" ht="25" customHeight="1" x14ac:dyDescent="0.45">
      <c r="A3346" s="18">
        <v>46116</v>
      </c>
      <c r="B3346" s="19" t="s">
        <v>3429</v>
      </c>
      <c r="C3346" s="23" t="s">
        <v>9</v>
      </c>
      <c r="D3346" s="53" t="str">
        <f t="shared" si="396"/>
        <v>Cream</v>
      </c>
      <c r="E3346" s="21" t="s">
        <v>1828</v>
      </c>
      <c r="F3346" s="21" t="str">
        <f ca="1">IFERROR(__xludf.DUMMYFUNCTION("IFERROR(REGEXEXTRACT(O761, ""\n([A-Za-z ]+)$""), """")
"),"United States")</f>
        <v>United States</v>
      </c>
      <c r="G3346" s="4" t="str">
        <f t="shared" si="399"/>
        <v>Romper Longer</v>
      </c>
      <c r="H3346" s="38">
        <f t="shared" si="393"/>
        <v>4</v>
      </c>
      <c r="I3346" s="54">
        <f t="shared" si="398"/>
        <v>14</v>
      </c>
      <c r="J3346" s="14" t="str">
        <f t="shared" si="395"/>
        <v>Easter</v>
      </c>
      <c r="K3346" s="16" t="str">
        <f t="shared" si="394"/>
        <v>3-6</v>
      </c>
      <c r="L3346" s="14" t="str">
        <f t="shared" si="397"/>
        <v>Romper Longer | 3-6 | Cream</v>
      </c>
      <c r="M3346" s="16" t="s">
        <v>3609</v>
      </c>
    </row>
    <row r="3347" spans="1:13" ht="25" customHeight="1" x14ac:dyDescent="0.45">
      <c r="A3347" s="18">
        <v>46117</v>
      </c>
      <c r="B3347" s="19" t="s">
        <v>3430</v>
      </c>
      <c r="C3347" s="23" t="s">
        <v>9</v>
      </c>
      <c r="D3347" s="53" t="str">
        <f t="shared" si="396"/>
        <v>Cream</v>
      </c>
      <c r="E3347" s="21" t="s">
        <v>1420</v>
      </c>
      <c r="F3347" s="21" t="str">
        <f ca="1">IFERROR(__xludf.DUMMYFUNCTION("IFERROR(REGEXEXTRACT(O761, ""\n([A-Za-z ]+)$""), """")
"),"United States")</f>
        <v>United States</v>
      </c>
      <c r="G3347" s="4" t="str">
        <f t="shared" si="399"/>
        <v>Romper Short</v>
      </c>
      <c r="H3347" s="38">
        <f t="shared" si="393"/>
        <v>4</v>
      </c>
      <c r="I3347" s="54">
        <f t="shared" si="398"/>
        <v>15</v>
      </c>
      <c r="J3347" s="14" t="str">
        <f t="shared" si="395"/>
        <v>Easter</v>
      </c>
      <c r="K3347" s="16" t="str">
        <f t="shared" si="394"/>
        <v>6-12</v>
      </c>
      <c r="L3347" s="14" t="str">
        <f t="shared" si="397"/>
        <v>Romper Short | 6-12 | Cream</v>
      </c>
      <c r="M3347" s="16" t="s">
        <v>3611</v>
      </c>
    </row>
    <row r="3348" spans="1:13" ht="25" customHeight="1" x14ac:dyDescent="0.45">
      <c r="A3348" s="18">
        <v>46118</v>
      </c>
      <c r="B3348" s="19" t="s">
        <v>3431</v>
      </c>
      <c r="C3348" s="23" t="s">
        <v>76</v>
      </c>
      <c r="D3348" s="53" t="str">
        <f t="shared" si="396"/>
        <v>Caldet Blue</v>
      </c>
      <c r="E3348" s="21" t="s">
        <v>1831</v>
      </c>
      <c r="F3348" s="21" t="str">
        <f ca="1">IFERROR(__xludf.DUMMYFUNCTION("IFERROR(REGEXEXTRACT(O761, ""\n([A-Za-z ]+)$""), """")
"),"United States")</f>
        <v>United States</v>
      </c>
      <c r="G3348" s="4" t="str">
        <f t="shared" si="399"/>
        <v>Romper Longer</v>
      </c>
      <c r="H3348" s="38">
        <f t="shared" si="393"/>
        <v>4</v>
      </c>
      <c r="I3348" s="54">
        <f t="shared" si="398"/>
        <v>15</v>
      </c>
      <c r="J3348" s="14" t="str">
        <f t="shared" si="395"/>
        <v>Easter</v>
      </c>
      <c r="K3348" s="16" t="str">
        <f t="shared" si="394"/>
        <v>0-3</v>
      </c>
      <c r="L3348" s="14" t="str">
        <f t="shared" si="397"/>
        <v>Romper Longer | 0-3 | Caldet Blue</v>
      </c>
      <c r="M3348" s="16" t="s">
        <v>3610</v>
      </c>
    </row>
    <row r="3349" spans="1:13" ht="25" customHeight="1" x14ac:dyDescent="0.45">
      <c r="A3349" s="18">
        <v>46119</v>
      </c>
      <c r="B3349" s="19" t="s">
        <v>3432</v>
      </c>
      <c r="C3349" s="23" t="s">
        <v>79</v>
      </c>
      <c r="D3349" s="53" t="str">
        <f t="shared" si="396"/>
        <v>White</v>
      </c>
      <c r="E3349" s="21" t="s">
        <v>1849</v>
      </c>
      <c r="F3349" s="21" t="str">
        <f ca="1">IFERROR(__xludf.DUMMYFUNCTION("IFERROR(REGEXEXTRACT(O761, ""\n([A-Za-z ]+)$""), """")
"),"United States")</f>
        <v>United States</v>
      </c>
      <c r="G3349" s="4" t="str">
        <f t="shared" si="399"/>
        <v>Romper Short</v>
      </c>
      <c r="H3349" s="38">
        <f t="shared" ref="H3349:H3406" si="400">MONTH(A3349)</f>
        <v>4</v>
      </c>
      <c r="I3349" s="54">
        <f t="shared" si="398"/>
        <v>15</v>
      </c>
      <c r="J3349" s="14" t="str">
        <f t="shared" si="395"/>
        <v>Easter</v>
      </c>
      <c r="K3349" s="16" t="str">
        <f t="shared" ref="K3349:K3393" si="401">TRIM(LEFT(E3349,FIND("(",E3349&amp;"(")-3))</f>
        <v>3-6</v>
      </c>
      <c r="L3349" s="14" t="str">
        <f t="shared" si="397"/>
        <v>Romper Short | 3-6 | White</v>
      </c>
      <c r="M3349" s="16" t="s">
        <v>3610</v>
      </c>
    </row>
    <row r="3350" spans="1:13" ht="25" customHeight="1" x14ac:dyDescent="0.45">
      <c r="A3350" s="18">
        <v>46120</v>
      </c>
      <c r="B3350" s="19" t="s">
        <v>3433</v>
      </c>
      <c r="C3350" s="23" t="s">
        <v>110</v>
      </c>
      <c r="D3350" s="53" t="str">
        <f t="shared" si="396"/>
        <v>Sage Green</v>
      </c>
      <c r="E3350" s="21" t="s">
        <v>1831</v>
      </c>
      <c r="F3350" s="21" t="str">
        <f ca="1">IFERROR(__xludf.DUMMYFUNCTION("IFERROR(REGEXEXTRACT(O761, ""\n([A-Za-z ]+)$""), """")
"),"United States")</f>
        <v>United States</v>
      </c>
      <c r="G3350" s="4" t="str">
        <f t="shared" si="399"/>
        <v>Romper Longer</v>
      </c>
      <c r="H3350" s="38">
        <f t="shared" si="400"/>
        <v>4</v>
      </c>
      <c r="I3350" s="54">
        <f t="shared" si="398"/>
        <v>15</v>
      </c>
      <c r="J3350" s="14" t="str">
        <f t="shared" si="395"/>
        <v>Easter</v>
      </c>
      <c r="K3350" s="16" t="str">
        <f t="shared" si="401"/>
        <v>0-3</v>
      </c>
      <c r="L3350" s="14" t="str">
        <f t="shared" si="397"/>
        <v>Romper Longer | 0-3 | Sage Green</v>
      </c>
      <c r="M3350" s="16" t="s">
        <v>3611</v>
      </c>
    </row>
    <row r="3351" spans="1:13" ht="25" customHeight="1" x14ac:dyDescent="0.45">
      <c r="A3351" s="18">
        <v>46121</v>
      </c>
      <c r="B3351" s="19" t="s">
        <v>3434</v>
      </c>
      <c r="C3351" s="23" t="s">
        <v>110</v>
      </c>
      <c r="D3351" s="53" t="str">
        <f t="shared" si="396"/>
        <v>Sage Green</v>
      </c>
      <c r="E3351" s="21" t="s">
        <v>1828</v>
      </c>
      <c r="F3351" s="21" t="str">
        <f ca="1">IFERROR(__xludf.DUMMYFUNCTION("IFERROR(REGEXEXTRACT(O761, ""\n([A-Za-z ]+)$""), """")
"),"United States")</f>
        <v>United States</v>
      </c>
      <c r="G3351" s="4" t="str">
        <f t="shared" si="399"/>
        <v>Romper Longer</v>
      </c>
      <c r="H3351" s="38">
        <f t="shared" si="400"/>
        <v>4</v>
      </c>
      <c r="I3351" s="54">
        <f t="shared" si="398"/>
        <v>15</v>
      </c>
      <c r="J3351" s="14" t="str">
        <f t="shared" si="395"/>
        <v>Easter</v>
      </c>
      <c r="K3351" s="16" t="str">
        <f t="shared" si="401"/>
        <v>3-6</v>
      </c>
      <c r="L3351" s="14" t="str">
        <f t="shared" si="397"/>
        <v>Romper Longer | 3-6 | Sage Green</v>
      </c>
      <c r="M3351" s="16" t="s">
        <v>3611</v>
      </c>
    </row>
    <row r="3352" spans="1:13" ht="25" customHeight="1" x14ac:dyDescent="0.45">
      <c r="A3352" s="18">
        <v>46122</v>
      </c>
      <c r="B3352" s="19" t="s">
        <v>3435</v>
      </c>
      <c r="C3352" s="23" t="s">
        <v>9</v>
      </c>
      <c r="D3352" s="53" t="str">
        <f t="shared" si="396"/>
        <v>Cream</v>
      </c>
      <c r="E3352" s="21" t="s">
        <v>1831</v>
      </c>
      <c r="F3352" s="21" t="str">
        <f ca="1">IFERROR(__xludf.DUMMYFUNCTION("IFERROR(REGEXEXTRACT(O761, ""\n([A-Za-z ]+)$""), """")
"),"United States")</f>
        <v>United States</v>
      </c>
      <c r="G3352" s="4" t="str">
        <f t="shared" si="399"/>
        <v>Romper Longer</v>
      </c>
      <c r="H3352" s="38">
        <f t="shared" si="400"/>
        <v>4</v>
      </c>
      <c r="I3352" s="54">
        <f t="shared" si="398"/>
        <v>15</v>
      </c>
      <c r="J3352" s="14" t="str">
        <f t="shared" si="395"/>
        <v>Easter</v>
      </c>
      <c r="K3352" s="16" t="str">
        <f t="shared" si="401"/>
        <v>0-3</v>
      </c>
      <c r="L3352" s="14" t="str">
        <f t="shared" si="397"/>
        <v>Romper Longer | 0-3 | Cream</v>
      </c>
      <c r="M3352" s="16" t="s">
        <v>3609</v>
      </c>
    </row>
    <row r="3353" spans="1:13" ht="25" customHeight="1" x14ac:dyDescent="0.45">
      <c r="A3353" s="18">
        <v>46123</v>
      </c>
      <c r="B3353" s="19" t="s">
        <v>3436</v>
      </c>
      <c r="C3353" s="23" t="s">
        <v>110</v>
      </c>
      <c r="D3353" s="53" t="str">
        <f t="shared" si="396"/>
        <v>Sage Green</v>
      </c>
      <c r="E3353" s="21" t="s">
        <v>1831</v>
      </c>
      <c r="F3353" s="21" t="str">
        <f ca="1">IFERROR(__xludf.DUMMYFUNCTION("IFERROR(REGEXEXTRACT(O761, ""\n([A-Za-z ]+)$""), """")
"),"United States")</f>
        <v>United States</v>
      </c>
      <c r="G3353" s="4" t="str">
        <f t="shared" si="399"/>
        <v>Romper Longer</v>
      </c>
      <c r="H3353" s="38">
        <f t="shared" si="400"/>
        <v>4</v>
      </c>
      <c r="I3353" s="54">
        <f t="shared" si="398"/>
        <v>15</v>
      </c>
      <c r="J3353" s="14" t="str">
        <f t="shared" si="395"/>
        <v>Easter</v>
      </c>
      <c r="K3353" s="16" t="str">
        <f t="shared" si="401"/>
        <v>0-3</v>
      </c>
      <c r="L3353" s="14" t="str">
        <f t="shared" si="397"/>
        <v>Romper Longer | 0-3 | Sage Green</v>
      </c>
      <c r="M3353" s="16" t="s">
        <v>3611</v>
      </c>
    </row>
    <row r="3354" spans="1:13" ht="25" customHeight="1" x14ac:dyDescent="0.45">
      <c r="A3354" s="18">
        <v>46124</v>
      </c>
      <c r="B3354" s="19" t="s">
        <v>3437</v>
      </c>
      <c r="C3354" s="23" t="s">
        <v>85</v>
      </c>
      <c r="D3354" s="53" t="str">
        <f t="shared" si="396"/>
        <v>Forest Green</v>
      </c>
      <c r="E3354" s="21" t="s">
        <v>1849</v>
      </c>
      <c r="F3354" s="21" t="str">
        <f ca="1">IFERROR(__xludf.DUMMYFUNCTION("IFERROR(REGEXEXTRACT(O761, ""\n([A-Za-z ]+)$""), """")
"),"United States")</f>
        <v>United States</v>
      </c>
      <c r="G3354" s="4" t="str">
        <f t="shared" si="399"/>
        <v>Romper Short</v>
      </c>
      <c r="H3354" s="38">
        <f t="shared" si="400"/>
        <v>4</v>
      </c>
      <c r="I3354" s="54">
        <f t="shared" si="398"/>
        <v>16</v>
      </c>
      <c r="J3354" s="14" t="str">
        <f t="shared" si="395"/>
        <v>Easter</v>
      </c>
      <c r="K3354" s="16" t="str">
        <f t="shared" si="401"/>
        <v>3-6</v>
      </c>
      <c r="L3354" s="14" t="str">
        <f t="shared" si="397"/>
        <v>Romper Short | 3-6 | Forest Green</v>
      </c>
      <c r="M3354" s="16" t="s">
        <v>3610</v>
      </c>
    </row>
    <row r="3355" spans="1:13" ht="25" customHeight="1" x14ac:dyDescent="0.45">
      <c r="A3355" s="18">
        <v>46125</v>
      </c>
      <c r="B3355" s="19" t="s">
        <v>3438</v>
      </c>
      <c r="C3355" s="23" t="s">
        <v>110</v>
      </c>
      <c r="D3355" s="53" t="str">
        <f t="shared" si="396"/>
        <v>Sage Green</v>
      </c>
      <c r="E3355" s="21" t="s">
        <v>1828</v>
      </c>
      <c r="F3355" s="21" t="str">
        <f ca="1">IFERROR(__xludf.DUMMYFUNCTION("IFERROR(REGEXEXTRACT(O761, ""\n([A-Za-z ]+)$""), """")
"),"United States")</f>
        <v>United States</v>
      </c>
      <c r="G3355" s="4" t="str">
        <f t="shared" si="399"/>
        <v>Romper Longer</v>
      </c>
      <c r="H3355" s="38">
        <f t="shared" si="400"/>
        <v>4</v>
      </c>
      <c r="I3355" s="54">
        <f t="shared" si="398"/>
        <v>16</v>
      </c>
      <c r="J3355" s="14" t="str">
        <f t="shared" si="395"/>
        <v>Easter</v>
      </c>
      <c r="K3355" s="16" t="str">
        <f t="shared" si="401"/>
        <v>3-6</v>
      </c>
      <c r="L3355" s="14" t="str">
        <f t="shared" si="397"/>
        <v>Romper Longer | 3-6 | Sage Green</v>
      </c>
      <c r="M3355" s="16" t="s">
        <v>3611</v>
      </c>
    </row>
    <row r="3356" spans="1:13" ht="25" customHeight="1" x14ac:dyDescent="0.45">
      <c r="A3356" s="18">
        <v>46126</v>
      </c>
      <c r="B3356" s="19" t="s">
        <v>3439</v>
      </c>
      <c r="C3356" s="23" t="s">
        <v>81</v>
      </c>
      <c r="D3356" s="53" t="str">
        <f t="shared" si="396"/>
        <v>Dusty Pink</v>
      </c>
      <c r="E3356" s="21" t="s">
        <v>1849</v>
      </c>
      <c r="F3356" s="21" t="str">
        <f ca="1">IFERROR(__xludf.DUMMYFUNCTION("IFERROR(REGEXEXTRACT(O761, ""\n([A-Za-z ]+)$""), """")
"),"United States")</f>
        <v>United States</v>
      </c>
      <c r="G3356" s="4" t="str">
        <f t="shared" si="399"/>
        <v>Romper Short</v>
      </c>
      <c r="H3356" s="38">
        <f t="shared" si="400"/>
        <v>4</v>
      </c>
      <c r="I3356" s="54">
        <f t="shared" si="398"/>
        <v>16</v>
      </c>
      <c r="J3356" s="14" t="str">
        <f t="shared" si="395"/>
        <v>Easter</v>
      </c>
      <c r="K3356" s="16" t="str">
        <f t="shared" si="401"/>
        <v>3-6</v>
      </c>
      <c r="L3356" s="14" t="str">
        <f t="shared" si="397"/>
        <v>Romper Short | 3-6 | Dusty Pink</v>
      </c>
      <c r="M3356" s="16" t="s">
        <v>3610</v>
      </c>
    </row>
    <row r="3357" spans="1:13" ht="25" customHeight="1" x14ac:dyDescent="0.45">
      <c r="A3357" s="18">
        <v>46127</v>
      </c>
      <c r="B3357" s="19" t="s">
        <v>3440</v>
      </c>
      <c r="C3357" s="23" t="s">
        <v>178</v>
      </c>
      <c r="D3357" s="53" t="str">
        <f t="shared" si="396"/>
        <v>Mauve Taupe</v>
      </c>
      <c r="E3357" s="21" t="s">
        <v>1841</v>
      </c>
      <c r="F3357" s="21" t="str">
        <f ca="1">IFERROR(__xludf.DUMMYFUNCTION("IFERROR(REGEXEXTRACT(O761, ""\n([A-Za-z ]+)$""), """")
"),"United States")</f>
        <v>United States</v>
      </c>
      <c r="G3357" s="4" t="str">
        <f t="shared" si="399"/>
        <v>Romper Longer</v>
      </c>
      <c r="H3357" s="38">
        <f t="shared" si="400"/>
        <v>4</v>
      </c>
      <c r="I3357" s="54">
        <f t="shared" si="398"/>
        <v>16</v>
      </c>
      <c r="J3357" s="14" t="str">
        <f t="shared" si="395"/>
        <v>Easter</v>
      </c>
      <c r="K3357" s="16" t="str">
        <f t="shared" si="401"/>
        <v>6-12</v>
      </c>
      <c r="L3357" s="14" t="str">
        <f t="shared" si="397"/>
        <v>Romper Longer | 6-12 | Mauve Taupe</v>
      </c>
      <c r="M3357" s="16" t="s">
        <v>3610</v>
      </c>
    </row>
    <row r="3358" spans="1:13" ht="25" customHeight="1" x14ac:dyDescent="0.45">
      <c r="A3358" s="18">
        <v>46128</v>
      </c>
      <c r="B3358" s="19" t="s">
        <v>3441</v>
      </c>
      <c r="C3358" s="23" t="s">
        <v>81</v>
      </c>
      <c r="D3358" s="53" t="str">
        <f t="shared" si="396"/>
        <v>Dusty Pink</v>
      </c>
      <c r="E3358" s="21" t="s">
        <v>1834</v>
      </c>
      <c r="F3358" s="21" t="str">
        <f ca="1">IFERROR(__xludf.DUMMYFUNCTION("IFERROR(REGEXEXTRACT(O761, ""\n([A-Za-z ]+)$""), """")
"),"United States")</f>
        <v>United States</v>
      </c>
      <c r="G3358" s="4" t="str">
        <f t="shared" si="399"/>
        <v>Romper Short</v>
      </c>
      <c r="H3358" s="38">
        <f t="shared" si="400"/>
        <v>4</v>
      </c>
      <c r="I3358" s="54">
        <f t="shared" si="398"/>
        <v>16</v>
      </c>
      <c r="J3358" s="14" t="str">
        <f t="shared" si="395"/>
        <v>Easter</v>
      </c>
      <c r="K3358" s="16" t="str">
        <f t="shared" si="401"/>
        <v>0-3</v>
      </c>
      <c r="L3358" s="14" t="str">
        <f t="shared" si="397"/>
        <v>Romper Short | 0-3 | Dusty Pink</v>
      </c>
      <c r="M3358" s="16" t="s">
        <v>3610</v>
      </c>
    </row>
    <row r="3359" spans="1:13" ht="25" customHeight="1" x14ac:dyDescent="0.45">
      <c r="A3359" s="18">
        <v>46129</v>
      </c>
      <c r="B3359" s="19" t="s">
        <v>3442</v>
      </c>
      <c r="C3359" s="23" t="s">
        <v>9</v>
      </c>
      <c r="D3359" s="53" t="str">
        <f t="shared" si="396"/>
        <v>Cream</v>
      </c>
      <c r="E3359" s="21" t="s">
        <v>1841</v>
      </c>
      <c r="F3359" s="21" t="str">
        <f ca="1">IFERROR(__xludf.DUMMYFUNCTION("IFERROR(REGEXEXTRACT(O761, ""\n([A-Za-z ]+)$""), """")
"),"United States")</f>
        <v>United States</v>
      </c>
      <c r="G3359" s="4" t="str">
        <f t="shared" si="399"/>
        <v>Romper Longer</v>
      </c>
      <c r="H3359" s="38">
        <f t="shared" si="400"/>
        <v>4</v>
      </c>
      <c r="I3359" s="54">
        <f t="shared" si="398"/>
        <v>16</v>
      </c>
      <c r="J3359" s="14" t="str">
        <f t="shared" si="395"/>
        <v>Easter</v>
      </c>
      <c r="K3359" s="16" t="str">
        <f t="shared" si="401"/>
        <v>6-12</v>
      </c>
      <c r="L3359" s="14" t="str">
        <f t="shared" si="397"/>
        <v>Romper Longer | 6-12 | Cream</v>
      </c>
      <c r="M3359" s="16" t="s">
        <v>3611</v>
      </c>
    </row>
    <row r="3360" spans="1:13" ht="25" customHeight="1" x14ac:dyDescent="0.45">
      <c r="A3360" s="18">
        <v>46130</v>
      </c>
      <c r="B3360" s="19" t="s">
        <v>3443</v>
      </c>
      <c r="C3360" s="23" t="s">
        <v>9</v>
      </c>
      <c r="D3360" s="53" t="str">
        <f t="shared" si="396"/>
        <v>Cream</v>
      </c>
      <c r="E3360" s="21" t="s">
        <v>1831</v>
      </c>
      <c r="F3360" s="21" t="str">
        <f ca="1">IFERROR(__xludf.DUMMYFUNCTION("IFERROR(REGEXEXTRACT(O761, ""\n([A-Za-z ]+)$""), """")
"),"United States")</f>
        <v>United States</v>
      </c>
      <c r="G3360" s="4" t="str">
        <f t="shared" si="399"/>
        <v>Romper Longer</v>
      </c>
      <c r="H3360" s="38">
        <f t="shared" si="400"/>
        <v>4</v>
      </c>
      <c r="I3360" s="54">
        <f t="shared" si="398"/>
        <v>16</v>
      </c>
      <c r="J3360" s="14" t="str">
        <f t="shared" si="395"/>
        <v>Easter</v>
      </c>
      <c r="K3360" s="16" t="str">
        <f t="shared" si="401"/>
        <v>0-3</v>
      </c>
      <c r="L3360" s="14" t="str">
        <f t="shared" si="397"/>
        <v>Romper Longer | 0-3 | Cream</v>
      </c>
      <c r="M3360" s="16" t="s">
        <v>3609</v>
      </c>
    </row>
    <row r="3361" spans="1:13" ht="25" customHeight="1" x14ac:dyDescent="0.45">
      <c r="A3361" s="18">
        <v>46131</v>
      </c>
      <c r="B3361" s="19" t="s">
        <v>3444</v>
      </c>
      <c r="C3361" s="23" t="s">
        <v>9</v>
      </c>
      <c r="D3361" s="53" t="str">
        <f t="shared" si="396"/>
        <v>Cream</v>
      </c>
      <c r="E3361" s="21" t="s">
        <v>1831</v>
      </c>
      <c r="F3361" s="21" t="str">
        <f ca="1">IFERROR(__xludf.DUMMYFUNCTION("IFERROR(REGEXEXTRACT(O761, ""\n([A-Za-z ]+)$""), """")
"),"United States")</f>
        <v>United States</v>
      </c>
      <c r="G3361" s="4" t="str">
        <f t="shared" si="399"/>
        <v>Romper Longer</v>
      </c>
      <c r="H3361" s="38">
        <f t="shared" si="400"/>
        <v>4</v>
      </c>
      <c r="I3361" s="54">
        <f t="shared" si="398"/>
        <v>17</v>
      </c>
      <c r="J3361" s="14" t="str">
        <f t="shared" ref="J3361:J3406" si="402">IF(H3361=1,"NewYear",
IF(H3361=2,"Valentine",
IF(OR(H3361=3,H3361=4),"Easter",
IF(H3361=5,"MothersDay",
IF(H3361=6,"FathersDay",
IF(OR(H3361=7,H3361=8),"Summer",
IF(H3361=10,"Halloween",
IF(OR(H3361=11,H3361=12),"Christmas","Normal"))))))))</f>
        <v>Easter</v>
      </c>
      <c r="K3361" s="16" t="str">
        <f t="shared" si="401"/>
        <v>0-3</v>
      </c>
      <c r="L3361" s="14" t="str">
        <f t="shared" si="397"/>
        <v>Romper Longer | 0-3 | Cream</v>
      </c>
      <c r="M3361" s="16" t="s">
        <v>3609</v>
      </c>
    </row>
    <row r="3362" spans="1:13" ht="25" customHeight="1" x14ac:dyDescent="0.45">
      <c r="A3362" s="18">
        <v>46132</v>
      </c>
      <c r="B3362" s="19" t="s">
        <v>3445</v>
      </c>
      <c r="C3362" s="23" t="s">
        <v>9</v>
      </c>
      <c r="D3362" s="53" t="str">
        <f t="shared" si="396"/>
        <v>Cream</v>
      </c>
      <c r="E3362" s="21" t="s">
        <v>1849</v>
      </c>
      <c r="F3362" s="21" t="str">
        <f ca="1">IFERROR(__xludf.DUMMYFUNCTION("IFERROR(REGEXEXTRACT(O761, ""\n([A-Za-z ]+)$""), """")
"),"United States")</f>
        <v>United States</v>
      </c>
      <c r="G3362" s="4" t="str">
        <f t="shared" si="399"/>
        <v>Romper Short</v>
      </c>
      <c r="H3362" s="38">
        <f t="shared" si="400"/>
        <v>4</v>
      </c>
      <c r="I3362" s="54">
        <f t="shared" si="398"/>
        <v>17</v>
      </c>
      <c r="J3362" s="14" t="str">
        <f t="shared" si="402"/>
        <v>Easter</v>
      </c>
      <c r="K3362" s="16" t="str">
        <f t="shared" si="401"/>
        <v>3-6</v>
      </c>
      <c r="L3362" s="14" t="str">
        <f t="shared" si="397"/>
        <v>Romper Short | 3-6 | Cream</v>
      </c>
      <c r="M3362" s="16" t="s">
        <v>3609</v>
      </c>
    </row>
    <row r="3363" spans="1:13" ht="25" customHeight="1" x14ac:dyDescent="0.45">
      <c r="A3363" s="18">
        <v>46133</v>
      </c>
      <c r="B3363" s="19" t="s">
        <v>3446</v>
      </c>
      <c r="C3363" s="23" t="s">
        <v>9</v>
      </c>
      <c r="D3363" s="53" t="str">
        <f t="shared" si="396"/>
        <v>Cream</v>
      </c>
      <c r="E3363" s="21" t="s">
        <v>1831</v>
      </c>
      <c r="F3363" s="21" t="str">
        <f ca="1">IFERROR(__xludf.DUMMYFUNCTION("IFERROR(REGEXEXTRACT(O761, ""\n([A-Za-z ]+)$""), """")
"),"United States")</f>
        <v>United States</v>
      </c>
      <c r="G3363" s="4" t="str">
        <f t="shared" si="399"/>
        <v>Romper Longer</v>
      </c>
      <c r="H3363" s="38">
        <f t="shared" si="400"/>
        <v>4</v>
      </c>
      <c r="I3363" s="54">
        <f t="shared" si="398"/>
        <v>17</v>
      </c>
      <c r="J3363" s="14" t="str">
        <f t="shared" si="402"/>
        <v>Easter</v>
      </c>
      <c r="K3363" s="16" t="str">
        <f t="shared" si="401"/>
        <v>0-3</v>
      </c>
      <c r="L3363" s="14" t="str">
        <f t="shared" si="397"/>
        <v>Romper Longer | 0-3 | Cream</v>
      </c>
      <c r="M3363" s="16" t="s">
        <v>3609</v>
      </c>
    </row>
    <row r="3364" spans="1:13" ht="25" customHeight="1" x14ac:dyDescent="0.45">
      <c r="A3364" s="18">
        <v>46134</v>
      </c>
      <c r="B3364" s="19" t="s">
        <v>3447</v>
      </c>
      <c r="C3364" s="23" t="s">
        <v>9</v>
      </c>
      <c r="D3364" s="53" t="str">
        <f t="shared" ref="D3364:D3406" si="403">PROPER(C3364)</f>
        <v>Cream</v>
      </c>
      <c r="E3364" s="21" t="s">
        <v>1831</v>
      </c>
      <c r="F3364" s="21" t="str">
        <f ca="1">IFERROR(__xludf.DUMMYFUNCTION("IFERROR(REGEXEXTRACT(O761, ""\n([A-Za-z ]+)$""), """")
"),"United States")</f>
        <v>United States</v>
      </c>
      <c r="G3364" s="4" t="str">
        <f t="shared" si="399"/>
        <v>Romper Longer</v>
      </c>
      <c r="H3364" s="38">
        <f t="shared" si="400"/>
        <v>4</v>
      </c>
      <c r="I3364" s="54">
        <f t="shared" si="398"/>
        <v>17</v>
      </c>
      <c r="J3364" s="14" t="str">
        <f t="shared" si="402"/>
        <v>Easter</v>
      </c>
      <c r="K3364" s="16" t="str">
        <f t="shared" si="401"/>
        <v>0-3</v>
      </c>
      <c r="L3364" s="14" t="str">
        <f t="shared" si="397"/>
        <v>Romper Longer | 0-3 | Cream</v>
      </c>
      <c r="M3364" s="16" t="s">
        <v>3609</v>
      </c>
    </row>
    <row r="3365" spans="1:13" ht="25" customHeight="1" x14ac:dyDescent="0.45">
      <c r="A3365" s="18">
        <v>46135</v>
      </c>
      <c r="B3365" s="19" t="s">
        <v>3448</v>
      </c>
      <c r="C3365" s="23" t="s">
        <v>9</v>
      </c>
      <c r="D3365" s="53" t="str">
        <f t="shared" si="403"/>
        <v>Cream</v>
      </c>
      <c r="E3365" s="21" t="s">
        <v>1841</v>
      </c>
      <c r="F3365" s="21" t="str">
        <f ca="1">IFERROR(__xludf.DUMMYFUNCTION("IFERROR(REGEXEXTRACT(O761, ""\n([A-Za-z ]+)$""), """")
"),"United States")</f>
        <v>United States</v>
      </c>
      <c r="G3365" s="4" t="str">
        <f t="shared" si="399"/>
        <v>Romper Longer</v>
      </c>
      <c r="H3365" s="38">
        <f t="shared" si="400"/>
        <v>4</v>
      </c>
      <c r="I3365" s="54">
        <f t="shared" si="398"/>
        <v>17</v>
      </c>
      <c r="J3365" s="14" t="str">
        <f t="shared" si="402"/>
        <v>Easter</v>
      </c>
      <c r="K3365" s="16" t="str">
        <f t="shared" si="401"/>
        <v>6-12</v>
      </c>
      <c r="L3365" s="14" t="str">
        <f t="shared" si="397"/>
        <v>Romper Longer | 6-12 | Cream</v>
      </c>
      <c r="M3365" s="16" t="s">
        <v>3611</v>
      </c>
    </row>
    <row r="3366" spans="1:13" ht="25" customHeight="1" x14ac:dyDescent="0.45">
      <c r="A3366" s="18">
        <v>46136</v>
      </c>
      <c r="B3366" s="19" t="s">
        <v>3449</v>
      </c>
      <c r="C3366" s="23" t="s">
        <v>9</v>
      </c>
      <c r="D3366" s="53" t="str">
        <f t="shared" si="403"/>
        <v>Cream</v>
      </c>
      <c r="E3366" s="21" t="s">
        <v>1841</v>
      </c>
      <c r="F3366" s="21" t="str">
        <f ca="1">IFERROR(__xludf.DUMMYFUNCTION("IFERROR(REGEXEXTRACT(O761, ""\n([A-Za-z ]+)$""), """")
"),"United States")</f>
        <v>United States</v>
      </c>
      <c r="G3366" s="4" t="str">
        <f t="shared" si="399"/>
        <v>Romper Longer</v>
      </c>
      <c r="H3366" s="38">
        <f t="shared" si="400"/>
        <v>4</v>
      </c>
      <c r="I3366" s="54">
        <f t="shared" si="398"/>
        <v>17</v>
      </c>
      <c r="J3366" s="14" t="str">
        <f t="shared" si="402"/>
        <v>Easter</v>
      </c>
      <c r="K3366" s="16" t="str">
        <f t="shared" si="401"/>
        <v>6-12</v>
      </c>
      <c r="L3366" s="14" t="str">
        <f t="shared" si="397"/>
        <v>Romper Longer | 6-12 | Cream</v>
      </c>
      <c r="M3366" s="16" t="s">
        <v>3611</v>
      </c>
    </row>
    <row r="3367" spans="1:13" ht="25" customHeight="1" x14ac:dyDescent="0.45">
      <c r="A3367" s="18">
        <v>46137</v>
      </c>
      <c r="B3367" s="19" t="s">
        <v>3450</v>
      </c>
      <c r="C3367" s="23" t="s">
        <v>9</v>
      </c>
      <c r="D3367" s="53" t="str">
        <f t="shared" si="403"/>
        <v>Cream</v>
      </c>
      <c r="E3367" s="21" t="s">
        <v>1834</v>
      </c>
      <c r="F3367" s="21" t="str">
        <f ca="1">IFERROR(__xludf.DUMMYFUNCTION("IFERROR(REGEXEXTRACT(O761, ""\n([A-Za-z ]+)$""), """")
"),"United States")</f>
        <v>United States</v>
      </c>
      <c r="G3367" s="4" t="str">
        <f t="shared" si="399"/>
        <v>Romper Short</v>
      </c>
      <c r="H3367" s="38">
        <f t="shared" si="400"/>
        <v>4</v>
      </c>
      <c r="I3367" s="54">
        <f t="shared" si="398"/>
        <v>17</v>
      </c>
      <c r="J3367" s="14" t="str">
        <f t="shared" si="402"/>
        <v>Easter</v>
      </c>
      <c r="K3367" s="16" t="str">
        <f t="shared" si="401"/>
        <v>0-3</v>
      </c>
      <c r="L3367" s="14" t="str">
        <f t="shared" si="397"/>
        <v>Romper Short | 0-3 | Cream</v>
      </c>
      <c r="M3367" s="16" t="s">
        <v>3609</v>
      </c>
    </row>
    <row r="3368" spans="1:13" ht="25" customHeight="1" x14ac:dyDescent="0.45">
      <c r="A3368" s="18">
        <v>46138</v>
      </c>
      <c r="B3368" s="19" t="s">
        <v>3451</v>
      </c>
      <c r="C3368" s="23" t="s">
        <v>9</v>
      </c>
      <c r="D3368" s="53" t="str">
        <f t="shared" si="403"/>
        <v>Cream</v>
      </c>
      <c r="E3368" s="21" t="s">
        <v>1834</v>
      </c>
      <c r="F3368" s="21" t="str">
        <f ca="1">IFERROR(__xludf.DUMMYFUNCTION("IFERROR(REGEXEXTRACT(O761, ""\n([A-Za-z ]+)$""), """")
"),"United States")</f>
        <v>United States</v>
      </c>
      <c r="G3368" s="4" t="str">
        <f t="shared" si="399"/>
        <v>Romper Short</v>
      </c>
      <c r="H3368" s="38">
        <f t="shared" si="400"/>
        <v>4</v>
      </c>
      <c r="I3368" s="54">
        <f t="shared" si="398"/>
        <v>18</v>
      </c>
      <c r="J3368" s="14" t="str">
        <f t="shared" si="402"/>
        <v>Easter</v>
      </c>
      <c r="K3368" s="16" t="str">
        <f t="shared" si="401"/>
        <v>0-3</v>
      </c>
      <c r="L3368" s="14" t="str">
        <f t="shared" si="397"/>
        <v>Romper Short | 0-3 | Cream</v>
      </c>
      <c r="M3368" s="16" t="s">
        <v>3609</v>
      </c>
    </row>
    <row r="3369" spans="1:13" ht="25" customHeight="1" x14ac:dyDescent="0.45">
      <c r="A3369" s="18">
        <v>46139</v>
      </c>
      <c r="B3369" s="19" t="s">
        <v>3452</v>
      </c>
      <c r="C3369" s="23" t="s">
        <v>110</v>
      </c>
      <c r="D3369" s="53" t="str">
        <f t="shared" si="403"/>
        <v>Sage Green</v>
      </c>
      <c r="E3369" s="21" t="s">
        <v>1828</v>
      </c>
      <c r="F3369" s="21" t="str">
        <f ca="1">IFERROR(__xludf.DUMMYFUNCTION("IFERROR(REGEXEXTRACT(O761, ""\n([A-Za-z ]+)$""), """")
"),"United States")</f>
        <v>United States</v>
      </c>
      <c r="G3369" s="4" t="str">
        <f t="shared" si="399"/>
        <v>Romper Longer</v>
      </c>
      <c r="H3369" s="38">
        <f t="shared" si="400"/>
        <v>4</v>
      </c>
      <c r="I3369" s="54">
        <f t="shared" si="398"/>
        <v>18</v>
      </c>
      <c r="J3369" s="14" t="str">
        <f t="shared" si="402"/>
        <v>Easter</v>
      </c>
      <c r="K3369" s="16" t="str">
        <f t="shared" si="401"/>
        <v>3-6</v>
      </c>
      <c r="L3369" s="14" t="str">
        <f t="shared" si="397"/>
        <v>Romper Longer | 3-6 | Sage Green</v>
      </c>
      <c r="M3369" s="16" t="s">
        <v>3611</v>
      </c>
    </row>
    <row r="3370" spans="1:13" ht="25" customHeight="1" x14ac:dyDescent="0.45">
      <c r="A3370" s="18">
        <v>46140</v>
      </c>
      <c r="B3370" s="19" t="s">
        <v>3453</v>
      </c>
      <c r="C3370" s="23" t="s">
        <v>9</v>
      </c>
      <c r="D3370" s="53" t="str">
        <f t="shared" si="403"/>
        <v>Cream</v>
      </c>
      <c r="E3370" s="21" t="s">
        <v>1420</v>
      </c>
      <c r="F3370" s="21" t="str">
        <f ca="1">IFERROR(__xludf.DUMMYFUNCTION("IFERROR(REGEXEXTRACT(O761, ""\n([A-Za-z ]+)$""), """")
"),"United States")</f>
        <v>United States</v>
      </c>
      <c r="G3370" s="4" t="str">
        <f t="shared" si="399"/>
        <v>Romper Short</v>
      </c>
      <c r="H3370" s="38">
        <f t="shared" si="400"/>
        <v>4</v>
      </c>
      <c r="I3370" s="54">
        <f t="shared" si="398"/>
        <v>18</v>
      </c>
      <c r="J3370" s="14" t="str">
        <f t="shared" si="402"/>
        <v>Easter</v>
      </c>
      <c r="K3370" s="16" t="str">
        <f t="shared" si="401"/>
        <v>6-12</v>
      </c>
      <c r="L3370" s="14" t="str">
        <f t="shared" si="397"/>
        <v>Romper Short | 6-12 | Cream</v>
      </c>
      <c r="M3370" s="16" t="s">
        <v>3611</v>
      </c>
    </row>
    <row r="3371" spans="1:13" ht="25" customHeight="1" x14ac:dyDescent="0.45">
      <c r="A3371" s="18">
        <v>46141</v>
      </c>
      <c r="B3371" s="19" t="s">
        <v>3454</v>
      </c>
      <c r="C3371" s="23" t="s">
        <v>85</v>
      </c>
      <c r="D3371" s="53" t="str">
        <f t="shared" si="403"/>
        <v>Forest Green</v>
      </c>
      <c r="E3371" s="21" t="s">
        <v>1420</v>
      </c>
      <c r="F3371" s="21" t="str">
        <f ca="1">IFERROR(__xludf.DUMMYFUNCTION("IFERROR(REGEXEXTRACT(O761, ""\n([A-Za-z ]+)$""), """")
"),"United States")</f>
        <v>United States</v>
      </c>
      <c r="G3371" s="4" t="str">
        <f t="shared" si="399"/>
        <v>Romper Short</v>
      </c>
      <c r="H3371" s="38">
        <f t="shared" si="400"/>
        <v>4</v>
      </c>
      <c r="I3371" s="54">
        <f t="shared" si="398"/>
        <v>18</v>
      </c>
      <c r="J3371" s="14" t="str">
        <f t="shared" si="402"/>
        <v>Easter</v>
      </c>
      <c r="K3371" s="16" t="str">
        <f t="shared" si="401"/>
        <v>6-12</v>
      </c>
      <c r="L3371" s="14" t="str">
        <f t="shared" si="397"/>
        <v>Romper Short | 6-12 | Forest Green</v>
      </c>
      <c r="M3371" s="16" t="s">
        <v>3610</v>
      </c>
    </row>
    <row r="3372" spans="1:13" ht="25" customHeight="1" x14ac:dyDescent="0.45">
      <c r="A3372" s="18">
        <v>46142</v>
      </c>
      <c r="B3372" s="19" t="s">
        <v>3455</v>
      </c>
      <c r="C3372" s="23" t="s">
        <v>9</v>
      </c>
      <c r="D3372" s="53" t="str">
        <f t="shared" si="403"/>
        <v>Cream</v>
      </c>
      <c r="E3372" s="21" t="s">
        <v>1849</v>
      </c>
      <c r="F3372" s="21" t="str">
        <f ca="1">IFERROR(__xludf.DUMMYFUNCTION("IFERROR(REGEXEXTRACT(O761, ""\n([A-Za-z ]+)$""), """")
"),"United States")</f>
        <v>United States</v>
      </c>
      <c r="G3372" s="4" t="str">
        <f t="shared" si="399"/>
        <v>Romper Short</v>
      </c>
      <c r="H3372" s="38">
        <f t="shared" si="400"/>
        <v>4</v>
      </c>
      <c r="I3372" s="54">
        <f t="shared" si="398"/>
        <v>18</v>
      </c>
      <c r="J3372" s="14" t="str">
        <f t="shared" si="402"/>
        <v>Easter</v>
      </c>
      <c r="K3372" s="16" t="str">
        <f t="shared" si="401"/>
        <v>3-6</v>
      </c>
      <c r="L3372" s="14" t="str">
        <f t="shared" si="397"/>
        <v>Romper Short | 3-6 | Cream</v>
      </c>
      <c r="M3372" s="16" t="s">
        <v>3609</v>
      </c>
    </row>
    <row r="3373" spans="1:13" ht="25" customHeight="1" x14ac:dyDescent="0.45">
      <c r="A3373" s="18">
        <v>46143</v>
      </c>
      <c r="B3373" s="19" t="s">
        <v>3456</v>
      </c>
      <c r="C3373" s="23" t="s">
        <v>81</v>
      </c>
      <c r="D3373" s="53" t="str">
        <f t="shared" si="403"/>
        <v>Dusty Pink</v>
      </c>
      <c r="E3373" s="21" t="s">
        <v>1550</v>
      </c>
      <c r="F3373" s="21" t="str">
        <f ca="1">IFERROR(__xludf.DUMMYFUNCTION("IFERROR(REGEXEXTRACT(O761, ""\n([A-Za-z ]+)$""), """")
"),"United States")</f>
        <v>United States</v>
      </c>
      <c r="G3373" s="4" t="str">
        <f t="shared" si="399"/>
        <v>Romper Longer</v>
      </c>
      <c r="H3373" s="38">
        <f t="shared" si="400"/>
        <v>5</v>
      </c>
      <c r="I3373" s="54">
        <f t="shared" si="398"/>
        <v>18</v>
      </c>
      <c r="J3373" s="14" t="str">
        <f t="shared" si="402"/>
        <v>MothersDay</v>
      </c>
      <c r="K3373" s="16" t="str">
        <f t="shared" si="401"/>
        <v>12-18</v>
      </c>
      <c r="L3373" s="14" t="str">
        <f t="shared" si="397"/>
        <v>Romper Longer | 12-18 | Dusty Pink</v>
      </c>
      <c r="M3373" s="16" t="s">
        <v>3610</v>
      </c>
    </row>
    <row r="3374" spans="1:13" ht="25" customHeight="1" x14ac:dyDescent="0.45">
      <c r="A3374" s="18">
        <v>46144</v>
      </c>
      <c r="B3374" s="19" t="s">
        <v>3457</v>
      </c>
      <c r="C3374" s="23" t="s">
        <v>110</v>
      </c>
      <c r="D3374" s="53" t="str">
        <f t="shared" si="403"/>
        <v>Sage Green</v>
      </c>
      <c r="E3374" s="21" t="s">
        <v>1828</v>
      </c>
      <c r="F3374" s="21" t="str">
        <f ca="1">IFERROR(__xludf.DUMMYFUNCTION("IFERROR(REGEXEXTRACT(O761, ""\n([A-Za-z ]+)$""), """")
"),"United States")</f>
        <v>United States</v>
      </c>
      <c r="G3374" s="4" t="str">
        <f t="shared" si="399"/>
        <v>Romper Longer</v>
      </c>
      <c r="H3374" s="38">
        <f t="shared" si="400"/>
        <v>5</v>
      </c>
      <c r="I3374" s="54">
        <f t="shared" si="398"/>
        <v>18</v>
      </c>
      <c r="J3374" s="14" t="str">
        <f t="shared" si="402"/>
        <v>MothersDay</v>
      </c>
      <c r="K3374" s="16" t="str">
        <f t="shared" si="401"/>
        <v>3-6</v>
      </c>
      <c r="L3374" s="14" t="str">
        <f t="shared" si="397"/>
        <v>Romper Longer | 3-6 | Sage Green</v>
      </c>
      <c r="M3374" s="16" t="s">
        <v>3611</v>
      </c>
    </row>
    <row r="3375" spans="1:13" ht="25" customHeight="1" x14ac:dyDescent="0.45">
      <c r="A3375" s="18">
        <v>46145</v>
      </c>
      <c r="B3375" s="19" t="s">
        <v>3458</v>
      </c>
      <c r="C3375" s="23" t="s">
        <v>9</v>
      </c>
      <c r="D3375" s="53" t="str">
        <f t="shared" si="403"/>
        <v>Cream</v>
      </c>
      <c r="E3375" s="21" t="s">
        <v>1834</v>
      </c>
      <c r="F3375" s="21" t="str">
        <f ca="1">IFERROR(__xludf.DUMMYFUNCTION("IFERROR(REGEXEXTRACT(O761, ""\n([A-Za-z ]+)$""), """")
"),"United States")</f>
        <v>United States</v>
      </c>
      <c r="G3375" s="4" t="str">
        <f t="shared" si="399"/>
        <v>Romper Short</v>
      </c>
      <c r="H3375" s="38">
        <f t="shared" si="400"/>
        <v>5</v>
      </c>
      <c r="I3375" s="54">
        <f t="shared" si="398"/>
        <v>19</v>
      </c>
      <c r="J3375" s="14" t="str">
        <f t="shared" si="402"/>
        <v>MothersDay</v>
      </c>
      <c r="K3375" s="16" t="str">
        <f t="shared" si="401"/>
        <v>0-3</v>
      </c>
      <c r="L3375" s="14" t="str">
        <f t="shared" si="397"/>
        <v>Romper Short | 0-3 | Cream</v>
      </c>
      <c r="M3375" s="16" t="s">
        <v>3609</v>
      </c>
    </row>
    <row r="3376" spans="1:13" ht="25" customHeight="1" x14ac:dyDescent="0.45">
      <c r="A3376" s="18">
        <v>46146</v>
      </c>
      <c r="B3376" s="19" t="s">
        <v>3459</v>
      </c>
      <c r="C3376" s="23" t="s">
        <v>79</v>
      </c>
      <c r="D3376" s="53" t="str">
        <f t="shared" si="403"/>
        <v>White</v>
      </c>
      <c r="E3376" s="21" t="s">
        <v>1420</v>
      </c>
      <c r="F3376" s="21" t="str">
        <f ca="1">IFERROR(__xludf.DUMMYFUNCTION("IFERROR(REGEXEXTRACT(O761, ""\n([A-Za-z ]+)$""), """")
"),"United States")</f>
        <v>United States</v>
      </c>
      <c r="G3376" s="4" t="str">
        <f t="shared" si="399"/>
        <v>Romper Short</v>
      </c>
      <c r="H3376" s="38">
        <f t="shared" si="400"/>
        <v>5</v>
      </c>
      <c r="I3376" s="54">
        <f t="shared" si="398"/>
        <v>19</v>
      </c>
      <c r="J3376" s="14" t="str">
        <f t="shared" si="402"/>
        <v>MothersDay</v>
      </c>
      <c r="K3376" s="16" t="str">
        <f t="shared" si="401"/>
        <v>6-12</v>
      </c>
      <c r="L3376" s="14" t="str">
        <f t="shared" si="397"/>
        <v>Romper Short | 6-12 | White</v>
      </c>
      <c r="M3376" s="16" t="s">
        <v>3610</v>
      </c>
    </row>
    <row r="3377" spans="1:13" ht="25" customHeight="1" x14ac:dyDescent="0.45">
      <c r="A3377" s="18">
        <v>46147</v>
      </c>
      <c r="B3377" s="19" t="s">
        <v>3460</v>
      </c>
      <c r="C3377" s="23" t="s">
        <v>110</v>
      </c>
      <c r="D3377" s="53" t="str">
        <f t="shared" si="403"/>
        <v>Sage Green</v>
      </c>
      <c r="E3377" s="21" t="s">
        <v>1831</v>
      </c>
      <c r="F3377" s="21" t="str">
        <f ca="1">IFERROR(__xludf.DUMMYFUNCTION("IFERROR(REGEXEXTRACT(O761, ""\n([A-Za-z ]+)$""), """")
"),"United States")</f>
        <v>United States</v>
      </c>
      <c r="G3377" s="4" t="str">
        <f t="shared" si="399"/>
        <v>Romper Longer</v>
      </c>
      <c r="H3377" s="38">
        <f t="shared" si="400"/>
        <v>5</v>
      </c>
      <c r="I3377" s="54">
        <f t="shared" si="398"/>
        <v>19</v>
      </c>
      <c r="J3377" s="14" t="str">
        <f t="shared" si="402"/>
        <v>MothersDay</v>
      </c>
      <c r="K3377" s="16" t="str">
        <f t="shared" si="401"/>
        <v>0-3</v>
      </c>
      <c r="L3377" s="14" t="str">
        <f t="shared" si="397"/>
        <v>Romper Longer | 0-3 | Sage Green</v>
      </c>
      <c r="M3377" s="16" t="s">
        <v>3611</v>
      </c>
    </row>
    <row r="3378" spans="1:13" ht="25" customHeight="1" x14ac:dyDescent="0.45">
      <c r="A3378" s="18">
        <v>46148</v>
      </c>
      <c r="B3378" s="19" t="s">
        <v>3461</v>
      </c>
      <c r="C3378" s="23" t="s">
        <v>76</v>
      </c>
      <c r="D3378" s="53" t="str">
        <f t="shared" si="403"/>
        <v>Caldet Blue</v>
      </c>
      <c r="E3378" s="21" t="s">
        <v>1420</v>
      </c>
      <c r="F3378" s="21" t="str">
        <f ca="1">IFERROR(__xludf.DUMMYFUNCTION("IFERROR(REGEXEXTRACT(O761, ""\n([A-Za-z ]+)$""), """")
"),"United States")</f>
        <v>United States</v>
      </c>
      <c r="G3378" s="4" t="str">
        <f t="shared" si="399"/>
        <v>Romper Short</v>
      </c>
      <c r="H3378" s="38">
        <f t="shared" si="400"/>
        <v>5</v>
      </c>
      <c r="I3378" s="54">
        <f t="shared" si="398"/>
        <v>19</v>
      </c>
      <c r="J3378" s="14" t="str">
        <f t="shared" si="402"/>
        <v>MothersDay</v>
      </c>
      <c r="K3378" s="16" t="str">
        <f t="shared" si="401"/>
        <v>6-12</v>
      </c>
      <c r="L3378" s="14" t="str">
        <f t="shared" si="397"/>
        <v>Romper Short | 6-12 | Caldet Blue</v>
      </c>
      <c r="M3378" s="16" t="s">
        <v>3610</v>
      </c>
    </row>
    <row r="3379" spans="1:13" ht="25" customHeight="1" x14ac:dyDescent="0.45">
      <c r="A3379" s="18">
        <v>46149</v>
      </c>
      <c r="B3379" s="19" t="s">
        <v>3462</v>
      </c>
      <c r="C3379" s="23" t="s">
        <v>9</v>
      </c>
      <c r="D3379" s="53" t="str">
        <f t="shared" si="403"/>
        <v>Cream</v>
      </c>
      <c r="E3379" s="21" t="s">
        <v>1849</v>
      </c>
      <c r="F3379" s="21" t="str">
        <f ca="1">IFERROR(__xludf.DUMMYFUNCTION("IFERROR(REGEXEXTRACT(O761, ""\n([A-Za-z ]+)$""), """")
"),"United States")</f>
        <v>United States</v>
      </c>
      <c r="G3379" s="4" t="str">
        <f t="shared" si="399"/>
        <v>Romper Short</v>
      </c>
      <c r="H3379" s="38">
        <f t="shared" si="400"/>
        <v>5</v>
      </c>
      <c r="I3379" s="54">
        <f t="shared" si="398"/>
        <v>19</v>
      </c>
      <c r="J3379" s="14" t="str">
        <f t="shared" si="402"/>
        <v>MothersDay</v>
      </c>
      <c r="K3379" s="16" t="str">
        <f t="shared" si="401"/>
        <v>3-6</v>
      </c>
      <c r="L3379" s="14" t="str">
        <f t="shared" si="397"/>
        <v>Romper Short | 3-6 | Cream</v>
      </c>
      <c r="M3379" s="16" t="s">
        <v>3609</v>
      </c>
    </row>
    <row r="3380" spans="1:13" ht="25" customHeight="1" x14ac:dyDescent="0.45">
      <c r="A3380" s="18">
        <v>46150</v>
      </c>
      <c r="B3380" s="19" t="s">
        <v>3463</v>
      </c>
      <c r="C3380" s="23" t="s">
        <v>9</v>
      </c>
      <c r="D3380" s="53" t="str">
        <f t="shared" si="403"/>
        <v>Cream</v>
      </c>
      <c r="E3380" s="21" t="s">
        <v>1831</v>
      </c>
      <c r="F3380" s="21" t="str">
        <f ca="1">IFERROR(__xludf.DUMMYFUNCTION("IFERROR(REGEXEXTRACT(O761, ""\n([A-Za-z ]+)$""), """")
"),"United States")</f>
        <v>United States</v>
      </c>
      <c r="G3380" s="4" t="str">
        <f t="shared" si="399"/>
        <v>Romper Longer</v>
      </c>
      <c r="H3380" s="38">
        <f t="shared" si="400"/>
        <v>5</v>
      </c>
      <c r="I3380" s="54">
        <f t="shared" si="398"/>
        <v>19</v>
      </c>
      <c r="J3380" s="14" t="str">
        <f t="shared" si="402"/>
        <v>MothersDay</v>
      </c>
      <c r="K3380" s="16" t="str">
        <f t="shared" si="401"/>
        <v>0-3</v>
      </c>
      <c r="L3380" s="14" t="str">
        <f t="shared" si="397"/>
        <v>Romper Longer | 0-3 | Cream</v>
      </c>
      <c r="M3380" s="16" t="s">
        <v>3609</v>
      </c>
    </row>
    <row r="3381" spans="1:13" ht="25" customHeight="1" x14ac:dyDescent="0.45">
      <c r="A3381" s="18">
        <v>46151</v>
      </c>
      <c r="B3381" s="19" t="s">
        <v>3464</v>
      </c>
      <c r="C3381" s="23" t="s">
        <v>74</v>
      </c>
      <c r="D3381" s="53" t="str">
        <f t="shared" si="403"/>
        <v>Watermelon</v>
      </c>
      <c r="E3381" s="21" t="s">
        <v>1834</v>
      </c>
      <c r="F3381" s="21" t="str">
        <f ca="1">IFERROR(__xludf.DUMMYFUNCTION("IFERROR(REGEXEXTRACT(O761, ""\n([A-Za-z ]+)$""), """")
"),"United States")</f>
        <v>United States</v>
      </c>
      <c r="G3381" s="4" t="str">
        <f t="shared" si="399"/>
        <v>Romper Short</v>
      </c>
      <c r="H3381" s="38">
        <f t="shared" si="400"/>
        <v>5</v>
      </c>
      <c r="I3381" s="54">
        <f t="shared" si="398"/>
        <v>19</v>
      </c>
      <c r="J3381" s="14" t="str">
        <f t="shared" si="402"/>
        <v>MothersDay</v>
      </c>
      <c r="K3381" s="16" t="str">
        <f t="shared" si="401"/>
        <v>0-3</v>
      </c>
      <c r="L3381" s="14" t="str">
        <f t="shared" si="397"/>
        <v>Romper Short | 0-3 | Watermelon</v>
      </c>
      <c r="M3381" s="16" t="s">
        <v>3610</v>
      </c>
    </row>
    <row r="3382" spans="1:13" ht="25" customHeight="1" x14ac:dyDescent="0.45">
      <c r="A3382" s="18">
        <v>46152</v>
      </c>
      <c r="B3382" s="19" t="s">
        <v>3465</v>
      </c>
      <c r="C3382" s="23" t="s">
        <v>85</v>
      </c>
      <c r="D3382" s="53" t="str">
        <f t="shared" si="403"/>
        <v>Forest Green</v>
      </c>
      <c r="E3382" s="21" t="s">
        <v>1831</v>
      </c>
      <c r="F3382" s="21" t="str">
        <f ca="1">IFERROR(__xludf.DUMMYFUNCTION("IFERROR(REGEXEXTRACT(O761, ""\n([A-Za-z ]+)$""), """")
"),"United States")</f>
        <v>United States</v>
      </c>
      <c r="G3382" s="4" t="str">
        <f t="shared" si="399"/>
        <v>Romper Longer</v>
      </c>
      <c r="H3382" s="38">
        <f t="shared" si="400"/>
        <v>5</v>
      </c>
      <c r="I3382" s="54">
        <f t="shared" si="398"/>
        <v>20</v>
      </c>
      <c r="J3382" s="14" t="str">
        <f t="shared" si="402"/>
        <v>MothersDay</v>
      </c>
      <c r="K3382" s="16" t="str">
        <f t="shared" si="401"/>
        <v>0-3</v>
      </c>
      <c r="L3382" s="14" t="str">
        <f t="shared" si="397"/>
        <v>Romper Longer | 0-3 | Forest Green</v>
      </c>
      <c r="M3382" s="16" t="s">
        <v>3610</v>
      </c>
    </row>
    <row r="3383" spans="1:13" ht="25" customHeight="1" x14ac:dyDescent="0.45">
      <c r="A3383" s="18">
        <v>46153</v>
      </c>
      <c r="B3383" s="19" t="s">
        <v>3466</v>
      </c>
      <c r="C3383" s="23" t="s">
        <v>76</v>
      </c>
      <c r="D3383" s="53" t="str">
        <f t="shared" si="403"/>
        <v>Caldet Blue</v>
      </c>
      <c r="E3383" s="21" t="s">
        <v>1831</v>
      </c>
      <c r="F3383" s="21" t="str">
        <f ca="1">IFERROR(__xludf.DUMMYFUNCTION("IFERROR(REGEXEXTRACT(O761, ""\n([A-Za-z ]+)$""), """")
"),"United States")</f>
        <v>United States</v>
      </c>
      <c r="G3383" s="4" t="str">
        <f t="shared" si="399"/>
        <v>Romper Longer</v>
      </c>
      <c r="H3383" s="38">
        <f t="shared" si="400"/>
        <v>5</v>
      </c>
      <c r="I3383" s="54">
        <f t="shared" si="398"/>
        <v>20</v>
      </c>
      <c r="J3383" s="14" t="str">
        <f t="shared" si="402"/>
        <v>MothersDay</v>
      </c>
      <c r="K3383" s="16" t="str">
        <f t="shared" si="401"/>
        <v>0-3</v>
      </c>
      <c r="L3383" s="14" t="str">
        <f t="shared" si="397"/>
        <v>Romper Longer | 0-3 | Caldet Blue</v>
      </c>
      <c r="M3383" s="16" t="s">
        <v>3610</v>
      </c>
    </row>
    <row r="3384" spans="1:13" ht="25" customHeight="1" x14ac:dyDescent="0.45">
      <c r="A3384" s="18">
        <v>46154</v>
      </c>
      <c r="B3384" s="19" t="s">
        <v>3467</v>
      </c>
      <c r="C3384" s="23" t="s">
        <v>79</v>
      </c>
      <c r="D3384" s="53" t="str">
        <f t="shared" si="403"/>
        <v>White</v>
      </c>
      <c r="E3384" s="21" t="s">
        <v>1420</v>
      </c>
      <c r="F3384" s="21" t="str">
        <f ca="1">IFERROR(__xludf.DUMMYFUNCTION("IFERROR(REGEXEXTRACT(O761, ""\n([A-Za-z ]+)$""), """")
"),"United States")</f>
        <v>United States</v>
      </c>
      <c r="G3384" s="4" t="str">
        <f t="shared" si="399"/>
        <v>Romper Short</v>
      </c>
      <c r="H3384" s="38">
        <f t="shared" si="400"/>
        <v>5</v>
      </c>
      <c r="I3384" s="54">
        <f t="shared" si="398"/>
        <v>20</v>
      </c>
      <c r="J3384" s="14" t="str">
        <f t="shared" si="402"/>
        <v>MothersDay</v>
      </c>
      <c r="K3384" s="16" t="str">
        <f t="shared" si="401"/>
        <v>6-12</v>
      </c>
      <c r="L3384" s="14" t="str">
        <f t="shared" si="397"/>
        <v>Romper Short | 6-12 | White</v>
      </c>
      <c r="M3384" s="16" t="s">
        <v>3610</v>
      </c>
    </row>
    <row r="3385" spans="1:13" ht="25" customHeight="1" x14ac:dyDescent="0.45">
      <c r="A3385" s="18">
        <v>46155</v>
      </c>
      <c r="B3385" s="19" t="s">
        <v>3468</v>
      </c>
      <c r="C3385" s="23" t="s">
        <v>79</v>
      </c>
      <c r="D3385" s="53" t="str">
        <f t="shared" si="403"/>
        <v>White</v>
      </c>
      <c r="E3385" s="21" t="s">
        <v>1831</v>
      </c>
      <c r="F3385" s="21" t="str">
        <f ca="1">IFERROR(__xludf.DUMMYFUNCTION("IFERROR(REGEXEXTRACT(O761, ""\n([A-Za-z ]+)$""), """")
"),"United States")</f>
        <v>United States</v>
      </c>
      <c r="G3385" s="4" t="str">
        <f t="shared" si="399"/>
        <v>Romper Longer</v>
      </c>
      <c r="H3385" s="38">
        <f t="shared" si="400"/>
        <v>5</v>
      </c>
      <c r="I3385" s="54">
        <f t="shared" si="398"/>
        <v>20</v>
      </c>
      <c r="J3385" s="14" t="str">
        <f t="shared" si="402"/>
        <v>MothersDay</v>
      </c>
      <c r="K3385" s="16" t="str">
        <f t="shared" si="401"/>
        <v>0-3</v>
      </c>
      <c r="L3385" s="14" t="str">
        <f t="shared" si="397"/>
        <v>Romper Longer | 0-3 | White</v>
      </c>
      <c r="M3385" s="16" t="s">
        <v>3610</v>
      </c>
    </row>
    <row r="3386" spans="1:13" ht="25" customHeight="1" x14ac:dyDescent="0.45">
      <c r="A3386" s="18">
        <v>46156</v>
      </c>
      <c r="B3386" s="19" t="s">
        <v>3469</v>
      </c>
      <c r="C3386" s="23" t="s">
        <v>81</v>
      </c>
      <c r="D3386" s="53" t="str">
        <f t="shared" si="403"/>
        <v>Dusty Pink</v>
      </c>
      <c r="E3386" s="21" t="s">
        <v>1828</v>
      </c>
      <c r="F3386" s="21" t="str">
        <f ca="1">IFERROR(__xludf.DUMMYFUNCTION("IFERROR(REGEXEXTRACT(O761, ""\n([A-Za-z ]+)$""), """")
"),"United States")</f>
        <v>United States</v>
      </c>
      <c r="G3386" s="4" t="str">
        <f t="shared" si="399"/>
        <v>Romper Longer</v>
      </c>
      <c r="H3386" s="38">
        <f t="shared" si="400"/>
        <v>5</v>
      </c>
      <c r="I3386" s="54">
        <f t="shared" si="398"/>
        <v>20</v>
      </c>
      <c r="J3386" s="14" t="str">
        <f t="shared" si="402"/>
        <v>MothersDay</v>
      </c>
      <c r="K3386" s="16" t="str">
        <f t="shared" si="401"/>
        <v>3-6</v>
      </c>
      <c r="L3386" s="14" t="str">
        <f t="shared" si="397"/>
        <v>Romper Longer | 3-6 | Dusty Pink</v>
      </c>
      <c r="M3386" s="16" t="s">
        <v>3610</v>
      </c>
    </row>
    <row r="3387" spans="1:13" ht="25" customHeight="1" x14ac:dyDescent="0.45">
      <c r="A3387" s="18">
        <v>46157</v>
      </c>
      <c r="B3387" s="19" t="s">
        <v>3470</v>
      </c>
      <c r="C3387" s="23" t="s">
        <v>81</v>
      </c>
      <c r="D3387" s="53" t="str">
        <f t="shared" si="403"/>
        <v>Dusty Pink</v>
      </c>
      <c r="E3387" s="21" t="s">
        <v>1841</v>
      </c>
      <c r="F3387" s="21" t="str">
        <f ca="1">IFERROR(__xludf.DUMMYFUNCTION("IFERROR(REGEXEXTRACT(O761, ""\n([A-Za-z ]+)$""), """")
"),"United States")</f>
        <v>United States</v>
      </c>
      <c r="G3387" s="4" t="str">
        <f t="shared" si="399"/>
        <v>Romper Longer</v>
      </c>
      <c r="H3387" s="38">
        <f t="shared" si="400"/>
        <v>5</v>
      </c>
      <c r="I3387" s="54">
        <f t="shared" si="398"/>
        <v>20</v>
      </c>
      <c r="J3387" s="14" t="str">
        <f t="shared" si="402"/>
        <v>MothersDay</v>
      </c>
      <c r="K3387" s="16" t="str">
        <f t="shared" si="401"/>
        <v>6-12</v>
      </c>
      <c r="L3387" s="14" t="str">
        <f t="shared" si="397"/>
        <v>Romper Longer | 6-12 | Dusty Pink</v>
      </c>
      <c r="M3387" s="16" t="s">
        <v>3610</v>
      </c>
    </row>
    <row r="3388" spans="1:13" ht="25" customHeight="1" x14ac:dyDescent="0.45">
      <c r="A3388" s="18">
        <v>46158</v>
      </c>
      <c r="B3388" s="19" t="s">
        <v>3471</v>
      </c>
      <c r="C3388" s="23" t="s">
        <v>178</v>
      </c>
      <c r="D3388" s="53" t="str">
        <f t="shared" si="403"/>
        <v>Mauve Taupe</v>
      </c>
      <c r="E3388" s="21" t="s">
        <v>1838</v>
      </c>
      <c r="F3388" s="21" t="str">
        <f ca="1">IFERROR(__xludf.DUMMYFUNCTION("IFERROR(REGEXEXTRACT(O761, ""\n([A-Za-z ]+)$""), """")
"),"United States")</f>
        <v>United States</v>
      </c>
      <c r="G3388" s="4" t="str">
        <f t="shared" si="399"/>
        <v>Romper Short</v>
      </c>
      <c r="H3388" s="38">
        <f t="shared" si="400"/>
        <v>5</v>
      </c>
      <c r="I3388" s="54">
        <f t="shared" si="398"/>
        <v>20</v>
      </c>
      <c r="J3388" s="14" t="str">
        <f t="shared" si="402"/>
        <v>MothersDay</v>
      </c>
      <c r="K3388" s="16" t="str">
        <f t="shared" si="401"/>
        <v>12-18</v>
      </c>
      <c r="L3388" s="14" t="str">
        <f t="shared" si="397"/>
        <v>Romper Short | 12-18 | Mauve Taupe</v>
      </c>
      <c r="M3388" s="16" t="s">
        <v>3610</v>
      </c>
    </row>
    <row r="3389" spans="1:13" ht="25" customHeight="1" x14ac:dyDescent="0.45">
      <c r="A3389" s="18">
        <v>46159</v>
      </c>
      <c r="B3389" s="19" t="s">
        <v>3472</v>
      </c>
      <c r="C3389" s="23" t="s">
        <v>9</v>
      </c>
      <c r="D3389" s="53" t="str">
        <f t="shared" si="403"/>
        <v>Cream</v>
      </c>
      <c r="E3389" s="21" t="s">
        <v>1834</v>
      </c>
      <c r="F3389" s="21" t="str">
        <f ca="1">IFERROR(__xludf.DUMMYFUNCTION("IFERROR(REGEXEXTRACT(O761, ""\n([A-Za-z ]+)$""), """")
"),"United States")</f>
        <v>United States</v>
      </c>
      <c r="G3389" s="4" t="str">
        <f t="shared" si="399"/>
        <v>Romper Short</v>
      </c>
      <c r="H3389" s="38">
        <f t="shared" si="400"/>
        <v>5</v>
      </c>
      <c r="I3389" s="54">
        <f t="shared" si="398"/>
        <v>21</v>
      </c>
      <c r="J3389" s="14" t="str">
        <f t="shared" si="402"/>
        <v>MothersDay</v>
      </c>
      <c r="K3389" s="16" t="str">
        <f t="shared" si="401"/>
        <v>0-3</v>
      </c>
      <c r="L3389" s="14" t="str">
        <f t="shared" si="397"/>
        <v>Romper Short | 0-3 | Cream</v>
      </c>
      <c r="M3389" s="16" t="s">
        <v>3609</v>
      </c>
    </row>
    <row r="3390" spans="1:13" ht="25" customHeight="1" x14ac:dyDescent="0.45">
      <c r="A3390" s="18">
        <v>46160</v>
      </c>
      <c r="B3390" s="19" t="s">
        <v>3473</v>
      </c>
      <c r="C3390" s="23" t="s">
        <v>74</v>
      </c>
      <c r="D3390" s="53" t="str">
        <f t="shared" si="403"/>
        <v>Watermelon</v>
      </c>
      <c r="E3390" s="21" t="s">
        <v>1420</v>
      </c>
      <c r="F3390" s="21" t="str">
        <f ca="1">IFERROR(__xludf.DUMMYFUNCTION("IFERROR(REGEXEXTRACT(O761, ""\n([A-Za-z ]+)$""), """")
"),"United States")</f>
        <v>United States</v>
      </c>
      <c r="G3390" s="4" t="str">
        <f t="shared" si="399"/>
        <v>Romper Short</v>
      </c>
      <c r="H3390" s="38">
        <f t="shared" si="400"/>
        <v>5</v>
      </c>
      <c r="I3390" s="54">
        <f t="shared" si="398"/>
        <v>21</v>
      </c>
      <c r="J3390" s="14" t="str">
        <f t="shared" si="402"/>
        <v>MothersDay</v>
      </c>
      <c r="K3390" s="16" t="str">
        <f t="shared" si="401"/>
        <v>6-12</v>
      </c>
      <c r="L3390" s="14" t="str">
        <f t="shared" si="397"/>
        <v>Romper Short | 6-12 | Watermelon</v>
      </c>
      <c r="M3390" s="16" t="s">
        <v>3610</v>
      </c>
    </row>
    <row r="3391" spans="1:13" ht="25" customHeight="1" x14ac:dyDescent="0.45">
      <c r="A3391" s="18">
        <v>46161</v>
      </c>
      <c r="B3391" s="19" t="s">
        <v>3474</v>
      </c>
      <c r="C3391" s="23" t="s">
        <v>110</v>
      </c>
      <c r="D3391" s="53" t="str">
        <f t="shared" si="403"/>
        <v>Sage Green</v>
      </c>
      <c r="E3391" s="21" t="s">
        <v>1420</v>
      </c>
      <c r="F3391" s="21" t="str">
        <f ca="1">IFERROR(__xludf.DUMMYFUNCTION("IFERROR(REGEXEXTRACT(O761, ""\n([A-Za-z ]+)$""), """")
"),"United States")</f>
        <v>United States</v>
      </c>
      <c r="G3391" s="4" t="str">
        <f t="shared" si="399"/>
        <v>Romper Short</v>
      </c>
      <c r="H3391" s="38">
        <f t="shared" si="400"/>
        <v>5</v>
      </c>
      <c r="I3391" s="54">
        <f t="shared" si="398"/>
        <v>21</v>
      </c>
      <c r="J3391" s="14" t="str">
        <f t="shared" si="402"/>
        <v>MothersDay</v>
      </c>
      <c r="K3391" s="16" t="str">
        <f t="shared" si="401"/>
        <v>6-12</v>
      </c>
      <c r="L3391" s="14" t="str">
        <f t="shared" si="397"/>
        <v>Romper Short | 6-12 | Sage Green</v>
      </c>
      <c r="M3391" s="16" t="s">
        <v>3610</v>
      </c>
    </row>
    <row r="3392" spans="1:13" ht="25" customHeight="1" x14ac:dyDescent="0.45">
      <c r="A3392" s="18">
        <v>46162</v>
      </c>
      <c r="B3392" s="35" t="s">
        <v>3475</v>
      </c>
      <c r="C3392" s="23" t="s">
        <v>9</v>
      </c>
      <c r="D3392" s="53" t="str">
        <f t="shared" si="403"/>
        <v>Cream</v>
      </c>
      <c r="E3392" s="21" t="s">
        <v>1831</v>
      </c>
      <c r="F3392" s="21" t="str">
        <f ca="1">IFERROR(__xludf.DUMMYFUNCTION("IFERROR(REGEXEXTRACT(O761, ""\n([A-Za-z ]+)$""), """")
"),"United States")</f>
        <v>United States</v>
      </c>
      <c r="G3392" s="4" t="str">
        <f t="shared" si="399"/>
        <v>Romper Longer</v>
      </c>
      <c r="H3392" s="38">
        <f t="shared" si="400"/>
        <v>5</v>
      </c>
      <c r="I3392" s="54">
        <f t="shared" si="398"/>
        <v>21</v>
      </c>
      <c r="J3392" s="14" t="str">
        <f t="shared" si="402"/>
        <v>MothersDay</v>
      </c>
      <c r="K3392" s="16" t="str">
        <f t="shared" si="401"/>
        <v>0-3</v>
      </c>
      <c r="L3392" s="14" t="str">
        <f t="shared" si="397"/>
        <v>Romper Longer | 0-3 | Cream</v>
      </c>
      <c r="M3392" s="16" t="s">
        <v>3609</v>
      </c>
    </row>
    <row r="3393" spans="1:13" ht="25" customHeight="1" x14ac:dyDescent="0.45">
      <c r="A3393" s="18">
        <v>46163</v>
      </c>
      <c r="B3393" s="19" t="s">
        <v>3476</v>
      </c>
      <c r="C3393" s="23" t="s">
        <v>76</v>
      </c>
      <c r="D3393" s="53" t="str">
        <f t="shared" si="403"/>
        <v>Caldet Blue</v>
      </c>
      <c r="E3393" s="21" t="s">
        <v>1831</v>
      </c>
      <c r="F3393" s="21" t="str">
        <f ca="1">IFERROR(__xludf.DUMMYFUNCTION("IFERROR(REGEXEXTRACT(O761, ""\n([A-Za-z ]+)$""), """")
"),"United States")</f>
        <v>United States</v>
      </c>
      <c r="G3393" s="4" t="str">
        <f t="shared" si="399"/>
        <v>Romper Longer</v>
      </c>
      <c r="H3393" s="38">
        <f t="shared" si="400"/>
        <v>5</v>
      </c>
      <c r="I3393" s="54">
        <f t="shared" si="398"/>
        <v>21</v>
      </c>
      <c r="J3393" s="14" t="str">
        <f t="shared" si="402"/>
        <v>MothersDay</v>
      </c>
      <c r="K3393" s="16" t="str">
        <f t="shared" si="401"/>
        <v>0-3</v>
      </c>
      <c r="L3393" s="14" t="str">
        <f t="shared" si="397"/>
        <v>Romper Longer | 0-3 | Caldet Blue</v>
      </c>
      <c r="M3393" s="16" t="s">
        <v>3610</v>
      </c>
    </row>
    <row r="3394" spans="1:13" ht="25" customHeight="1" x14ac:dyDescent="0.45">
      <c r="A3394" s="18">
        <v>46164</v>
      </c>
      <c r="B3394" s="19" t="s">
        <v>3477</v>
      </c>
      <c r="C3394" s="23" t="s">
        <v>9</v>
      </c>
      <c r="D3394" s="53" t="str">
        <f t="shared" si="403"/>
        <v>Cream</v>
      </c>
      <c r="E3394" s="21" t="s">
        <v>1849</v>
      </c>
      <c r="F3394" s="21" t="str">
        <f ca="1">IFERROR(__xludf.DUMMYFUNCTION("IFERROR(REGEXEXTRACT(O761, ""\n([A-Za-z ]+)$""), """")
"),"United States")</f>
        <v>United States</v>
      </c>
      <c r="G3394" s="4" t="str">
        <f t="shared" si="399"/>
        <v>Romper Short</v>
      </c>
      <c r="H3394" s="38">
        <f t="shared" si="400"/>
        <v>5</v>
      </c>
      <c r="I3394" s="54">
        <f t="shared" si="398"/>
        <v>21</v>
      </c>
      <c r="J3394" s="14" t="str">
        <f t="shared" si="402"/>
        <v>MothersDay</v>
      </c>
      <c r="K3394" s="16" t="str">
        <f t="shared" ref="K3394:K3406" si="404">TRIM(LEFT(E3394,FIND("(",E3394&amp;"(")-3))</f>
        <v>3-6</v>
      </c>
      <c r="L3394" s="14" t="str">
        <f t="shared" ref="L3394:L3406" si="405">TRIM(G3394)&amp;" | "&amp;TRIM(K3394)&amp;" | "&amp;PROPER(TRIM(D3394))</f>
        <v>Romper Short | 3-6 | Cream</v>
      </c>
      <c r="M3394" s="16" t="s">
        <v>3609</v>
      </c>
    </row>
    <row r="3395" spans="1:13" ht="25" customHeight="1" x14ac:dyDescent="0.45">
      <c r="A3395" s="18">
        <v>46165</v>
      </c>
      <c r="B3395" s="19" t="s">
        <v>3478</v>
      </c>
      <c r="C3395" s="23" t="s">
        <v>85</v>
      </c>
      <c r="D3395" s="53" t="str">
        <f t="shared" si="403"/>
        <v>Forest Green</v>
      </c>
      <c r="E3395" s="21" t="s">
        <v>1831</v>
      </c>
      <c r="F3395" s="21" t="str">
        <f ca="1">IFERROR(__xludf.DUMMYFUNCTION("IFERROR(REGEXEXTRACT(O761, ""\n([A-Za-z ]+)$""), """")
"),"United States")</f>
        <v>United States</v>
      </c>
      <c r="G3395" s="4" t="str">
        <f t="shared" si="399"/>
        <v>Romper Longer</v>
      </c>
      <c r="H3395" s="38">
        <f t="shared" si="400"/>
        <v>5</v>
      </c>
      <c r="I3395" s="54">
        <f t="shared" si="398"/>
        <v>21</v>
      </c>
      <c r="J3395" s="14" t="str">
        <f t="shared" si="402"/>
        <v>MothersDay</v>
      </c>
      <c r="K3395" s="16" t="str">
        <f t="shared" si="404"/>
        <v>0-3</v>
      </c>
      <c r="L3395" s="14" t="str">
        <f t="shared" si="405"/>
        <v>Romper Longer | 0-3 | Forest Green</v>
      </c>
      <c r="M3395" s="16" t="s">
        <v>3610</v>
      </c>
    </row>
    <row r="3396" spans="1:13" ht="25" customHeight="1" x14ac:dyDescent="0.45">
      <c r="A3396" s="18">
        <v>46166</v>
      </c>
      <c r="B3396" s="19" t="s">
        <v>3479</v>
      </c>
      <c r="C3396" s="23" t="s">
        <v>74</v>
      </c>
      <c r="D3396" s="53" t="str">
        <f t="shared" si="403"/>
        <v>Watermelon</v>
      </c>
      <c r="E3396" s="21" t="s">
        <v>1370</v>
      </c>
      <c r="F3396" s="21" t="str">
        <f ca="1">IFERROR(__xludf.DUMMYFUNCTION("IFERROR(REGEXEXTRACT(O761, ""\n([A-Za-z ]+)$""), """")
"),"United States")</f>
        <v>United States</v>
      </c>
      <c r="G3396" s="4" t="str">
        <f t="shared" si="399"/>
        <v>Romper Short</v>
      </c>
      <c r="H3396" s="38">
        <f t="shared" si="400"/>
        <v>5</v>
      </c>
      <c r="I3396" s="54">
        <f t="shared" si="398"/>
        <v>22</v>
      </c>
      <c r="J3396" s="14" t="str">
        <f t="shared" si="402"/>
        <v>MothersDay</v>
      </c>
      <c r="K3396" s="16" t="str">
        <f t="shared" si="404"/>
        <v>18-24</v>
      </c>
      <c r="L3396" s="14" t="str">
        <f t="shared" si="405"/>
        <v>Romper Short | 18-24 | Watermelon</v>
      </c>
      <c r="M3396" s="16" t="s">
        <v>3610</v>
      </c>
    </row>
    <row r="3397" spans="1:13" ht="25" customHeight="1" x14ac:dyDescent="0.45">
      <c r="A3397" s="18">
        <v>46167</v>
      </c>
      <c r="B3397" s="19" t="s">
        <v>3480</v>
      </c>
      <c r="C3397" s="23" t="s">
        <v>9</v>
      </c>
      <c r="D3397" s="53" t="str">
        <f t="shared" si="403"/>
        <v>Cream</v>
      </c>
      <c r="E3397" s="21" t="s">
        <v>1849</v>
      </c>
      <c r="F3397" s="21" t="str">
        <f ca="1">IFERROR(__xludf.DUMMYFUNCTION("IFERROR(REGEXEXTRACT(O761, ""\n([A-Za-z ]+)$""), """")
"),"United States")</f>
        <v>United States</v>
      </c>
      <c r="G3397" s="4" t="str">
        <f t="shared" si="399"/>
        <v>Romper Short</v>
      </c>
      <c r="H3397" s="38">
        <f t="shared" si="400"/>
        <v>5</v>
      </c>
      <c r="I3397" s="54">
        <f t="shared" si="398"/>
        <v>22</v>
      </c>
      <c r="J3397" s="14" t="str">
        <f t="shared" si="402"/>
        <v>MothersDay</v>
      </c>
      <c r="K3397" s="16" t="str">
        <f t="shared" si="404"/>
        <v>3-6</v>
      </c>
      <c r="L3397" s="14" t="str">
        <f t="shared" si="405"/>
        <v>Romper Short | 3-6 | Cream</v>
      </c>
      <c r="M3397" s="16" t="s">
        <v>3609</v>
      </c>
    </row>
    <row r="3398" spans="1:13" ht="25" customHeight="1" x14ac:dyDescent="0.45">
      <c r="A3398" s="18">
        <v>46168</v>
      </c>
      <c r="B3398" s="19" t="s">
        <v>3481</v>
      </c>
      <c r="C3398" s="23" t="s">
        <v>81</v>
      </c>
      <c r="D3398" s="53" t="str">
        <f t="shared" si="403"/>
        <v>Dusty Pink</v>
      </c>
      <c r="E3398" s="21" t="s">
        <v>1849</v>
      </c>
      <c r="F3398" s="21" t="str">
        <f ca="1">IFERROR(__xludf.DUMMYFUNCTION("IFERROR(REGEXEXTRACT(O761, ""\n([A-Za-z ]+)$""), """")
"),"United States")</f>
        <v>United States</v>
      </c>
      <c r="G3398" s="4" t="str">
        <f t="shared" si="399"/>
        <v>Romper Short</v>
      </c>
      <c r="H3398" s="38">
        <f t="shared" si="400"/>
        <v>5</v>
      </c>
      <c r="I3398" s="54">
        <f t="shared" si="398"/>
        <v>22</v>
      </c>
      <c r="J3398" s="14" t="str">
        <f t="shared" si="402"/>
        <v>MothersDay</v>
      </c>
      <c r="K3398" s="16" t="str">
        <f t="shared" si="404"/>
        <v>3-6</v>
      </c>
      <c r="L3398" s="14" t="str">
        <f t="shared" si="405"/>
        <v>Romper Short | 3-6 | Dusty Pink</v>
      </c>
      <c r="M3398" s="16" t="s">
        <v>3610</v>
      </c>
    </row>
    <row r="3399" spans="1:13" ht="25" customHeight="1" x14ac:dyDescent="0.45">
      <c r="A3399" s="18">
        <v>46169</v>
      </c>
      <c r="B3399" s="19" t="s">
        <v>3482</v>
      </c>
      <c r="C3399" s="23" t="s">
        <v>9</v>
      </c>
      <c r="D3399" s="53" t="str">
        <f t="shared" si="403"/>
        <v>Cream</v>
      </c>
      <c r="E3399" s="21" t="s">
        <v>1828</v>
      </c>
      <c r="F3399" s="21" t="str">
        <f ca="1">IFERROR(__xludf.DUMMYFUNCTION("IFERROR(REGEXEXTRACT(O761, ""\n([A-Za-z ]+)$""), """")
"),"United States")</f>
        <v>United States</v>
      </c>
      <c r="G3399" s="4" t="str">
        <f t="shared" si="399"/>
        <v>Romper Longer</v>
      </c>
      <c r="H3399" s="38">
        <f t="shared" si="400"/>
        <v>5</v>
      </c>
      <c r="I3399" s="54">
        <f t="shared" si="398"/>
        <v>22</v>
      </c>
      <c r="J3399" s="14" t="str">
        <f t="shared" si="402"/>
        <v>MothersDay</v>
      </c>
      <c r="K3399" s="16" t="str">
        <f t="shared" si="404"/>
        <v>3-6</v>
      </c>
      <c r="L3399" s="14" t="str">
        <f t="shared" si="405"/>
        <v>Romper Longer | 3-6 | Cream</v>
      </c>
      <c r="M3399" s="16" t="s">
        <v>3609</v>
      </c>
    </row>
    <row r="3400" spans="1:13" ht="25" customHeight="1" x14ac:dyDescent="0.45">
      <c r="A3400" s="18">
        <v>46170</v>
      </c>
      <c r="B3400" s="19" t="s">
        <v>3483</v>
      </c>
      <c r="C3400" s="23" t="s">
        <v>110</v>
      </c>
      <c r="D3400" s="53" t="str">
        <f t="shared" si="403"/>
        <v>Sage Green</v>
      </c>
      <c r="E3400" s="21" t="s">
        <v>1550</v>
      </c>
      <c r="F3400" s="21" t="str">
        <f ca="1">IFERROR(__xludf.DUMMYFUNCTION("IFERROR(REGEXEXTRACT(O761, ""\n([A-Za-z ]+)$""), """")
"),"United States")</f>
        <v>United States</v>
      </c>
      <c r="G3400" s="4" t="str">
        <f t="shared" si="399"/>
        <v>Romper Longer</v>
      </c>
      <c r="H3400" s="38">
        <f t="shared" si="400"/>
        <v>5</v>
      </c>
      <c r="I3400" s="54">
        <f t="shared" ref="I3400:I3406" si="406">WEEKNUM(A3400)</f>
        <v>22</v>
      </c>
      <c r="J3400" s="14" t="str">
        <f t="shared" si="402"/>
        <v>MothersDay</v>
      </c>
      <c r="K3400" s="16" t="str">
        <f t="shared" si="404"/>
        <v>12-18</v>
      </c>
      <c r="L3400" s="14" t="str">
        <f t="shared" si="405"/>
        <v>Romper Longer | 12-18 | Sage Green</v>
      </c>
      <c r="M3400" s="16" t="s">
        <v>3610</v>
      </c>
    </row>
    <row r="3401" spans="1:13" ht="25" customHeight="1" x14ac:dyDescent="0.45">
      <c r="A3401" s="18">
        <v>46171</v>
      </c>
      <c r="B3401" s="19" t="s">
        <v>3484</v>
      </c>
      <c r="C3401" s="23" t="s">
        <v>110</v>
      </c>
      <c r="D3401" s="53" t="str">
        <f t="shared" si="403"/>
        <v>Sage Green</v>
      </c>
      <c r="E3401" s="21" t="s">
        <v>1849</v>
      </c>
      <c r="F3401" s="21" t="str">
        <f ca="1">IFERROR(__xludf.DUMMYFUNCTION("IFERROR(REGEXEXTRACT(O761, ""\n([A-Za-z ]+)$""), """")
"),"United States")</f>
        <v>United States</v>
      </c>
      <c r="G3401" s="4" t="str">
        <f t="shared" si="399"/>
        <v>Romper Short</v>
      </c>
      <c r="H3401" s="38">
        <f t="shared" si="400"/>
        <v>5</v>
      </c>
      <c r="I3401" s="54">
        <f t="shared" si="406"/>
        <v>22</v>
      </c>
      <c r="J3401" s="14" t="str">
        <f t="shared" si="402"/>
        <v>MothersDay</v>
      </c>
      <c r="K3401" s="16" t="str">
        <f t="shared" si="404"/>
        <v>3-6</v>
      </c>
      <c r="L3401" s="14" t="str">
        <f t="shared" si="405"/>
        <v>Romper Short | 3-6 | Sage Green</v>
      </c>
      <c r="M3401" s="16" t="s">
        <v>3611</v>
      </c>
    </row>
    <row r="3402" spans="1:13" ht="25" customHeight="1" x14ac:dyDescent="0.45">
      <c r="A3402" s="18">
        <v>46172</v>
      </c>
      <c r="B3402" s="19" t="s">
        <v>3485</v>
      </c>
      <c r="C3402" s="23" t="s">
        <v>178</v>
      </c>
      <c r="D3402" s="53" t="str">
        <f t="shared" si="403"/>
        <v>Mauve Taupe</v>
      </c>
      <c r="E3402" s="21" t="s">
        <v>1841</v>
      </c>
      <c r="F3402" s="21" t="str">
        <f ca="1">IFERROR(__xludf.DUMMYFUNCTION("IFERROR(REGEXEXTRACT(O761, ""\n([A-Za-z ]+)$""), """")
"),"United States")</f>
        <v>United States</v>
      </c>
      <c r="G3402" s="4" t="str">
        <f t="shared" si="399"/>
        <v>Romper Longer</v>
      </c>
      <c r="H3402" s="38">
        <f t="shared" si="400"/>
        <v>5</v>
      </c>
      <c r="I3402" s="54">
        <f t="shared" si="406"/>
        <v>22</v>
      </c>
      <c r="J3402" s="14" t="str">
        <f t="shared" si="402"/>
        <v>MothersDay</v>
      </c>
      <c r="K3402" s="16" t="str">
        <f t="shared" si="404"/>
        <v>6-12</v>
      </c>
      <c r="L3402" s="14" t="str">
        <f t="shared" si="405"/>
        <v>Romper Longer | 6-12 | Mauve Taupe</v>
      </c>
      <c r="M3402" s="16" t="s">
        <v>3610</v>
      </c>
    </row>
    <row r="3403" spans="1:13" ht="25" customHeight="1" x14ac:dyDescent="0.45">
      <c r="A3403" s="18">
        <v>46173</v>
      </c>
      <c r="B3403" s="19" t="s">
        <v>3486</v>
      </c>
      <c r="C3403" s="23" t="s">
        <v>110</v>
      </c>
      <c r="D3403" s="53" t="str">
        <f t="shared" si="403"/>
        <v>Sage Green</v>
      </c>
      <c r="E3403" s="21" t="s">
        <v>1828</v>
      </c>
      <c r="F3403" s="21" t="str">
        <f ca="1">IFERROR(__xludf.DUMMYFUNCTION("IFERROR(REGEXEXTRACT(O761, ""\n([A-Za-z ]+)$""), """")
"),"United States")</f>
        <v>United States</v>
      </c>
      <c r="G3403" s="4" t="str">
        <f t="shared" si="399"/>
        <v>Romper Longer</v>
      </c>
      <c r="H3403" s="38">
        <f t="shared" si="400"/>
        <v>5</v>
      </c>
      <c r="I3403" s="54">
        <f t="shared" si="406"/>
        <v>23</v>
      </c>
      <c r="J3403" s="14" t="str">
        <f t="shared" si="402"/>
        <v>MothersDay</v>
      </c>
      <c r="K3403" s="16" t="str">
        <f t="shared" si="404"/>
        <v>3-6</v>
      </c>
      <c r="L3403" s="14" t="str">
        <f t="shared" si="405"/>
        <v>Romper Longer | 3-6 | Sage Green</v>
      </c>
      <c r="M3403" s="16" t="s">
        <v>3611</v>
      </c>
    </row>
    <row r="3404" spans="1:13" ht="25" customHeight="1" x14ac:dyDescent="0.45">
      <c r="A3404" s="18">
        <v>46174</v>
      </c>
      <c r="B3404" s="19" t="s">
        <v>3487</v>
      </c>
      <c r="C3404" s="23" t="s">
        <v>9</v>
      </c>
      <c r="D3404" s="53" t="str">
        <f t="shared" si="403"/>
        <v>Cream</v>
      </c>
      <c r="E3404" s="21" t="s">
        <v>1828</v>
      </c>
      <c r="F3404" s="21" t="str">
        <f ca="1">IFERROR(__xludf.DUMMYFUNCTION("IFERROR(REGEXEXTRACT(O761, ""\n([A-Za-z ]+)$""), """")
"),"United States")</f>
        <v>United States</v>
      </c>
      <c r="G3404" s="4" t="str">
        <f t="shared" si="399"/>
        <v>Romper Longer</v>
      </c>
      <c r="H3404" s="38">
        <f t="shared" si="400"/>
        <v>6</v>
      </c>
      <c r="I3404" s="54">
        <f t="shared" si="406"/>
        <v>23</v>
      </c>
      <c r="J3404" s="14" t="str">
        <f t="shared" si="402"/>
        <v>FathersDay</v>
      </c>
      <c r="K3404" s="16" t="str">
        <f t="shared" si="404"/>
        <v>3-6</v>
      </c>
      <c r="L3404" s="14" t="str">
        <f t="shared" si="405"/>
        <v>Romper Longer | 3-6 | Cream</v>
      </c>
      <c r="M3404" s="16" t="s">
        <v>3609</v>
      </c>
    </row>
    <row r="3405" spans="1:13" ht="25" customHeight="1" x14ac:dyDescent="0.45">
      <c r="A3405" s="18">
        <v>46175</v>
      </c>
      <c r="B3405" s="19" t="s">
        <v>3370</v>
      </c>
      <c r="C3405" s="23" t="s">
        <v>407</v>
      </c>
      <c r="D3405" s="53" t="str">
        <f t="shared" si="403"/>
        <v>Texas Orange</v>
      </c>
      <c r="E3405" s="21" t="s">
        <v>1828</v>
      </c>
      <c r="F3405" s="21" t="str">
        <f ca="1">IFERROR(__xludf.DUMMYFUNCTION("IFERROR(REGEXEXTRACT(O761, ""\n([A-Za-z ]+)$""), """")
"),"United States")</f>
        <v>United States</v>
      </c>
      <c r="G3405" s="4" t="str">
        <f t="shared" si="399"/>
        <v>Romper Longer</v>
      </c>
      <c r="H3405" s="38">
        <f t="shared" si="400"/>
        <v>6</v>
      </c>
      <c r="I3405" s="54">
        <f t="shared" si="406"/>
        <v>23</v>
      </c>
      <c r="J3405" s="14" t="str">
        <f t="shared" si="402"/>
        <v>FathersDay</v>
      </c>
      <c r="K3405" s="16" t="str">
        <f t="shared" si="404"/>
        <v>3-6</v>
      </c>
      <c r="L3405" s="14" t="str">
        <f t="shared" si="405"/>
        <v>Romper Longer | 3-6 | Texas Orange</v>
      </c>
      <c r="M3405" s="16" t="s">
        <v>3610</v>
      </c>
    </row>
    <row r="3406" spans="1:13" ht="25" customHeight="1" x14ac:dyDescent="0.45">
      <c r="A3406" s="18">
        <v>46176</v>
      </c>
      <c r="B3406" s="19" t="s">
        <v>3488</v>
      </c>
      <c r="C3406" s="23" t="s">
        <v>9</v>
      </c>
      <c r="D3406" s="53" t="str">
        <f t="shared" si="403"/>
        <v>Cream</v>
      </c>
      <c r="E3406" s="21" t="s">
        <v>1420</v>
      </c>
      <c r="F3406" s="21" t="str">
        <f ca="1">IFERROR(__xludf.DUMMYFUNCTION("IFERROR(REGEXEXTRACT(O761, ""\n([A-Za-z ]+)$""), """")
"),"United States")</f>
        <v>United States</v>
      </c>
      <c r="G3406" s="4" t="str">
        <f t="shared" si="399"/>
        <v>Romper Short</v>
      </c>
      <c r="H3406" s="38">
        <f t="shared" si="400"/>
        <v>6</v>
      </c>
      <c r="I3406" s="54">
        <f t="shared" si="406"/>
        <v>23</v>
      </c>
      <c r="J3406" s="14" t="str">
        <f t="shared" si="402"/>
        <v>FathersDay</v>
      </c>
      <c r="K3406" s="16" t="str">
        <f t="shared" si="404"/>
        <v>6-12</v>
      </c>
      <c r="L3406" s="14" t="str">
        <f t="shared" si="405"/>
        <v>Romper Short | 6-12 | Cream</v>
      </c>
      <c r="M3406" s="16" t="s">
        <v>3611</v>
      </c>
    </row>
  </sheetData>
  <autoFilter ref="D1:D3406" xr:uid="{00000000-0001-0000-0500-000000000000}"/>
  <mergeCells count="49">
    <mergeCell ref="B1072:B1073"/>
    <mergeCell ref="F1072:F1073"/>
    <mergeCell ref="F1084:F1085"/>
    <mergeCell ref="F1174:F1175"/>
    <mergeCell ref="F1191:F1192"/>
    <mergeCell ref="F1146:F1147"/>
    <mergeCell ref="F1168:F1170"/>
    <mergeCell ref="B1012:B1013"/>
    <mergeCell ref="F1044:F1045"/>
    <mergeCell ref="F1012:F1013"/>
    <mergeCell ref="F1018:F1019"/>
    <mergeCell ref="F929:F930"/>
    <mergeCell ref="F824:F825"/>
    <mergeCell ref="F828:F829"/>
    <mergeCell ref="F832:F833"/>
    <mergeCell ref="B922:B923"/>
    <mergeCell ref="F922:F923"/>
    <mergeCell ref="F804:F805"/>
    <mergeCell ref="F808:F809"/>
    <mergeCell ref="F812:F813"/>
    <mergeCell ref="F816:F817"/>
    <mergeCell ref="F820:F821"/>
    <mergeCell ref="F892:F893"/>
    <mergeCell ref="F836:F837"/>
    <mergeCell ref="F840:F841"/>
    <mergeCell ref="F844:F845"/>
    <mergeCell ref="F848:F849"/>
    <mergeCell ref="F872:F873"/>
    <mergeCell ref="F876:F877"/>
    <mergeCell ref="F880:F881"/>
    <mergeCell ref="F884:F885"/>
    <mergeCell ref="F888:F889"/>
    <mergeCell ref="F852:F853"/>
    <mergeCell ref="F856:F857"/>
    <mergeCell ref="F860:F861"/>
    <mergeCell ref="F864:F865"/>
    <mergeCell ref="F868:F869"/>
    <mergeCell ref="F1256:F1257"/>
    <mergeCell ref="F990:F991"/>
    <mergeCell ref="F971:F972"/>
    <mergeCell ref="F896:F897"/>
    <mergeCell ref="F900:F901"/>
    <mergeCell ref="F904:F905"/>
    <mergeCell ref="F1202:F1203"/>
    <mergeCell ref="F1234:F1235"/>
    <mergeCell ref="F952:F953"/>
    <mergeCell ref="F908:F909"/>
    <mergeCell ref="F912:F913"/>
    <mergeCell ref="F914:F915"/>
  </mergeCells>
  <conditionalFormatting sqref="C3043:C3406 C1726:C3041">
    <cfRule type="cellIs" dxfId="6" priority="1" operator="equal">
      <formula>"Sage Green"</formula>
    </cfRule>
  </conditionalFormatting>
  <conditionalFormatting sqref="C3043:C3406 C1726:C3041">
    <cfRule type="cellIs" dxfId="5" priority="2" operator="equal">
      <formula>"Mauve Taupe"</formula>
    </cfRule>
  </conditionalFormatting>
  <conditionalFormatting sqref="C3043:C3406 C1726:C3041">
    <cfRule type="cellIs" dxfId="4" priority="3" operator="equal">
      <formula>"Forest Green"</formula>
    </cfRule>
  </conditionalFormatting>
  <conditionalFormatting sqref="C3043:C3406 C1726:C3041">
    <cfRule type="cellIs" dxfId="3" priority="4" operator="equal">
      <formula>"Caldet Blue"</formula>
    </cfRule>
  </conditionalFormatting>
  <conditionalFormatting sqref="C3043:C3406 C1726:C3041">
    <cfRule type="cellIs" dxfId="2" priority="5" operator="equal">
      <formula>"Dusty Pink"</formula>
    </cfRule>
  </conditionalFormatting>
  <conditionalFormatting sqref="C3043:C3406 C1726:C3041">
    <cfRule type="cellIs" dxfId="1" priority="6" operator="equal">
      <formula>"Salmon"</formula>
    </cfRule>
  </conditionalFormatting>
  <conditionalFormatting sqref="C3043:C3406 C1726:C3041">
    <cfRule type="cellIs" dxfId="0" priority="7" operator="equal">
      <formula>"Cream"</formula>
    </cfRule>
  </conditionalFormatting>
  <dataValidations count="4">
    <dataValidation type="list" allowBlank="1" showErrorMessage="1" sqref="C1" xr:uid="{00000000-0002-0000-0500-000001000000}">
      <formula1>$E$2:$E$11</formula1>
    </dataValidation>
    <dataValidation type="list" allowBlank="1" showErrorMessage="1" sqref="E1" xr:uid="{00000000-0002-0000-0500-000002000000}">
      <formula1>$B$2:$B$10</formula1>
    </dataValidation>
    <dataValidation type="list" allowBlank="1" showErrorMessage="1" sqref="C1211:C1259 C778:C829" xr:uid="{1E8854D9-C241-461E-A098-6A4DCF7B6BE7}">
      <formula1>"Light Pink,Light Blue,Cream"</formula1>
    </dataValidation>
    <dataValidation type="list" allowBlank="1" showErrorMessage="1" sqref="E778:E829 E1211:E1259" xr:uid="{939D81BF-9131-43E3-A068-6D5FF4F51F74}">
      <formula1>"0-3 Months,3-6 Months"</formula1>
    </dataValidation>
  </dataValidations>
  <hyperlinks>
    <hyperlink ref="B1259" r:id="rId1" xr:uid="{FB4BE3D9-DDCA-403B-BB6E-EA0EB44C0C42}"/>
    <hyperlink ref="B1258" r:id="rId2" xr:uid="{0735CEE1-9B98-4BDD-94BC-9F737C816268}"/>
    <hyperlink ref="B1257" r:id="rId3" xr:uid="{4F5E17E9-9751-4AD5-883C-3AF170D84FE6}"/>
    <hyperlink ref="B1256" r:id="rId4" xr:uid="{23DA4C35-B374-4EE4-86E0-154E287B9981}"/>
    <hyperlink ref="B1255" r:id="rId5" xr:uid="{BD3029E8-0DC8-4BF4-BF45-22A3BA1A64D1}"/>
    <hyperlink ref="B1254" r:id="rId6" xr:uid="{18F2058F-6CDC-4332-B509-DB940C55EAEC}"/>
    <hyperlink ref="B1253" r:id="rId7" xr:uid="{83F48977-E8BF-4E13-95A2-DCDA75B53AD1}"/>
    <hyperlink ref="B1252" r:id="rId8" xr:uid="{A1135210-62BD-4B5D-8C25-3BFE725F9C25}"/>
    <hyperlink ref="B1251" r:id="rId9" xr:uid="{34C249E9-6A03-4617-B8AE-1201B53D7265}"/>
    <hyperlink ref="B1250" r:id="rId10" xr:uid="{CE05AFF1-8C70-429E-ABE3-DC4C050041AE}"/>
    <hyperlink ref="B1249" r:id="rId11" xr:uid="{B7056A7E-616E-499F-B037-9E628E8CCCB5}"/>
    <hyperlink ref="B1248" r:id="rId12" xr:uid="{5647A5A8-FA1A-491C-8E1B-CC34376D3FB6}"/>
    <hyperlink ref="B1247" r:id="rId13" xr:uid="{386BB663-8636-4C3E-ACC6-5F6CD6CDE9BD}"/>
    <hyperlink ref="B1246" r:id="rId14" xr:uid="{E22FA020-94CB-462F-B7EE-E631D472E8EF}"/>
    <hyperlink ref="B1245" r:id="rId15" xr:uid="{8FEE6658-B839-473C-AEE0-F8267C4D3858}"/>
    <hyperlink ref="B1244" r:id="rId16" xr:uid="{8EBB56B6-F67C-4A80-AC8B-1FE8A69F1FCE}"/>
    <hyperlink ref="B1243" r:id="rId17" xr:uid="{871A4210-AD33-48EA-818C-F7EDA7F9725B}"/>
    <hyperlink ref="B1242" r:id="rId18" xr:uid="{BCEAB973-6F5C-4AEC-8EDD-BEB2099221E1}"/>
    <hyperlink ref="B1241" r:id="rId19" xr:uid="{DE7267AF-6E40-47D5-B7B4-E17236881A16}"/>
    <hyperlink ref="B1240" r:id="rId20" xr:uid="{31480B57-E2B6-4064-8473-1E6181162145}"/>
    <hyperlink ref="B1239" r:id="rId21" xr:uid="{440431E8-9B7A-49BD-8B9A-6735EE34CBCC}"/>
    <hyperlink ref="B1238" r:id="rId22" xr:uid="{60C4CE30-B6F1-479C-8B45-63F1E0E89C6E}"/>
    <hyperlink ref="B1237" r:id="rId23" xr:uid="{966D7A62-601E-4C0B-A970-F2DF59AA7BC1}"/>
    <hyperlink ref="B1236" r:id="rId24" xr:uid="{9140023C-7B97-46A2-A138-35F8CA7475D7}"/>
    <hyperlink ref="B1235" r:id="rId25" xr:uid="{B01BE14E-69FB-48F6-B6BF-5F685D0B1720}"/>
    <hyperlink ref="B1234" r:id="rId26" xr:uid="{36468B99-9696-47B0-A1D8-884B4AA41EB0}"/>
    <hyperlink ref="B1233" r:id="rId27" xr:uid="{BED69810-4C49-4582-99BC-ED22D1D4D2DA}"/>
    <hyperlink ref="B1232" r:id="rId28" xr:uid="{6CE9AC99-791E-4A42-8BB5-EE60AE4DDEFF}"/>
    <hyperlink ref="B1231" r:id="rId29" xr:uid="{02E51B27-6429-4C39-8A7A-EA92573E630F}"/>
    <hyperlink ref="B1230" r:id="rId30" xr:uid="{105E9765-F96F-40BA-9EAA-C202284E8222}"/>
    <hyperlink ref="B1229" r:id="rId31" xr:uid="{13A3589B-CBA1-433E-A58E-4F9C53F62955}"/>
    <hyperlink ref="B1228" r:id="rId32" xr:uid="{83AA5B13-43E9-499A-8F23-BFCD957419AE}"/>
    <hyperlink ref="B1227" r:id="rId33" xr:uid="{04B60315-F024-4E1D-94D0-F474E217D559}"/>
    <hyperlink ref="B1226" r:id="rId34" xr:uid="{41425EEA-A67D-4335-9577-11942AF8F2A3}"/>
    <hyperlink ref="B1225" r:id="rId35" xr:uid="{25095233-F305-40D0-86CB-89C017767012}"/>
    <hyperlink ref="B1224" r:id="rId36" xr:uid="{D0828878-FD21-42C1-8790-3C5FF662DF05}"/>
    <hyperlink ref="B1223" r:id="rId37" xr:uid="{584103D3-0D4C-401E-A427-F62C77C73DAB}"/>
    <hyperlink ref="B1222" r:id="rId38" xr:uid="{47B7E434-2E2F-4272-90C7-D913490D94E3}"/>
    <hyperlink ref="B1221" r:id="rId39" xr:uid="{0B4EA291-565B-43A8-B60F-51A151B95B30}"/>
    <hyperlink ref="B1220" r:id="rId40" xr:uid="{3DAC7455-1598-432B-B997-80E7A1C0CD75}"/>
    <hyperlink ref="B1219" r:id="rId41" xr:uid="{C10B4CA9-EC2E-4498-9AB2-F3C482BA5F93}"/>
    <hyperlink ref="B1218" r:id="rId42" xr:uid="{12BE26FB-09AA-4906-8610-143DD5F861EE}"/>
    <hyperlink ref="B1217" r:id="rId43" xr:uid="{CF01D7ED-C395-48C9-9140-BADA72EFD5F8}"/>
    <hyperlink ref="B1216" r:id="rId44" xr:uid="{A0AEE74B-DAEE-4BC9-ACB4-63E71E2348E0}"/>
    <hyperlink ref="B1215" r:id="rId45" xr:uid="{37645CC0-8601-4F2B-830F-EDCC9179F47A}"/>
    <hyperlink ref="B1214" r:id="rId46" xr:uid="{FD981B27-F70F-4981-8C55-98E06876DD66}"/>
    <hyperlink ref="B1213" r:id="rId47" xr:uid="{9D515DDF-01AC-4C07-9626-E2A159068F3D}"/>
    <hyperlink ref="B1212" r:id="rId48" xr:uid="{5FCCAB67-F4FA-425F-A2E8-FB5F236A4038}"/>
    <hyperlink ref="B1211" r:id="rId49" xr:uid="{0730CD49-D913-48AE-880E-4BFF2E471EA0}"/>
    <hyperlink ref="B1210" r:id="rId50" xr:uid="{30CBEDAB-6CB8-42DF-8C02-05943386834C}"/>
    <hyperlink ref="B1209" r:id="rId51" xr:uid="{0E71B716-1711-4E2A-97EA-2B015D700076}"/>
    <hyperlink ref="B1208" r:id="rId52" xr:uid="{76818ED4-87F8-47F7-8505-00BB5AA4D4C0}"/>
    <hyperlink ref="B1207" r:id="rId53" xr:uid="{A92F3A69-9A64-4A29-B9E5-D87A9027C531}"/>
    <hyperlink ref="B1206" r:id="rId54" xr:uid="{C49CE02D-A4B1-414B-BAD9-88017978399D}"/>
    <hyperlink ref="B1205" r:id="rId55" xr:uid="{A14A39F7-2A5D-4529-A5DD-1AB0DC0BD56A}"/>
    <hyperlink ref="B1204" r:id="rId56" xr:uid="{7E343635-0250-4169-BF63-2C914E82B0BA}"/>
    <hyperlink ref="B1203" r:id="rId57" xr:uid="{5259D993-B119-4C40-AD3D-622657DEED93}"/>
    <hyperlink ref="B1202" r:id="rId58" xr:uid="{3EC0C947-E2DE-4593-A971-3A21650885F4}"/>
    <hyperlink ref="B1201" r:id="rId59" xr:uid="{979F1E72-C63C-4390-AD49-6DAE0405FE97}"/>
    <hyperlink ref="B1200" r:id="rId60" xr:uid="{94C2B1C2-BD5C-46BB-9F98-5F5C214C2D49}"/>
    <hyperlink ref="B1199" r:id="rId61" xr:uid="{28219F2E-7F0B-4190-818A-91BD03E40CCB}"/>
    <hyperlink ref="B1198" r:id="rId62" xr:uid="{038EA557-61A5-407A-A52C-54833E308D01}"/>
    <hyperlink ref="B1197" r:id="rId63" xr:uid="{AB4CE939-48B3-4A4E-BCC5-D356FB3812FF}"/>
    <hyperlink ref="B1196" r:id="rId64" xr:uid="{F4034BED-594C-462E-9D45-184291C23F13}"/>
    <hyperlink ref="B1195" r:id="rId65" xr:uid="{01A0B307-0DD9-46B8-B38F-20F22A350ECA}"/>
    <hyperlink ref="B1194" r:id="rId66" xr:uid="{702330AA-671C-46FA-B7F5-C6DA81DF16A2}"/>
    <hyperlink ref="B1193" r:id="rId67" xr:uid="{A82D1758-D893-45E8-8F2C-C5305C997577}"/>
    <hyperlink ref="B1192" r:id="rId68" xr:uid="{A4868D7B-0B6C-4E68-B48E-5C1D44F9BB25}"/>
    <hyperlink ref="B1191" r:id="rId69" xr:uid="{CE20FF5B-DD4D-4B22-900E-8A4735C92617}"/>
    <hyperlink ref="B1190" r:id="rId70" xr:uid="{EDFE168C-0919-4655-9FAC-551C5C1B4455}"/>
    <hyperlink ref="B1189" r:id="rId71" xr:uid="{D7760E3A-EB9C-4907-99F9-293D70B334CF}"/>
    <hyperlink ref="B1188" r:id="rId72" xr:uid="{14B42ECD-AB45-4F85-B199-0FB7AB218E61}"/>
    <hyperlink ref="B1187" r:id="rId73" xr:uid="{EA71AF01-2C12-453D-9B1F-D7ACC62A1427}"/>
    <hyperlink ref="B1186" r:id="rId74" xr:uid="{7AC9E25A-61DA-4656-A395-A64BF683D185}"/>
    <hyperlink ref="B1185" r:id="rId75" xr:uid="{BDE730D7-085F-4CF4-86B7-EB39BF76B2E3}"/>
    <hyperlink ref="B1184" r:id="rId76" xr:uid="{CE306801-13E7-44D0-BE59-9DE505742FFD}"/>
    <hyperlink ref="B1183" r:id="rId77" xr:uid="{A0D027D9-CA55-48F0-8F68-9AA11E551FC9}"/>
    <hyperlink ref="B1182" r:id="rId78" xr:uid="{64D0E79E-7B14-4756-83DD-184427E3A9CD}"/>
    <hyperlink ref="B1181" r:id="rId79" xr:uid="{2528470D-BC83-452D-A03D-FE671B4083F7}"/>
    <hyperlink ref="B1180" r:id="rId80" xr:uid="{CD2CD140-F146-49F1-B894-4970C25FCD94}"/>
    <hyperlink ref="B1179" r:id="rId81" xr:uid="{5B31D5CC-76FD-485F-9E15-C688B9D18D37}"/>
    <hyperlink ref="B1178" r:id="rId82" xr:uid="{1D649A96-D9F8-452B-B032-BCB0CEC1C0AD}"/>
    <hyperlink ref="B1177" r:id="rId83" xr:uid="{39193033-A694-406A-8C87-016492D8AD76}"/>
    <hyperlink ref="B1176" r:id="rId84" xr:uid="{CD70AAA4-4DE7-4CB8-88B6-04D05DC39BBC}"/>
    <hyperlink ref="B1175" r:id="rId85" xr:uid="{71841CD1-A2C3-4BC8-B79D-701638C7E936}"/>
    <hyperlink ref="B1174" r:id="rId86" xr:uid="{46A48A8D-4613-46C7-9500-7FC89FE49CA5}"/>
    <hyperlink ref="B1173" r:id="rId87" xr:uid="{F4D89545-A45E-44E7-AA58-0E22D60A7D70}"/>
    <hyperlink ref="B1172" r:id="rId88" xr:uid="{24FF0D04-CF1A-4D16-A39E-A2D82B1547AD}"/>
    <hyperlink ref="B1171" r:id="rId89" xr:uid="{076D16E3-DD8F-4946-B1C8-32AC2AF891AF}"/>
    <hyperlink ref="B1170" r:id="rId90" xr:uid="{792BDE12-F7B7-4B45-B919-500D321693CB}"/>
    <hyperlink ref="B1169" r:id="rId91" xr:uid="{167916FA-4935-469E-B2EF-863DC667262E}"/>
    <hyperlink ref="B1168" r:id="rId92" xr:uid="{290EC248-78BA-4965-96AC-800F841D097D}"/>
    <hyperlink ref="B1167" r:id="rId93" xr:uid="{5A580A18-758B-4017-A310-31BB84BEB579}"/>
    <hyperlink ref="B1166" r:id="rId94" xr:uid="{42F01EDF-3706-4455-80F7-97A2350A3F29}"/>
    <hyperlink ref="B1165" r:id="rId95" xr:uid="{0122DA31-35DC-433B-82BD-E481AD4EA428}"/>
    <hyperlink ref="B1164" r:id="rId96" xr:uid="{C179EB93-9A85-4523-91E8-E90EE35CF40E}"/>
    <hyperlink ref="B1163" r:id="rId97" xr:uid="{6572BED1-99B5-42F3-A770-967258DC9F11}"/>
    <hyperlink ref="B1162" r:id="rId98" xr:uid="{DD3AEE11-CF20-40F6-BCD3-51A936064F71}"/>
    <hyperlink ref="B1161" r:id="rId99" xr:uid="{A8C8235C-FA1F-4A66-A7C1-1E0C583FA126}"/>
    <hyperlink ref="B1160" r:id="rId100" xr:uid="{E7CC36D0-77BC-4C10-9DFC-C333A6BAEAF5}"/>
    <hyperlink ref="B1159" r:id="rId101" xr:uid="{E7CBA55B-8F6E-49EC-A941-2D8AB56F30CE}"/>
    <hyperlink ref="B1158" r:id="rId102" xr:uid="{34EF3DCA-FB47-47B8-B0AA-95EA425A6DAC}"/>
    <hyperlink ref="B1157" r:id="rId103" xr:uid="{04AFC8AA-EE11-4B9A-B8F6-E48528FCA1E8}"/>
    <hyperlink ref="B1156" r:id="rId104" xr:uid="{FE83ADA4-FE12-4B9B-8A2B-3DF06E9AF7DD}"/>
    <hyperlink ref="B1155" r:id="rId105" xr:uid="{191FA61E-37F2-4433-AA01-9A608416D3A8}"/>
    <hyperlink ref="B1154" r:id="rId106" xr:uid="{89B7E56D-5FF5-498C-B614-93109DD33C8E}"/>
    <hyperlink ref="B1153" r:id="rId107" xr:uid="{FF4F3E5A-F149-4CDC-ABAF-3D6D804517F6}"/>
    <hyperlink ref="B1152" r:id="rId108" xr:uid="{25851138-36EC-4261-BB3A-30BCE7302BB7}"/>
    <hyperlink ref="B1151" r:id="rId109" xr:uid="{C3522846-A430-451D-97A1-B0B6E85085D6}"/>
    <hyperlink ref="B1150" r:id="rId110" xr:uid="{7FDAE19E-A497-4E6A-AADD-0457A7C953E3}"/>
    <hyperlink ref="B1149" r:id="rId111" xr:uid="{A20101F7-B0FD-4801-84C8-3576B9907AFC}"/>
    <hyperlink ref="B1148" r:id="rId112" xr:uid="{7697B1BC-6211-47DA-8A66-5B4CB8883765}"/>
    <hyperlink ref="B1147" r:id="rId113" xr:uid="{F105840D-78FD-4974-B879-8014DFB08083}"/>
    <hyperlink ref="B1146" r:id="rId114" xr:uid="{6E72EE8A-551F-496D-A072-B0837DB7CF34}"/>
    <hyperlink ref="B1145" r:id="rId115" xr:uid="{B599C4D2-FE55-4ACC-9917-6F0117327605}"/>
    <hyperlink ref="B1144" r:id="rId116" xr:uid="{45FD185A-3070-4152-90D7-15B967857389}"/>
    <hyperlink ref="B1143" r:id="rId117" xr:uid="{702D21F6-E64E-42C6-B64D-E2E1D11AE47F}"/>
    <hyperlink ref="B1142" r:id="rId118" xr:uid="{054F2042-7532-487A-8714-9CADBF6C6AB7}"/>
    <hyperlink ref="B1141" r:id="rId119" xr:uid="{4FFE75FD-75F6-4B01-88C5-298582972AF7}"/>
    <hyperlink ref="B1140" r:id="rId120" xr:uid="{16126D26-CF73-48C8-88E7-668A8EB3A5B1}"/>
    <hyperlink ref="B1139" r:id="rId121" xr:uid="{CD620B8C-E994-44E2-9F4A-2EA43F23E445}"/>
    <hyperlink ref="B1138" r:id="rId122" xr:uid="{484FBD77-42D1-40B9-9D67-7B1370EA375B}"/>
    <hyperlink ref="B1137" r:id="rId123" xr:uid="{058BB345-4650-43D0-AEAE-7ED4DFBCFE5D}"/>
    <hyperlink ref="B1136" r:id="rId124" xr:uid="{059A00A5-26C1-46AE-8B10-6C32B5212565}"/>
    <hyperlink ref="B1135" r:id="rId125" xr:uid="{C5796C78-E3CE-4C1A-9C3E-2EE8FE321A28}"/>
    <hyperlink ref="B1134" r:id="rId126" xr:uid="{26C31515-ACCA-4548-99F2-86EB4D96D7C1}"/>
    <hyperlink ref="B1133" r:id="rId127" xr:uid="{508AD041-1AF5-4674-9B72-9F5DA5657D7B}"/>
    <hyperlink ref="B1132" r:id="rId128" xr:uid="{5854BEA9-7285-4DB6-AC99-1D801E030B34}"/>
    <hyperlink ref="B1131" r:id="rId129" xr:uid="{2DE31F0F-14C7-4C13-9938-B9413AFF7FD6}"/>
    <hyperlink ref="B1130" r:id="rId130" xr:uid="{3757B421-9A63-4713-BCA2-8AC03AD67056}"/>
    <hyperlink ref="B1129" r:id="rId131" xr:uid="{41CB0259-06F2-4745-9D02-9525AA4815B3}"/>
    <hyperlink ref="B1128" r:id="rId132" xr:uid="{F6B7DA05-9D53-43F2-9785-02C365E095FA}"/>
    <hyperlink ref="B1127" r:id="rId133" xr:uid="{7A9DD0E3-B398-4645-BDBB-D11D888CDB5F}"/>
    <hyperlink ref="B1126" r:id="rId134" xr:uid="{48AC2A6C-ABF8-41FE-AD98-37EC1BCB7C3E}"/>
    <hyperlink ref="B1125" r:id="rId135" xr:uid="{8A384460-B151-419C-9337-5141310299C6}"/>
    <hyperlink ref="B1124" r:id="rId136" xr:uid="{EAF60C07-C2FC-4977-994F-2DEA0CEF8BE4}"/>
    <hyperlink ref="B1123" r:id="rId137" xr:uid="{1DFE1BFA-42E3-46DD-8257-164D6D0AB294}"/>
    <hyperlink ref="B1122" r:id="rId138" xr:uid="{0735F07B-1104-44F0-96E3-0B20EA555997}"/>
    <hyperlink ref="B1121" r:id="rId139" xr:uid="{03D7CEC1-1D6F-40A9-96C8-4621AE8D152C}"/>
    <hyperlink ref="B1120" r:id="rId140" xr:uid="{2C609500-1EBB-41BB-81EA-D4BEF0353BA0}"/>
    <hyperlink ref="B1119" r:id="rId141" xr:uid="{5FA7E98B-F0EC-4738-99D4-6CBBF71ADAFD}"/>
    <hyperlink ref="B1118" r:id="rId142" xr:uid="{B8A3B2F3-38DD-43A9-B0B7-7F98B27E7CC3}"/>
    <hyperlink ref="B1117" r:id="rId143" xr:uid="{766F122E-498E-4066-9431-8FE3D84FE462}"/>
    <hyperlink ref="B1116" r:id="rId144" xr:uid="{967FB369-2440-47A8-A03F-BDD5E819E1D2}"/>
    <hyperlink ref="B1115" r:id="rId145" xr:uid="{7196B369-7B22-4518-9220-421189AE5352}"/>
    <hyperlink ref="B1114" r:id="rId146" xr:uid="{22C2B722-20B5-4D1B-A0E7-5D9B28A8B747}"/>
    <hyperlink ref="B1113" r:id="rId147" xr:uid="{5D233924-2A93-4F2B-A98B-AF20AA584A1B}"/>
    <hyperlink ref="B1112" r:id="rId148" xr:uid="{169BBC6F-F5C3-4B9F-8D84-8D7A176EFE4A}"/>
    <hyperlink ref="B1111" r:id="rId149" xr:uid="{BFB1A946-A452-46C7-ADA5-58B28ADC66D2}"/>
    <hyperlink ref="B1110" r:id="rId150" xr:uid="{A09AB5E1-082D-468A-B022-0D673B1847E2}"/>
    <hyperlink ref="B1109" r:id="rId151" xr:uid="{A4BA3050-D745-473B-9619-6F039A03BF46}"/>
    <hyperlink ref="B1108" r:id="rId152" xr:uid="{0514B677-7D77-43BF-A72A-800841559944}"/>
    <hyperlink ref="B1107" r:id="rId153" xr:uid="{D857DB4C-2523-4B0C-9081-CBE435F07BE4}"/>
    <hyperlink ref="B1106" r:id="rId154" xr:uid="{8CFEB85D-E19E-44F9-A2C1-61C1A503BDD2}"/>
    <hyperlink ref="B1105" r:id="rId155" xr:uid="{A1EA9500-C646-4497-82E4-27BDA4E6663B}"/>
    <hyperlink ref="B1104" r:id="rId156" xr:uid="{8A73D8BB-27F8-4E01-A406-CFAE52812C60}"/>
    <hyperlink ref="B1103" r:id="rId157" xr:uid="{FA778CE5-DD30-4181-A6D4-31D1041EDC5C}"/>
    <hyperlink ref="B1102" r:id="rId158" xr:uid="{CB765FF7-509E-4999-BA22-D52232F7FAFB}"/>
    <hyperlink ref="B1101" r:id="rId159" xr:uid="{D8BE8042-2330-4384-82B1-F0BE2AD4AF26}"/>
    <hyperlink ref="B1100" r:id="rId160" xr:uid="{0E34BE88-5165-463E-A9F7-F5555613C921}"/>
    <hyperlink ref="B1099" r:id="rId161" xr:uid="{61C40636-EF38-439B-A111-AC63B12D2771}"/>
    <hyperlink ref="B1098" r:id="rId162" xr:uid="{AABD2114-EC3F-479A-AEA8-AACEF2C4E1DC}"/>
    <hyperlink ref="B1097" r:id="rId163" xr:uid="{7F0A92CD-55DE-4063-8C6F-38742547B01A}"/>
    <hyperlink ref="B1096" r:id="rId164" xr:uid="{E0399F4E-7F4B-45B8-BF33-EFF2ACCDA6FF}"/>
    <hyperlink ref="B1095" r:id="rId165" xr:uid="{00C31812-2C85-434E-93CD-04C749BDFD76}"/>
    <hyperlink ref="B1094" r:id="rId166" xr:uid="{EF385D2B-5D27-42F3-92D0-183188CE3B6A}"/>
    <hyperlink ref="B1093" r:id="rId167" xr:uid="{6E771197-61E4-4729-8319-49757A892B45}"/>
    <hyperlink ref="B1092" r:id="rId168" xr:uid="{84208E75-48DA-496A-853D-3C814AADE26A}"/>
    <hyperlink ref="B1091" r:id="rId169" xr:uid="{8B081B00-72CF-4B03-9533-373C411FF5F4}"/>
    <hyperlink ref="B1090" r:id="rId170" xr:uid="{B554A341-3F07-49F4-8531-A6E92EBA2DA0}"/>
    <hyperlink ref="B1089" r:id="rId171" xr:uid="{B2FE7F41-69F1-41A1-A8F7-D657DDE1048F}"/>
    <hyperlink ref="B1088" r:id="rId172" xr:uid="{41F55467-6107-4F1A-865B-F774B2DA4C6A}"/>
    <hyperlink ref="B1087" r:id="rId173" xr:uid="{50E44435-F2B0-4430-8E90-2ECFE0E3B2C4}"/>
    <hyperlink ref="B1086" r:id="rId174" xr:uid="{AF831F0A-FE45-4941-A7AE-A7BA5F4DD46E}"/>
    <hyperlink ref="B1085" r:id="rId175" xr:uid="{616037A5-B668-40E4-97B3-0E1C4267F041}"/>
    <hyperlink ref="B1084" r:id="rId176" xr:uid="{24BF6B56-07FB-49C6-9D36-327897B52B6B}"/>
    <hyperlink ref="B1083" r:id="rId177" xr:uid="{074A7BC2-C7B7-4C1D-A1A4-E9F88BB8E111}"/>
    <hyperlink ref="B1082" r:id="rId178" xr:uid="{EA9E5678-392B-47F5-9B63-AAD9696E4146}"/>
    <hyperlink ref="B1081" r:id="rId179" xr:uid="{53FCAEF0-63FD-4632-B7F4-D6EEE80405CC}"/>
    <hyperlink ref="B1080" r:id="rId180" xr:uid="{E0D66DDF-9757-4DAF-90F1-16218830426C}"/>
    <hyperlink ref="B1079" r:id="rId181" xr:uid="{2007B068-0985-4A1E-9C78-4820D3B78AD8}"/>
    <hyperlink ref="B1078" r:id="rId182" xr:uid="{C49A0F05-BAFE-4B5C-80B9-4D4E5E9E291B}"/>
    <hyperlink ref="B1077" r:id="rId183" xr:uid="{0046043C-7934-4422-8BC8-8FDA6DFF24BF}"/>
    <hyperlink ref="B1076" r:id="rId184" xr:uid="{AF59DC5E-A793-4C82-9FA6-7832F253D0C3}"/>
    <hyperlink ref="B1075" r:id="rId185" xr:uid="{5A5AAA1F-62D6-49D4-91C6-ED0BF3F3BCBB}"/>
    <hyperlink ref="B1074" r:id="rId186" xr:uid="{92997CE6-FE29-45F8-8F2E-C1C364AD0B59}"/>
    <hyperlink ref="B1072" r:id="rId187" xr:uid="{081A7DB0-A8B7-473D-88E3-51271991CFF1}"/>
    <hyperlink ref="B1071" r:id="rId188" xr:uid="{B4D6DAB4-6099-4214-9885-4C5162BBE644}"/>
    <hyperlink ref="B1070" r:id="rId189" xr:uid="{66F8B9D1-8B8D-478E-8D9B-24FAD5804601}"/>
    <hyperlink ref="B1069" r:id="rId190" xr:uid="{86378106-AA22-4458-8380-89C9A33A4560}"/>
    <hyperlink ref="B1068" r:id="rId191" xr:uid="{2E5ECD38-C3CA-4F3F-8C17-86DD89258AE4}"/>
    <hyperlink ref="B1067" r:id="rId192" xr:uid="{5B3A9C98-BDAC-473D-B14D-B40661EE9F9F}"/>
    <hyperlink ref="B1066" r:id="rId193" xr:uid="{28F577AB-28C2-4A74-9668-E4ADA46CCB1B}"/>
    <hyperlink ref="B1065" r:id="rId194" xr:uid="{5EEB9921-88BF-4A25-B28C-6EDB66C6207A}"/>
    <hyperlink ref="B1064" r:id="rId195" xr:uid="{1789EB80-8CCD-42A5-AF6E-EDB94CC225FE}"/>
    <hyperlink ref="B1063" r:id="rId196" xr:uid="{BCDE07E6-A77C-4045-AE8E-C169486BD2FF}"/>
    <hyperlink ref="B1062" r:id="rId197" xr:uid="{B1C0B60C-5AAE-41CA-819C-1259604533CF}"/>
    <hyperlink ref="B1061" r:id="rId198" xr:uid="{B1B14A41-30B1-45F6-90D7-F892D7AA6978}"/>
    <hyperlink ref="B1060" r:id="rId199" xr:uid="{F5BDBC6C-B7D1-442C-AEAC-C5E61FB3993E}"/>
    <hyperlink ref="B1059" r:id="rId200" xr:uid="{28171040-54AD-41BB-9930-2B0B20D11E6F}"/>
    <hyperlink ref="B1058" r:id="rId201" xr:uid="{0485B35E-8105-46C4-BBB1-3CB1641B68D6}"/>
    <hyperlink ref="B1057" r:id="rId202" xr:uid="{E2DEC0CB-5684-4D01-84F0-A3872B8B353F}"/>
    <hyperlink ref="B1056" r:id="rId203" xr:uid="{C352C8F5-E401-465E-AB6F-807363C67CC7}"/>
    <hyperlink ref="B1055" r:id="rId204" xr:uid="{10D839DB-6977-44B1-8B32-39F64E64C720}"/>
    <hyperlink ref="B1054" r:id="rId205" xr:uid="{1EDB431E-EA43-44AC-99D0-D8C9F2577679}"/>
    <hyperlink ref="B1053" r:id="rId206" xr:uid="{E1829B67-0F46-4BB6-B093-FE91D6AD917E}"/>
    <hyperlink ref="B1052" r:id="rId207" xr:uid="{38EB06B4-F96B-44D4-A13C-02F1479CD1BB}"/>
    <hyperlink ref="B1051" r:id="rId208" xr:uid="{8AAFB8AE-B389-43F3-A5F9-6BC905919FD7}"/>
    <hyperlink ref="B1050" r:id="rId209" xr:uid="{859C4A64-21C5-40F3-AB45-FEAE58506DAF}"/>
    <hyperlink ref="B1049" r:id="rId210" xr:uid="{7E9C53D8-CC57-4B6B-89BC-DF8E29C7BB5C}"/>
    <hyperlink ref="B1048" r:id="rId211" xr:uid="{A499FAC3-E95E-430D-980D-BD5D1468669C}"/>
    <hyperlink ref="B1047" r:id="rId212" xr:uid="{E81324CE-30BC-4302-8B7F-26E9005DFD3C}"/>
    <hyperlink ref="B1046" r:id="rId213" xr:uid="{13DEBA9D-C469-475F-829D-E5020C76513B}"/>
    <hyperlink ref="B1045" r:id="rId214" xr:uid="{BCA9D727-ED5D-4852-A34A-B2B696EA3DD3}"/>
    <hyperlink ref="B1044" r:id="rId215" xr:uid="{6820425A-5FEF-42ED-953C-D6C26D16EEA1}"/>
    <hyperlink ref="B1043" r:id="rId216" xr:uid="{E6C74256-82B8-41A3-8AC6-B6DFB1EAA37A}"/>
    <hyperlink ref="B1042" r:id="rId217" xr:uid="{50301461-B180-423E-AFC5-DE062078D766}"/>
    <hyperlink ref="B1041" r:id="rId218" xr:uid="{5D29AB82-38D1-4191-B8B2-3731CF14798B}"/>
    <hyperlink ref="B1040" r:id="rId219" xr:uid="{4C3533E0-9FE5-4E7D-95DC-1CB80F5BEA20}"/>
    <hyperlink ref="B1039" r:id="rId220" xr:uid="{CAE82598-1418-47CA-AA38-57F3D2C368DC}"/>
    <hyperlink ref="B1038" r:id="rId221" xr:uid="{963DC85B-5F05-4C60-969A-C2CABA3063CF}"/>
    <hyperlink ref="B1037" r:id="rId222" xr:uid="{575E70F6-1E51-4D90-A5BC-9BF62B79144C}"/>
    <hyperlink ref="B1036" r:id="rId223" xr:uid="{9F5ABC46-573B-4FB5-9869-A87A9F5FEBF4}"/>
    <hyperlink ref="B1035" r:id="rId224" xr:uid="{107AAB17-AFBB-4F88-9B05-6624693CB9F3}"/>
    <hyperlink ref="B1034" r:id="rId225" xr:uid="{625C288F-54B0-4934-8E37-BC9C45A601E8}"/>
    <hyperlink ref="B1033" r:id="rId226" xr:uid="{822F4BAF-7992-466E-8CCE-9DCCADB33AAC}"/>
    <hyperlink ref="B1032" r:id="rId227" xr:uid="{6CB64682-8BF0-4C39-BAD8-C7F094967079}"/>
    <hyperlink ref="B1031" r:id="rId228" xr:uid="{A38B4151-4BCD-40FF-804F-17024577CF51}"/>
    <hyperlink ref="B1030" r:id="rId229" xr:uid="{32E20A0F-DA37-424B-B578-C14E102FAD54}"/>
    <hyperlink ref="B1029" r:id="rId230" xr:uid="{35C50301-CF23-4514-BB6D-1495F1967615}"/>
    <hyperlink ref="B1028" r:id="rId231" xr:uid="{E631D8C5-7188-4213-840A-065806D9D592}"/>
    <hyperlink ref="B1027" r:id="rId232" xr:uid="{CE06A6DB-6D91-457E-8FA0-81647F0DA431}"/>
    <hyperlink ref="B1026" r:id="rId233" xr:uid="{95C154B4-2ACB-4A17-8853-D19EC50C6986}"/>
    <hyperlink ref="B1025" r:id="rId234" xr:uid="{F620C527-14DF-4D6B-8F2E-7CC73B7E842E}"/>
    <hyperlink ref="B1024" r:id="rId235" xr:uid="{373A1AA2-5EF4-4881-918B-8DF79FA6DF80}"/>
    <hyperlink ref="B1023" r:id="rId236" xr:uid="{AF8C3547-8987-4EDD-8660-564169D8BED0}"/>
    <hyperlink ref="B1022" r:id="rId237" xr:uid="{5010BC03-6CAF-4311-9E34-1499FF96D528}"/>
    <hyperlink ref="B1021" r:id="rId238" xr:uid="{788B20F5-F17D-4EFC-A544-C817C877DF99}"/>
    <hyperlink ref="B1020" r:id="rId239" xr:uid="{75332FE9-EFCE-4184-ADB4-E8A870AFB2FC}"/>
    <hyperlink ref="B1019" r:id="rId240" xr:uid="{472D228A-3077-49EB-BEF5-BD0C4482B106}"/>
    <hyperlink ref="B1018" r:id="rId241" xr:uid="{18445834-2BB3-4D75-B143-6632F80EF68F}"/>
    <hyperlink ref="B1017" r:id="rId242" xr:uid="{35386D08-54EE-4502-965B-30DB873F8C8E}"/>
    <hyperlink ref="B1016" r:id="rId243" xr:uid="{BE3458D0-39E3-4BF2-BDB5-5A56E7BF74B1}"/>
    <hyperlink ref="B1015" r:id="rId244" xr:uid="{C65C2593-B302-488F-AD57-BB234387F889}"/>
    <hyperlink ref="B1014" r:id="rId245" xr:uid="{28814A36-3146-4AB2-95DE-80B050F1BEA6}"/>
    <hyperlink ref="B1012" r:id="rId246" xr:uid="{2FCFAC70-6091-48EC-BBC8-B6E219C1C903}"/>
    <hyperlink ref="B1011" r:id="rId247" xr:uid="{DD246B43-29ED-4EFE-A52B-4481EEC481D0}"/>
    <hyperlink ref="B1010" r:id="rId248" xr:uid="{D153DB58-71A5-40F5-83E1-1620617B881F}"/>
    <hyperlink ref="B1009" r:id="rId249" xr:uid="{48D670BA-656E-450F-A958-124C72283976}"/>
    <hyperlink ref="B1008" r:id="rId250" xr:uid="{21102BD4-6671-4193-B938-55A3249CBDA8}"/>
    <hyperlink ref="B1007" r:id="rId251" xr:uid="{DB8363EE-B49B-478A-B745-9774F7C2F74B}"/>
    <hyperlink ref="B1006" r:id="rId252" xr:uid="{4EB93D76-E7E8-470B-A620-C92E69490188}"/>
    <hyperlink ref="B1005" r:id="rId253" xr:uid="{5FE65817-79A2-424D-B6AB-4BC900DC35CC}"/>
    <hyperlink ref="B1004" r:id="rId254" xr:uid="{1D045DFE-7B21-4464-AFE4-D3CA983A130A}"/>
    <hyperlink ref="B1003" r:id="rId255" xr:uid="{3CF6DAA8-4051-4E04-AEBA-8D143EA81164}"/>
    <hyperlink ref="B1002" r:id="rId256" xr:uid="{B9EF4AE0-D747-4F0E-80C6-B83E4D89428B}"/>
    <hyperlink ref="B1001" r:id="rId257" xr:uid="{5D46B7E6-3CC0-48E9-A9C7-03D70D3CCA29}"/>
    <hyperlink ref="B1000" r:id="rId258" xr:uid="{355DDEBB-5B3E-4EC1-9308-7535DBC73133}"/>
    <hyperlink ref="B999" r:id="rId259" xr:uid="{54431DAE-CE36-4372-A1D0-B4596FD8E97C}"/>
    <hyperlink ref="B998" r:id="rId260" xr:uid="{0017ADC5-01C7-4A8B-B9FD-B9EBBD24439C}"/>
    <hyperlink ref="B997" r:id="rId261" xr:uid="{56F864BA-ABA2-4045-B8B5-29C25B8F7DFD}"/>
    <hyperlink ref="B996" r:id="rId262" xr:uid="{B7004CED-7F55-4D56-85EF-ADB7DD52B53D}"/>
    <hyperlink ref="B995" r:id="rId263" xr:uid="{482212EA-244A-4C86-8688-2001F87403A2}"/>
    <hyperlink ref="B994" r:id="rId264" xr:uid="{067E2B80-56CC-44E5-9532-D61BB5C2D3AB}"/>
    <hyperlink ref="B993" r:id="rId265" xr:uid="{1E43494D-9611-42AE-BFFD-BD7D61D80BF3}"/>
    <hyperlink ref="B992" r:id="rId266" xr:uid="{E46AE3F0-FCD5-459E-B2A0-2B602FCB6E2E}"/>
    <hyperlink ref="B991" r:id="rId267" xr:uid="{E693662A-AA53-4B49-81D0-CCD1E134944A}"/>
    <hyperlink ref="B990" r:id="rId268" xr:uid="{1A3B33BA-B28E-4DEA-8A60-B2A8A2FBC97B}"/>
    <hyperlink ref="B989" r:id="rId269" xr:uid="{3F8B8BB9-0260-4FB4-8113-5495B34025A6}"/>
    <hyperlink ref="B988" r:id="rId270" xr:uid="{573798E8-CA52-4E40-97E2-8C949D1819C4}"/>
    <hyperlink ref="B987" r:id="rId271" xr:uid="{07454DA6-5310-4867-AA6C-58D2168ACAB6}"/>
    <hyperlink ref="B986" r:id="rId272" xr:uid="{A6611B4C-3C35-4B83-B99E-FC59078FC1D0}"/>
    <hyperlink ref="B985" r:id="rId273" xr:uid="{47F0386E-E479-4149-9417-C2644146A565}"/>
    <hyperlink ref="B984" r:id="rId274" xr:uid="{72C0D8F7-2792-46DB-920F-A0939915437E}"/>
    <hyperlink ref="B983" r:id="rId275" xr:uid="{B14F8903-C0A7-4C48-A712-617C15007E33}"/>
    <hyperlink ref="B982" r:id="rId276" xr:uid="{8EEF1392-C48B-40F7-ADC5-67176F58413F}"/>
    <hyperlink ref="B981" r:id="rId277" xr:uid="{D3C8D3C1-C476-4CFF-8700-46F3BF3A6452}"/>
    <hyperlink ref="B980" r:id="rId278" xr:uid="{CA6128D8-0DD3-4E3F-8F8F-1EA09F3B9AA7}"/>
    <hyperlink ref="B979" r:id="rId279" xr:uid="{1D15FA28-70BD-4AEA-8EF3-9EFFABF79C55}"/>
    <hyperlink ref="B978" r:id="rId280" xr:uid="{7B0A461E-784E-416A-B832-98573F7236BC}"/>
    <hyperlink ref="B977" r:id="rId281" xr:uid="{D15FC462-3722-4AC7-84D5-2E86C2673FB2}"/>
    <hyperlink ref="B976" r:id="rId282" xr:uid="{2B7980C2-39B6-4FC7-83EA-F7579110CC6D}"/>
    <hyperlink ref="B975" r:id="rId283" xr:uid="{132D1185-A74E-4C06-9535-AE96253D0C71}"/>
    <hyperlink ref="B974" r:id="rId284" xr:uid="{B62B2D24-BC67-4B63-8F42-DAF166659620}"/>
    <hyperlink ref="B973" r:id="rId285" xr:uid="{5C49212F-BF2E-44C7-B04D-433C18251535}"/>
    <hyperlink ref="B972" r:id="rId286" xr:uid="{FB69F379-C164-4C6E-8C89-E1D8DA7A1504}"/>
    <hyperlink ref="B971" r:id="rId287" xr:uid="{9024EBD3-5CBB-40CD-AB3B-A40D14305865}"/>
    <hyperlink ref="B970" r:id="rId288" xr:uid="{BC743430-ED16-4293-8850-1E08C679F874}"/>
    <hyperlink ref="B969" r:id="rId289" xr:uid="{29C6793B-5290-4AD5-AE9F-3F0E64D31E4A}"/>
    <hyperlink ref="B968" r:id="rId290" xr:uid="{244675B8-A46C-42A6-8354-A710E5122E0F}"/>
    <hyperlink ref="B967" r:id="rId291" xr:uid="{63C37A12-8EEF-4582-86A5-982FECBE85AD}"/>
    <hyperlink ref="B966" r:id="rId292" xr:uid="{09925E00-6BA8-4C02-9327-242618EDE977}"/>
    <hyperlink ref="B965" r:id="rId293" xr:uid="{3066BA2A-ECEA-4553-BF36-3BCB90E55C94}"/>
    <hyperlink ref="B964" r:id="rId294" xr:uid="{738C276D-066C-4B53-8E50-92A71EE3E340}"/>
    <hyperlink ref="B963" r:id="rId295" xr:uid="{1EFA70C0-432A-4AB0-8257-2F36654CEB7F}"/>
    <hyperlink ref="B962" r:id="rId296" xr:uid="{6FC7D96F-B06E-4A34-B495-13D1DDE6475C}"/>
    <hyperlink ref="B961" r:id="rId297" xr:uid="{24E38DAD-DA14-4012-A399-D735BDEE8EBB}"/>
    <hyperlink ref="B960" r:id="rId298" xr:uid="{9E8D0958-9E7F-43B3-814D-4AAD8ADA160C}"/>
    <hyperlink ref="B959" r:id="rId299" xr:uid="{FE44FE7F-6D3B-4BA1-85CD-84EAEEB7587D}"/>
    <hyperlink ref="B958" r:id="rId300" xr:uid="{E95899F7-58C6-4C92-8F88-032726808362}"/>
    <hyperlink ref="B957" r:id="rId301" xr:uid="{0D5D6DE9-61B8-450E-B7A4-756EC9298470}"/>
    <hyperlink ref="B956" r:id="rId302" xr:uid="{61022B94-9118-4BDA-A914-B669B79DB4AB}"/>
    <hyperlink ref="B955" r:id="rId303" xr:uid="{42D79B3A-4E8F-4AA8-B395-4001DBADFD87}"/>
    <hyperlink ref="B954" r:id="rId304" xr:uid="{9CD374F6-3673-4F6C-AB79-507F91D18446}"/>
    <hyperlink ref="B953" r:id="rId305" xr:uid="{B57D0AC7-D4A9-4C4E-A458-B643CC41B8C7}"/>
    <hyperlink ref="B952" r:id="rId306" xr:uid="{17729206-3340-4689-AA65-DF59E6DA6F76}"/>
    <hyperlink ref="B951" r:id="rId307" xr:uid="{FEEC443E-F9A6-4383-9216-31D025FC28C7}"/>
    <hyperlink ref="B950" r:id="rId308" xr:uid="{232E20FF-DC6E-4FB1-9017-839766E99025}"/>
    <hyperlink ref="B949" r:id="rId309" xr:uid="{71EB0C00-A952-432D-BFF6-6F20CA500AFA}"/>
    <hyperlink ref="B948" r:id="rId310" xr:uid="{73D3C5DB-350C-4048-8BF7-A99827521FCC}"/>
    <hyperlink ref="B947" r:id="rId311" xr:uid="{0B5B4931-AF8D-4C37-998E-81E13D893888}"/>
    <hyperlink ref="B946" r:id="rId312" xr:uid="{0B04486C-6BD8-4B29-861B-D146A62CA887}"/>
    <hyperlink ref="B945" r:id="rId313" xr:uid="{7D58CB42-6705-451A-985D-0EDBA9BD2624}"/>
    <hyperlink ref="B944" r:id="rId314" xr:uid="{5AECEDEE-D01F-41DF-81CE-89A7CF17BE33}"/>
    <hyperlink ref="B943" r:id="rId315" xr:uid="{0B7CFD2E-EFD6-4101-ADC3-62049D6B0024}"/>
    <hyperlink ref="B942" r:id="rId316" xr:uid="{B9223C39-219A-45A2-96EF-588766F0E3FA}"/>
    <hyperlink ref="B941" r:id="rId317" xr:uid="{DCAD01CD-C5FC-4FB1-810E-5A9EE92AB30E}"/>
    <hyperlink ref="B940" r:id="rId318" xr:uid="{9CD48EFA-0671-49A1-A229-0ACE5224C7C3}"/>
    <hyperlink ref="B939" r:id="rId319" xr:uid="{FEC4BDB8-585F-4150-A7A4-67491B30391F}"/>
    <hyperlink ref="B938" r:id="rId320" xr:uid="{40ACA889-839D-4603-BE65-F04832C1E9AA}"/>
    <hyperlink ref="B937" r:id="rId321" xr:uid="{EF1193E7-E966-48EA-AA4C-E45633AE6D6E}"/>
    <hyperlink ref="B936" r:id="rId322" xr:uid="{1B44F13E-253E-45D3-8928-C21229A9E6B2}"/>
    <hyperlink ref="B935" r:id="rId323" xr:uid="{5D706A62-C7AD-4356-AD8B-5503D9CCA9D2}"/>
    <hyperlink ref="B934" r:id="rId324" xr:uid="{DC16D198-71A9-4BCB-AB9F-C8CF03FE7480}"/>
    <hyperlink ref="B933" r:id="rId325" xr:uid="{A97AD567-0823-4640-95A2-DA1276F51A29}"/>
    <hyperlink ref="B932" r:id="rId326" xr:uid="{ABABFB62-CA77-478C-95DD-5FBD34AD8F0D}"/>
    <hyperlink ref="B931" r:id="rId327" xr:uid="{CCAF5D83-F3C9-49B0-BAE6-C73E91FF3F50}"/>
    <hyperlink ref="B930" r:id="rId328" xr:uid="{7B315B50-1B44-48A2-91C9-698054FCD3AF}"/>
    <hyperlink ref="B929" r:id="rId329" xr:uid="{BE059643-2246-4B2B-9408-3D72A225AD11}"/>
    <hyperlink ref="B928" r:id="rId330" xr:uid="{EF4BD4D8-FF1F-4EB4-8327-4F01526488B2}"/>
    <hyperlink ref="B927" r:id="rId331" xr:uid="{7C540F8C-C1DA-4310-8FE3-EA2F489C2C3D}"/>
    <hyperlink ref="B926" r:id="rId332" xr:uid="{D3C77327-497F-485C-B3A2-8D0E56A16F90}"/>
    <hyperlink ref="B925" r:id="rId333" xr:uid="{15399DA6-5948-419B-8CBC-0C92E1D10A04}"/>
    <hyperlink ref="B924" r:id="rId334" xr:uid="{BE61A157-D5D5-41A8-9DE1-64C7779F28C5}"/>
    <hyperlink ref="B922" r:id="rId335" xr:uid="{7E7F6DB6-98EB-4227-9603-94368198AFAF}"/>
    <hyperlink ref="B921" r:id="rId336" xr:uid="{0DE268B8-0E22-4AC1-9807-ED63A3409E7B}"/>
    <hyperlink ref="B920" r:id="rId337" xr:uid="{A134E9EB-C038-4F08-8A38-88B5C2863CED}"/>
    <hyperlink ref="B919" r:id="rId338" xr:uid="{C3B811A8-1097-498E-A780-1BDD91C3E02E}"/>
    <hyperlink ref="B918" r:id="rId339" xr:uid="{93E53CEC-5835-44F2-9C80-CEDBC45C0DD0}"/>
    <hyperlink ref="B917" r:id="rId340" xr:uid="{A9EE4D1E-5510-41D9-83C9-ECBAABCBC0C5}"/>
    <hyperlink ref="B916" r:id="rId341" xr:uid="{6985C16F-702D-4D6E-B029-F2123FC78498}"/>
    <hyperlink ref="B915" r:id="rId342" xr:uid="{FFDC3634-1C40-4FC9-AA9F-0B13C533EE8C}"/>
    <hyperlink ref="B914" r:id="rId343" xr:uid="{58D35F10-858D-43C5-AE49-52034821644F}"/>
    <hyperlink ref="B913" r:id="rId344" xr:uid="{C10B42F1-67BA-4D9E-A013-1468CAF847F6}"/>
    <hyperlink ref="B912" r:id="rId345" xr:uid="{87598486-CD15-4F86-8635-05816D28F973}"/>
    <hyperlink ref="B911" r:id="rId346" xr:uid="{9E045CC1-0AC4-47C2-B46B-662A93E838A6}"/>
    <hyperlink ref="B910" r:id="rId347" xr:uid="{DBAAA94F-9AFB-4974-97FF-BDE8AF727489}"/>
    <hyperlink ref="B909" r:id="rId348" xr:uid="{FCA8E2DE-FE27-4EE1-B015-24748133F651}"/>
    <hyperlink ref="B908" r:id="rId349" xr:uid="{F344F81B-7B81-4ACE-928A-7D4D53CAC9C3}"/>
    <hyperlink ref="B907" r:id="rId350" xr:uid="{C87C1216-44D6-4A14-8212-79CC80BB0334}"/>
    <hyperlink ref="B906" r:id="rId351" xr:uid="{24FE8CF5-E2A1-4297-B1AF-8CA6D2123334}"/>
    <hyperlink ref="B905" r:id="rId352" xr:uid="{B799F72E-4B04-4373-BF08-31905D58AF6C}"/>
    <hyperlink ref="B904" r:id="rId353" xr:uid="{332C426B-EC5B-4775-9C35-9961F2F8E54E}"/>
    <hyperlink ref="B903" r:id="rId354" xr:uid="{0892F7CA-123D-4659-988C-DC69DB365399}"/>
    <hyperlink ref="B902" r:id="rId355" xr:uid="{F04911AB-5F89-410C-AF59-A141E37F508B}"/>
    <hyperlink ref="B901" r:id="rId356" xr:uid="{6DE61A05-63E6-4B58-AB9B-F698BFF96813}"/>
    <hyperlink ref="B900" r:id="rId357" xr:uid="{DA01B1E1-00C0-4003-90D8-1C2E4170664A}"/>
    <hyperlink ref="B899" r:id="rId358" xr:uid="{B866624C-9F4C-48B0-9726-2FFD4E5A2F52}"/>
    <hyperlink ref="B898" r:id="rId359" xr:uid="{699BD2D9-9522-4A11-A84B-0931F71EC9F5}"/>
    <hyperlink ref="B897" r:id="rId360" xr:uid="{5D71176D-0110-4534-860C-A2411DB109D4}"/>
    <hyperlink ref="B896" r:id="rId361" xr:uid="{06CE6B21-D681-42DB-B3FA-EB6B4224A41A}"/>
    <hyperlink ref="B895" r:id="rId362" xr:uid="{CEFA2F8D-0820-49BE-8F37-17760DFEF3AA}"/>
    <hyperlink ref="B894" r:id="rId363" xr:uid="{F36A39C3-A39E-408D-A101-0B209677C717}"/>
    <hyperlink ref="B893" r:id="rId364" xr:uid="{6F0C200D-4640-4B11-BA70-7752A80980B7}"/>
    <hyperlink ref="B892" r:id="rId365" xr:uid="{DB1447EE-3CE4-403C-82DF-A25607A3B2D5}"/>
    <hyperlink ref="B891" r:id="rId366" xr:uid="{27C5D6D2-4888-4F0E-B07E-C2E94ABA6641}"/>
    <hyperlink ref="B890" r:id="rId367" xr:uid="{F0CFDE28-DA9D-4279-8CF6-764FA1B80DFC}"/>
    <hyperlink ref="B889" r:id="rId368" xr:uid="{181FDD5F-B24B-4EDE-996E-26F5DA59D3DA}"/>
    <hyperlink ref="B888" r:id="rId369" xr:uid="{615CDD33-D0EA-4866-8BFB-209DFA7A7511}"/>
    <hyperlink ref="B887" r:id="rId370" xr:uid="{AC134BF5-ADC4-4CC7-A903-58201163E595}"/>
    <hyperlink ref="B886" r:id="rId371" xr:uid="{7E163F16-E667-4CDB-8EFE-F26C55598FD8}"/>
    <hyperlink ref="B885" r:id="rId372" xr:uid="{8D12441E-51C5-4DA6-B318-A8454D005674}"/>
    <hyperlink ref="B884" r:id="rId373" xr:uid="{C3679F4C-AE94-409F-A6D0-5A327BA9A2E9}"/>
    <hyperlink ref="B883" r:id="rId374" xr:uid="{7DDB02F7-678B-4829-9B6B-390B27A354A5}"/>
    <hyperlink ref="B882" r:id="rId375" xr:uid="{0A7D2D6B-CA63-4F72-8635-FC3139AA9FE1}"/>
    <hyperlink ref="B881" r:id="rId376" xr:uid="{75A8A531-4DA6-485A-9533-033FDF868F26}"/>
    <hyperlink ref="B880" r:id="rId377" xr:uid="{B62580D1-0EE0-4020-B875-E8250FA9B91A}"/>
    <hyperlink ref="B879" r:id="rId378" xr:uid="{FD4F73E5-FDF5-4812-A3DA-C3456C71A8BB}"/>
    <hyperlink ref="B878" r:id="rId379" xr:uid="{72DBB213-B276-4DCB-AE54-30F6F817D933}"/>
    <hyperlink ref="B877" r:id="rId380" xr:uid="{013CACD3-0CEE-407D-BD60-E9CE022E53E4}"/>
    <hyperlink ref="B876" r:id="rId381" xr:uid="{A6800068-EF26-4D31-A80C-C8FC1F84CF89}"/>
    <hyperlink ref="B875" r:id="rId382" xr:uid="{90D3609E-7166-41A5-993E-A7B531A46982}"/>
    <hyperlink ref="B874" r:id="rId383" xr:uid="{7B9F22E1-0347-44C2-95EC-A27EB524DF62}"/>
    <hyperlink ref="B873" r:id="rId384" xr:uid="{435B41A2-13AB-4D0E-BFCE-DC6D78F30BFC}"/>
    <hyperlink ref="B872" r:id="rId385" xr:uid="{2C446A3E-2AA1-443A-B712-4AA9FC616AE5}"/>
    <hyperlink ref="B871" r:id="rId386" xr:uid="{4978C044-25DA-4338-AE65-B8B53CAFD074}"/>
    <hyperlink ref="B870" r:id="rId387" xr:uid="{D3B31D43-F4C7-48EF-96BE-837487D8752E}"/>
    <hyperlink ref="B869" r:id="rId388" xr:uid="{3AB76730-914F-41C5-B739-5733D21B5979}"/>
    <hyperlink ref="B868" r:id="rId389" xr:uid="{75EA5DDD-96CC-43A1-B490-BE6D10E82E4D}"/>
    <hyperlink ref="B867" r:id="rId390" xr:uid="{C7455B8F-02DF-4B29-A542-DFE86FDE3A9A}"/>
    <hyperlink ref="B866" r:id="rId391" xr:uid="{0ACEB8EB-35B0-47C3-ADBC-68C9F1B1DF7A}"/>
    <hyperlink ref="B865" r:id="rId392" xr:uid="{3EB14D55-8B20-4FB2-91D0-3E88539283AD}"/>
    <hyperlink ref="B864" r:id="rId393" xr:uid="{FE54A46E-EE29-4F8C-A219-20E637A8A4D5}"/>
    <hyperlink ref="B863" r:id="rId394" xr:uid="{27A499C4-A51A-4556-9ABB-5D214D639816}"/>
    <hyperlink ref="B862" r:id="rId395" xr:uid="{24701B20-7A74-4671-A788-C377549FAC24}"/>
    <hyperlink ref="B861" r:id="rId396" xr:uid="{41CD2315-B046-48F2-97CB-A3600AB55432}"/>
    <hyperlink ref="B860" r:id="rId397" xr:uid="{EFE2ADC1-A0AB-4DAA-B49A-D27CA6B6A52F}"/>
    <hyperlink ref="B859" r:id="rId398" xr:uid="{7C96B732-3AAD-40F5-B1A0-76AA1959D559}"/>
    <hyperlink ref="B858" r:id="rId399" xr:uid="{D67F81FC-F0A9-40E2-962B-6E99FAFA7217}"/>
    <hyperlink ref="B857" r:id="rId400" xr:uid="{731306B5-AD28-4FAB-84FD-43C1D77E74A0}"/>
    <hyperlink ref="B856" r:id="rId401" xr:uid="{D8A3F286-1CAF-48A9-AA7B-7A041942D7E7}"/>
    <hyperlink ref="B855" r:id="rId402" xr:uid="{C566F088-133A-4186-AFBC-2381F2E5337F}"/>
    <hyperlink ref="B854" r:id="rId403" xr:uid="{85314211-26A5-4FB5-AA19-FF185183D4C4}"/>
    <hyperlink ref="B853" r:id="rId404" xr:uid="{CC73F209-B5D7-4F04-A1D0-FD5FBB181A94}"/>
    <hyperlink ref="B852" r:id="rId405" xr:uid="{86D41FEA-0DDF-4090-A243-5F5AC7C8B2C1}"/>
    <hyperlink ref="B851" r:id="rId406" xr:uid="{13008EF1-CDB0-403E-8B76-D9D0E6469E10}"/>
    <hyperlink ref="B850" r:id="rId407" xr:uid="{571FEA91-7B7B-4641-B70D-D14071622B38}"/>
    <hyperlink ref="B849" r:id="rId408" xr:uid="{4BBBC40B-1815-4DDF-841C-F6EE5112F37E}"/>
    <hyperlink ref="B848" r:id="rId409" xr:uid="{07144669-6271-450D-9BE1-5A0AEE4DFDD7}"/>
    <hyperlink ref="B847" r:id="rId410" xr:uid="{3E5EE741-F3AC-48A4-AD0A-4B55E3EB997B}"/>
    <hyperlink ref="B846" r:id="rId411" xr:uid="{212BACC0-5BFB-4528-9C3A-C0831BBABB00}"/>
    <hyperlink ref="B845" r:id="rId412" xr:uid="{66F1564E-D87F-45E9-B30D-1EE24379C0AB}"/>
    <hyperlink ref="B844" r:id="rId413" xr:uid="{9880DBC6-18D2-471A-BFD4-97F47072B990}"/>
    <hyperlink ref="B843" r:id="rId414" xr:uid="{44B9C2F4-4530-4FBC-BAB3-A169FEB19D32}"/>
    <hyperlink ref="B842" r:id="rId415" xr:uid="{299CDC69-8C2D-43A7-87DE-FDB502A15DCD}"/>
    <hyperlink ref="B841" r:id="rId416" xr:uid="{EEC3C0C7-E086-4695-9E6E-8109B04BE758}"/>
    <hyperlink ref="B840" r:id="rId417" xr:uid="{68997E1C-C855-4B69-8DBC-0DE5DFA942E5}"/>
    <hyperlink ref="B839" r:id="rId418" xr:uid="{FB15C052-53F2-4C77-BB95-AA17D384F282}"/>
    <hyperlink ref="B838" r:id="rId419" xr:uid="{70813B0D-3CB5-4762-9D48-D92F8A02FFB1}"/>
    <hyperlink ref="B837" r:id="rId420" xr:uid="{8B2573E5-80F7-4423-B5BE-B8824D1A9768}"/>
    <hyperlink ref="B836" r:id="rId421" xr:uid="{B6C70880-33F7-4F1E-90B3-E3C8FE1B6E3E}"/>
    <hyperlink ref="B835" r:id="rId422" xr:uid="{A0F819EE-934F-45EA-8759-4865CDEFACFD}"/>
    <hyperlink ref="B834" r:id="rId423" xr:uid="{6C3CEFB8-090A-41BC-BE1D-6CB809E458B4}"/>
    <hyperlink ref="B833" r:id="rId424" xr:uid="{B9DE41A5-B208-4972-B15C-F7A526E65E51}"/>
    <hyperlink ref="B832" r:id="rId425" xr:uid="{7E608ECC-B2AC-4ACE-9CBB-98E56A24D35D}"/>
    <hyperlink ref="B831" r:id="rId426" xr:uid="{6FC9115C-3916-4530-8E3D-84EBC3C0D5A1}"/>
    <hyperlink ref="B830" r:id="rId427" xr:uid="{38A94699-B1B7-4325-9B71-7546AF3F273E}"/>
    <hyperlink ref="B829" r:id="rId428" xr:uid="{2954435F-6AFB-4DAD-AF8A-E8D941E05808}"/>
    <hyperlink ref="B828" r:id="rId429" xr:uid="{5FC27DD7-96F0-4694-A2AD-BBBE8C3490E1}"/>
    <hyperlink ref="B827" r:id="rId430" xr:uid="{666AB265-88CA-4947-86C6-A1D9E1D08158}"/>
    <hyperlink ref="B826" r:id="rId431" xr:uid="{B2150304-57A7-4632-ACCF-94E47FB018FE}"/>
    <hyperlink ref="B825" r:id="rId432" xr:uid="{AFC0A008-6361-4F61-8AD7-8681E860A2B8}"/>
    <hyperlink ref="B824" r:id="rId433" xr:uid="{EE35BF0D-323B-47BA-BD32-7C85BB6EA470}"/>
    <hyperlink ref="B823" r:id="rId434" xr:uid="{AE56F584-FE94-4A66-8A83-A85D9CF3C50F}"/>
    <hyperlink ref="B822" r:id="rId435" xr:uid="{6CB4DF11-C38C-494B-9546-6A8DDAA1D9E7}"/>
    <hyperlink ref="B821" r:id="rId436" xr:uid="{22B8DB6A-21D5-47F4-AD29-705ACE639DA1}"/>
    <hyperlink ref="B820" r:id="rId437" xr:uid="{3D269BA2-D690-4AF3-9545-13B200C8BFFC}"/>
    <hyperlink ref="B819" r:id="rId438" xr:uid="{3758EA6C-053B-42C8-8FCD-427EB0E96F5D}"/>
    <hyperlink ref="B818" r:id="rId439" xr:uid="{5F696695-8CCD-4BCD-8DA5-E2DBFF7605EF}"/>
    <hyperlink ref="B817" r:id="rId440" xr:uid="{2F4ED2A4-05C2-4250-A6BC-ECD8A9FC8FCF}"/>
    <hyperlink ref="B816" r:id="rId441" xr:uid="{2D3DE88D-8339-4778-ABC8-3ECFB3C73A48}"/>
    <hyperlink ref="B815" r:id="rId442" xr:uid="{00E0967E-E4BC-4EDE-997A-F1A560215D32}"/>
    <hyperlink ref="B814" r:id="rId443" xr:uid="{004860C7-DB8C-40BD-A56C-0DCBFC789459}"/>
    <hyperlink ref="B813" r:id="rId444" xr:uid="{0FD608CB-5B17-4A87-9B1A-768B6D2BA711}"/>
    <hyperlink ref="B812" r:id="rId445" xr:uid="{60665264-6943-4B3C-8398-CAE4CD11AC06}"/>
    <hyperlink ref="B811" r:id="rId446" xr:uid="{1046D318-72A7-4376-8547-C3F56A543E2E}"/>
    <hyperlink ref="B810" r:id="rId447" xr:uid="{4A7377A6-3C25-45B3-90E0-A8238EEC9FD0}"/>
    <hyperlink ref="B809" r:id="rId448" xr:uid="{1803E2B9-1A42-4D90-8F3C-CBB770DA3229}"/>
    <hyperlink ref="B808" r:id="rId449" xr:uid="{F1BA0151-7BDC-4D64-9CDC-461026E0619E}"/>
    <hyperlink ref="B807" r:id="rId450" xr:uid="{8F6BF637-592B-4605-AB90-1F76D068FC05}"/>
    <hyperlink ref="B806" r:id="rId451" xr:uid="{3448E7B6-EDF9-4D51-A1AE-BD179F4C3409}"/>
    <hyperlink ref="B805" r:id="rId452" xr:uid="{AF7F9436-A81C-40CB-8749-E42C70EEE64B}"/>
    <hyperlink ref="B804" r:id="rId453" xr:uid="{B70E6303-4037-4A00-8041-AED2DA12EA37}"/>
    <hyperlink ref="B803" r:id="rId454" xr:uid="{01ECF3E4-1697-4A78-ACD2-4F6AF7FF0C8D}"/>
    <hyperlink ref="B802" r:id="rId455" xr:uid="{6CFCE3B7-691A-43CC-B70B-046A77131455}"/>
    <hyperlink ref="B801" r:id="rId456" xr:uid="{C840A285-5009-4F39-8604-AD474696A21E}"/>
    <hyperlink ref="B800" r:id="rId457" xr:uid="{C2AC8957-3966-472A-B3A9-C40EC276F917}"/>
    <hyperlink ref="B799" r:id="rId458" xr:uid="{D9601868-05FC-4B79-8D30-287116EBB8A1}"/>
    <hyperlink ref="B798" r:id="rId459" xr:uid="{0807F917-DA9B-4C16-8569-40EF63994633}"/>
    <hyperlink ref="B797" r:id="rId460" xr:uid="{DF7B245C-A231-4334-AE38-0AE3DFC30568}"/>
    <hyperlink ref="B796" r:id="rId461" xr:uid="{26BAC11E-B16D-4E16-BDEC-FC5E3F5751E0}"/>
    <hyperlink ref="B795" r:id="rId462" xr:uid="{3EA166E8-EBB5-4C1C-B574-BD66BAE7B899}"/>
    <hyperlink ref="B794" r:id="rId463" xr:uid="{70D3ED6B-3D98-4493-9401-86268B9550EB}"/>
    <hyperlink ref="B793" r:id="rId464" xr:uid="{5993DF8E-8514-4D94-B064-C9898AC2517D}"/>
    <hyperlink ref="B792" r:id="rId465" xr:uid="{B0CA2309-A917-4A2B-A960-45BAA57A694A}"/>
    <hyperlink ref="B791" r:id="rId466" xr:uid="{113514F6-622D-4F30-A082-B2D2BAC0BA60}"/>
    <hyperlink ref="B790" r:id="rId467" xr:uid="{F33AB100-C3AB-4548-84E6-7A7662406559}"/>
    <hyperlink ref="B789" r:id="rId468" xr:uid="{8A4FADB9-481B-44DF-9D77-CE20A162A346}"/>
    <hyperlink ref="B788" r:id="rId469" xr:uid="{7E8EA7DD-FEA6-4208-AC43-EFBB6FBFB551}"/>
    <hyperlink ref="B787" r:id="rId470" xr:uid="{A46730CD-13B5-444A-91FC-53D663997C17}"/>
    <hyperlink ref="B786" r:id="rId471" xr:uid="{FBCF41F4-CE7D-4AC9-A0FE-AD6FC2AA975E}"/>
    <hyperlink ref="B785" r:id="rId472" xr:uid="{278213B7-D193-49D3-A0A2-387563AA905F}"/>
    <hyperlink ref="B784" r:id="rId473" xr:uid="{3EB990F8-94C9-4BAA-92AF-87A1BF5143EF}"/>
    <hyperlink ref="B783" r:id="rId474" xr:uid="{EE7A39D7-CD88-461A-BF88-6D033C4ECAD0}"/>
    <hyperlink ref="B782" r:id="rId475" xr:uid="{24A381B5-7153-4357-BE96-B4FA2E13F7CA}"/>
    <hyperlink ref="B781" r:id="rId476" xr:uid="{E1CFC65A-09A2-4418-9B90-26ED4C05FCF1}"/>
    <hyperlink ref="B780" r:id="rId477" xr:uid="{8FA29DC4-E9C8-4F33-B4CF-7DA20DE1317A}"/>
    <hyperlink ref="B779" r:id="rId478" xr:uid="{64909CBC-64BD-4CF1-A968-349B6EA73115}"/>
    <hyperlink ref="B778" r:id="rId479" xr:uid="{BB9A12CE-F5BF-40DE-98C3-624AF9D6C028}"/>
    <hyperlink ref="B777" r:id="rId480" xr:uid="{00000000-0004-0000-0500-000033030000}"/>
    <hyperlink ref="B776" r:id="rId481" xr:uid="{00000000-0004-0000-0500-000032030000}"/>
    <hyperlink ref="B775" r:id="rId482" xr:uid="{00000000-0004-0000-0500-000031030000}"/>
    <hyperlink ref="B774" r:id="rId483" xr:uid="{00000000-0004-0000-0500-000030030000}"/>
    <hyperlink ref="B773" r:id="rId484" xr:uid="{00000000-0004-0000-0500-00002F030000}"/>
    <hyperlink ref="B772" r:id="rId485" xr:uid="{00000000-0004-0000-0500-00002E030000}"/>
    <hyperlink ref="B771" r:id="rId486" xr:uid="{00000000-0004-0000-0500-00002D030000}"/>
    <hyperlink ref="B770" r:id="rId487" xr:uid="{00000000-0004-0000-0500-00002C030000}"/>
    <hyperlink ref="B769" r:id="rId488" xr:uid="{00000000-0004-0000-0500-00002B030000}"/>
    <hyperlink ref="B768" r:id="rId489" xr:uid="{00000000-0004-0000-0500-00002A030000}"/>
    <hyperlink ref="B767" r:id="rId490" xr:uid="{00000000-0004-0000-0500-000029030000}"/>
    <hyperlink ref="B766" r:id="rId491" xr:uid="{00000000-0004-0000-0500-000028030000}"/>
    <hyperlink ref="B765" r:id="rId492" xr:uid="{00000000-0004-0000-0500-000027030000}"/>
    <hyperlink ref="B764" r:id="rId493" xr:uid="{00000000-0004-0000-0500-000026030000}"/>
    <hyperlink ref="B763" r:id="rId494" xr:uid="{00000000-0004-0000-0500-000025030000}"/>
    <hyperlink ref="B762" r:id="rId495" xr:uid="{00000000-0004-0000-0500-000024030000}"/>
    <hyperlink ref="B761" r:id="rId496" xr:uid="{00000000-0004-0000-0500-000023030000}"/>
    <hyperlink ref="B760" r:id="rId497" xr:uid="{00000000-0004-0000-0500-000022030000}"/>
    <hyperlink ref="B759" r:id="rId498" xr:uid="{00000000-0004-0000-0500-000021030000}"/>
    <hyperlink ref="B758" r:id="rId499" xr:uid="{00000000-0004-0000-0500-000020030000}"/>
    <hyperlink ref="B757" r:id="rId500" xr:uid="{00000000-0004-0000-0500-00001F030000}"/>
    <hyperlink ref="B756" r:id="rId501" xr:uid="{00000000-0004-0000-0500-00001E030000}"/>
    <hyperlink ref="B755" r:id="rId502" xr:uid="{00000000-0004-0000-0500-00001D030000}"/>
    <hyperlink ref="B754" r:id="rId503" xr:uid="{00000000-0004-0000-0500-00001C030000}"/>
    <hyperlink ref="B753" r:id="rId504" xr:uid="{00000000-0004-0000-0500-00001B030000}"/>
    <hyperlink ref="B752" r:id="rId505" xr:uid="{00000000-0004-0000-0500-00001A030000}"/>
    <hyperlink ref="B751" r:id="rId506" xr:uid="{00000000-0004-0000-0500-000019030000}"/>
    <hyperlink ref="B750" r:id="rId507" xr:uid="{00000000-0004-0000-0500-000018030000}"/>
    <hyperlink ref="B749" r:id="rId508" xr:uid="{00000000-0004-0000-0500-000017030000}"/>
    <hyperlink ref="B748" r:id="rId509" xr:uid="{00000000-0004-0000-0500-000016030000}"/>
    <hyperlink ref="B747" r:id="rId510" xr:uid="{00000000-0004-0000-0500-000015030000}"/>
    <hyperlink ref="B746" r:id="rId511" xr:uid="{00000000-0004-0000-0500-000014030000}"/>
    <hyperlink ref="B745" r:id="rId512" xr:uid="{00000000-0004-0000-0500-000013030000}"/>
    <hyperlink ref="B744" r:id="rId513" xr:uid="{00000000-0004-0000-0500-000012030000}"/>
    <hyperlink ref="B743" r:id="rId514" xr:uid="{00000000-0004-0000-0500-000011030000}"/>
    <hyperlink ref="B742" r:id="rId515" xr:uid="{00000000-0004-0000-0500-000010030000}"/>
    <hyperlink ref="B741" r:id="rId516" xr:uid="{00000000-0004-0000-0500-00000F030000}"/>
    <hyperlink ref="B740" r:id="rId517" xr:uid="{00000000-0004-0000-0500-00000E030000}"/>
    <hyperlink ref="B739" r:id="rId518" xr:uid="{00000000-0004-0000-0500-00000D030000}"/>
    <hyperlink ref="B738" r:id="rId519" xr:uid="{00000000-0004-0000-0500-00000C030000}"/>
    <hyperlink ref="B737" r:id="rId520" xr:uid="{00000000-0004-0000-0500-00000B030000}"/>
    <hyperlink ref="B736" r:id="rId521" xr:uid="{00000000-0004-0000-0500-00000A030000}"/>
    <hyperlink ref="B735" r:id="rId522" xr:uid="{00000000-0004-0000-0500-000009030000}"/>
    <hyperlink ref="B734" r:id="rId523" xr:uid="{00000000-0004-0000-0500-000008030000}"/>
    <hyperlink ref="B733" r:id="rId524" xr:uid="{00000000-0004-0000-0500-000007030000}"/>
    <hyperlink ref="B732" r:id="rId525" xr:uid="{00000000-0004-0000-0500-000006030000}"/>
    <hyperlink ref="B731" r:id="rId526" xr:uid="{00000000-0004-0000-0500-000005030000}"/>
    <hyperlink ref="B730" r:id="rId527" xr:uid="{00000000-0004-0000-0500-000004030000}"/>
    <hyperlink ref="B729" r:id="rId528" xr:uid="{00000000-0004-0000-0500-000003030000}"/>
    <hyperlink ref="B728" r:id="rId529" xr:uid="{00000000-0004-0000-0500-000002030000}"/>
    <hyperlink ref="B727" r:id="rId530" xr:uid="{00000000-0004-0000-0500-000001030000}"/>
    <hyperlink ref="B726" r:id="rId531" xr:uid="{00000000-0004-0000-0500-000000030000}"/>
    <hyperlink ref="B725" r:id="rId532" xr:uid="{00000000-0004-0000-0500-0000FF020000}"/>
    <hyperlink ref="B724" r:id="rId533" xr:uid="{00000000-0004-0000-0500-0000FE020000}"/>
    <hyperlink ref="B723" r:id="rId534" xr:uid="{00000000-0004-0000-0500-0000FD020000}"/>
    <hyperlink ref="B722" r:id="rId535" xr:uid="{00000000-0004-0000-0500-0000FC020000}"/>
    <hyperlink ref="B721" r:id="rId536" xr:uid="{00000000-0004-0000-0500-0000FB020000}"/>
    <hyperlink ref="B720" r:id="rId537" xr:uid="{00000000-0004-0000-0500-0000FA020000}"/>
    <hyperlink ref="B719" r:id="rId538" xr:uid="{00000000-0004-0000-0500-0000F9020000}"/>
    <hyperlink ref="B718" r:id="rId539" xr:uid="{00000000-0004-0000-0500-0000F8020000}"/>
    <hyperlink ref="B717" r:id="rId540" xr:uid="{00000000-0004-0000-0500-0000F7020000}"/>
    <hyperlink ref="B716" r:id="rId541" xr:uid="{00000000-0004-0000-0500-0000F6020000}"/>
    <hyperlink ref="B715" r:id="rId542" xr:uid="{00000000-0004-0000-0500-0000F5020000}"/>
    <hyperlink ref="B714" r:id="rId543" xr:uid="{00000000-0004-0000-0500-0000F4020000}"/>
    <hyperlink ref="B713" r:id="rId544" xr:uid="{00000000-0004-0000-0500-0000F3020000}"/>
    <hyperlink ref="B712" r:id="rId545" xr:uid="{00000000-0004-0000-0500-0000F2020000}"/>
    <hyperlink ref="B711" r:id="rId546" xr:uid="{00000000-0004-0000-0500-0000F1020000}"/>
    <hyperlink ref="B710" r:id="rId547" xr:uid="{00000000-0004-0000-0500-0000F0020000}"/>
    <hyperlink ref="B709" r:id="rId548" xr:uid="{00000000-0004-0000-0500-0000EF020000}"/>
    <hyperlink ref="B708" r:id="rId549" xr:uid="{00000000-0004-0000-0500-0000EE020000}"/>
    <hyperlink ref="B707" r:id="rId550" xr:uid="{00000000-0004-0000-0500-0000ED020000}"/>
    <hyperlink ref="B706" r:id="rId551" xr:uid="{00000000-0004-0000-0500-0000EC020000}"/>
    <hyperlink ref="B705" r:id="rId552" xr:uid="{00000000-0004-0000-0500-0000EB020000}"/>
    <hyperlink ref="B704" r:id="rId553" xr:uid="{00000000-0004-0000-0500-0000EA020000}"/>
    <hyperlink ref="B703" r:id="rId554" xr:uid="{00000000-0004-0000-0500-0000E9020000}"/>
    <hyperlink ref="B702" r:id="rId555" xr:uid="{00000000-0004-0000-0500-0000E8020000}"/>
    <hyperlink ref="B701" r:id="rId556" xr:uid="{00000000-0004-0000-0500-0000E7020000}"/>
    <hyperlink ref="B700" r:id="rId557" xr:uid="{00000000-0004-0000-0500-0000E6020000}"/>
    <hyperlink ref="B699" r:id="rId558" xr:uid="{00000000-0004-0000-0500-0000E5020000}"/>
    <hyperlink ref="B698" r:id="rId559" xr:uid="{00000000-0004-0000-0500-0000E4020000}"/>
    <hyperlink ref="B697" r:id="rId560" xr:uid="{00000000-0004-0000-0500-0000E3020000}"/>
    <hyperlink ref="B696" r:id="rId561" xr:uid="{00000000-0004-0000-0500-0000E2020000}"/>
    <hyperlink ref="B695" r:id="rId562" xr:uid="{00000000-0004-0000-0500-0000E1020000}"/>
    <hyperlink ref="B694" r:id="rId563" xr:uid="{00000000-0004-0000-0500-0000E0020000}"/>
    <hyperlink ref="B693" r:id="rId564" xr:uid="{00000000-0004-0000-0500-0000DF020000}"/>
    <hyperlink ref="B692" r:id="rId565" xr:uid="{00000000-0004-0000-0500-0000DE020000}"/>
    <hyperlink ref="B691" r:id="rId566" xr:uid="{00000000-0004-0000-0500-0000DD020000}"/>
    <hyperlink ref="B690" r:id="rId567" xr:uid="{00000000-0004-0000-0500-0000DC020000}"/>
    <hyperlink ref="B689" r:id="rId568" xr:uid="{00000000-0004-0000-0500-0000DB020000}"/>
    <hyperlink ref="B688" r:id="rId569" xr:uid="{00000000-0004-0000-0500-0000DA020000}"/>
    <hyperlink ref="B687" r:id="rId570" xr:uid="{00000000-0004-0000-0500-0000D9020000}"/>
    <hyperlink ref="B686" r:id="rId571" xr:uid="{00000000-0004-0000-0500-0000D8020000}"/>
    <hyperlink ref="B685" r:id="rId572" xr:uid="{00000000-0004-0000-0500-0000D7020000}"/>
    <hyperlink ref="B684" r:id="rId573" xr:uid="{00000000-0004-0000-0500-0000D6020000}"/>
    <hyperlink ref="B683" r:id="rId574" xr:uid="{00000000-0004-0000-0500-0000D5020000}"/>
    <hyperlink ref="B682" r:id="rId575" xr:uid="{00000000-0004-0000-0500-0000D4020000}"/>
    <hyperlink ref="B681" r:id="rId576" xr:uid="{00000000-0004-0000-0500-0000D3020000}"/>
    <hyperlink ref="B680" r:id="rId577" xr:uid="{00000000-0004-0000-0500-0000D2020000}"/>
    <hyperlink ref="B679" r:id="rId578" xr:uid="{00000000-0004-0000-0500-0000D1020000}"/>
    <hyperlink ref="B678" r:id="rId579" xr:uid="{00000000-0004-0000-0500-0000D0020000}"/>
    <hyperlink ref="B677" r:id="rId580" xr:uid="{00000000-0004-0000-0500-0000CE020000}"/>
    <hyperlink ref="B676" r:id="rId581" xr:uid="{00000000-0004-0000-0500-0000CD020000}"/>
    <hyperlink ref="B675" r:id="rId582" xr:uid="{00000000-0004-0000-0500-0000CA020000}"/>
    <hyperlink ref="B674" r:id="rId583" xr:uid="{00000000-0004-0000-0500-0000C9020000}"/>
    <hyperlink ref="B673" r:id="rId584" xr:uid="{00000000-0004-0000-0500-0000C8020000}"/>
    <hyperlink ref="B672" r:id="rId585" xr:uid="{00000000-0004-0000-0500-0000C7020000}"/>
    <hyperlink ref="B671" r:id="rId586" xr:uid="{00000000-0004-0000-0500-0000C6020000}"/>
    <hyperlink ref="B670" r:id="rId587" xr:uid="{00000000-0004-0000-0500-0000C5020000}"/>
    <hyperlink ref="B669" r:id="rId588" xr:uid="{00000000-0004-0000-0500-0000C4020000}"/>
    <hyperlink ref="B668" r:id="rId589" xr:uid="{00000000-0004-0000-0500-0000C3020000}"/>
    <hyperlink ref="B667" r:id="rId590" xr:uid="{00000000-0004-0000-0500-0000C2020000}"/>
    <hyperlink ref="B666" r:id="rId591" xr:uid="{00000000-0004-0000-0500-0000C1020000}"/>
    <hyperlink ref="B665" r:id="rId592" xr:uid="{00000000-0004-0000-0500-0000C0020000}"/>
    <hyperlink ref="B664" r:id="rId593" xr:uid="{00000000-0004-0000-0500-0000BF020000}"/>
    <hyperlink ref="B663" r:id="rId594" xr:uid="{00000000-0004-0000-0500-0000BE020000}"/>
    <hyperlink ref="B662" r:id="rId595" xr:uid="{00000000-0004-0000-0500-0000BD020000}"/>
    <hyperlink ref="B661" r:id="rId596" xr:uid="{00000000-0004-0000-0500-0000BC020000}"/>
    <hyperlink ref="B660" r:id="rId597" xr:uid="{00000000-0004-0000-0500-0000BB020000}"/>
    <hyperlink ref="B659" r:id="rId598" xr:uid="{00000000-0004-0000-0500-0000B9020000}"/>
    <hyperlink ref="B658" r:id="rId599" xr:uid="{00000000-0004-0000-0500-0000B8020000}"/>
    <hyperlink ref="B657" r:id="rId600" xr:uid="{00000000-0004-0000-0500-0000B7020000}"/>
    <hyperlink ref="B656" r:id="rId601" xr:uid="{00000000-0004-0000-0500-0000B6020000}"/>
    <hyperlink ref="B655" r:id="rId602" xr:uid="{00000000-0004-0000-0500-0000B5020000}"/>
    <hyperlink ref="B654" r:id="rId603" xr:uid="{00000000-0004-0000-0500-0000B4020000}"/>
    <hyperlink ref="B653" r:id="rId604" xr:uid="{00000000-0004-0000-0500-0000B3020000}"/>
    <hyperlink ref="B652" r:id="rId605" xr:uid="{00000000-0004-0000-0500-0000B2020000}"/>
    <hyperlink ref="B651" r:id="rId606" xr:uid="{00000000-0004-0000-0500-0000B1020000}"/>
    <hyperlink ref="B650" r:id="rId607" xr:uid="{00000000-0004-0000-0500-0000B0020000}"/>
    <hyperlink ref="B649" r:id="rId608" xr:uid="{00000000-0004-0000-0500-0000AF020000}"/>
    <hyperlink ref="B648" r:id="rId609" xr:uid="{00000000-0004-0000-0500-0000AE020000}"/>
    <hyperlink ref="B647" r:id="rId610" xr:uid="{00000000-0004-0000-0500-0000AD020000}"/>
    <hyperlink ref="B646" r:id="rId611" xr:uid="{00000000-0004-0000-0500-0000AC020000}"/>
    <hyperlink ref="B645" r:id="rId612" xr:uid="{00000000-0004-0000-0500-0000AB020000}"/>
    <hyperlink ref="B644" r:id="rId613" xr:uid="{00000000-0004-0000-0500-0000AA020000}"/>
    <hyperlink ref="B643" r:id="rId614" xr:uid="{00000000-0004-0000-0500-0000A9020000}"/>
    <hyperlink ref="B642" r:id="rId615" xr:uid="{00000000-0004-0000-0500-0000A8020000}"/>
    <hyperlink ref="B641" r:id="rId616" xr:uid="{00000000-0004-0000-0500-0000A7020000}"/>
    <hyperlink ref="B640" r:id="rId617" xr:uid="{00000000-0004-0000-0500-0000A6020000}"/>
    <hyperlink ref="B639" r:id="rId618" xr:uid="{00000000-0004-0000-0500-0000A5020000}"/>
    <hyperlink ref="B638" r:id="rId619" xr:uid="{00000000-0004-0000-0500-0000A4020000}"/>
    <hyperlink ref="B637" r:id="rId620" xr:uid="{00000000-0004-0000-0500-0000A3020000}"/>
    <hyperlink ref="B636" r:id="rId621" xr:uid="{00000000-0004-0000-0500-0000A2020000}"/>
    <hyperlink ref="B635" r:id="rId622" xr:uid="{00000000-0004-0000-0500-0000A1020000}"/>
    <hyperlink ref="B634" r:id="rId623" xr:uid="{00000000-0004-0000-0500-0000A0020000}"/>
    <hyperlink ref="B633" r:id="rId624" xr:uid="{00000000-0004-0000-0500-00009F020000}"/>
    <hyperlink ref="B632" r:id="rId625" xr:uid="{00000000-0004-0000-0500-00009E020000}"/>
    <hyperlink ref="B631" r:id="rId626" xr:uid="{00000000-0004-0000-0500-00009D020000}"/>
    <hyperlink ref="B630" r:id="rId627" xr:uid="{00000000-0004-0000-0500-00009B020000}"/>
    <hyperlink ref="B629" r:id="rId628" xr:uid="{00000000-0004-0000-0500-00009A020000}"/>
    <hyperlink ref="B628" r:id="rId629" xr:uid="{00000000-0004-0000-0500-000099020000}"/>
    <hyperlink ref="B627" r:id="rId630" xr:uid="{00000000-0004-0000-0500-000098020000}"/>
    <hyperlink ref="B626" r:id="rId631" xr:uid="{00000000-0004-0000-0500-000097020000}"/>
    <hyperlink ref="B625" r:id="rId632" xr:uid="{00000000-0004-0000-0500-000096020000}"/>
    <hyperlink ref="B624" r:id="rId633" xr:uid="{00000000-0004-0000-0500-000095020000}"/>
    <hyperlink ref="B623" r:id="rId634" xr:uid="{00000000-0004-0000-0500-000094020000}"/>
    <hyperlink ref="B622" r:id="rId635" xr:uid="{00000000-0004-0000-0500-000093020000}"/>
    <hyperlink ref="B621" r:id="rId636" xr:uid="{00000000-0004-0000-0500-000092020000}"/>
    <hyperlink ref="B620" r:id="rId637" xr:uid="{00000000-0004-0000-0500-000091020000}"/>
    <hyperlink ref="B619" r:id="rId638" xr:uid="{00000000-0004-0000-0500-000090020000}"/>
    <hyperlink ref="B618" r:id="rId639" xr:uid="{00000000-0004-0000-0500-00008F020000}"/>
    <hyperlink ref="B617" r:id="rId640" xr:uid="{00000000-0004-0000-0500-00008E020000}"/>
    <hyperlink ref="B616" r:id="rId641" xr:uid="{00000000-0004-0000-0500-00008D020000}"/>
    <hyperlink ref="B615" r:id="rId642" xr:uid="{00000000-0004-0000-0500-00008C020000}"/>
    <hyperlink ref="B614" r:id="rId643" xr:uid="{00000000-0004-0000-0500-00008B020000}"/>
    <hyperlink ref="B613" r:id="rId644" xr:uid="{00000000-0004-0000-0500-00008A020000}"/>
    <hyperlink ref="B612" r:id="rId645" xr:uid="{00000000-0004-0000-0500-000088020000}"/>
    <hyperlink ref="B611" r:id="rId646" xr:uid="{00000000-0004-0000-0500-000086020000}"/>
    <hyperlink ref="B610" r:id="rId647" xr:uid="{00000000-0004-0000-0500-000085020000}"/>
    <hyperlink ref="B609" r:id="rId648" xr:uid="{00000000-0004-0000-0500-000084020000}"/>
    <hyperlink ref="B608" r:id="rId649" xr:uid="{00000000-0004-0000-0500-000083020000}"/>
    <hyperlink ref="B607" r:id="rId650" xr:uid="{00000000-0004-0000-0500-000082020000}"/>
    <hyperlink ref="B606" r:id="rId651" xr:uid="{00000000-0004-0000-0500-000081020000}"/>
    <hyperlink ref="B605" r:id="rId652" xr:uid="{00000000-0004-0000-0500-000080020000}"/>
    <hyperlink ref="B604" r:id="rId653" xr:uid="{00000000-0004-0000-0500-00007F020000}"/>
    <hyperlink ref="B603" r:id="rId654" xr:uid="{00000000-0004-0000-0500-00007E020000}"/>
    <hyperlink ref="B602" r:id="rId655" xr:uid="{00000000-0004-0000-0500-00007D020000}"/>
    <hyperlink ref="B601" r:id="rId656" xr:uid="{00000000-0004-0000-0500-00007C020000}"/>
    <hyperlink ref="B600" r:id="rId657" xr:uid="{00000000-0004-0000-0500-00007A020000}"/>
    <hyperlink ref="B599" r:id="rId658" xr:uid="{00000000-0004-0000-0500-000079020000}"/>
    <hyperlink ref="B598" r:id="rId659" xr:uid="{00000000-0004-0000-0500-000078020000}"/>
    <hyperlink ref="B597" r:id="rId660" xr:uid="{00000000-0004-0000-0500-000077020000}"/>
    <hyperlink ref="B596" r:id="rId661" xr:uid="{00000000-0004-0000-0500-000076020000}"/>
    <hyperlink ref="B595" r:id="rId662" xr:uid="{00000000-0004-0000-0500-000075020000}"/>
    <hyperlink ref="B594" r:id="rId663" xr:uid="{00000000-0004-0000-0500-000074020000}"/>
    <hyperlink ref="B593" r:id="rId664" xr:uid="{00000000-0004-0000-0500-000073020000}"/>
    <hyperlink ref="B592" r:id="rId665" xr:uid="{00000000-0004-0000-0500-000072020000}"/>
    <hyperlink ref="B591" r:id="rId666" xr:uid="{00000000-0004-0000-0500-000071020000}"/>
    <hyperlink ref="B590" r:id="rId667" xr:uid="{00000000-0004-0000-0500-000070020000}"/>
    <hyperlink ref="B589" r:id="rId668" xr:uid="{00000000-0004-0000-0500-00006F020000}"/>
    <hyperlink ref="B588" r:id="rId669" xr:uid="{00000000-0004-0000-0500-00006E020000}"/>
    <hyperlink ref="B587" r:id="rId670" xr:uid="{00000000-0004-0000-0500-00006D020000}"/>
    <hyperlink ref="B586" r:id="rId671" xr:uid="{00000000-0004-0000-0500-00006C020000}"/>
    <hyperlink ref="B585" r:id="rId672" xr:uid="{00000000-0004-0000-0500-00006B020000}"/>
    <hyperlink ref="B584" r:id="rId673" xr:uid="{00000000-0004-0000-0500-00006A020000}"/>
    <hyperlink ref="B583" r:id="rId674" xr:uid="{00000000-0004-0000-0500-000069020000}"/>
    <hyperlink ref="B582" r:id="rId675" xr:uid="{00000000-0004-0000-0500-000068020000}"/>
    <hyperlink ref="B581" r:id="rId676" xr:uid="{00000000-0004-0000-0500-000067020000}"/>
    <hyperlink ref="B580" r:id="rId677" xr:uid="{00000000-0004-0000-0500-000066020000}"/>
    <hyperlink ref="B579" r:id="rId678" xr:uid="{00000000-0004-0000-0500-000065020000}"/>
    <hyperlink ref="B578" r:id="rId679" xr:uid="{00000000-0004-0000-0500-000064020000}"/>
    <hyperlink ref="B577" r:id="rId680" xr:uid="{00000000-0004-0000-0500-000063020000}"/>
    <hyperlink ref="B576" r:id="rId681" xr:uid="{00000000-0004-0000-0500-000062020000}"/>
    <hyperlink ref="B575" r:id="rId682" xr:uid="{00000000-0004-0000-0500-000061020000}"/>
    <hyperlink ref="B574" r:id="rId683" xr:uid="{00000000-0004-0000-0500-000060020000}"/>
    <hyperlink ref="B573" r:id="rId684" xr:uid="{00000000-0004-0000-0500-00005F020000}"/>
    <hyperlink ref="B572" r:id="rId685" xr:uid="{00000000-0004-0000-0500-00005E020000}"/>
    <hyperlink ref="B571" r:id="rId686" xr:uid="{00000000-0004-0000-0500-00005D020000}"/>
    <hyperlink ref="B570" r:id="rId687" xr:uid="{00000000-0004-0000-0500-00005C020000}"/>
    <hyperlink ref="B569" r:id="rId688" xr:uid="{00000000-0004-0000-0500-00005B020000}"/>
    <hyperlink ref="B568" r:id="rId689" xr:uid="{00000000-0004-0000-0500-00005A020000}"/>
    <hyperlink ref="B567" r:id="rId690" xr:uid="{00000000-0004-0000-0500-000059020000}"/>
    <hyperlink ref="B566" r:id="rId691" xr:uid="{00000000-0004-0000-0500-000058020000}"/>
    <hyperlink ref="B565" r:id="rId692" xr:uid="{00000000-0004-0000-0500-000057020000}"/>
    <hyperlink ref="B564" r:id="rId693" xr:uid="{00000000-0004-0000-0500-000056020000}"/>
    <hyperlink ref="B563" r:id="rId694" xr:uid="{00000000-0004-0000-0500-000055020000}"/>
    <hyperlink ref="B562" r:id="rId695" xr:uid="{00000000-0004-0000-0500-000054020000}"/>
    <hyperlink ref="B561" r:id="rId696" xr:uid="{00000000-0004-0000-0500-000053020000}"/>
    <hyperlink ref="B560" r:id="rId697" xr:uid="{00000000-0004-0000-0500-000052020000}"/>
    <hyperlink ref="B559" r:id="rId698" xr:uid="{00000000-0004-0000-0500-000051020000}"/>
    <hyperlink ref="B558" r:id="rId699" xr:uid="{00000000-0004-0000-0500-000050020000}"/>
    <hyperlink ref="B557" r:id="rId700" xr:uid="{00000000-0004-0000-0500-00004F020000}"/>
    <hyperlink ref="B556" r:id="rId701" xr:uid="{00000000-0004-0000-0500-00004E020000}"/>
    <hyperlink ref="B555" r:id="rId702" xr:uid="{00000000-0004-0000-0500-00004D020000}"/>
    <hyperlink ref="B554" r:id="rId703" xr:uid="{00000000-0004-0000-0500-00004C020000}"/>
    <hyperlink ref="B553" r:id="rId704" xr:uid="{00000000-0004-0000-0500-00004B020000}"/>
    <hyperlink ref="B552" r:id="rId705" xr:uid="{00000000-0004-0000-0500-000049020000}"/>
    <hyperlink ref="B551" r:id="rId706" xr:uid="{00000000-0004-0000-0500-000048020000}"/>
    <hyperlink ref="B550" r:id="rId707" xr:uid="{00000000-0004-0000-0500-000047020000}"/>
    <hyperlink ref="B549" r:id="rId708" xr:uid="{00000000-0004-0000-0500-000046020000}"/>
    <hyperlink ref="B548" r:id="rId709" xr:uid="{00000000-0004-0000-0500-000045020000}"/>
    <hyperlink ref="B547" r:id="rId710" xr:uid="{00000000-0004-0000-0500-000044020000}"/>
    <hyperlink ref="B546" r:id="rId711" xr:uid="{00000000-0004-0000-0500-000043020000}"/>
    <hyperlink ref="B545" r:id="rId712" xr:uid="{00000000-0004-0000-0500-000042020000}"/>
    <hyperlink ref="B544" r:id="rId713" xr:uid="{00000000-0004-0000-0500-000041020000}"/>
    <hyperlink ref="B543" r:id="rId714" xr:uid="{00000000-0004-0000-0500-000040020000}"/>
    <hyperlink ref="B542" r:id="rId715" xr:uid="{00000000-0004-0000-0500-00003F020000}"/>
    <hyperlink ref="B541" r:id="rId716" xr:uid="{00000000-0004-0000-0500-00003E020000}"/>
    <hyperlink ref="B540" r:id="rId717" xr:uid="{00000000-0004-0000-0500-00003D020000}"/>
    <hyperlink ref="B539" r:id="rId718" xr:uid="{00000000-0004-0000-0500-00003C020000}"/>
    <hyperlink ref="B538" r:id="rId719" xr:uid="{00000000-0004-0000-0500-00003B020000}"/>
    <hyperlink ref="B537" r:id="rId720" xr:uid="{00000000-0004-0000-0500-00003A020000}"/>
    <hyperlink ref="B536" r:id="rId721" xr:uid="{00000000-0004-0000-0500-000039020000}"/>
    <hyperlink ref="B535" r:id="rId722" xr:uid="{00000000-0004-0000-0500-000038020000}"/>
    <hyperlink ref="B534" r:id="rId723" xr:uid="{00000000-0004-0000-0500-000036020000}"/>
    <hyperlink ref="B533" r:id="rId724" xr:uid="{00000000-0004-0000-0500-000035020000}"/>
    <hyperlink ref="B532" r:id="rId725" xr:uid="{00000000-0004-0000-0500-000034020000}"/>
    <hyperlink ref="B531" r:id="rId726" xr:uid="{00000000-0004-0000-0500-000033020000}"/>
    <hyperlink ref="B530" r:id="rId727" xr:uid="{00000000-0004-0000-0500-000032020000}"/>
    <hyperlink ref="B529" r:id="rId728" xr:uid="{00000000-0004-0000-0500-000031020000}"/>
    <hyperlink ref="B528" r:id="rId729" xr:uid="{00000000-0004-0000-0500-000030020000}"/>
    <hyperlink ref="B527" r:id="rId730" xr:uid="{00000000-0004-0000-0500-00002F020000}"/>
    <hyperlink ref="B526" r:id="rId731" xr:uid="{00000000-0004-0000-0500-00002E020000}"/>
    <hyperlink ref="B525" r:id="rId732" xr:uid="{00000000-0004-0000-0500-00002D020000}"/>
    <hyperlink ref="B524" r:id="rId733" xr:uid="{00000000-0004-0000-0500-00002C020000}"/>
    <hyperlink ref="B523" r:id="rId734" xr:uid="{00000000-0004-0000-0500-00002B020000}"/>
    <hyperlink ref="B522" r:id="rId735" xr:uid="{00000000-0004-0000-0500-00002A020000}"/>
    <hyperlink ref="B521" r:id="rId736" xr:uid="{00000000-0004-0000-0500-000029020000}"/>
    <hyperlink ref="B520" r:id="rId737" xr:uid="{00000000-0004-0000-0500-000027020000}"/>
    <hyperlink ref="B519" r:id="rId738" xr:uid="{00000000-0004-0000-0500-000026020000}"/>
    <hyperlink ref="B518" r:id="rId739" xr:uid="{00000000-0004-0000-0500-000025020000}"/>
    <hyperlink ref="B517" r:id="rId740" xr:uid="{00000000-0004-0000-0500-000024020000}"/>
    <hyperlink ref="B516" r:id="rId741" xr:uid="{00000000-0004-0000-0500-000023020000}"/>
    <hyperlink ref="B515" r:id="rId742" xr:uid="{00000000-0004-0000-0500-000022020000}"/>
    <hyperlink ref="B514" r:id="rId743" xr:uid="{00000000-0004-0000-0500-000021020000}"/>
    <hyperlink ref="B513" r:id="rId744" xr:uid="{00000000-0004-0000-0500-000020020000}"/>
    <hyperlink ref="B512" r:id="rId745" xr:uid="{00000000-0004-0000-0500-00001F020000}"/>
    <hyperlink ref="B511" r:id="rId746" xr:uid="{00000000-0004-0000-0500-00001E020000}"/>
    <hyperlink ref="B510" r:id="rId747" xr:uid="{00000000-0004-0000-0500-00001D020000}"/>
    <hyperlink ref="B509" r:id="rId748" xr:uid="{00000000-0004-0000-0500-00001C020000}"/>
    <hyperlink ref="B508" r:id="rId749" xr:uid="{00000000-0004-0000-0500-00001B020000}"/>
    <hyperlink ref="B507" r:id="rId750" xr:uid="{00000000-0004-0000-0500-00001A020000}"/>
    <hyperlink ref="B506" r:id="rId751" xr:uid="{00000000-0004-0000-0500-000019020000}"/>
    <hyperlink ref="B505" r:id="rId752" xr:uid="{00000000-0004-0000-0500-000018020000}"/>
    <hyperlink ref="B504" r:id="rId753" xr:uid="{00000000-0004-0000-0500-000017020000}"/>
    <hyperlink ref="B503" r:id="rId754" xr:uid="{00000000-0004-0000-0500-000016020000}"/>
    <hyperlink ref="B502" r:id="rId755" xr:uid="{00000000-0004-0000-0500-000015020000}"/>
    <hyperlink ref="B501" r:id="rId756" xr:uid="{00000000-0004-0000-0500-000014020000}"/>
    <hyperlink ref="B500" r:id="rId757" xr:uid="{00000000-0004-0000-0500-000013020000}"/>
    <hyperlink ref="B499" r:id="rId758" xr:uid="{00000000-0004-0000-0500-000012020000}"/>
    <hyperlink ref="B498" r:id="rId759" xr:uid="{00000000-0004-0000-0500-000011020000}"/>
    <hyperlink ref="B497" r:id="rId760" xr:uid="{00000000-0004-0000-0500-000010020000}"/>
    <hyperlink ref="B496" r:id="rId761" xr:uid="{00000000-0004-0000-0500-00000F020000}"/>
    <hyperlink ref="B495" r:id="rId762" xr:uid="{00000000-0004-0000-0500-00000E020000}"/>
    <hyperlink ref="B494" r:id="rId763" xr:uid="{00000000-0004-0000-0500-00000D020000}"/>
    <hyperlink ref="B493" r:id="rId764" xr:uid="{00000000-0004-0000-0500-00000C020000}"/>
    <hyperlink ref="B492" r:id="rId765" xr:uid="{00000000-0004-0000-0500-00000B020000}"/>
    <hyperlink ref="B491" r:id="rId766" xr:uid="{00000000-0004-0000-0500-00000A020000}"/>
    <hyperlink ref="B490" r:id="rId767" xr:uid="{00000000-0004-0000-0500-000009020000}"/>
    <hyperlink ref="B489" r:id="rId768" xr:uid="{00000000-0004-0000-0500-000008020000}"/>
    <hyperlink ref="B488" r:id="rId769" xr:uid="{00000000-0004-0000-0500-000007020000}"/>
    <hyperlink ref="B487" r:id="rId770" xr:uid="{00000000-0004-0000-0500-000006020000}"/>
    <hyperlink ref="B486" r:id="rId771" xr:uid="{00000000-0004-0000-0500-000005020000}"/>
    <hyperlink ref="B485" r:id="rId772" xr:uid="{00000000-0004-0000-0500-000004020000}"/>
    <hyperlink ref="B484" r:id="rId773" xr:uid="{00000000-0004-0000-0500-000003020000}"/>
    <hyperlink ref="B483" r:id="rId774" xr:uid="{00000000-0004-0000-0500-000002020000}"/>
    <hyperlink ref="B482" r:id="rId775" xr:uid="{00000000-0004-0000-0500-000001020000}"/>
    <hyperlink ref="B481" r:id="rId776" xr:uid="{00000000-0004-0000-0500-000000020000}"/>
    <hyperlink ref="B480" r:id="rId777" xr:uid="{00000000-0004-0000-0500-0000FF010000}"/>
    <hyperlink ref="B479" r:id="rId778" xr:uid="{00000000-0004-0000-0500-0000FE010000}"/>
    <hyperlink ref="B478" r:id="rId779" xr:uid="{00000000-0004-0000-0500-0000FD010000}"/>
    <hyperlink ref="B477" r:id="rId780" xr:uid="{00000000-0004-0000-0500-0000FC010000}"/>
    <hyperlink ref="B476" r:id="rId781" xr:uid="{00000000-0004-0000-0500-0000FB010000}"/>
    <hyperlink ref="B475" r:id="rId782" xr:uid="{00000000-0004-0000-0500-0000FA010000}"/>
    <hyperlink ref="B474" r:id="rId783" xr:uid="{00000000-0004-0000-0500-0000F9010000}"/>
    <hyperlink ref="B473" r:id="rId784" xr:uid="{00000000-0004-0000-0500-0000F8010000}"/>
    <hyperlink ref="B472" r:id="rId785" xr:uid="{00000000-0004-0000-0500-0000F7010000}"/>
    <hyperlink ref="B471" r:id="rId786" xr:uid="{00000000-0004-0000-0500-0000F6010000}"/>
    <hyperlink ref="B470" r:id="rId787" xr:uid="{00000000-0004-0000-0500-0000F5010000}"/>
    <hyperlink ref="B469" r:id="rId788" xr:uid="{00000000-0004-0000-0500-0000F4010000}"/>
    <hyperlink ref="B468" r:id="rId789" xr:uid="{00000000-0004-0000-0500-0000F3010000}"/>
    <hyperlink ref="B467" r:id="rId790" xr:uid="{00000000-0004-0000-0500-0000F2010000}"/>
    <hyperlink ref="B466" r:id="rId791" xr:uid="{00000000-0004-0000-0500-0000F1010000}"/>
    <hyperlink ref="B465" r:id="rId792" xr:uid="{00000000-0004-0000-0500-0000F0010000}"/>
    <hyperlink ref="B464" r:id="rId793" xr:uid="{00000000-0004-0000-0500-0000EF010000}"/>
    <hyperlink ref="B463" r:id="rId794" xr:uid="{00000000-0004-0000-0500-0000EE010000}"/>
    <hyperlink ref="B462" r:id="rId795" xr:uid="{00000000-0004-0000-0500-0000ED010000}"/>
    <hyperlink ref="B461" r:id="rId796" xr:uid="{00000000-0004-0000-0500-0000EC010000}"/>
    <hyperlink ref="B460" r:id="rId797" xr:uid="{00000000-0004-0000-0500-0000EB010000}"/>
    <hyperlink ref="B459" r:id="rId798" xr:uid="{00000000-0004-0000-0500-0000EA010000}"/>
    <hyperlink ref="B458" r:id="rId799" xr:uid="{00000000-0004-0000-0500-0000E9010000}"/>
    <hyperlink ref="B457" r:id="rId800" xr:uid="{00000000-0004-0000-0500-0000E8010000}"/>
    <hyperlink ref="B456" r:id="rId801" xr:uid="{00000000-0004-0000-0500-0000E7010000}"/>
    <hyperlink ref="B455" r:id="rId802" xr:uid="{00000000-0004-0000-0500-0000E6010000}"/>
    <hyperlink ref="B454" r:id="rId803" xr:uid="{00000000-0004-0000-0500-0000E5010000}"/>
    <hyperlink ref="B453" r:id="rId804" xr:uid="{00000000-0004-0000-0500-0000E4010000}"/>
    <hyperlink ref="B452" r:id="rId805" xr:uid="{00000000-0004-0000-0500-0000E3010000}"/>
    <hyperlink ref="B451" r:id="rId806" xr:uid="{00000000-0004-0000-0500-0000E2010000}"/>
    <hyperlink ref="B450" r:id="rId807" xr:uid="{00000000-0004-0000-0500-0000E1010000}"/>
    <hyperlink ref="B449" r:id="rId808" xr:uid="{00000000-0004-0000-0500-0000E0010000}"/>
    <hyperlink ref="B448" r:id="rId809" xr:uid="{00000000-0004-0000-0500-0000DF010000}"/>
    <hyperlink ref="B447" r:id="rId810" xr:uid="{00000000-0004-0000-0500-0000DE010000}"/>
    <hyperlink ref="B446" r:id="rId811" xr:uid="{00000000-0004-0000-0500-0000DD010000}"/>
    <hyperlink ref="B445" r:id="rId812" xr:uid="{00000000-0004-0000-0500-0000DC010000}"/>
    <hyperlink ref="B444" r:id="rId813" xr:uid="{00000000-0004-0000-0500-0000DB010000}"/>
    <hyperlink ref="B443" r:id="rId814" xr:uid="{00000000-0004-0000-0500-0000D9010000}"/>
    <hyperlink ref="B442" r:id="rId815" xr:uid="{00000000-0004-0000-0500-0000D8010000}"/>
    <hyperlink ref="B441" r:id="rId816" xr:uid="{00000000-0004-0000-0500-0000D7010000}"/>
    <hyperlink ref="B440" r:id="rId817" xr:uid="{00000000-0004-0000-0500-0000D5010000}"/>
    <hyperlink ref="B439" r:id="rId818" xr:uid="{00000000-0004-0000-0500-0000D4010000}"/>
    <hyperlink ref="B438" r:id="rId819" xr:uid="{00000000-0004-0000-0500-0000D3010000}"/>
    <hyperlink ref="B437" r:id="rId820" xr:uid="{00000000-0004-0000-0500-0000D2010000}"/>
    <hyperlink ref="B436" r:id="rId821" xr:uid="{00000000-0004-0000-0500-0000D1010000}"/>
    <hyperlink ref="B435" r:id="rId822" xr:uid="{00000000-0004-0000-0500-0000D0010000}"/>
    <hyperlink ref="B434" r:id="rId823" xr:uid="{00000000-0004-0000-0500-0000CF010000}"/>
    <hyperlink ref="B433" r:id="rId824" xr:uid="{00000000-0004-0000-0500-0000CE010000}"/>
    <hyperlink ref="B432" r:id="rId825" xr:uid="{00000000-0004-0000-0500-0000CD010000}"/>
    <hyperlink ref="B431" r:id="rId826" xr:uid="{00000000-0004-0000-0500-0000CC010000}"/>
    <hyperlink ref="B430" r:id="rId827" xr:uid="{00000000-0004-0000-0500-0000CB010000}"/>
    <hyperlink ref="B429" r:id="rId828" xr:uid="{00000000-0004-0000-0500-0000CA010000}"/>
    <hyperlink ref="B428" r:id="rId829" xr:uid="{00000000-0004-0000-0500-0000C9010000}"/>
    <hyperlink ref="B427" r:id="rId830" xr:uid="{00000000-0004-0000-0500-0000C8010000}"/>
    <hyperlink ref="B426" r:id="rId831" xr:uid="{00000000-0004-0000-0500-0000C7010000}"/>
    <hyperlink ref="B425" r:id="rId832" xr:uid="{00000000-0004-0000-0500-0000C6010000}"/>
    <hyperlink ref="B424" r:id="rId833" xr:uid="{00000000-0004-0000-0500-0000C5010000}"/>
    <hyperlink ref="B423" r:id="rId834" xr:uid="{00000000-0004-0000-0500-0000C4010000}"/>
    <hyperlink ref="B422" r:id="rId835" xr:uid="{00000000-0004-0000-0500-0000C3010000}"/>
    <hyperlink ref="B421" r:id="rId836" xr:uid="{00000000-0004-0000-0500-0000C2010000}"/>
    <hyperlink ref="B420" r:id="rId837" xr:uid="{00000000-0004-0000-0500-0000C1010000}"/>
    <hyperlink ref="B419" r:id="rId838" xr:uid="{00000000-0004-0000-0500-0000C0010000}"/>
    <hyperlink ref="B418" r:id="rId839" xr:uid="{00000000-0004-0000-0500-0000BF010000}"/>
    <hyperlink ref="B417" r:id="rId840" xr:uid="{00000000-0004-0000-0500-0000BE010000}"/>
    <hyperlink ref="B416" r:id="rId841" xr:uid="{00000000-0004-0000-0500-0000BD010000}"/>
    <hyperlink ref="B415" r:id="rId842" xr:uid="{00000000-0004-0000-0500-0000BC010000}"/>
    <hyperlink ref="B414" r:id="rId843" xr:uid="{00000000-0004-0000-0500-0000BB010000}"/>
    <hyperlink ref="B413" r:id="rId844" xr:uid="{00000000-0004-0000-0500-0000BA010000}"/>
    <hyperlink ref="B412" r:id="rId845" xr:uid="{00000000-0004-0000-0500-0000B9010000}"/>
    <hyperlink ref="B411" r:id="rId846" xr:uid="{00000000-0004-0000-0500-0000B8010000}"/>
    <hyperlink ref="B410" r:id="rId847" xr:uid="{00000000-0004-0000-0500-0000B7010000}"/>
    <hyperlink ref="B409" r:id="rId848" xr:uid="{00000000-0004-0000-0500-0000B6010000}"/>
    <hyperlink ref="B408" r:id="rId849" xr:uid="{00000000-0004-0000-0500-0000B5010000}"/>
    <hyperlink ref="B407" r:id="rId850" xr:uid="{00000000-0004-0000-0500-0000B4010000}"/>
    <hyperlink ref="B406" r:id="rId851" xr:uid="{00000000-0004-0000-0500-0000B3010000}"/>
    <hyperlink ref="B405" r:id="rId852" xr:uid="{00000000-0004-0000-0500-0000B2010000}"/>
    <hyperlink ref="B404" r:id="rId853" xr:uid="{00000000-0004-0000-0500-0000B1010000}"/>
    <hyperlink ref="B403" r:id="rId854" xr:uid="{00000000-0004-0000-0500-0000B0010000}"/>
    <hyperlink ref="B402" r:id="rId855" xr:uid="{00000000-0004-0000-0500-0000AF010000}"/>
    <hyperlink ref="B401" r:id="rId856" xr:uid="{00000000-0004-0000-0500-0000AE010000}"/>
    <hyperlink ref="B400" r:id="rId857" xr:uid="{00000000-0004-0000-0500-0000AD010000}"/>
    <hyperlink ref="B399" r:id="rId858" xr:uid="{00000000-0004-0000-0500-0000AC010000}"/>
    <hyperlink ref="B398" r:id="rId859" xr:uid="{00000000-0004-0000-0500-0000AB010000}"/>
    <hyperlink ref="B397" r:id="rId860" xr:uid="{00000000-0004-0000-0500-0000AA010000}"/>
    <hyperlink ref="B396" r:id="rId861" xr:uid="{00000000-0004-0000-0500-0000A9010000}"/>
    <hyperlink ref="B395" r:id="rId862" xr:uid="{00000000-0004-0000-0500-0000A8010000}"/>
    <hyperlink ref="B394" r:id="rId863" xr:uid="{00000000-0004-0000-0500-0000A7010000}"/>
    <hyperlink ref="B393" r:id="rId864" xr:uid="{00000000-0004-0000-0500-0000A6010000}"/>
    <hyperlink ref="B392" r:id="rId865" xr:uid="{00000000-0004-0000-0500-0000A5010000}"/>
    <hyperlink ref="B391" r:id="rId866" xr:uid="{00000000-0004-0000-0500-0000A4010000}"/>
    <hyperlink ref="B390" r:id="rId867" xr:uid="{00000000-0004-0000-0500-0000A3010000}"/>
    <hyperlink ref="B389" r:id="rId868" xr:uid="{00000000-0004-0000-0500-0000A2010000}"/>
    <hyperlink ref="B388" r:id="rId869" xr:uid="{00000000-0004-0000-0500-0000A1010000}"/>
    <hyperlink ref="B387" r:id="rId870" xr:uid="{00000000-0004-0000-0500-0000A0010000}"/>
    <hyperlink ref="B386" r:id="rId871" xr:uid="{00000000-0004-0000-0500-00009F010000}"/>
    <hyperlink ref="B385" r:id="rId872" xr:uid="{00000000-0004-0000-0500-00009E010000}"/>
    <hyperlink ref="B384" r:id="rId873" xr:uid="{00000000-0004-0000-0500-00009D010000}"/>
    <hyperlink ref="B383" r:id="rId874" xr:uid="{00000000-0004-0000-0500-00009C010000}"/>
    <hyperlink ref="B382" r:id="rId875" xr:uid="{00000000-0004-0000-0500-00009B010000}"/>
    <hyperlink ref="B381" r:id="rId876" xr:uid="{00000000-0004-0000-0500-00009A010000}"/>
    <hyperlink ref="B380" r:id="rId877" xr:uid="{00000000-0004-0000-0500-000099010000}"/>
    <hyperlink ref="B379" r:id="rId878" xr:uid="{00000000-0004-0000-0500-000098010000}"/>
    <hyperlink ref="B378" r:id="rId879" xr:uid="{00000000-0004-0000-0500-000097010000}"/>
    <hyperlink ref="B377" r:id="rId880" xr:uid="{00000000-0004-0000-0500-000096010000}"/>
    <hyperlink ref="B376" r:id="rId881" xr:uid="{00000000-0004-0000-0500-000095010000}"/>
    <hyperlink ref="B375" r:id="rId882" xr:uid="{00000000-0004-0000-0500-000094010000}"/>
    <hyperlink ref="B374" r:id="rId883" xr:uid="{00000000-0004-0000-0500-000093010000}"/>
    <hyperlink ref="B373" r:id="rId884" xr:uid="{00000000-0004-0000-0500-000092010000}"/>
    <hyperlink ref="B372" r:id="rId885" xr:uid="{00000000-0004-0000-0500-000091010000}"/>
    <hyperlink ref="B371" r:id="rId886" xr:uid="{00000000-0004-0000-0500-000090010000}"/>
    <hyperlink ref="B370" r:id="rId887" xr:uid="{00000000-0004-0000-0500-00008F010000}"/>
    <hyperlink ref="B369" r:id="rId888" xr:uid="{00000000-0004-0000-0500-00008E010000}"/>
    <hyperlink ref="B368" r:id="rId889" xr:uid="{00000000-0004-0000-0500-00008D010000}"/>
    <hyperlink ref="B367" r:id="rId890" xr:uid="{00000000-0004-0000-0500-00008C010000}"/>
    <hyperlink ref="B366" r:id="rId891" xr:uid="{00000000-0004-0000-0500-00008B010000}"/>
    <hyperlink ref="B365" r:id="rId892" xr:uid="{00000000-0004-0000-0500-00008A010000}"/>
    <hyperlink ref="B364" r:id="rId893" xr:uid="{00000000-0004-0000-0500-000089010000}"/>
    <hyperlink ref="B363" r:id="rId894" xr:uid="{00000000-0004-0000-0500-000088010000}"/>
    <hyperlink ref="B362" r:id="rId895" xr:uid="{00000000-0004-0000-0500-000087010000}"/>
    <hyperlink ref="B361" r:id="rId896" xr:uid="{00000000-0004-0000-0500-000085010000}"/>
    <hyperlink ref="B360" r:id="rId897" xr:uid="{00000000-0004-0000-0500-000084010000}"/>
    <hyperlink ref="B359" r:id="rId898" xr:uid="{00000000-0004-0000-0500-000083010000}"/>
    <hyperlink ref="B358" r:id="rId899" xr:uid="{00000000-0004-0000-0500-000081010000}"/>
    <hyperlink ref="B357" r:id="rId900" xr:uid="{00000000-0004-0000-0500-000080010000}"/>
    <hyperlink ref="B356" r:id="rId901" xr:uid="{00000000-0004-0000-0500-00007F010000}"/>
    <hyperlink ref="B355" r:id="rId902" xr:uid="{00000000-0004-0000-0500-00007E010000}"/>
    <hyperlink ref="B354" r:id="rId903" xr:uid="{00000000-0004-0000-0500-00007D010000}"/>
    <hyperlink ref="B353" r:id="rId904" xr:uid="{00000000-0004-0000-0500-00007C010000}"/>
    <hyperlink ref="B352" r:id="rId905" xr:uid="{00000000-0004-0000-0500-00007B010000}"/>
    <hyperlink ref="B351" r:id="rId906" xr:uid="{00000000-0004-0000-0500-00007A010000}"/>
    <hyperlink ref="B350" r:id="rId907" xr:uid="{00000000-0004-0000-0500-000079010000}"/>
    <hyperlink ref="B349" r:id="rId908" xr:uid="{00000000-0004-0000-0500-000078010000}"/>
    <hyperlink ref="B348" r:id="rId909" xr:uid="{00000000-0004-0000-0500-000077010000}"/>
    <hyperlink ref="B347" r:id="rId910" xr:uid="{00000000-0004-0000-0500-000076010000}"/>
    <hyperlink ref="B346" r:id="rId911" xr:uid="{00000000-0004-0000-0500-000075010000}"/>
    <hyperlink ref="B345" r:id="rId912" xr:uid="{00000000-0004-0000-0500-000074010000}"/>
    <hyperlink ref="B344" r:id="rId913" xr:uid="{00000000-0004-0000-0500-000073010000}"/>
    <hyperlink ref="B343" r:id="rId914" xr:uid="{00000000-0004-0000-0500-000072010000}"/>
    <hyperlink ref="B342" r:id="rId915" xr:uid="{00000000-0004-0000-0500-000070010000}"/>
    <hyperlink ref="B341" r:id="rId916" xr:uid="{00000000-0004-0000-0500-00006F010000}"/>
    <hyperlink ref="B340" r:id="rId917" xr:uid="{00000000-0004-0000-0500-00006E010000}"/>
    <hyperlink ref="B339" r:id="rId918" xr:uid="{00000000-0004-0000-0500-00006D010000}"/>
    <hyperlink ref="B338" r:id="rId919" xr:uid="{00000000-0004-0000-0500-00006C010000}"/>
    <hyperlink ref="B337" r:id="rId920" xr:uid="{00000000-0004-0000-0500-00006B010000}"/>
    <hyperlink ref="B336" r:id="rId921" xr:uid="{00000000-0004-0000-0500-00006A010000}"/>
    <hyperlink ref="B335" r:id="rId922" xr:uid="{00000000-0004-0000-0500-000069010000}"/>
    <hyperlink ref="B334" r:id="rId923" xr:uid="{00000000-0004-0000-0500-000068010000}"/>
    <hyperlink ref="B333" r:id="rId924" xr:uid="{00000000-0004-0000-0500-000067010000}"/>
    <hyperlink ref="B332" r:id="rId925" xr:uid="{00000000-0004-0000-0500-000066010000}"/>
    <hyperlink ref="B331" r:id="rId926" xr:uid="{00000000-0004-0000-0500-000065010000}"/>
    <hyperlink ref="B330" r:id="rId927" xr:uid="{00000000-0004-0000-0500-000064010000}"/>
    <hyperlink ref="B329" r:id="rId928" xr:uid="{00000000-0004-0000-0500-000063010000}"/>
    <hyperlink ref="B328" r:id="rId929" xr:uid="{00000000-0004-0000-0500-000062010000}"/>
    <hyperlink ref="B327" r:id="rId930" xr:uid="{00000000-0004-0000-0500-000061010000}"/>
    <hyperlink ref="B326" r:id="rId931" xr:uid="{00000000-0004-0000-0500-000060010000}"/>
    <hyperlink ref="B325" r:id="rId932" xr:uid="{00000000-0004-0000-0500-00005F010000}"/>
    <hyperlink ref="B324" r:id="rId933" xr:uid="{00000000-0004-0000-0500-00005E010000}"/>
    <hyperlink ref="B323" r:id="rId934" xr:uid="{00000000-0004-0000-0500-00005D010000}"/>
    <hyperlink ref="B322" r:id="rId935" xr:uid="{00000000-0004-0000-0500-00005C010000}"/>
    <hyperlink ref="B321" r:id="rId936" xr:uid="{00000000-0004-0000-0500-00005B010000}"/>
    <hyperlink ref="B320" r:id="rId937" xr:uid="{00000000-0004-0000-0500-00005A010000}"/>
    <hyperlink ref="B319" r:id="rId938" xr:uid="{00000000-0004-0000-0500-000059010000}"/>
    <hyperlink ref="B318" r:id="rId939" xr:uid="{00000000-0004-0000-0500-000058010000}"/>
    <hyperlink ref="B317" r:id="rId940" xr:uid="{00000000-0004-0000-0500-000057010000}"/>
    <hyperlink ref="B316" r:id="rId941" xr:uid="{00000000-0004-0000-0500-000056010000}"/>
    <hyperlink ref="B315" r:id="rId942" xr:uid="{00000000-0004-0000-0500-000055010000}"/>
    <hyperlink ref="B314" r:id="rId943" xr:uid="{00000000-0004-0000-0500-000054010000}"/>
    <hyperlink ref="B313" r:id="rId944" xr:uid="{00000000-0004-0000-0500-000053010000}"/>
    <hyperlink ref="B312" r:id="rId945" xr:uid="{00000000-0004-0000-0500-000051010000}"/>
    <hyperlink ref="B311" r:id="rId946" xr:uid="{00000000-0004-0000-0500-000050010000}"/>
    <hyperlink ref="B310" r:id="rId947" xr:uid="{00000000-0004-0000-0500-00004F010000}"/>
    <hyperlink ref="B309" r:id="rId948" xr:uid="{00000000-0004-0000-0500-00004E010000}"/>
    <hyperlink ref="B308" r:id="rId949" xr:uid="{00000000-0004-0000-0500-00004D010000}"/>
    <hyperlink ref="B307" r:id="rId950" xr:uid="{00000000-0004-0000-0500-00004C010000}"/>
    <hyperlink ref="B306" r:id="rId951" xr:uid="{00000000-0004-0000-0500-00004B010000}"/>
    <hyperlink ref="B305" r:id="rId952" xr:uid="{00000000-0004-0000-0500-000049010000}"/>
    <hyperlink ref="B304" r:id="rId953" xr:uid="{00000000-0004-0000-0500-000048010000}"/>
    <hyperlink ref="B303" r:id="rId954" xr:uid="{00000000-0004-0000-0500-000047010000}"/>
    <hyperlink ref="B302" r:id="rId955" xr:uid="{00000000-0004-0000-0500-000046010000}"/>
    <hyperlink ref="B301" r:id="rId956" xr:uid="{00000000-0004-0000-0500-000045010000}"/>
    <hyperlink ref="B300" r:id="rId957" xr:uid="{00000000-0004-0000-0500-000044010000}"/>
    <hyperlink ref="B299" r:id="rId958" xr:uid="{00000000-0004-0000-0500-000043010000}"/>
    <hyperlink ref="B298" r:id="rId959" xr:uid="{00000000-0004-0000-0500-000042010000}"/>
    <hyperlink ref="B297" r:id="rId960" xr:uid="{00000000-0004-0000-0500-000041010000}"/>
    <hyperlink ref="B296" r:id="rId961" xr:uid="{00000000-0004-0000-0500-000040010000}"/>
    <hyperlink ref="B295" r:id="rId962" xr:uid="{00000000-0004-0000-0500-00003F010000}"/>
    <hyperlink ref="B294" r:id="rId963" xr:uid="{00000000-0004-0000-0500-00003E010000}"/>
    <hyperlink ref="B293" r:id="rId964" xr:uid="{00000000-0004-0000-0500-00003D010000}"/>
    <hyperlink ref="B292" r:id="rId965" xr:uid="{00000000-0004-0000-0500-00003C010000}"/>
    <hyperlink ref="B291" r:id="rId966" xr:uid="{00000000-0004-0000-0500-00003B010000}"/>
    <hyperlink ref="B290" r:id="rId967" xr:uid="{00000000-0004-0000-0500-00003A010000}"/>
    <hyperlink ref="B289" r:id="rId968" xr:uid="{00000000-0004-0000-0500-000039010000}"/>
    <hyperlink ref="B288" r:id="rId969" xr:uid="{00000000-0004-0000-0500-000038010000}"/>
    <hyperlink ref="B287" r:id="rId970" xr:uid="{00000000-0004-0000-0500-000037010000}"/>
    <hyperlink ref="B286" r:id="rId971" xr:uid="{00000000-0004-0000-0500-000036010000}"/>
    <hyperlink ref="B285" r:id="rId972" xr:uid="{00000000-0004-0000-0500-000035010000}"/>
    <hyperlink ref="B284" r:id="rId973" xr:uid="{00000000-0004-0000-0500-000034010000}"/>
    <hyperlink ref="B283" r:id="rId974" xr:uid="{00000000-0004-0000-0500-000033010000}"/>
    <hyperlink ref="B282" r:id="rId975" xr:uid="{00000000-0004-0000-0500-000032010000}"/>
    <hyperlink ref="B281" r:id="rId976" xr:uid="{00000000-0004-0000-0500-000031010000}"/>
    <hyperlink ref="B280" r:id="rId977" xr:uid="{00000000-0004-0000-0500-000030010000}"/>
    <hyperlink ref="B279" r:id="rId978" xr:uid="{00000000-0004-0000-0500-00002F010000}"/>
    <hyperlink ref="B278" r:id="rId979" xr:uid="{00000000-0004-0000-0500-00002D010000}"/>
    <hyperlink ref="B277" r:id="rId980" xr:uid="{00000000-0004-0000-0500-00002C010000}"/>
    <hyperlink ref="B276" r:id="rId981" xr:uid="{00000000-0004-0000-0500-00002B010000}"/>
    <hyperlink ref="B275" r:id="rId982" xr:uid="{00000000-0004-0000-0500-00002A010000}"/>
    <hyperlink ref="B274" r:id="rId983" xr:uid="{00000000-0004-0000-0500-000029010000}"/>
    <hyperlink ref="B273" r:id="rId984" xr:uid="{00000000-0004-0000-0500-000028010000}"/>
    <hyperlink ref="B272" r:id="rId985" xr:uid="{00000000-0004-0000-0500-000027010000}"/>
    <hyperlink ref="B271" r:id="rId986" xr:uid="{00000000-0004-0000-0500-000026010000}"/>
    <hyperlink ref="B270" r:id="rId987" xr:uid="{00000000-0004-0000-0500-000025010000}"/>
    <hyperlink ref="B269" r:id="rId988" xr:uid="{00000000-0004-0000-0500-000024010000}"/>
    <hyperlink ref="B268" r:id="rId989" xr:uid="{00000000-0004-0000-0500-000023010000}"/>
    <hyperlink ref="B267" r:id="rId990" xr:uid="{00000000-0004-0000-0500-000022010000}"/>
    <hyperlink ref="B266" r:id="rId991" xr:uid="{00000000-0004-0000-0500-000021010000}"/>
    <hyperlink ref="B265" r:id="rId992" xr:uid="{00000000-0004-0000-0500-000020010000}"/>
    <hyperlink ref="B264" r:id="rId993" xr:uid="{00000000-0004-0000-0500-00001F010000}"/>
    <hyperlink ref="B263" r:id="rId994" xr:uid="{00000000-0004-0000-0500-00001E010000}"/>
    <hyperlink ref="B262" r:id="rId995" xr:uid="{00000000-0004-0000-0500-00001D010000}"/>
    <hyperlink ref="B261" r:id="rId996" xr:uid="{00000000-0004-0000-0500-00001C010000}"/>
    <hyperlink ref="B260" r:id="rId997" xr:uid="{00000000-0004-0000-0500-00001B010000}"/>
    <hyperlink ref="B259" r:id="rId998" xr:uid="{00000000-0004-0000-0500-00001A010000}"/>
    <hyperlink ref="B258" r:id="rId999" xr:uid="{00000000-0004-0000-0500-000019010000}"/>
    <hyperlink ref="B257" r:id="rId1000" xr:uid="{00000000-0004-0000-0500-000018010000}"/>
    <hyperlink ref="B256" r:id="rId1001" xr:uid="{00000000-0004-0000-0500-000017010000}"/>
    <hyperlink ref="B255" r:id="rId1002" xr:uid="{00000000-0004-0000-0500-000016010000}"/>
    <hyperlink ref="B254" r:id="rId1003" xr:uid="{00000000-0004-0000-0500-000015010000}"/>
    <hyperlink ref="B253" r:id="rId1004" xr:uid="{00000000-0004-0000-0500-000014010000}"/>
    <hyperlink ref="B252" r:id="rId1005" xr:uid="{00000000-0004-0000-0500-000013010000}"/>
    <hyperlink ref="B251" r:id="rId1006" xr:uid="{00000000-0004-0000-0500-000012010000}"/>
    <hyperlink ref="B250" r:id="rId1007" xr:uid="{00000000-0004-0000-0500-000011010000}"/>
    <hyperlink ref="B249" r:id="rId1008" xr:uid="{00000000-0004-0000-0500-000010010000}"/>
    <hyperlink ref="B248" r:id="rId1009" xr:uid="{00000000-0004-0000-0500-00000F010000}"/>
    <hyperlink ref="B247" r:id="rId1010" xr:uid="{00000000-0004-0000-0500-00000E010000}"/>
    <hyperlink ref="B246" r:id="rId1011" xr:uid="{00000000-0004-0000-0500-00000D010000}"/>
    <hyperlink ref="B245" r:id="rId1012" xr:uid="{00000000-0004-0000-0500-00000C010000}"/>
    <hyperlink ref="B244" r:id="rId1013" xr:uid="{00000000-0004-0000-0500-00000A010000}"/>
    <hyperlink ref="B243" r:id="rId1014" xr:uid="{00000000-0004-0000-0500-000009010000}"/>
    <hyperlink ref="B242" r:id="rId1015" xr:uid="{00000000-0004-0000-0500-000008010000}"/>
    <hyperlink ref="B241" r:id="rId1016" xr:uid="{00000000-0004-0000-0500-000006010000}"/>
    <hyperlink ref="B240" r:id="rId1017" xr:uid="{00000000-0004-0000-0500-000005010000}"/>
    <hyperlink ref="B239" r:id="rId1018" xr:uid="{00000000-0004-0000-0500-000004010000}"/>
    <hyperlink ref="B238" r:id="rId1019" xr:uid="{00000000-0004-0000-0500-000003010000}"/>
    <hyperlink ref="B237" r:id="rId1020" xr:uid="{00000000-0004-0000-0500-000001010000}"/>
    <hyperlink ref="B236" r:id="rId1021" xr:uid="{00000000-0004-0000-0500-000000010000}"/>
    <hyperlink ref="B235" r:id="rId1022" xr:uid="{00000000-0004-0000-0500-0000FF000000}"/>
    <hyperlink ref="B234" r:id="rId1023" xr:uid="{00000000-0004-0000-0500-0000FE000000}"/>
    <hyperlink ref="B233" r:id="rId1024" xr:uid="{00000000-0004-0000-0500-0000FD000000}"/>
    <hyperlink ref="B232" r:id="rId1025" xr:uid="{00000000-0004-0000-0500-0000FC000000}"/>
    <hyperlink ref="B231" r:id="rId1026" xr:uid="{00000000-0004-0000-0500-0000FB000000}"/>
    <hyperlink ref="B230" r:id="rId1027" xr:uid="{00000000-0004-0000-0500-0000FA000000}"/>
    <hyperlink ref="B229" r:id="rId1028" xr:uid="{00000000-0004-0000-0500-0000F9000000}"/>
    <hyperlink ref="B228" r:id="rId1029" xr:uid="{00000000-0004-0000-0500-0000F8000000}"/>
    <hyperlink ref="B227" r:id="rId1030" xr:uid="{00000000-0004-0000-0500-0000F7000000}"/>
    <hyperlink ref="B226" r:id="rId1031" xr:uid="{00000000-0004-0000-0500-0000F6000000}"/>
    <hyperlink ref="B225" r:id="rId1032" xr:uid="{00000000-0004-0000-0500-0000F5000000}"/>
    <hyperlink ref="B224" r:id="rId1033" xr:uid="{00000000-0004-0000-0500-0000F4000000}"/>
    <hyperlink ref="B223" r:id="rId1034" xr:uid="{00000000-0004-0000-0500-0000F3000000}"/>
    <hyperlink ref="B222" r:id="rId1035" xr:uid="{00000000-0004-0000-0500-0000F2000000}"/>
    <hyperlink ref="B221" r:id="rId1036" xr:uid="{00000000-0004-0000-0500-0000F1000000}"/>
    <hyperlink ref="B220" r:id="rId1037" xr:uid="{00000000-0004-0000-0500-0000F0000000}"/>
    <hyperlink ref="B219" r:id="rId1038" xr:uid="{00000000-0004-0000-0500-0000EF000000}"/>
    <hyperlink ref="B218" r:id="rId1039" xr:uid="{00000000-0004-0000-0500-0000EE000000}"/>
    <hyperlink ref="B217" r:id="rId1040" xr:uid="{00000000-0004-0000-0500-0000ED000000}"/>
    <hyperlink ref="B216" r:id="rId1041" xr:uid="{00000000-0004-0000-0500-0000EC000000}"/>
    <hyperlink ref="B215" r:id="rId1042" xr:uid="{00000000-0004-0000-0500-0000EB000000}"/>
    <hyperlink ref="B214" r:id="rId1043" xr:uid="{00000000-0004-0000-0500-0000EA000000}"/>
    <hyperlink ref="B213" r:id="rId1044" xr:uid="{00000000-0004-0000-0500-0000E9000000}"/>
    <hyperlink ref="B212" r:id="rId1045" xr:uid="{00000000-0004-0000-0500-0000E8000000}"/>
    <hyperlink ref="B211" r:id="rId1046" xr:uid="{00000000-0004-0000-0500-0000E7000000}"/>
    <hyperlink ref="B210" r:id="rId1047" xr:uid="{00000000-0004-0000-0500-0000E6000000}"/>
    <hyperlink ref="B209" r:id="rId1048" xr:uid="{00000000-0004-0000-0500-0000E5000000}"/>
    <hyperlink ref="B208" r:id="rId1049" xr:uid="{00000000-0004-0000-0500-0000E4000000}"/>
    <hyperlink ref="B207" r:id="rId1050" xr:uid="{00000000-0004-0000-0500-0000E3000000}"/>
    <hyperlink ref="B206" r:id="rId1051" xr:uid="{00000000-0004-0000-0500-0000E2000000}"/>
    <hyperlink ref="B205" r:id="rId1052" xr:uid="{00000000-0004-0000-0500-0000E1000000}"/>
    <hyperlink ref="B204" r:id="rId1053" xr:uid="{00000000-0004-0000-0500-0000E0000000}"/>
    <hyperlink ref="B203" r:id="rId1054" xr:uid="{00000000-0004-0000-0500-0000DF000000}"/>
    <hyperlink ref="B202" r:id="rId1055" xr:uid="{00000000-0004-0000-0500-0000DE000000}"/>
    <hyperlink ref="B201" r:id="rId1056" xr:uid="{00000000-0004-0000-0500-0000DD000000}"/>
    <hyperlink ref="B200" r:id="rId1057" xr:uid="{00000000-0004-0000-0500-0000DC000000}"/>
    <hyperlink ref="B199" r:id="rId1058" xr:uid="{00000000-0004-0000-0500-0000DB000000}"/>
    <hyperlink ref="B198" r:id="rId1059" xr:uid="{00000000-0004-0000-0500-0000DA000000}"/>
    <hyperlink ref="B197" r:id="rId1060" xr:uid="{00000000-0004-0000-0500-0000D9000000}"/>
    <hyperlink ref="B196" r:id="rId1061" xr:uid="{00000000-0004-0000-0500-0000D8000000}"/>
    <hyperlink ref="B195" r:id="rId1062" xr:uid="{00000000-0004-0000-0500-0000D7000000}"/>
    <hyperlink ref="B194" r:id="rId1063" xr:uid="{00000000-0004-0000-0500-0000D6000000}"/>
    <hyperlink ref="B193" r:id="rId1064" xr:uid="{00000000-0004-0000-0500-0000D5000000}"/>
    <hyperlink ref="B192" r:id="rId1065" xr:uid="{00000000-0004-0000-0500-0000D4000000}"/>
    <hyperlink ref="B191" r:id="rId1066" xr:uid="{00000000-0004-0000-0500-0000D3000000}"/>
    <hyperlink ref="B190" r:id="rId1067" xr:uid="{00000000-0004-0000-0500-0000D2000000}"/>
    <hyperlink ref="B189" r:id="rId1068" xr:uid="{00000000-0004-0000-0500-0000D1000000}"/>
    <hyperlink ref="B188" r:id="rId1069" xr:uid="{00000000-0004-0000-0500-0000D0000000}"/>
    <hyperlink ref="B187" r:id="rId1070" xr:uid="{00000000-0004-0000-0500-0000CE000000}"/>
    <hyperlink ref="B186" r:id="rId1071" xr:uid="{00000000-0004-0000-0500-0000CC000000}"/>
    <hyperlink ref="B185" r:id="rId1072" xr:uid="{00000000-0004-0000-0500-0000CA000000}"/>
    <hyperlink ref="B184" r:id="rId1073" xr:uid="{00000000-0004-0000-0500-0000C9000000}"/>
    <hyperlink ref="B183" r:id="rId1074" xr:uid="{00000000-0004-0000-0500-0000C8000000}"/>
    <hyperlink ref="B182" r:id="rId1075" xr:uid="{00000000-0004-0000-0500-0000C7000000}"/>
    <hyperlink ref="B181" r:id="rId1076" xr:uid="{00000000-0004-0000-0500-0000C6000000}"/>
    <hyperlink ref="B180" r:id="rId1077" xr:uid="{00000000-0004-0000-0500-0000C5000000}"/>
    <hyperlink ref="B179" r:id="rId1078" xr:uid="{00000000-0004-0000-0500-0000C3000000}"/>
    <hyperlink ref="B178" r:id="rId1079" xr:uid="{00000000-0004-0000-0500-0000C2000000}"/>
    <hyperlink ref="B177" r:id="rId1080" xr:uid="{00000000-0004-0000-0500-0000C1000000}"/>
    <hyperlink ref="B176" r:id="rId1081" xr:uid="{00000000-0004-0000-0500-0000C0000000}"/>
    <hyperlink ref="B175" r:id="rId1082" xr:uid="{00000000-0004-0000-0500-0000BF000000}"/>
    <hyperlink ref="B174" r:id="rId1083" xr:uid="{00000000-0004-0000-0500-0000BE000000}"/>
    <hyperlink ref="B173" r:id="rId1084" xr:uid="{00000000-0004-0000-0500-0000BD000000}"/>
    <hyperlink ref="B172" r:id="rId1085" xr:uid="{00000000-0004-0000-0500-0000BC000000}"/>
    <hyperlink ref="B171" r:id="rId1086" xr:uid="{00000000-0004-0000-0500-0000BB000000}"/>
    <hyperlink ref="B170" r:id="rId1087" xr:uid="{00000000-0004-0000-0500-0000BA000000}"/>
    <hyperlink ref="B169" r:id="rId1088" xr:uid="{00000000-0004-0000-0500-0000B9000000}"/>
    <hyperlink ref="B168" r:id="rId1089" xr:uid="{00000000-0004-0000-0500-0000B8000000}"/>
    <hyperlink ref="B167" r:id="rId1090" xr:uid="{00000000-0004-0000-0500-0000B7000000}"/>
    <hyperlink ref="B166" r:id="rId1091" xr:uid="{00000000-0004-0000-0500-0000B6000000}"/>
    <hyperlink ref="B165" r:id="rId1092" xr:uid="{00000000-0004-0000-0500-0000B5000000}"/>
    <hyperlink ref="B164" r:id="rId1093" xr:uid="{00000000-0004-0000-0500-0000B4000000}"/>
    <hyperlink ref="B163" r:id="rId1094" xr:uid="{00000000-0004-0000-0500-0000B3000000}"/>
    <hyperlink ref="B162" r:id="rId1095" xr:uid="{00000000-0004-0000-0500-0000B1000000}"/>
    <hyperlink ref="B161" r:id="rId1096" xr:uid="{00000000-0004-0000-0500-0000B0000000}"/>
    <hyperlink ref="B160" r:id="rId1097" xr:uid="{00000000-0004-0000-0500-0000AF000000}"/>
    <hyperlink ref="B159" r:id="rId1098" xr:uid="{00000000-0004-0000-0500-0000AE000000}"/>
    <hyperlink ref="B158" r:id="rId1099" xr:uid="{00000000-0004-0000-0500-0000AD000000}"/>
    <hyperlink ref="B157" r:id="rId1100" xr:uid="{00000000-0004-0000-0500-0000AC000000}"/>
    <hyperlink ref="B156" r:id="rId1101" xr:uid="{00000000-0004-0000-0500-0000AA000000}"/>
    <hyperlink ref="B155" r:id="rId1102" xr:uid="{00000000-0004-0000-0500-0000A9000000}"/>
    <hyperlink ref="B154" r:id="rId1103" xr:uid="{00000000-0004-0000-0500-0000A8000000}"/>
    <hyperlink ref="B153" r:id="rId1104" xr:uid="{00000000-0004-0000-0500-0000A7000000}"/>
    <hyperlink ref="B152" r:id="rId1105" xr:uid="{00000000-0004-0000-0500-0000A6000000}"/>
    <hyperlink ref="B151" r:id="rId1106" xr:uid="{00000000-0004-0000-0500-0000A5000000}"/>
    <hyperlink ref="B150" r:id="rId1107" xr:uid="{00000000-0004-0000-0500-0000A4000000}"/>
    <hyperlink ref="B149" r:id="rId1108" xr:uid="{00000000-0004-0000-0500-0000A3000000}"/>
    <hyperlink ref="B148" r:id="rId1109" xr:uid="{00000000-0004-0000-0500-0000A2000000}"/>
    <hyperlink ref="B147" r:id="rId1110" xr:uid="{00000000-0004-0000-0500-0000A1000000}"/>
    <hyperlink ref="B146" r:id="rId1111" xr:uid="{00000000-0004-0000-0500-0000A0000000}"/>
    <hyperlink ref="B145" r:id="rId1112" xr:uid="{00000000-0004-0000-0500-00009F000000}"/>
    <hyperlink ref="B144" r:id="rId1113" xr:uid="{00000000-0004-0000-0500-00009E000000}"/>
    <hyperlink ref="B143" r:id="rId1114" xr:uid="{00000000-0004-0000-0500-00009D000000}"/>
    <hyperlink ref="B142" r:id="rId1115" xr:uid="{00000000-0004-0000-0500-00009C000000}"/>
    <hyperlink ref="B141" r:id="rId1116" xr:uid="{00000000-0004-0000-0500-00009B000000}"/>
    <hyperlink ref="B140" r:id="rId1117" xr:uid="{00000000-0004-0000-0500-00009A000000}"/>
    <hyperlink ref="B139" r:id="rId1118" xr:uid="{00000000-0004-0000-0500-000099000000}"/>
    <hyperlink ref="B138" r:id="rId1119" xr:uid="{00000000-0004-0000-0500-000098000000}"/>
    <hyperlink ref="B137" r:id="rId1120" xr:uid="{00000000-0004-0000-0500-000097000000}"/>
    <hyperlink ref="B136" r:id="rId1121" xr:uid="{00000000-0004-0000-0500-000096000000}"/>
    <hyperlink ref="B135" r:id="rId1122" xr:uid="{00000000-0004-0000-0500-000095000000}"/>
    <hyperlink ref="B134" r:id="rId1123" xr:uid="{00000000-0004-0000-0500-000094000000}"/>
    <hyperlink ref="B133" r:id="rId1124" xr:uid="{00000000-0004-0000-0500-000093000000}"/>
    <hyperlink ref="B132" r:id="rId1125" xr:uid="{00000000-0004-0000-0500-000092000000}"/>
    <hyperlink ref="B131" r:id="rId1126" xr:uid="{00000000-0004-0000-0500-000091000000}"/>
    <hyperlink ref="B130" r:id="rId1127" xr:uid="{00000000-0004-0000-0500-000090000000}"/>
    <hyperlink ref="B129" r:id="rId1128" xr:uid="{00000000-0004-0000-0500-00008F000000}"/>
    <hyperlink ref="B128" r:id="rId1129" xr:uid="{00000000-0004-0000-0500-00008E000000}"/>
    <hyperlink ref="B127" r:id="rId1130" xr:uid="{00000000-0004-0000-0500-00008D000000}"/>
    <hyperlink ref="B126" r:id="rId1131" xr:uid="{00000000-0004-0000-0500-00008C000000}"/>
    <hyperlink ref="B125" r:id="rId1132" xr:uid="{00000000-0004-0000-0500-00008B000000}"/>
    <hyperlink ref="B124" r:id="rId1133" xr:uid="{00000000-0004-0000-0500-00008A000000}"/>
    <hyperlink ref="B123" r:id="rId1134" xr:uid="{00000000-0004-0000-0500-000089000000}"/>
    <hyperlink ref="B122" r:id="rId1135" xr:uid="{00000000-0004-0000-0500-000088000000}"/>
    <hyperlink ref="B121" r:id="rId1136" xr:uid="{00000000-0004-0000-0500-000087000000}"/>
    <hyperlink ref="B120" r:id="rId1137" xr:uid="{00000000-0004-0000-0500-000086000000}"/>
    <hyperlink ref="B119" r:id="rId1138" xr:uid="{00000000-0004-0000-0500-000085000000}"/>
    <hyperlink ref="B118" r:id="rId1139" xr:uid="{00000000-0004-0000-0500-000083000000}"/>
    <hyperlink ref="B117" r:id="rId1140" xr:uid="{00000000-0004-0000-0500-000082000000}"/>
    <hyperlink ref="B116" r:id="rId1141" xr:uid="{00000000-0004-0000-0500-000080000000}"/>
    <hyperlink ref="B115" r:id="rId1142" xr:uid="{00000000-0004-0000-0500-00007F000000}"/>
    <hyperlink ref="B114" r:id="rId1143" xr:uid="{00000000-0004-0000-0500-00007E000000}"/>
    <hyperlink ref="B113" r:id="rId1144" xr:uid="{00000000-0004-0000-0500-00007D000000}"/>
    <hyperlink ref="B112" r:id="rId1145" xr:uid="{00000000-0004-0000-0500-00007C000000}"/>
    <hyperlink ref="B111" r:id="rId1146" xr:uid="{00000000-0004-0000-0500-00007B000000}"/>
    <hyperlink ref="B110" r:id="rId1147" xr:uid="{00000000-0004-0000-0500-00007A000000}"/>
    <hyperlink ref="B109" r:id="rId1148" xr:uid="{00000000-0004-0000-0500-000079000000}"/>
    <hyperlink ref="B108" r:id="rId1149" xr:uid="{00000000-0004-0000-0500-000078000000}"/>
    <hyperlink ref="B107" r:id="rId1150" xr:uid="{00000000-0004-0000-0500-000077000000}"/>
    <hyperlink ref="B106" r:id="rId1151" xr:uid="{00000000-0004-0000-0500-000076000000}"/>
    <hyperlink ref="B105" r:id="rId1152" xr:uid="{00000000-0004-0000-0500-000075000000}"/>
    <hyperlink ref="B104" r:id="rId1153" xr:uid="{00000000-0004-0000-0500-000074000000}"/>
    <hyperlink ref="B103" r:id="rId1154" xr:uid="{00000000-0004-0000-0500-000073000000}"/>
    <hyperlink ref="B102" r:id="rId1155" xr:uid="{00000000-0004-0000-0500-000072000000}"/>
    <hyperlink ref="B101" r:id="rId1156" xr:uid="{00000000-0004-0000-0500-000071000000}"/>
    <hyperlink ref="B100" r:id="rId1157" xr:uid="{00000000-0004-0000-0500-000070000000}"/>
    <hyperlink ref="B99" r:id="rId1158" xr:uid="{00000000-0004-0000-0500-00006E000000}"/>
    <hyperlink ref="B98" r:id="rId1159" xr:uid="{00000000-0004-0000-0500-00006D000000}"/>
    <hyperlink ref="B97" r:id="rId1160" xr:uid="{00000000-0004-0000-0500-00006C000000}"/>
    <hyperlink ref="B96" r:id="rId1161" xr:uid="{00000000-0004-0000-0500-00006B000000}"/>
    <hyperlink ref="B95" r:id="rId1162" xr:uid="{00000000-0004-0000-0500-00006A000000}"/>
    <hyperlink ref="B94" r:id="rId1163" xr:uid="{00000000-0004-0000-0500-000069000000}"/>
    <hyperlink ref="B93" r:id="rId1164" xr:uid="{00000000-0004-0000-0500-000068000000}"/>
    <hyperlink ref="B92" r:id="rId1165" xr:uid="{00000000-0004-0000-0500-000067000000}"/>
    <hyperlink ref="B91" r:id="rId1166" xr:uid="{00000000-0004-0000-0500-000066000000}"/>
    <hyperlink ref="B90" r:id="rId1167" xr:uid="{00000000-0004-0000-0500-000065000000}"/>
    <hyperlink ref="B89" r:id="rId1168" xr:uid="{00000000-0004-0000-0500-000064000000}"/>
    <hyperlink ref="B88" r:id="rId1169" xr:uid="{00000000-0004-0000-0500-000063000000}"/>
    <hyperlink ref="B87" r:id="rId1170" xr:uid="{00000000-0004-0000-0500-000062000000}"/>
    <hyperlink ref="B86" r:id="rId1171" xr:uid="{00000000-0004-0000-0500-000061000000}"/>
    <hyperlink ref="B85" r:id="rId1172" xr:uid="{00000000-0004-0000-0500-000060000000}"/>
    <hyperlink ref="B84" r:id="rId1173" xr:uid="{00000000-0004-0000-0500-00005F000000}"/>
    <hyperlink ref="B83" r:id="rId1174" xr:uid="{00000000-0004-0000-0500-00005E000000}"/>
    <hyperlink ref="B82" r:id="rId1175" xr:uid="{00000000-0004-0000-0500-00005D000000}"/>
    <hyperlink ref="B81" r:id="rId1176" xr:uid="{00000000-0004-0000-0500-00005C000000}"/>
    <hyperlink ref="B80" r:id="rId1177" xr:uid="{00000000-0004-0000-0500-00005A000000}"/>
    <hyperlink ref="B79" r:id="rId1178" xr:uid="{00000000-0004-0000-0500-000058000000}"/>
    <hyperlink ref="B78" r:id="rId1179" xr:uid="{00000000-0004-0000-0500-000056000000}"/>
    <hyperlink ref="B77" r:id="rId1180" xr:uid="{00000000-0004-0000-0500-000055000000}"/>
    <hyperlink ref="B76" r:id="rId1181" xr:uid="{00000000-0004-0000-0500-000054000000}"/>
    <hyperlink ref="B75" r:id="rId1182" xr:uid="{00000000-0004-0000-0500-000053000000}"/>
    <hyperlink ref="B74" r:id="rId1183" xr:uid="{00000000-0004-0000-0500-000052000000}"/>
    <hyperlink ref="B73" r:id="rId1184" xr:uid="{00000000-0004-0000-0500-000051000000}"/>
    <hyperlink ref="B72" r:id="rId1185" xr:uid="{00000000-0004-0000-0500-000050000000}"/>
    <hyperlink ref="B71" r:id="rId1186" xr:uid="{00000000-0004-0000-0500-00004F000000}"/>
    <hyperlink ref="B70" r:id="rId1187" xr:uid="{00000000-0004-0000-0500-00004E000000}"/>
    <hyperlink ref="B69" r:id="rId1188" xr:uid="{00000000-0004-0000-0500-00004C000000}"/>
    <hyperlink ref="B68" r:id="rId1189" xr:uid="{00000000-0004-0000-0500-00004B000000}"/>
    <hyperlink ref="B67" r:id="rId1190" xr:uid="{00000000-0004-0000-0500-00004A000000}"/>
    <hyperlink ref="B66" r:id="rId1191" xr:uid="{00000000-0004-0000-0500-000049000000}"/>
    <hyperlink ref="B65" r:id="rId1192" xr:uid="{00000000-0004-0000-0500-000048000000}"/>
    <hyperlink ref="B64" r:id="rId1193" xr:uid="{00000000-0004-0000-0500-000047000000}"/>
    <hyperlink ref="B63" r:id="rId1194" xr:uid="{00000000-0004-0000-0500-000046000000}"/>
    <hyperlink ref="B62" r:id="rId1195" xr:uid="{00000000-0004-0000-0500-000045000000}"/>
    <hyperlink ref="B61" r:id="rId1196" xr:uid="{00000000-0004-0000-0500-000044000000}"/>
    <hyperlink ref="B60" r:id="rId1197" xr:uid="{00000000-0004-0000-0500-000042000000}"/>
    <hyperlink ref="B59" r:id="rId1198" xr:uid="{00000000-0004-0000-0500-000041000000}"/>
    <hyperlink ref="B58" r:id="rId1199" xr:uid="{00000000-0004-0000-0500-000040000000}"/>
    <hyperlink ref="B57" r:id="rId1200" xr:uid="{00000000-0004-0000-0500-00003E000000}"/>
    <hyperlink ref="B56" r:id="rId1201" xr:uid="{00000000-0004-0000-0500-00003D000000}"/>
    <hyperlink ref="B55" r:id="rId1202" xr:uid="{00000000-0004-0000-0500-00003C000000}"/>
    <hyperlink ref="B54" r:id="rId1203" xr:uid="{00000000-0004-0000-0500-00003B000000}"/>
    <hyperlink ref="B53" r:id="rId1204" xr:uid="{00000000-0004-0000-0500-00003A000000}"/>
    <hyperlink ref="B52" r:id="rId1205" xr:uid="{00000000-0004-0000-0500-000039000000}"/>
    <hyperlink ref="B51" r:id="rId1206" xr:uid="{00000000-0004-0000-0500-000038000000}"/>
    <hyperlink ref="B50" r:id="rId1207" xr:uid="{00000000-0004-0000-0500-000037000000}"/>
    <hyperlink ref="B49" r:id="rId1208" xr:uid="{00000000-0004-0000-0500-000035000000}"/>
    <hyperlink ref="B48" r:id="rId1209" xr:uid="{00000000-0004-0000-0500-000034000000}"/>
    <hyperlink ref="B47" r:id="rId1210" xr:uid="{00000000-0004-0000-0500-000033000000}"/>
    <hyperlink ref="B46" r:id="rId1211" xr:uid="{00000000-0004-0000-0500-000032000000}"/>
    <hyperlink ref="B45" r:id="rId1212" xr:uid="{00000000-0004-0000-0500-000031000000}"/>
    <hyperlink ref="B44" r:id="rId1213" xr:uid="{00000000-0004-0000-0500-000030000000}"/>
    <hyperlink ref="B43" r:id="rId1214" xr:uid="{00000000-0004-0000-0500-00002F000000}"/>
    <hyperlink ref="B42" r:id="rId1215" xr:uid="{00000000-0004-0000-0500-00002E000000}"/>
    <hyperlink ref="B41" r:id="rId1216" xr:uid="{00000000-0004-0000-0500-00002D000000}"/>
    <hyperlink ref="B40" r:id="rId1217" xr:uid="{00000000-0004-0000-0500-00002C000000}"/>
    <hyperlink ref="B39" r:id="rId1218" xr:uid="{00000000-0004-0000-0500-00002B000000}"/>
    <hyperlink ref="B38" r:id="rId1219" xr:uid="{00000000-0004-0000-0500-00002A000000}"/>
    <hyperlink ref="B37" r:id="rId1220" xr:uid="{00000000-0004-0000-0500-000029000000}"/>
    <hyperlink ref="B36" r:id="rId1221" xr:uid="{00000000-0004-0000-0500-000028000000}"/>
    <hyperlink ref="B35" r:id="rId1222" xr:uid="{00000000-0004-0000-0500-000027000000}"/>
    <hyperlink ref="B34" r:id="rId1223" xr:uid="{00000000-0004-0000-0500-000026000000}"/>
    <hyperlink ref="B33" r:id="rId1224" xr:uid="{00000000-0004-0000-0500-000024000000}"/>
    <hyperlink ref="B32" r:id="rId1225" xr:uid="{00000000-0004-0000-0500-000022000000}"/>
    <hyperlink ref="B31" r:id="rId1226" xr:uid="{00000000-0004-0000-0500-000021000000}"/>
    <hyperlink ref="B30" r:id="rId1227" xr:uid="{00000000-0004-0000-0500-000020000000}"/>
    <hyperlink ref="B29" r:id="rId1228" xr:uid="{00000000-0004-0000-0500-00001F000000}"/>
    <hyperlink ref="B28" r:id="rId1229" xr:uid="{00000000-0004-0000-0500-00001E000000}"/>
    <hyperlink ref="B27" r:id="rId1230" xr:uid="{00000000-0004-0000-0500-00001D000000}"/>
    <hyperlink ref="B26" r:id="rId1231" xr:uid="{00000000-0004-0000-0500-00001C000000}"/>
    <hyperlink ref="B25" r:id="rId1232" xr:uid="{00000000-0004-0000-0500-00001B000000}"/>
    <hyperlink ref="B24" r:id="rId1233" xr:uid="{00000000-0004-0000-0500-00001A000000}"/>
    <hyperlink ref="B23" r:id="rId1234" xr:uid="{00000000-0004-0000-0500-000019000000}"/>
    <hyperlink ref="B22" r:id="rId1235" xr:uid="{00000000-0004-0000-0500-000017000000}"/>
    <hyperlink ref="B21" r:id="rId1236" xr:uid="{00000000-0004-0000-0500-000016000000}"/>
    <hyperlink ref="B20" r:id="rId1237" xr:uid="{00000000-0004-0000-0500-000014000000}"/>
    <hyperlink ref="B19" r:id="rId1238" xr:uid="{00000000-0004-0000-0500-000013000000}"/>
    <hyperlink ref="B18" r:id="rId1239" xr:uid="{00000000-0004-0000-0500-000012000000}"/>
    <hyperlink ref="B17" r:id="rId1240" xr:uid="{00000000-0004-0000-0500-000011000000}"/>
    <hyperlink ref="B16" r:id="rId1241" xr:uid="{00000000-0004-0000-0500-000010000000}"/>
    <hyperlink ref="B15" r:id="rId1242" xr:uid="{00000000-0004-0000-0500-00000F000000}"/>
    <hyperlink ref="B14" r:id="rId1243" xr:uid="{00000000-0004-0000-0500-00000E000000}"/>
    <hyperlink ref="B13" r:id="rId1244" xr:uid="{00000000-0004-0000-0500-00000D000000}"/>
    <hyperlink ref="B12" r:id="rId1245" xr:uid="{00000000-0004-0000-0500-00000C000000}"/>
    <hyperlink ref="B11" r:id="rId1246" xr:uid="{00000000-0004-0000-0500-00000B000000}"/>
    <hyperlink ref="B10" r:id="rId1247" xr:uid="{00000000-0004-0000-0500-00000A000000}"/>
    <hyperlink ref="B9" r:id="rId1248" xr:uid="{00000000-0004-0000-0500-000009000000}"/>
    <hyperlink ref="B8" r:id="rId1249" xr:uid="{00000000-0004-0000-0500-000007000000}"/>
    <hyperlink ref="B7" r:id="rId1250" xr:uid="{00000000-0004-0000-0500-000006000000}"/>
    <hyperlink ref="B6" r:id="rId1251" xr:uid="{00000000-0004-0000-0500-000005000000}"/>
    <hyperlink ref="B5" r:id="rId1252" xr:uid="{00000000-0004-0000-0500-000003000000}"/>
    <hyperlink ref="B4" r:id="rId1253" xr:uid="{00000000-0004-0000-0500-000002000000}"/>
    <hyperlink ref="B3" r:id="rId1254" xr:uid="{00000000-0004-0000-0500-000001000000}"/>
    <hyperlink ref="B2" r:id="rId1255" xr:uid="{00000000-0004-0000-0500-000000000000}"/>
    <hyperlink ref="B1260" r:id="rId1256" xr:uid="{00449465-EF9C-4B34-8789-024869C1AAAD}"/>
    <hyperlink ref="B1261" r:id="rId1257" xr:uid="{D0830C36-AEEA-4061-A942-4580E0C0702D}"/>
    <hyperlink ref="B1263" r:id="rId1258" xr:uid="{C4C4B993-4FBF-4F88-96FE-B474B0412394}"/>
    <hyperlink ref="B1264" r:id="rId1259" xr:uid="{6144473F-2912-4BF5-892A-A2A2F3E3F5DD}"/>
    <hyperlink ref="B1265" r:id="rId1260" xr:uid="{365EC30A-37EB-4E70-9A11-03C647F039AF}"/>
    <hyperlink ref="B1266" r:id="rId1261" xr:uid="{DBF503C2-E69B-4DBC-AAA7-9B7A38438412}"/>
    <hyperlink ref="B1267" r:id="rId1262" xr:uid="{719929D9-2099-46C6-93F6-96C70FA62B6D}"/>
    <hyperlink ref="B1268" r:id="rId1263" xr:uid="{0FDD5185-3366-4CE7-B152-CAC226890295}"/>
    <hyperlink ref="B1269" r:id="rId1264" xr:uid="{F7D721BA-50A6-49DE-B3A3-43D2F70747BD}"/>
    <hyperlink ref="B1271" r:id="rId1265" xr:uid="{2AF4F339-6D9E-4A19-85A7-1797FDB90DD4}"/>
    <hyperlink ref="B1272" r:id="rId1266" xr:uid="{03F813E5-99FE-4520-A4AF-70BBEE4C8FED}"/>
    <hyperlink ref="B1273" r:id="rId1267" xr:uid="{46EAF541-6A2F-4C34-9032-8CEB85027DA3}"/>
    <hyperlink ref="B1274" r:id="rId1268" xr:uid="{85B7FB14-3278-44D7-80FA-1D6F586FC047}"/>
    <hyperlink ref="B1275" r:id="rId1269" xr:uid="{B0749E52-B7BB-45C2-9C74-61FF8877D2C2}"/>
    <hyperlink ref="B1276" r:id="rId1270" xr:uid="{49408224-4DDC-4C79-AB5B-F585085A3E8C}"/>
    <hyperlink ref="B1277" r:id="rId1271" xr:uid="{6D7653EB-0BFC-4E00-9E23-AD4F179B54B1}"/>
    <hyperlink ref="B1278" r:id="rId1272" xr:uid="{74FEBE7E-8983-4D3A-9600-CD368ACAC3C9}"/>
    <hyperlink ref="B1279" r:id="rId1273" xr:uid="{9DA4BD04-E34F-499E-B972-7E66C2200A6E}"/>
    <hyperlink ref="B1280" r:id="rId1274" xr:uid="{0F6A4E0C-CB77-4F5E-BBED-81F3C2E1462E}"/>
    <hyperlink ref="B1281" r:id="rId1275" xr:uid="{A220AB94-5356-402F-A170-AB6776FB5F90}"/>
    <hyperlink ref="B1282" r:id="rId1276" xr:uid="{D60D748E-C23D-4956-81D6-E2042C3EE0D6}"/>
    <hyperlink ref="B1283" r:id="rId1277" xr:uid="{E0556CD5-A190-4CEE-9F99-546D6FF30632}"/>
    <hyperlink ref="B1284" r:id="rId1278" xr:uid="{A532C367-97EC-4B49-9C1A-2137B30BD0F8}"/>
    <hyperlink ref="B1285" r:id="rId1279" xr:uid="{25D28FFE-F909-40E3-887C-AB018561CE37}"/>
    <hyperlink ref="B1286" r:id="rId1280" xr:uid="{584D66B6-DB68-4646-B618-F91D016AE04E}"/>
    <hyperlink ref="B1287" r:id="rId1281" xr:uid="{3ED6F926-2F46-466E-828B-41D652B92BDA}"/>
    <hyperlink ref="B1289" r:id="rId1282" xr:uid="{12CBEBE9-5728-4F78-B714-250DB02EFA55}"/>
    <hyperlink ref="B1290" r:id="rId1283" xr:uid="{90377936-DABC-4474-AEDD-E74467D06116}"/>
    <hyperlink ref="B1292" r:id="rId1284" xr:uid="{CF1FF3A9-4F25-4D63-8454-598CED84D18B}"/>
    <hyperlink ref="B1293" r:id="rId1285" xr:uid="{6115147C-2A1E-4852-BF6B-4DF66AE0FC36}"/>
    <hyperlink ref="B1294" r:id="rId1286" xr:uid="{336F7DB3-0C09-4AEC-A06B-787A8AF3C3AC}"/>
    <hyperlink ref="B1295" r:id="rId1287" xr:uid="{467907CA-A894-4FF1-A6B9-94387D9CED5F}"/>
    <hyperlink ref="B1296" r:id="rId1288" xr:uid="{A89ABAB3-A6A4-4824-B18D-D45DAB05D141}"/>
    <hyperlink ref="B1297" r:id="rId1289" xr:uid="{724CBC42-9493-4D7E-873F-01894661059F}"/>
    <hyperlink ref="B1298" r:id="rId1290" xr:uid="{647FEB94-686F-4A4C-8665-2C84F8D57C45}"/>
    <hyperlink ref="B1299" r:id="rId1291" xr:uid="{DB8629C9-4662-482B-B25B-74A3ED51C522}"/>
    <hyperlink ref="B1301" r:id="rId1292" xr:uid="{37240261-ADAF-4311-8C3E-EFF16F8807DF}"/>
    <hyperlink ref="B1302" r:id="rId1293" xr:uid="{1ECBACBA-F7A5-45E3-959C-EDB0CF0A54CC}"/>
    <hyperlink ref="B1303" r:id="rId1294" xr:uid="{367A13B2-280A-472E-8FCA-48A5B872549A}"/>
    <hyperlink ref="B1304" r:id="rId1295" xr:uid="{B5861D00-00F8-4EF8-8F2F-23BD15121C52}"/>
    <hyperlink ref="B1305" r:id="rId1296" xr:uid="{C4E7C1B6-578B-4488-B277-234981821247}"/>
    <hyperlink ref="B1306" r:id="rId1297" xr:uid="{1AF23F93-41F2-46BF-8521-3C5B8EF14B91}"/>
    <hyperlink ref="B1307" r:id="rId1298" xr:uid="{3E27C851-E794-479D-9478-05619CBA4810}"/>
    <hyperlink ref="B1308" r:id="rId1299" xr:uid="{0439DB2F-46AB-4B8F-AAE4-F3853C7FF0E7}"/>
    <hyperlink ref="B1309" r:id="rId1300" xr:uid="{76A43B02-92F5-4D36-9192-46CC980305AC}"/>
    <hyperlink ref="B1310" r:id="rId1301" xr:uid="{9A79262A-4FA3-40B6-84CE-74CC63B30132}"/>
    <hyperlink ref="B1311" r:id="rId1302" xr:uid="{9E9653C2-AA52-44BB-A76A-2A9CEE3FA051}"/>
    <hyperlink ref="B1312" r:id="rId1303" xr:uid="{988AC3B3-D781-49E8-9450-953B33A95FC8}"/>
    <hyperlink ref="B1313" r:id="rId1304" xr:uid="{6997F440-4A56-435F-80AB-A23FDB5B7C32}"/>
    <hyperlink ref="B1314" r:id="rId1305" xr:uid="{E8AF086C-848D-4A16-981E-DA2A12DCCD52}"/>
    <hyperlink ref="B1315" r:id="rId1306" xr:uid="{D870B274-63C0-4DD3-8FA1-568470AB0684}"/>
    <hyperlink ref="B1316" r:id="rId1307" xr:uid="{4A92770E-89D0-4288-913F-D9951D209342}"/>
    <hyperlink ref="B1317" r:id="rId1308" xr:uid="{46D54692-A875-480F-834D-EDD8C7E181A1}"/>
    <hyperlink ref="B1318" r:id="rId1309" xr:uid="{244D9F83-B962-43A1-983B-93A41025061F}"/>
    <hyperlink ref="B1319" r:id="rId1310" xr:uid="{73851E33-E544-4D22-90FE-60975930C1FD}"/>
    <hyperlink ref="B1320" r:id="rId1311" xr:uid="{A014BE64-8063-401A-8E21-8580F54B61B5}"/>
    <hyperlink ref="B1321" r:id="rId1312" xr:uid="{2856255A-2290-4F48-B7EE-FC7A30E88B7C}"/>
    <hyperlink ref="B1322" r:id="rId1313" xr:uid="{EC0CFBB8-D106-4D5A-AB44-F3AF1183D1BC}"/>
    <hyperlink ref="B1323" r:id="rId1314" xr:uid="{5047244C-D38A-45C3-98AE-AE73DDDFB627}"/>
    <hyperlink ref="B1324" r:id="rId1315" xr:uid="{9200EB8C-D41C-4C29-95CA-48A2D341540D}"/>
    <hyperlink ref="B1325" r:id="rId1316" xr:uid="{A5AFFC5E-C50E-44D8-8441-BDB32E9ADF25}"/>
    <hyperlink ref="B1326" r:id="rId1317" xr:uid="{B7943A1F-B63A-416E-80E2-D11A55CE7858}"/>
    <hyperlink ref="B1327" r:id="rId1318" xr:uid="{9AAC6364-163F-48A9-B0DD-AB9B0D0903FE}"/>
    <hyperlink ref="B1328" r:id="rId1319" xr:uid="{4430119A-2FAE-4D29-8BE3-59477F7F7627}"/>
    <hyperlink ref="B1329" r:id="rId1320" xr:uid="{AB0D137D-B47B-4EAD-BF73-B3DB68871568}"/>
    <hyperlink ref="B1330" r:id="rId1321" xr:uid="{85398265-F1D1-4F9D-ACD9-C7AC9A8BD99D}"/>
    <hyperlink ref="B1331" r:id="rId1322" xr:uid="{9D8E0C34-7D01-446F-98D6-D2AB0E26F7AD}"/>
    <hyperlink ref="B1332" r:id="rId1323" xr:uid="{863F72A0-D21B-4F88-B49F-1A53EEE39617}"/>
    <hyperlink ref="B1333" r:id="rId1324" xr:uid="{C4806547-2E83-4CC7-B2FA-72BCC019040B}"/>
    <hyperlink ref="B1334" r:id="rId1325" xr:uid="{75245092-9DD8-417E-A2D9-C5C315968647}"/>
    <hyperlink ref="B1335" r:id="rId1326" xr:uid="{E9BD3C90-013E-4504-97C9-64529B994026}"/>
    <hyperlink ref="B1336" r:id="rId1327" xr:uid="{5A5C93CC-E4EA-4689-A399-46387823A8E0}"/>
    <hyperlink ref="B1337" r:id="rId1328" xr:uid="{F58DB95D-A320-42C1-B42E-24A54F7DF6D8}"/>
    <hyperlink ref="B1338" r:id="rId1329" xr:uid="{BDE19D4B-6149-4791-8049-5FFB22825CAF}"/>
    <hyperlink ref="B1339" r:id="rId1330" xr:uid="{98270AB8-E32A-41FC-8A2B-687156F9F794}"/>
    <hyperlink ref="B1340" r:id="rId1331" xr:uid="{EE97F58F-E9BF-4AA3-90C3-2EE4B2F3C04C}"/>
    <hyperlink ref="B1341" r:id="rId1332" xr:uid="{B19BCB17-5EB4-443D-97D4-59B396D4D071}"/>
    <hyperlink ref="B1342" r:id="rId1333" xr:uid="{25FBE3B4-A25E-42DC-9FB4-CE8CABE3FDE7}"/>
    <hyperlink ref="B1343" r:id="rId1334" xr:uid="{A4BBEBCC-068E-4DF7-860D-163067A68D62}"/>
    <hyperlink ref="B1344" r:id="rId1335" xr:uid="{E4750579-0A2F-4144-9BB1-8E013F376808}"/>
    <hyperlink ref="B1345" r:id="rId1336" xr:uid="{B8006774-695C-445B-A2A5-C298EA5DFC21}"/>
    <hyperlink ref="B1346" r:id="rId1337" xr:uid="{A9096CEF-70A6-47D4-87D1-1B7A78F6DBF6}"/>
    <hyperlink ref="B1347" r:id="rId1338" xr:uid="{D36E7514-8ADF-46AC-927C-4E851D87116E}"/>
    <hyperlink ref="B1348" r:id="rId1339" xr:uid="{993B8469-7554-4C54-9928-813BBDC42658}"/>
    <hyperlink ref="B1349" r:id="rId1340" xr:uid="{2877B256-BF71-4DFF-BFF1-3099B5239ADF}"/>
    <hyperlink ref="B1350" r:id="rId1341" xr:uid="{7B408CF9-ACDC-4506-A5A5-2FA366195DC3}"/>
    <hyperlink ref="B1351" r:id="rId1342" xr:uid="{0BF23ADA-1992-4A7B-B55C-320651BE388B}"/>
    <hyperlink ref="B1352" r:id="rId1343" xr:uid="{041EB747-B95F-46BB-B52F-5C99CECF8EB7}"/>
    <hyperlink ref="B1353" r:id="rId1344" xr:uid="{34A8CE0F-BF4D-4CF1-97B5-834FA5761F1A}"/>
    <hyperlink ref="B1354" r:id="rId1345" xr:uid="{A643292C-7EA7-4CF9-9FCB-0C44023B19E2}"/>
    <hyperlink ref="B1355" r:id="rId1346" xr:uid="{C615D541-64CB-48CD-B924-184159233FC5}"/>
    <hyperlink ref="B1356" r:id="rId1347" xr:uid="{4F17A9B7-7E11-4DA8-90C4-76038CE87121}"/>
    <hyperlink ref="B1357" r:id="rId1348" xr:uid="{FB7FEF9F-A1C9-4559-8E90-CD3402B3AC13}"/>
    <hyperlink ref="B1358" r:id="rId1349" xr:uid="{8A203C9D-51EF-4CEF-9371-0F57DED301F8}"/>
    <hyperlink ref="B1359" r:id="rId1350" xr:uid="{3BC0E406-B03A-49B1-833E-FB553BC35DC6}"/>
    <hyperlink ref="B1360" r:id="rId1351" xr:uid="{CD44F890-93A9-4C00-8DB8-64224219B732}"/>
    <hyperlink ref="B1361" r:id="rId1352" xr:uid="{D8068508-4BD3-4914-BE9F-D7BCBCC19A00}"/>
    <hyperlink ref="B1362" r:id="rId1353" xr:uid="{4B7FED46-C51E-4762-BDB1-1592020B2413}"/>
    <hyperlink ref="B1363" r:id="rId1354" xr:uid="{44DC4BC3-F5CD-4102-8595-FC4063BF322A}"/>
    <hyperlink ref="B1364" r:id="rId1355" xr:uid="{AC1E85F3-1A38-48E3-B622-05F35B234AF6}"/>
    <hyperlink ref="B1365" r:id="rId1356" xr:uid="{FF9F0125-942D-42D0-8051-90F737438638}"/>
    <hyperlink ref="B1366" r:id="rId1357" xr:uid="{9B55C695-51F4-4FB3-B2EA-C1094B2450D6}"/>
    <hyperlink ref="B1367" r:id="rId1358" xr:uid="{F2771F73-1EE1-4FB8-AC71-A94336649E31}"/>
    <hyperlink ref="B1368" r:id="rId1359" xr:uid="{0609B0B6-C9DE-4DB3-8986-084EC3333FB7}"/>
    <hyperlink ref="B1369" r:id="rId1360" xr:uid="{B3F7C994-E431-44DC-BB96-AEBB171E1030}"/>
    <hyperlink ref="B1370" r:id="rId1361" xr:uid="{0D663294-3518-4BF8-8B27-862651993C64}"/>
    <hyperlink ref="B1371" r:id="rId1362" xr:uid="{D5A14EEA-C300-4D9D-B990-9008A76D25B6}"/>
    <hyperlink ref="B1372" r:id="rId1363" xr:uid="{4328CFD8-8755-46F7-9CA0-C3BFDB836984}"/>
    <hyperlink ref="B1373" r:id="rId1364" xr:uid="{376B6E78-B13B-42D9-8567-66EFD75D71A9}"/>
    <hyperlink ref="B1374" r:id="rId1365" xr:uid="{5ACBB6BE-3195-4556-8650-9DE4C820E98B}"/>
    <hyperlink ref="B1375" r:id="rId1366" xr:uid="{F1D2F3D4-88E3-4BF4-8728-35EB46276C95}"/>
    <hyperlink ref="B1376" r:id="rId1367" xr:uid="{7888C3AD-1855-42D2-954D-042267B24C1D}"/>
    <hyperlink ref="B1377" r:id="rId1368" xr:uid="{65B3B898-5A69-47C7-8CF8-2474C275CE7D}"/>
    <hyperlink ref="B1378" r:id="rId1369" xr:uid="{3129EE8F-D1D5-432F-9176-4F0C37622A80}"/>
    <hyperlink ref="B1379" r:id="rId1370" xr:uid="{3071BF1B-FFEA-4D6A-A944-1B2684864372}"/>
    <hyperlink ref="B1380" r:id="rId1371" xr:uid="{5602D846-C65B-4BD8-A3A9-7062109006E0}"/>
    <hyperlink ref="B1381" r:id="rId1372" xr:uid="{D0A638AD-D9AE-4580-9736-50E3E81D39E3}"/>
    <hyperlink ref="B1382" r:id="rId1373" xr:uid="{9DC5002C-A64A-4CA6-9313-DAF229AA0CAB}"/>
    <hyperlink ref="B1383" r:id="rId1374" xr:uid="{68336976-104F-40C9-9FD3-D847CA2CD60F}"/>
    <hyperlink ref="B1384" r:id="rId1375" xr:uid="{DC066CEE-1608-48FE-97CC-BEA720D2BE7E}"/>
    <hyperlink ref="B1385" r:id="rId1376" xr:uid="{1E2690B8-C4E3-41CC-B8EC-902DE7F37763}"/>
    <hyperlink ref="B1386" r:id="rId1377" xr:uid="{AF849E12-3D27-447F-9A75-8D42BBED01CF}"/>
    <hyperlink ref="B1387" r:id="rId1378" xr:uid="{8A942255-5E4C-4D22-BD55-3B67A25874D9}"/>
    <hyperlink ref="B1388" r:id="rId1379" xr:uid="{77843AEF-AFC4-4DA8-BC46-B6DF8F6BCC5F}"/>
    <hyperlink ref="B1389" r:id="rId1380" xr:uid="{5CE29437-61F7-42FC-945D-D1FF2C07F13A}"/>
    <hyperlink ref="B1390" r:id="rId1381" xr:uid="{720C347D-7773-499D-8193-690E70BAF9C5}"/>
    <hyperlink ref="B1391" r:id="rId1382" xr:uid="{CAE9B29C-A973-445B-9535-C24AD63FAA4F}"/>
    <hyperlink ref="B1392" r:id="rId1383" xr:uid="{5F6CD27B-F283-48D5-AC17-89A0AD7B8810}"/>
    <hyperlink ref="B1393" r:id="rId1384" xr:uid="{E91E6FB9-F2C6-4C4A-863E-F4E166C8EA51}"/>
    <hyperlink ref="B1394" r:id="rId1385" xr:uid="{A894C9D3-559A-4C5D-BB00-8A6B4D426DF9}"/>
    <hyperlink ref="B1395" r:id="rId1386" xr:uid="{C5EEEF4C-38B7-43BE-91BD-1BC710225FD5}"/>
    <hyperlink ref="B1396" r:id="rId1387" xr:uid="{82A8B667-29FE-43B3-B0D7-2D2D86A77555}"/>
    <hyperlink ref="B1397" r:id="rId1388" xr:uid="{82D2BE88-6C2A-45E5-8D98-B61B7D93971B}"/>
    <hyperlink ref="B1398" r:id="rId1389" xr:uid="{4CF9FEEC-2F40-4D07-ACAE-956F06E38B9C}"/>
    <hyperlink ref="B1399" r:id="rId1390" xr:uid="{44983135-6B2B-40CE-8C28-001D37ACACDA}"/>
    <hyperlink ref="B1400" r:id="rId1391" xr:uid="{F9F986DC-6F5D-4213-A8B7-10B88C3672BC}"/>
    <hyperlink ref="B1401" r:id="rId1392" xr:uid="{C813D7DC-5B22-4223-A585-E32A1D7C54DF}"/>
    <hyperlink ref="B1402" r:id="rId1393" xr:uid="{56834C32-B180-49F9-B996-9CD07C4CA25F}"/>
    <hyperlink ref="B1403" r:id="rId1394" xr:uid="{F058FC71-FC33-4C4F-A834-5A4EC62FAAD9}"/>
    <hyperlink ref="B1404" r:id="rId1395" xr:uid="{CAD98A00-DC81-4321-9849-C6D96E0E620D}"/>
    <hyperlink ref="B1405" r:id="rId1396" xr:uid="{36C581A3-FC6A-44B4-8D10-7C0660B30DF5}"/>
    <hyperlink ref="B1406" r:id="rId1397" xr:uid="{FF3589E4-E057-41D4-8622-93B55EB65428}"/>
    <hyperlink ref="B1407" r:id="rId1398" xr:uid="{17EC6622-D2FA-4FDA-913E-A8E239222CE3}"/>
    <hyperlink ref="B1408" r:id="rId1399" xr:uid="{65408D31-37BD-468A-8A88-1DCB1654A410}"/>
    <hyperlink ref="B1409" r:id="rId1400" xr:uid="{9FC925DD-82BA-4A86-AC7D-430E7D03E00F}"/>
    <hyperlink ref="B1410" r:id="rId1401" xr:uid="{4D76A947-2C59-417E-9E01-1016EB11D727}"/>
    <hyperlink ref="B1411" r:id="rId1402" xr:uid="{D21FA19A-7A53-45FB-8D44-35393E66F612}"/>
    <hyperlink ref="B1412" r:id="rId1403" xr:uid="{A17EB074-8CDA-49A0-9222-1097018EDBAC}"/>
    <hyperlink ref="B1413" r:id="rId1404" xr:uid="{46A47FFD-FE43-4827-81BA-E8B6E3F85139}"/>
    <hyperlink ref="B1414" r:id="rId1405" xr:uid="{97677636-6429-43BE-9D86-6D7A6C944AF5}"/>
    <hyperlink ref="B1415" r:id="rId1406" xr:uid="{1FFD444C-7C4A-42B9-B1A1-9DBC310692C3}"/>
    <hyperlink ref="B1416" r:id="rId1407" xr:uid="{670EFC37-F51C-4FED-A4D0-3D4FD90704FC}"/>
    <hyperlink ref="B1417" r:id="rId1408" xr:uid="{03B482C8-6EA7-49CE-B548-54AC6EDB2C23}"/>
    <hyperlink ref="B1418" r:id="rId1409" xr:uid="{37E98776-172F-456C-BD4B-3EFF6C9B15EA}"/>
    <hyperlink ref="B1419" r:id="rId1410" xr:uid="{71FFACB5-6643-46FA-B0B6-181C311F7296}"/>
    <hyperlink ref="B1420" r:id="rId1411" xr:uid="{C86E352D-8C2E-4BAC-B74A-775E58654DC8}"/>
    <hyperlink ref="B1421" r:id="rId1412" xr:uid="{21810CEA-C271-4C8F-8116-237D8FB8131E}"/>
    <hyperlink ref="B1422" r:id="rId1413" xr:uid="{550A865C-0E9E-4C84-98F0-B8F91E41A719}"/>
    <hyperlink ref="B1423" r:id="rId1414" xr:uid="{0978A36E-4227-40E9-A3CB-D919B0B76BBC}"/>
    <hyperlink ref="B1424" r:id="rId1415" xr:uid="{106A2730-BD7E-49A8-9536-49B10158D0D1}"/>
    <hyperlink ref="B1425" r:id="rId1416" xr:uid="{65A2B228-1168-41DF-AAF6-1D3FF2FD2224}"/>
    <hyperlink ref="B1426" r:id="rId1417" xr:uid="{6BC5586B-0115-4369-B981-CCD983137CEA}"/>
    <hyperlink ref="B1427" r:id="rId1418" xr:uid="{87BE7DB3-B05F-471B-B2F4-20DF68B4141A}"/>
    <hyperlink ref="B1428" r:id="rId1419" xr:uid="{AE7AC1E3-CF91-49A8-B84B-29CE63E69D46}"/>
    <hyperlink ref="B1429" r:id="rId1420" xr:uid="{3C899BB6-688E-4E71-AAA3-D5E5D550A25F}"/>
    <hyperlink ref="B1430" r:id="rId1421" xr:uid="{C50D78D5-5C36-4418-B85E-33EEE04809DC}"/>
    <hyperlink ref="B1431" r:id="rId1422" xr:uid="{29136F3E-6877-4DFA-AB9B-FF2F1D9A53D0}"/>
    <hyperlink ref="B1432" r:id="rId1423" xr:uid="{8BE12691-1DA8-4A83-B646-1D7C1D817E7D}"/>
    <hyperlink ref="B1433" r:id="rId1424" xr:uid="{C51BE96E-61C6-455A-881A-33BC853BD4E3}"/>
    <hyperlink ref="B1434" r:id="rId1425" xr:uid="{FC8106FA-2F6A-43F2-888A-531C56B9C48D}"/>
    <hyperlink ref="B1435" r:id="rId1426" xr:uid="{869A386E-C162-417D-B82A-C18C6B6EE0D9}"/>
    <hyperlink ref="B1436" r:id="rId1427" xr:uid="{B073855A-DDFD-463B-A1B9-81D2D278E429}"/>
    <hyperlink ref="B1437" r:id="rId1428" xr:uid="{6D811465-B3C1-4443-B95C-5D9BC2F77FE5}"/>
    <hyperlink ref="B1438" r:id="rId1429" xr:uid="{968D10DC-F7BC-4850-B2AA-9D6048486154}"/>
    <hyperlink ref="B1439" r:id="rId1430" xr:uid="{41E0EB30-3E8B-4C48-BBFB-DDF1DF92EF78}"/>
    <hyperlink ref="B1440" r:id="rId1431" xr:uid="{4D1A7E4F-D5F1-4E18-A771-E7D607880266}"/>
    <hyperlink ref="B1441" r:id="rId1432" xr:uid="{E33C4ABD-5543-414B-A0CF-B8E59CDE950B}"/>
    <hyperlink ref="B1442" r:id="rId1433" xr:uid="{3CBBEFEE-F2BC-4FC1-AED4-F3021C391CEB}"/>
    <hyperlink ref="B1443" r:id="rId1434" xr:uid="{99C4D275-3CA6-4311-8E71-E964121217AB}"/>
    <hyperlink ref="B1444" r:id="rId1435" xr:uid="{66BECAC2-EAEC-4FD0-A37A-678EE5DEA3D9}"/>
    <hyperlink ref="B1445" r:id="rId1436" xr:uid="{205C4EDF-B6DA-4A89-8917-F9B7698952F3}"/>
    <hyperlink ref="B1446" r:id="rId1437" xr:uid="{1F85DD67-AE22-4B3A-B5C3-503758352E32}"/>
    <hyperlink ref="B1447" r:id="rId1438" xr:uid="{9EFCBC55-F68E-4369-872F-B24A94AC6608}"/>
    <hyperlink ref="B1448" r:id="rId1439" xr:uid="{2B2C606E-B29D-4588-8106-E68F9529E040}"/>
    <hyperlink ref="B1449" r:id="rId1440" xr:uid="{1DE239F8-3DCB-4E4C-A8B9-AD71B26F6B41}"/>
    <hyperlink ref="B1450" r:id="rId1441" xr:uid="{72FFD190-3FDB-491F-A580-F9BC2B436B77}"/>
    <hyperlink ref="B1451" r:id="rId1442" xr:uid="{7FC7506D-C524-47C4-AC1F-FD7097C57490}"/>
    <hyperlink ref="B1452" r:id="rId1443" xr:uid="{0ACCEB07-8072-47F1-B668-38243F9158E1}"/>
    <hyperlink ref="B1453" r:id="rId1444" xr:uid="{3B5C8378-31EA-494A-AAC4-466A43AD92A3}"/>
    <hyperlink ref="B1454" r:id="rId1445" xr:uid="{F92A4094-BD5C-4036-B3C6-2AE05C21B1F1}"/>
    <hyperlink ref="B1455" r:id="rId1446" xr:uid="{988CA75E-E910-43A2-9000-C886B43148A5}"/>
    <hyperlink ref="B1456" r:id="rId1447" xr:uid="{35526FFA-BADA-4A2E-AA7C-2C8B20D89E4E}"/>
    <hyperlink ref="B1457" r:id="rId1448" xr:uid="{3D2B73AC-A19D-4563-AB8E-FF666768647B}"/>
    <hyperlink ref="B1458" r:id="rId1449" xr:uid="{A55B11F3-F215-4191-B8D0-5FB9CA43928F}"/>
    <hyperlink ref="B1459" r:id="rId1450" xr:uid="{1013F2D6-2A40-4365-A0B1-2DE92BF6E8F9}"/>
    <hyperlink ref="B1460" r:id="rId1451" xr:uid="{D63419E3-E0C5-42F1-B074-14C9BD514AD7}"/>
    <hyperlink ref="B1461" r:id="rId1452" xr:uid="{5C3224CF-CF3C-4A57-A307-198BA1C29560}"/>
    <hyperlink ref="B1462" r:id="rId1453" xr:uid="{332EF362-BB21-46DF-994D-F209843D3870}"/>
    <hyperlink ref="B1463" r:id="rId1454" xr:uid="{4FF1B1F5-0F30-4323-9E08-35FBCE42FC69}"/>
    <hyperlink ref="B1464" r:id="rId1455" xr:uid="{00771B9B-8C60-4100-9488-D2FE01186A06}"/>
    <hyperlink ref="B1465" r:id="rId1456" xr:uid="{38DC8687-D37F-4A4D-B0C1-094D1EB7BC83}"/>
    <hyperlink ref="B1466" r:id="rId1457" xr:uid="{12C461A7-E7F4-436B-AFDD-2B567686532D}"/>
    <hyperlink ref="B1467" r:id="rId1458" xr:uid="{32B34D02-4156-451E-9589-E76CD867380E}"/>
    <hyperlink ref="B1468" r:id="rId1459" xr:uid="{C1599A7F-51DD-49BB-9D88-EC214D4B5290}"/>
    <hyperlink ref="B1469" r:id="rId1460" xr:uid="{CDF92341-22C1-4292-B3AD-36FF3B835553}"/>
    <hyperlink ref="B1470" r:id="rId1461" xr:uid="{9A36E67A-8A38-4A3B-BE4A-9C1444DBD1CD}"/>
    <hyperlink ref="B1471" r:id="rId1462" xr:uid="{2D84D6DE-52B4-4D0C-90E5-7E50A02DA195}"/>
    <hyperlink ref="B1472" r:id="rId1463" xr:uid="{73419F4F-B103-475B-AFC8-C118C77368C9}"/>
    <hyperlink ref="B1473" r:id="rId1464" xr:uid="{BC4DB119-540C-4E2E-86A1-B6336E905177}"/>
    <hyperlink ref="B1474" r:id="rId1465" xr:uid="{5842C441-7A3D-40BE-B3D4-2E6F97CC0176}"/>
    <hyperlink ref="B1475" r:id="rId1466" xr:uid="{E2FA0901-B3DF-4621-890C-D6FC9F754DC6}"/>
    <hyperlink ref="B1476" r:id="rId1467" xr:uid="{398E5C9B-081A-45DE-A26B-0454BF69FEDF}"/>
    <hyperlink ref="B1477" r:id="rId1468" xr:uid="{5BFAA4D7-67F2-4453-B692-6911FB4D1603}"/>
    <hyperlink ref="B1478" r:id="rId1469" xr:uid="{46CF2782-14AE-4DF8-B0D7-A4E92E9B97BB}"/>
    <hyperlink ref="B1479" r:id="rId1470" xr:uid="{51466043-7744-4C1C-B433-7BA28277843E}"/>
    <hyperlink ref="B1480" r:id="rId1471" xr:uid="{74CAF6A7-0E55-4EEF-9CA9-B00EBFD42B27}"/>
    <hyperlink ref="B1481" r:id="rId1472" xr:uid="{14C39EDE-EA87-4BAB-BB7C-1707863CB26B}"/>
    <hyperlink ref="B1482" r:id="rId1473" xr:uid="{DA1BFE87-16C9-4ADB-B075-F80F1FA5D8B1}"/>
    <hyperlink ref="B1483" r:id="rId1474" xr:uid="{50A6FCDE-38E3-4921-851F-67398E3BFC56}"/>
    <hyperlink ref="B1484" r:id="rId1475" xr:uid="{6AA06179-8180-4D03-B10D-09C03AC62CE5}"/>
    <hyperlink ref="B1485" r:id="rId1476" xr:uid="{CD9CC8BE-05D4-47D8-8F47-B3892AF23895}"/>
    <hyperlink ref="B1486" r:id="rId1477" xr:uid="{06F55B0F-C6BE-402E-B6AD-33833637A7C1}"/>
    <hyperlink ref="B1487" r:id="rId1478" xr:uid="{F1231111-7DFA-4975-A78B-CF37DB9B0BD0}"/>
    <hyperlink ref="B1488" r:id="rId1479" xr:uid="{6FAADD1B-03A4-4C20-945C-2B3081807C2B}"/>
    <hyperlink ref="B1489" r:id="rId1480" xr:uid="{A3D67823-7ED0-4523-84D3-B88F7121A57A}"/>
    <hyperlink ref="B1490" r:id="rId1481" xr:uid="{A2A79C51-2679-4B24-AD4D-844CF58901A1}"/>
    <hyperlink ref="B1491" r:id="rId1482" xr:uid="{A3631502-84F8-4546-A895-FD498036F2F6}"/>
    <hyperlink ref="B1492" r:id="rId1483" xr:uid="{8AD9A425-E0AC-4D9B-9000-AE929D6B7C84}"/>
    <hyperlink ref="B1493" r:id="rId1484" xr:uid="{906D7885-CB4D-461A-B684-9FF9CF019123}"/>
    <hyperlink ref="B1494" r:id="rId1485" xr:uid="{5FDDC3CB-5ABE-4CF8-ABCF-89402389B53B}"/>
    <hyperlink ref="B1495" r:id="rId1486" xr:uid="{D0DA0580-773E-415A-B870-B955A1AFBFD7}"/>
    <hyperlink ref="B1496" r:id="rId1487" xr:uid="{646DFA43-D758-4390-A1B6-3AB9820B3FBB}"/>
    <hyperlink ref="B1497" r:id="rId1488" xr:uid="{FE925AE1-82C7-45FB-BE4D-8999A9950AA2}"/>
    <hyperlink ref="B1498" r:id="rId1489" xr:uid="{8A30BF11-E896-4078-BDAA-373CF37DF901}"/>
    <hyperlink ref="B1499" r:id="rId1490" xr:uid="{F5226D3B-37F1-4595-A080-C3363CE822A7}"/>
    <hyperlink ref="B1500" r:id="rId1491" xr:uid="{BA9F02A9-D504-4B5F-8606-F7DD591491C9}"/>
    <hyperlink ref="B1501" r:id="rId1492" xr:uid="{6375802C-794A-46B5-963A-66431176398A}"/>
    <hyperlink ref="B1502" r:id="rId1493" xr:uid="{5CABA16A-5C1E-4AB2-9BBA-D75970CEF382}"/>
    <hyperlink ref="B1503" r:id="rId1494" xr:uid="{6610F74B-2A52-465F-99BD-DD37893A2C5A}"/>
    <hyperlink ref="B1504" r:id="rId1495" xr:uid="{A9C1BB6C-4C13-4F32-B8C6-0B76865595E4}"/>
    <hyperlink ref="B1505" r:id="rId1496" xr:uid="{B52C58B4-865C-46B8-8882-585A8D665932}"/>
    <hyperlink ref="B1506" r:id="rId1497" xr:uid="{8F7416EA-CB59-4D82-90E8-BE9822E5B6B1}"/>
    <hyperlink ref="B1507" r:id="rId1498" xr:uid="{63FF1419-3172-44B4-8BA7-A0E5A9CA5FF6}"/>
    <hyperlink ref="B1508" r:id="rId1499" xr:uid="{45C09671-CE5C-4E32-831F-938F097AE3AD}"/>
    <hyperlink ref="B1509" r:id="rId1500" xr:uid="{CA2C8F88-F3B4-4EB7-9277-C348706BB616}"/>
    <hyperlink ref="B1510" r:id="rId1501" xr:uid="{D4735C69-85DC-43A2-A218-8130CC629A81}"/>
    <hyperlink ref="B1511" r:id="rId1502" xr:uid="{832B3020-A0FF-43EB-9989-81A09C1D2E81}"/>
    <hyperlink ref="B1512" r:id="rId1503" xr:uid="{6B4928C8-4257-4DA2-9EBD-C01B757842AE}"/>
    <hyperlink ref="B1513" r:id="rId1504" xr:uid="{E8000870-357B-4A7F-9A75-82FC859B7D1A}"/>
    <hyperlink ref="B1514" r:id="rId1505" xr:uid="{76A899CB-2510-4CD2-B9A3-820B37710552}"/>
    <hyperlink ref="B1515" r:id="rId1506" xr:uid="{6C123AC1-C844-4261-8AA8-6F4E2E942A9F}"/>
    <hyperlink ref="B1516" r:id="rId1507" xr:uid="{25788B59-34A1-4883-BB1F-29B781B7A828}"/>
    <hyperlink ref="B1517" r:id="rId1508" xr:uid="{3D7194F9-8857-4DAB-8293-945E1BD305D9}"/>
    <hyperlink ref="B1518" r:id="rId1509" xr:uid="{7DE8386B-6E4F-4FD9-9CC0-0732EA4086B5}"/>
    <hyperlink ref="B1519" r:id="rId1510" xr:uid="{C2554340-4ADE-4FDD-9932-EB55A9ABC6DA}"/>
    <hyperlink ref="B1520" r:id="rId1511" xr:uid="{AB5B5C00-94FB-4374-8843-50B16F0DA239}"/>
    <hyperlink ref="B1521" r:id="rId1512" xr:uid="{39AB80BC-36C4-46B9-B329-F7D5E951006C}"/>
    <hyperlink ref="B1522" r:id="rId1513" xr:uid="{FF994698-BE06-4660-9934-9C562C03B090}"/>
    <hyperlink ref="B1523" r:id="rId1514" xr:uid="{302739F8-D05D-4E72-8FBB-58B60A18EFA5}"/>
    <hyperlink ref="B1524" r:id="rId1515" xr:uid="{A1CE66D3-7563-4CF3-96A3-612A2FD7678F}"/>
    <hyperlink ref="B1525" r:id="rId1516" xr:uid="{2BFC37C3-9D2F-4BD9-AC93-E3AA576DBF4C}"/>
    <hyperlink ref="B1526" r:id="rId1517" xr:uid="{54DF63D6-40CA-485B-B1AA-ADEBD708312C}"/>
    <hyperlink ref="B1527" r:id="rId1518" xr:uid="{41A1F90B-D53D-45D3-8EA7-C4DC451F99D5}"/>
    <hyperlink ref="B1528" r:id="rId1519" xr:uid="{FCAB49EC-ECB1-48D0-8BEF-07CC8D848AAE}"/>
    <hyperlink ref="B1529" r:id="rId1520" xr:uid="{8B0C3FFA-5483-4F31-81A4-6375C6FE0B64}"/>
    <hyperlink ref="B1530" r:id="rId1521" xr:uid="{2F12B7C5-DDEB-4C6C-90AE-EEF7C5C24CB0}"/>
    <hyperlink ref="B1531" r:id="rId1522" xr:uid="{C4B13DF9-4F24-4969-BBE5-69E660A85CAF}"/>
    <hyperlink ref="B1532" r:id="rId1523" xr:uid="{E55B3608-AA09-4977-8D6A-A93344606479}"/>
    <hyperlink ref="B1533" r:id="rId1524" xr:uid="{9F931E3F-76BE-4FD2-BA50-9A02B45742C5}"/>
    <hyperlink ref="B1534" r:id="rId1525" xr:uid="{BCFEE0C7-3E4E-40CC-BB5B-C3DABE740AD5}"/>
    <hyperlink ref="B1535" r:id="rId1526" xr:uid="{75B22AD9-57EE-4CA5-A463-F13C6708E7BA}"/>
    <hyperlink ref="B1536" r:id="rId1527" xr:uid="{A26D69CF-A867-4456-AA45-541C900C1714}"/>
    <hyperlink ref="B1537" r:id="rId1528" xr:uid="{052B531F-6EE6-4CA5-AC4A-916B29A7263A}"/>
    <hyperlink ref="B1538" r:id="rId1529" xr:uid="{2AF9B7BD-64E8-4A1B-B8F1-CC131181EEA5}"/>
    <hyperlink ref="B1539" r:id="rId1530" xr:uid="{93FED953-4E42-4875-8E8B-C223DCA6DCE4}"/>
    <hyperlink ref="B1540" r:id="rId1531" xr:uid="{2757A021-9079-4A74-8100-7AFE967E9AD0}"/>
    <hyperlink ref="B1541" r:id="rId1532" xr:uid="{9075C621-A532-4CB0-BADA-C60D29850E04}"/>
    <hyperlink ref="B1542" r:id="rId1533" xr:uid="{D587ED82-11CE-4048-8F41-A97B3ED29BA0}"/>
    <hyperlink ref="B1543" r:id="rId1534" xr:uid="{A6C3F266-8F3F-4CE5-8574-D49399034C8F}"/>
    <hyperlink ref="B1544" r:id="rId1535" xr:uid="{CAABD292-C60B-4D0A-AE8E-520651E87F88}"/>
    <hyperlink ref="B1545" r:id="rId1536" xr:uid="{6637E465-F5F6-4C8B-A50D-A53AF4D92AE1}"/>
    <hyperlink ref="B1546" r:id="rId1537" xr:uid="{3EACC208-717C-498C-8E16-AB510EB28538}"/>
    <hyperlink ref="B1547" r:id="rId1538" xr:uid="{B2FBFBF0-FF84-4BC0-AE00-F6D766FCF7D8}"/>
    <hyperlink ref="B1548" r:id="rId1539" xr:uid="{420B03EF-3B0C-4983-AEDA-44C755BFE922}"/>
    <hyperlink ref="B1549" r:id="rId1540" xr:uid="{6E77D8D8-EA99-44E2-98AE-1A88BD7CD28C}"/>
    <hyperlink ref="B1550" r:id="rId1541" xr:uid="{DD8FFFC7-8B5B-4643-AAD3-D9ECC687A386}"/>
    <hyperlink ref="B1551" r:id="rId1542" xr:uid="{15C5C1E7-FC8B-4800-A4AB-220CF37CAFAE}"/>
    <hyperlink ref="B1552" r:id="rId1543" xr:uid="{BDFB152E-15D0-43E2-A8DE-CC93032C9919}"/>
    <hyperlink ref="B1553" r:id="rId1544" xr:uid="{9D8A4F73-51D1-41B9-B614-ADA1C838CCC5}"/>
    <hyperlink ref="B1554" r:id="rId1545" xr:uid="{14339FFD-07DD-4B3B-B140-BB84BA729775}"/>
    <hyperlink ref="B1555" r:id="rId1546" xr:uid="{9613E9FF-E6BA-4D72-AD7B-A7FBC9FA9480}"/>
    <hyperlink ref="B1556" r:id="rId1547" xr:uid="{4D0F524F-D937-466D-B019-7920F63E6F9B}"/>
    <hyperlink ref="B1557" r:id="rId1548" xr:uid="{1E4A2996-F5F7-4E71-B493-4815A62D9368}"/>
    <hyperlink ref="B1558" r:id="rId1549" xr:uid="{60B40008-53BD-4EAF-958B-9BEEC889C819}"/>
    <hyperlink ref="B1559" r:id="rId1550" xr:uid="{2E712F4A-E402-4CAC-9CC2-B0CCBC6FD331}"/>
    <hyperlink ref="B1560" r:id="rId1551" xr:uid="{B03D4281-C178-4791-BC37-8178F0A0B3A5}"/>
    <hyperlink ref="B1561" r:id="rId1552" xr:uid="{D77B754F-58FE-4DC7-AF45-C2BF7C470214}"/>
    <hyperlink ref="B1562" r:id="rId1553" xr:uid="{D249CBE9-E286-4153-AB5C-512DE8E96B46}"/>
    <hyperlink ref="B1563" r:id="rId1554" xr:uid="{1A9EA9B7-71A4-4111-A3BE-5BD289D61481}"/>
    <hyperlink ref="B1564" r:id="rId1555" xr:uid="{DA375B8F-0940-4894-A4C3-78BD6A4E3EB7}"/>
    <hyperlink ref="B1565" r:id="rId1556" xr:uid="{9DE6E7FE-A09C-4CD1-AF4B-F5EFBB97996C}"/>
    <hyperlink ref="B1566" r:id="rId1557" xr:uid="{6E227139-096A-45B2-88E2-026D3FA5CE77}"/>
    <hyperlink ref="B1567" r:id="rId1558" xr:uid="{8AC6CEB4-FFF1-48D5-A89D-3A5FFB88EC94}"/>
    <hyperlink ref="B1568" r:id="rId1559" xr:uid="{F7BCA848-B250-4403-92EF-07A078BE99C4}"/>
    <hyperlink ref="B1569" r:id="rId1560" xr:uid="{8CC26806-B273-4D23-8CB1-87F17AAE8922}"/>
    <hyperlink ref="B1570" r:id="rId1561" xr:uid="{1551C357-A977-4DC3-BB6D-1368191BF786}"/>
    <hyperlink ref="B1571" r:id="rId1562" xr:uid="{F2ED97E2-C78F-4D87-B518-3076CA2D35A6}"/>
    <hyperlink ref="B1572" r:id="rId1563" xr:uid="{8AD6292E-631E-4039-A618-ED6258827F14}"/>
    <hyperlink ref="B1573" r:id="rId1564" xr:uid="{81BA0CCE-7BA1-45A9-B65B-3FB19E0965E1}"/>
    <hyperlink ref="B1574" r:id="rId1565" xr:uid="{A2AB395E-000C-4585-A143-97790BC9D8B8}"/>
    <hyperlink ref="B1575" r:id="rId1566" xr:uid="{12A96F47-CCFB-417D-BFB7-9EC2A8D5267A}"/>
    <hyperlink ref="B1576" r:id="rId1567" xr:uid="{92873204-9AA7-4AE8-A2B2-99D5EBEE5913}"/>
    <hyperlink ref="B1577" r:id="rId1568" xr:uid="{CA74C8D8-7200-47B4-B685-06AC34C50D80}"/>
    <hyperlink ref="B1578" r:id="rId1569" xr:uid="{BD8245AA-945E-41CA-A1A5-B553DFA7CE77}"/>
    <hyperlink ref="B1579" r:id="rId1570" xr:uid="{9F226AD4-C460-40A9-ADDA-177AE08B765B}"/>
    <hyperlink ref="B1580" r:id="rId1571" xr:uid="{FA8B2A25-CE73-40F0-A758-D57EA90AA9FB}"/>
    <hyperlink ref="B1581" r:id="rId1572" xr:uid="{126FA774-D590-4DD1-8D70-93DC916D8B07}"/>
    <hyperlink ref="B1582" r:id="rId1573" xr:uid="{66795F5A-0CBF-4DDA-9C12-748C005B4B1B}"/>
    <hyperlink ref="B1583" r:id="rId1574" xr:uid="{D3F6A756-58EC-4517-BEEA-858925A15EAC}"/>
    <hyperlink ref="B1584" r:id="rId1575" xr:uid="{08B150CB-925F-4EC8-8C59-7A69477C3E81}"/>
    <hyperlink ref="B1585" r:id="rId1576" xr:uid="{473664ED-67EE-46A1-9D3A-6EC0E133644E}"/>
    <hyperlink ref="B1586" r:id="rId1577" xr:uid="{9576AF1D-8861-4DA8-A021-6F1233021ECB}"/>
    <hyperlink ref="B1587" r:id="rId1578" xr:uid="{DEB08F4D-0678-4840-8370-B2B5ADFA11AC}"/>
    <hyperlink ref="B1588" r:id="rId1579" xr:uid="{74B14B11-0517-4B90-A516-B8A3B999CC77}"/>
    <hyperlink ref="B1589" r:id="rId1580" xr:uid="{514592A1-F8BF-4B38-8F39-6350AEE31489}"/>
    <hyperlink ref="B1590" r:id="rId1581" xr:uid="{31E8897D-2390-4D08-9CFA-B2712CDB19AA}"/>
    <hyperlink ref="B1591" r:id="rId1582" xr:uid="{8B2DA889-BBA9-4474-8707-BA059F31ED1A}"/>
    <hyperlink ref="B1592" r:id="rId1583" xr:uid="{0AAF9013-022A-4AE9-A1A2-C86B8EF2E1FC}"/>
    <hyperlink ref="B1593" r:id="rId1584" xr:uid="{3B9FFE83-0D42-4471-9E9E-F11FCF8A979F}"/>
    <hyperlink ref="B1594" r:id="rId1585" xr:uid="{EAA22AB7-EDA7-49E9-A666-AF575879AD23}"/>
    <hyperlink ref="B1595" r:id="rId1586" xr:uid="{882B17C7-BE7F-4600-8579-4617ADF2F653}"/>
    <hyperlink ref="B1596" r:id="rId1587" xr:uid="{349B07F4-8B00-4F11-9AD6-CF3B4AF030E1}"/>
    <hyperlink ref="B1597" r:id="rId1588" xr:uid="{B0F3901D-EDC2-4D03-B090-D9A2AD1D0E7E}"/>
    <hyperlink ref="B1598" r:id="rId1589" xr:uid="{3E8D91FE-8277-44D7-B01C-FE2962A74570}"/>
    <hyperlink ref="B1599" r:id="rId1590" xr:uid="{E35EA738-76A2-471E-9FB7-D1DEBAEA4A25}"/>
    <hyperlink ref="B1600" r:id="rId1591" xr:uid="{C659EF33-E227-4221-B0F9-9EE9D37CC093}"/>
    <hyperlink ref="B1601" r:id="rId1592" xr:uid="{BDDCEB7E-2424-49AB-86DC-F1302CEDD904}"/>
    <hyperlink ref="B1602" r:id="rId1593" xr:uid="{3EB85705-36A1-4499-87A4-E0B12610AA6B}"/>
    <hyperlink ref="B1603" r:id="rId1594" xr:uid="{F80515CD-628C-4142-B0CD-3D80BDD17C98}"/>
    <hyperlink ref="B1604" r:id="rId1595" xr:uid="{1E40049F-3F1D-4A47-8A99-731F1345E2A2}"/>
    <hyperlink ref="B1605" r:id="rId1596" xr:uid="{C1226B42-045A-4BF9-ABDF-5EB193686F45}"/>
    <hyperlink ref="B1606" r:id="rId1597" xr:uid="{11581149-415A-4486-B96A-24E144FEFB1B}"/>
    <hyperlink ref="B1607" r:id="rId1598" xr:uid="{D3835347-1362-4F1C-BA62-B58A2C8CD68A}"/>
    <hyperlink ref="B1608" r:id="rId1599" xr:uid="{1DB4DBB6-D6CE-491D-A48C-9BC35D8E99A7}"/>
    <hyperlink ref="B1609" r:id="rId1600" xr:uid="{74C38AD3-159D-456D-A5A5-8BE1174941F2}"/>
    <hyperlink ref="B1610" r:id="rId1601" xr:uid="{9030B974-6659-45E3-867B-3AA785FB747F}"/>
    <hyperlink ref="B1611" r:id="rId1602" xr:uid="{DD86D86E-A1BB-451A-AA20-CBAD3A15BA62}"/>
    <hyperlink ref="B1612" r:id="rId1603" xr:uid="{C77D80EF-AA5D-4AED-ADC6-E989AB96BC1D}"/>
    <hyperlink ref="B1613" r:id="rId1604" xr:uid="{2F5EE060-637C-4CC2-8269-A390EAC69C58}"/>
    <hyperlink ref="B1614" r:id="rId1605" xr:uid="{AB67EA37-0817-459D-B003-0D3A0BF1A6D2}"/>
    <hyperlink ref="B1615" r:id="rId1606" xr:uid="{EAF8533D-E44B-44A7-924D-B324BEA28F83}"/>
    <hyperlink ref="B1616" r:id="rId1607" xr:uid="{F5490F96-79E8-44B1-9929-C6E5F47A1EC1}"/>
    <hyperlink ref="B1617" r:id="rId1608" xr:uid="{537B979B-BFB7-4E1B-8C08-D03C2E0C4893}"/>
    <hyperlink ref="B1618" r:id="rId1609" xr:uid="{CF8A966E-5BA5-4A81-AEB6-64D27B744512}"/>
    <hyperlink ref="B1619" r:id="rId1610" xr:uid="{51468334-C6BD-47BA-AFF2-70C0774EFE19}"/>
    <hyperlink ref="B1620" r:id="rId1611" xr:uid="{AF38845F-34BB-4862-86E3-ADC641E8DE61}"/>
    <hyperlink ref="B1621" r:id="rId1612" xr:uid="{FEA74590-3AA8-4AD7-8405-B2C2060E8FEA}"/>
    <hyperlink ref="B1622" r:id="rId1613" xr:uid="{A5FA50CE-3827-4165-A973-9B85A9822F5C}"/>
    <hyperlink ref="B1623" r:id="rId1614" xr:uid="{122DEE4F-0617-43FB-BBF0-B23E23C828FA}"/>
    <hyperlink ref="B1624" r:id="rId1615" xr:uid="{3517ADE3-5827-45CA-A347-FDE6C8589CF0}"/>
    <hyperlink ref="B1625" r:id="rId1616" xr:uid="{989B8327-1A87-42FB-A952-316C91B0740B}"/>
    <hyperlink ref="B1626" r:id="rId1617" xr:uid="{1FA8DD96-CB02-462A-A598-362BE26BA33C}"/>
    <hyperlink ref="B1627" r:id="rId1618" xr:uid="{7224EB97-5F0E-4330-8038-F62C1AAC8CCB}"/>
    <hyperlink ref="B1628" r:id="rId1619" xr:uid="{83FF3A0B-6D4E-42B7-984A-D60AB0374934}"/>
    <hyperlink ref="B1629" r:id="rId1620" xr:uid="{BFC431E2-7D58-4FD5-926E-EBA5C631D326}"/>
    <hyperlink ref="B1630" r:id="rId1621" xr:uid="{78AC2247-56CE-40C4-89F1-ABB0116A75F3}"/>
    <hyperlink ref="B1631" r:id="rId1622" xr:uid="{00F9DB90-2486-4665-B2BB-D43350675882}"/>
    <hyperlink ref="B1632" r:id="rId1623" xr:uid="{3E66B3D4-C09E-4ACD-BD65-FFF5B6AED6CF}"/>
    <hyperlink ref="B1633" r:id="rId1624" xr:uid="{01D9646A-AC96-4F86-91C0-D9B29C026793}"/>
    <hyperlink ref="B1634" r:id="rId1625" xr:uid="{1012B6E5-C6B8-4ACC-99AF-1F47E7074997}"/>
    <hyperlink ref="B1635" r:id="rId1626" xr:uid="{4ACCDFC6-8059-4999-A698-6C1307ADB500}"/>
    <hyperlink ref="B1636" r:id="rId1627" xr:uid="{6E6A0862-FC1C-4DF9-8E70-5F785F1BE777}"/>
    <hyperlink ref="B1637" r:id="rId1628" xr:uid="{74164ACC-A1C9-453D-87A7-35C45971ADB8}"/>
    <hyperlink ref="B1638" r:id="rId1629" xr:uid="{347D9BC6-BA78-4F6F-9D05-96BC2388FD40}"/>
    <hyperlink ref="B1639" r:id="rId1630" xr:uid="{B74E3D6F-5393-436D-A095-E7DB7DA73F57}"/>
    <hyperlink ref="B1640" r:id="rId1631" xr:uid="{14B1A2F9-27A3-4651-899C-2500E5D161A4}"/>
    <hyperlink ref="B1641" r:id="rId1632" xr:uid="{6ABAEDAB-1C43-420B-BD5B-F008118FABF1}"/>
    <hyperlink ref="B1642" r:id="rId1633" xr:uid="{305B15ED-6D09-4225-BE43-DA220297FD0C}"/>
    <hyperlink ref="B1643" r:id="rId1634" xr:uid="{22B3AFB8-ADC9-48F4-925F-26C130E4EB15}"/>
    <hyperlink ref="B1644" r:id="rId1635" xr:uid="{FA906632-5EA0-43A1-B962-B5E76C4EC86B}"/>
    <hyperlink ref="B1645" r:id="rId1636" xr:uid="{13AF7366-632C-4E2C-AF64-BDB162C5E276}"/>
    <hyperlink ref="B1646" r:id="rId1637" xr:uid="{485F3D62-B9EB-4EA2-A2E0-B92CEB87DC81}"/>
    <hyperlink ref="B1647" r:id="rId1638" xr:uid="{82357088-6550-41E2-B33F-6232567905B9}"/>
    <hyperlink ref="B1648" r:id="rId1639" xr:uid="{D969A06A-522E-484F-B11F-E2A4A4C100EE}"/>
    <hyperlink ref="B1649" r:id="rId1640" xr:uid="{70E0FA98-64FC-46D3-9CB3-8E3A0C8C906A}"/>
    <hyperlink ref="B1651" r:id="rId1641" xr:uid="{1C5D5C08-E4D7-45F8-8CF7-6F3A44557E21}"/>
    <hyperlink ref="B1652" r:id="rId1642" xr:uid="{6854F200-2006-4E96-A5DC-F80601D0B640}"/>
    <hyperlink ref="B1653" r:id="rId1643" xr:uid="{1B42ECA6-7BEF-4325-A074-67A00E1D39FB}"/>
    <hyperlink ref="B1654" r:id="rId1644" xr:uid="{3E41708B-183C-48E4-9A88-6C31124A62D8}"/>
    <hyperlink ref="B1655" r:id="rId1645" xr:uid="{DDD02E91-A14E-4F7F-AFA9-1827EB103E50}"/>
    <hyperlink ref="B1656" r:id="rId1646" xr:uid="{F165BE22-F778-48EC-99E7-FE86C4DED2C6}"/>
    <hyperlink ref="B1657" r:id="rId1647" xr:uid="{E69A21D7-AB3C-4291-AA7E-BCB6A60510D7}"/>
    <hyperlink ref="B1658" r:id="rId1648" xr:uid="{BF1B5AFD-F800-44D3-BC9B-0229F6CDF2A0}"/>
    <hyperlink ref="B1659" r:id="rId1649" xr:uid="{9056C85F-86B4-46F2-87FC-502119B3E74E}"/>
    <hyperlink ref="B1660" r:id="rId1650" xr:uid="{7AB2C658-3CF5-46E9-A2A6-D8ADF1350652}"/>
    <hyperlink ref="B1661" r:id="rId1651" xr:uid="{49186854-EB5B-4E50-81A7-CCC1DD674AD9}"/>
    <hyperlink ref="B1662" r:id="rId1652" xr:uid="{68A91C63-9C70-4EB8-8F98-52A438134F17}"/>
    <hyperlink ref="B1663" r:id="rId1653" xr:uid="{F5C42B38-36E0-49C9-8FB6-E1818BEFB888}"/>
    <hyperlink ref="B1664" r:id="rId1654" xr:uid="{59FB5F33-4A40-444F-BC71-DA7AA46665C5}"/>
    <hyperlink ref="B1665" r:id="rId1655" xr:uid="{4864B6CF-85A2-4302-BB0A-5C954437A81F}"/>
    <hyperlink ref="B1666" r:id="rId1656" xr:uid="{882049CB-E8CD-4F27-97D4-99C1481BC448}"/>
    <hyperlink ref="B1667" r:id="rId1657" xr:uid="{1E997B6E-F02F-4A14-A0E9-5A41C07F09D2}"/>
    <hyperlink ref="B1668" r:id="rId1658" xr:uid="{4D25D7EC-709D-4F87-978C-551EC48518F3}"/>
    <hyperlink ref="B1669" r:id="rId1659" xr:uid="{7FB5383B-812A-4C01-86C3-E83A84BCAEE4}"/>
    <hyperlink ref="B1670" r:id="rId1660" xr:uid="{AA9DC4B8-FD63-45BD-9364-8D68E92BD742}"/>
    <hyperlink ref="B1671" r:id="rId1661" xr:uid="{8867C103-EEF9-4091-9C1E-90800DB0051F}"/>
    <hyperlink ref="B1672" r:id="rId1662" xr:uid="{FAB7517B-1345-4FFB-B82E-8EF800096DFD}"/>
    <hyperlink ref="B1673" r:id="rId1663" xr:uid="{6CF65D30-9F56-4058-8324-95E44B1CA596}"/>
    <hyperlink ref="B1674" r:id="rId1664" xr:uid="{A796F8D9-BBCE-40C3-82A2-45B447A85CF3}"/>
    <hyperlink ref="B1675" r:id="rId1665" xr:uid="{176D60D6-7AE6-4B08-A921-A0DFCF0FF72D}"/>
    <hyperlink ref="B1676" r:id="rId1666" xr:uid="{743368D3-9192-4AFB-A39B-ABC58A468227}"/>
    <hyperlink ref="B1677" r:id="rId1667" xr:uid="{24CEF114-15DE-4CA2-9F7A-0CEACDED3420}"/>
    <hyperlink ref="B1678" r:id="rId1668" xr:uid="{297523D7-374A-4CC9-8D92-48C1C8E3C693}"/>
    <hyperlink ref="B1679" r:id="rId1669" xr:uid="{909A64EF-8582-4C02-B150-C11EB4092119}"/>
    <hyperlink ref="B1680" r:id="rId1670" xr:uid="{20A14CAA-9710-4ECD-B554-B7CBA5DEB96A}"/>
    <hyperlink ref="B1681" r:id="rId1671" xr:uid="{38DC6836-728F-47A6-9A5B-CE7F47BF43F3}"/>
    <hyperlink ref="B1682" r:id="rId1672" xr:uid="{2EF5C457-1A1B-4162-A497-69BACB30B830}"/>
    <hyperlink ref="B1683" r:id="rId1673" xr:uid="{F9D97F80-23BB-4E1B-BDFE-C9049CCEC440}"/>
    <hyperlink ref="B1684" r:id="rId1674" xr:uid="{47EC1619-D36B-4866-BC34-2D44E9F37C65}"/>
    <hyperlink ref="B1685" r:id="rId1675" xr:uid="{FED0FE63-53E4-4E5C-9A61-C46ABBE20927}"/>
    <hyperlink ref="B1686" r:id="rId1676" xr:uid="{E8AEA4DF-5584-47C7-AD2F-C46F71EEA37D}"/>
    <hyperlink ref="B1687" r:id="rId1677" xr:uid="{228D1C42-6B9B-4678-973E-B25432C1DF00}"/>
    <hyperlink ref="B1688" r:id="rId1678" xr:uid="{698FD77E-11FA-4FB1-8752-F0C86DFEDB3D}"/>
    <hyperlink ref="B1689" r:id="rId1679" xr:uid="{E343C8AC-860F-499B-97A9-31C8FF1B099E}"/>
    <hyperlink ref="B1690" r:id="rId1680" xr:uid="{6E43E092-788D-44DC-8F70-27EFD5D7C587}"/>
    <hyperlink ref="B1691" r:id="rId1681" xr:uid="{5861B4EE-885F-48FB-BF52-6320070D4F08}"/>
    <hyperlink ref="B1692" r:id="rId1682" xr:uid="{AC860140-EBD0-407D-9504-E9A0E6B5C4F8}"/>
    <hyperlink ref="B1693" r:id="rId1683" xr:uid="{860EEA4B-DED1-4FC2-9978-2899471A9C82}"/>
    <hyperlink ref="B1694" r:id="rId1684" xr:uid="{B518FE80-96C5-48CE-977B-040685C2EA17}"/>
    <hyperlink ref="B1695" r:id="rId1685" xr:uid="{BCF04929-1C69-4DBE-BB6C-CE2EE295E58A}"/>
    <hyperlink ref="B1696" r:id="rId1686" xr:uid="{9BCB59CD-EC74-4759-A40B-BEE378B69C51}"/>
    <hyperlink ref="B1697" r:id="rId1687" xr:uid="{483C9DC4-D1D2-4BE8-8A22-771EDCEB28E3}"/>
    <hyperlink ref="B1698" r:id="rId1688" xr:uid="{BCD319A8-6535-44D3-896B-2379FF160171}"/>
    <hyperlink ref="B1699" r:id="rId1689" xr:uid="{F889A117-D82A-4CB0-B490-828709D2E8BA}"/>
    <hyperlink ref="B1700" r:id="rId1690" xr:uid="{9993E44B-1285-45D2-88FD-E59A5B9A6D98}"/>
    <hyperlink ref="B1701" r:id="rId1691" xr:uid="{E8E5AC0B-121F-4CCD-BBBC-51768C0D3346}"/>
    <hyperlink ref="B1702" r:id="rId1692" xr:uid="{2D5546B6-BDE6-4805-85EE-E2851F67C20A}"/>
    <hyperlink ref="B1703" r:id="rId1693" xr:uid="{60A18D57-40E2-4878-AE78-8193682545F9}"/>
    <hyperlink ref="B1704" r:id="rId1694" xr:uid="{917EB541-1F11-4D2A-B127-DE1212DE58B4}"/>
    <hyperlink ref="B1705" r:id="rId1695" xr:uid="{9471AABD-6985-47CE-89D4-C0DEAEAAD074}"/>
    <hyperlink ref="B1706" r:id="rId1696" xr:uid="{BBDC0A28-BCDA-43F4-952D-D278AE6A682D}"/>
    <hyperlink ref="B1707" r:id="rId1697" xr:uid="{56C97B9F-9535-4361-B221-FAA91412C5A7}"/>
    <hyperlink ref="B1708" r:id="rId1698" xr:uid="{3C5554BD-D4C0-439F-A236-A0AC3F97279C}"/>
    <hyperlink ref="B1709" r:id="rId1699" xr:uid="{CD07636A-67E0-4F03-9838-42991EAE3320}"/>
    <hyperlink ref="B1710" r:id="rId1700" xr:uid="{59A3DC5A-D46A-4A54-8C15-025FC2BF0520}"/>
    <hyperlink ref="B1711" r:id="rId1701" xr:uid="{A633ED72-CC86-426B-87E2-C25C4D5A0FE1}"/>
    <hyperlink ref="B1712" r:id="rId1702" xr:uid="{2440566D-3CCD-40EF-9FF1-CA68B106896B}"/>
    <hyperlink ref="B1713" r:id="rId1703" xr:uid="{73F6CE55-5E1A-48C6-8E32-6091BFE86C09}"/>
    <hyperlink ref="B1714" r:id="rId1704" xr:uid="{B1202507-0F54-4F1A-97CC-FC4A3A97C4A8}"/>
    <hyperlink ref="B1715" r:id="rId1705" xr:uid="{C2BEA0E7-B7C5-4838-8F7A-DEE883679D7A}"/>
    <hyperlink ref="B1716" r:id="rId1706" xr:uid="{3AE80A20-266F-471E-A248-13F2CE288960}"/>
    <hyperlink ref="B1717" r:id="rId1707" xr:uid="{B8496C8F-47C4-42BA-B13C-63D7F83F379D}"/>
    <hyperlink ref="B1718" r:id="rId1708" xr:uid="{47B9CF8E-C24A-47AD-9308-C04CF239CFD9}"/>
    <hyperlink ref="B1719" r:id="rId1709" xr:uid="{3352246A-77A3-4E02-B880-1582828C7D03}"/>
    <hyperlink ref="B1720" r:id="rId1710" xr:uid="{05117150-9244-4DC5-ADD5-EDA694AB992B}"/>
    <hyperlink ref="B1721" r:id="rId1711" xr:uid="{C59F0771-05E5-425A-BD8A-EDF6F2BD1E53}"/>
    <hyperlink ref="B1722" r:id="rId1712" xr:uid="{A837CE5C-42F4-496B-B507-640D1F7122F6}"/>
    <hyperlink ref="B1723" r:id="rId1713" xr:uid="{C3C1060C-9B4D-409C-854B-D053A2608F6D}"/>
    <hyperlink ref="B1724" r:id="rId1714" xr:uid="{D1CE3AFD-44E1-43BE-ACE2-36246926ED29}"/>
    <hyperlink ref="B1725" r:id="rId1715" xr:uid="{47598870-0701-4C89-AC5B-010846431CD4}"/>
    <hyperlink ref="B1726" r:id="rId1716" xr:uid="{C7449563-0BA7-48F5-9488-1B96EBB5EAC6}"/>
    <hyperlink ref="B1727" r:id="rId1717" xr:uid="{D4A85083-14A9-4014-B62C-A12ABD58899F}"/>
    <hyperlink ref="B1728" r:id="rId1718" xr:uid="{DC959862-763C-4EC1-8FA1-422167012913}"/>
    <hyperlink ref="B1729" r:id="rId1719" xr:uid="{391B372C-1F0C-439A-901E-A75BF24F9779}"/>
    <hyperlink ref="B1730" r:id="rId1720" xr:uid="{02AF1075-4C31-4202-B540-84461C6CD3C9}"/>
    <hyperlink ref="B1731" r:id="rId1721" xr:uid="{663E2599-F2EA-4521-9C3B-40781AAB0BDE}"/>
    <hyperlink ref="B1732" r:id="rId1722" xr:uid="{0D59FEDB-9063-4296-91FD-695A54D5BE6F}"/>
    <hyperlink ref="B1733" r:id="rId1723" xr:uid="{0B11AFA0-34D8-4DFD-B254-13D1731EF77A}"/>
    <hyperlink ref="B1734" r:id="rId1724" xr:uid="{E669BAD7-96D7-4E0D-9DE3-66FF7843C9C8}"/>
    <hyperlink ref="B1735" r:id="rId1725" xr:uid="{EA9575D7-0CD7-4719-A995-556ACB9C4A8E}"/>
    <hyperlink ref="B1736" r:id="rId1726" xr:uid="{E4ECFA70-7F9C-4749-8107-0EF104DE52A2}"/>
    <hyperlink ref="B1737" r:id="rId1727" xr:uid="{80DF745C-0DF2-4495-B221-DF0EF262C842}"/>
    <hyperlink ref="B1738" r:id="rId1728" xr:uid="{5FD0FB25-421C-4CED-9BB8-3270F7910D18}"/>
    <hyperlink ref="B1739" r:id="rId1729" xr:uid="{EA8E214E-D36E-4122-8EC8-3C9406D349A4}"/>
    <hyperlink ref="B1740" r:id="rId1730" xr:uid="{428DDC69-DE95-4037-A0D7-2199CF66BB12}"/>
    <hyperlink ref="B1741" r:id="rId1731" xr:uid="{D3E3E697-3C65-46F1-94D8-C46DEAFB35A5}"/>
    <hyperlink ref="B1742" r:id="rId1732" xr:uid="{22EB9230-7295-4E5A-9EB0-518208C20C90}"/>
    <hyperlink ref="B1743" r:id="rId1733" xr:uid="{7ECA8431-FFE7-45F1-9C36-7B5F211AF00B}"/>
    <hyperlink ref="B1744" r:id="rId1734" xr:uid="{FC1B1DEE-E7A8-491F-B0FD-A7DD6EB74120}"/>
    <hyperlink ref="B1745" r:id="rId1735" xr:uid="{14B0CAA4-01C1-4F7E-8019-9440AF1BA1D2}"/>
    <hyperlink ref="B1746" r:id="rId1736" xr:uid="{8D8FF0E5-92B6-4C19-8841-F789B96129FE}"/>
    <hyperlink ref="B1747" r:id="rId1737" xr:uid="{1DE01AB1-0793-4233-8A29-37676963EE5C}"/>
    <hyperlink ref="B1748" r:id="rId1738" xr:uid="{372A38A3-FF87-48E9-8828-B6A2DBA098A0}"/>
    <hyperlink ref="B1749" r:id="rId1739" xr:uid="{D5249FD5-DE9F-47B0-9FEC-CC76763CDEE3}"/>
    <hyperlink ref="B1750" r:id="rId1740" xr:uid="{871210BE-2AA9-4BDF-80B9-F7CD69C2EFB6}"/>
    <hyperlink ref="B1751" r:id="rId1741" xr:uid="{7BF77774-BC75-4301-95B9-5A54CCE56ACF}"/>
    <hyperlink ref="B1752" r:id="rId1742" xr:uid="{ACA1C669-A1ED-4498-90EE-1280FF3F51F1}"/>
    <hyperlink ref="B1753" r:id="rId1743" xr:uid="{35661807-EC78-4884-8EF7-38AB10AD4D6B}"/>
    <hyperlink ref="B1754" r:id="rId1744" xr:uid="{D35CDA5C-E682-44DC-9E33-2A9D893A1297}"/>
    <hyperlink ref="B1755" r:id="rId1745" xr:uid="{669E6DE9-6113-42B0-AF9A-7250788B58E2}"/>
    <hyperlink ref="B1756" r:id="rId1746" xr:uid="{AB89CFFD-8B55-46FC-9788-E09037E22180}"/>
    <hyperlink ref="B1757" r:id="rId1747" xr:uid="{0A440EC9-34A0-4C0D-9956-F62C555BE5D2}"/>
    <hyperlink ref="B1758" r:id="rId1748" xr:uid="{9E35B4BC-0DAC-4116-949F-97D7B7839025}"/>
    <hyperlink ref="B1759" r:id="rId1749" xr:uid="{CEC6BC20-DBF9-4F6C-AD5E-4767395C7346}"/>
    <hyperlink ref="B1760" r:id="rId1750" xr:uid="{E1D953D3-24E9-47E9-BE35-83253307A9F3}"/>
    <hyperlink ref="B1761" r:id="rId1751" xr:uid="{FD99C27C-EDA5-4951-B236-B290EE74626F}"/>
    <hyperlink ref="B1762" r:id="rId1752" xr:uid="{87D0C635-30AF-4E96-BED9-F3E9DBDD9A68}"/>
    <hyperlink ref="B1763" r:id="rId1753" xr:uid="{C14CE8EF-067B-4172-AD4D-4612D86E8E19}"/>
    <hyperlink ref="B1764" r:id="rId1754" xr:uid="{5C85178D-0676-4BEC-BF45-CD4ACA9B693A}"/>
    <hyperlink ref="B1765" r:id="rId1755" xr:uid="{60880F3E-BCF4-4074-8D2E-FA6F28400471}"/>
    <hyperlink ref="B1766" r:id="rId1756" xr:uid="{0AA35143-D40E-4B69-9531-139D5EC46DEE}"/>
    <hyperlink ref="B1767" r:id="rId1757" xr:uid="{B09B883E-12B6-4209-A79C-9DD1B66A4323}"/>
    <hyperlink ref="B1768" r:id="rId1758" xr:uid="{73F729C5-C68D-4E63-AD75-9557C090C7BD}"/>
    <hyperlink ref="B1769" r:id="rId1759" xr:uid="{807F6C53-6BE9-4EFD-979A-7847A0AE77B9}"/>
    <hyperlink ref="B1770" r:id="rId1760" xr:uid="{1D47E1FF-D747-48D3-AC3F-0AFB1D11E204}"/>
    <hyperlink ref="B1771" r:id="rId1761" xr:uid="{2B66907A-D902-4C6E-A238-7485BD0BD2D2}"/>
    <hyperlink ref="B1772" r:id="rId1762" xr:uid="{BDB98472-366E-4643-97D9-2C6F5F898B21}"/>
    <hyperlink ref="B1773" r:id="rId1763" xr:uid="{5D1738AD-CC17-4868-A5C0-F0C574DED136}"/>
    <hyperlink ref="B1774" r:id="rId1764" xr:uid="{4EFF7FB4-FE7C-448E-A821-F9A4A0A2D156}"/>
    <hyperlink ref="B1775" r:id="rId1765" xr:uid="{46E01940-257D-447F-99D8-92DC94B63F30}"/>
    <hyperlink ref="B1776" r:id="rId1766" xr:uid="{530D148D-D848-4685-B282-FF97AECE0238}"/>
    <hyperlink ref="B1777" r:id="rId1767" xr:uid="{6F41761B-0554-49D4-8754-1DF70EE8EDCA}"/>
    <hyperlink ref="B1778" r:id="rId1768" xr:uid="{ED130093-5411-40A2-903E-F68CCEE51DEE}"/>
    <hyperlink ref="B1779" r:id="rId1769" xr:uid="{2544CFCA-ABCD-4B3A-80B9-C113A2B04EC0}"/>
    <hyperlink ref="B1780" r:id="rId1770" xr:uid="{43BA2795-D663-4A6C-838F-9CC47B91D518}"/>
    <hyperlink ref="B1781" r:id="rId1771" xr:uid="{58622A07-BDE9-427C-A1A1-14821921317A}"/>
    <hyperlink ref="B1782" r:id="rId1772" xr:uid="{DE50EC31-DEB9-4C1E-A711-0B7DD6E8986A}"/>
    <hyperlink ref="B1783" r:id="rId1773" xr:uid="{FBE7999C-B0D4-4F63-9155-C910D18B75AC}"/>
    <hyperlink ref="B1784" r:id="rId1774" xr:uid="{FD042B8F-C0E4-414D-AED2-4EA6C3373683}"/>
    <hyperlink ref="B1785" r:id="rId1775" xr:uid="{1E0CDA9A-DD9B-415B-A79A-8F40B8062546}"/>
    <hyperlink ref="B1786" r:id="rId1776" xr:uid="{DAC3D713-4D14-4E62-917F-7C59BF8273AE}"/>
    <hyperlink ref="B1787" r:id="rId1777" xr:uid="{3E6A0A6E-C228-4209-8297-FB108B0C18A4}"/>
    <hyperlink ref="B1788" r:id="rId1778" xr:uid="{B56E1DEE-D9CC-472A-9FBC-968E9C1B0F82}"/>
    <hyperlink ref="B1789" r:id="rId1779" xr:uid="{275A5656-300E-4DB4-B60C-4AB6FD6BD5D4}"/>
    <hyperlink ref="B1790" r:id="rId1780" xr:uid="{4A59C2F2-2EB0-456A-B91D-139E710653FE}"/>
    <hyperlink ref="B1791" r:id="rId1781" xr:uid="{4A86277A-17AC-4AF1-B473-83B23AFD6D58}"/>
    <hyperlink ref="B1792" r:id="rId1782" xr:uid="{82DE48CE-8EE6-4AB7-AF85-2EFA9495C7E5}"/>
    <hyperlink ref="B1793" r:id="rId1783" xr:uid="{488AB908-67D3-426F-BE04-446723BB5878}"/>
    <hyperlink ref="B1794" r:id="rId1784" xr:uid="{5BD9DFC3-FB9D-47A0-81D8-2E587AFB45E7}"/>
    <hyperlink ref="B1795" r:id="rId1785" xr:uid="{9D144EF9-A463-4899-AAE5-871B1B9E5FA2}"/>
    <hyperlink ref="B1796" r:id="rId1786" xr:uid="{B8852660-175B-4E1E-AC49-0CFC441BF698}"/>
    <hyperlink ref="B1797" r:id="rId1787" xr:uid="{4EE4E283-8AC9-4A43-A29D-854D320AE422}"/>
    <hyperlink ref="B1798" r:id="rId1788" xr:uid="{A4C6BEEA-7628-4481-A4CD-D0836A578B72}"/>
    <hyperlink ref="B1799" r:id="rId1789" xr:uid="{0B6F1E8C-4501-4CB1-8563-259B2DFAFCC2}"/>
    <hyperlink ref="B1800" r:id="rId1790" xr:uid="{B37FE715-C606-4C02-836A-DF95C94386ED}"/>
    <hyperlink ref="B1801" r:id="rId1791" xr:uid="{FE023802-36D6-4D2F-98CD-863253612711}"/>
    <hyperlink ref="B1802" r:id="rId1792" xr:uid="{DA4CBA21-4F81-419F-BACB-B05C7E815626}"/>
    <hyperlink ref="B1803" r:id="rId1793" xr:uid="{A10686EC-CC09-4B1A-AC8C-D3FA2552321D}"/>
    <hyperlink ref="B1804" r:id="rId1794" xr:uid="{D26F56E6-5C71-44AB-A9ED-C99B49D072CA}"/>
    <hyperlink ref="B1805" r:id="rId1795" xr:uid="{E50E330B-52A2-4F1D-A696-C010C19DD075}"/>
    <hyperlink ref="B1807" r:id="rId1796" xr:uid="{802CC6DD-3933-42A2-8A9C-7D563EB5779E}"/>
    <hyperlink ref="B1808" r:id="rId1797" xr:uid="{E7B0C5DB-49F4-458A-BDE1-003F15EAF2E6}"/>
    <hyperlink ref="B1809" r:id="rId1798" xr:uid="{447DAB50-8F95-4A10-9542-F0FD32C48C2B}"/>
    <hyperlink ref="B1810" r:id="rId1799" xr:uid="{C0553B36-C850-457D-AAA8-CF39AEBC58D7}"/>
    <hyperlink ref="B1811" r:id="rId1800" xr:uid="{F5205A9E-FB84-4CD1-82D3-8F5DB5FAE6EE}"/>
    <hyperlink ref="B1812" r:id="rId1801" xr:uid="{BC08DD56-898B-4653-A00E-BB20610CF3D3}"/>
    <hyperlink ref="B1813" r:id="rId1802" xr:uid="{5E34270C-F6FE-4597-8BFE-FD50A7BF2887}"/>
    <hyperlink ref="B1814" r:id="rId1803" xr:uid="{9247FAEC-3EB9-4CF2-9F1C-58D4AD7D2ED7}"/>
    <hyperlink ref="B1815" r:id="rId1804" xr:uid="{1D011386-7F74-4E35-A5FA-E49E46DE1E0A}"/>
    <hyperlink ref="B1816" r:id="rId1805" xr:uid="{56E449FA-FBB5-439C-8EF1-E4B6C37F15E5}"/>
    <hyperlink ref="B1817" r:id="rId1806" xr:uid="{93C09AD0-4048-421C-A0F4-5DA80B372F38}"/>
    <hyperlink ref="B1818" r:id="rId1807" xr:uid="{ECFA1617-D375-448F-8155-F3CA65822877}"/>
    <hyperlink ref="B1819" r:id="rId1808" xr:uid="{3870818D-ACBA-4F1C-80D9-EFEF2A755D75}"/>
    <hyperlink ref="B1820" r:id="rId1809" xr:uid="{475563B9-4DA8-481D-92BF-22127585B500}"/>
    <hyperlink ref="B1821" r:id="rId1810" xr:uid="{216E754D-B084-46F9-821E-A751E8D66E1B}"/>
    <hyperlink ref="B1822" r:id="rId1811" xr:uid="{97F49A17-FDE8-4920-87C1-A914175B5D30}"/>
    <hyperlink ref="B1823" r:id="rId1812" xr:uid="{43369350-E493-4E0E-9B39-A972535840D4}"/>
    <hyperlink ref="B1824" r:id="rId1813" xr:uid="{8F7A99D4-3540-4194-A00C-139F35A2DE21}"/>
    <hyperlink ref="B1825" r:id="rId1814" xr:uid="{6E89CB58-1A8F-49E2-BAFE-07EAA2B767EE}"/>
    <hyperlink ref="B1826" r:id="rId1815" xr:uid="{32A115EE-AF37-4B21-826D-9FF3A1D01990}"/>
    <hyperlink ref="B1827" r:id="rId1816" xr:uid="{F6579A8B-714B-4650-9AD3-CFEF1E20D33C}"/>
    <hyperlink ref="B1828" r:id="rId1817" xr:uid="{55D7FA33-03AA-41AC-8E93-FF5B438F23AC}"/>
    <hyperlink ref="B1829" r:id="rId1818" xr:uid="{9EA26F8F-93F0-42BD-8FBE-DFBE8D3BE11D}"/>
    <hyperlink ref="B1830" r:id="rId1819" xr:uid="{22EAEE6F-5F01-450F-9F08-9A362FA27033}"/>
    <hyperlink ref="B1831" r:id="rId1820" xr:uid="{133574BA-7FCE-42E1-A993-BCAA426E0E8F}"/>
    <hyperlink ref="B1832" r:id="rId1821" xr:uid="{5E1A68A9-00B7-470E-BC51-A4A2D6B2DF29}"/>
    <hyperlink ref="B1833" r:id="rId1822" xr:uid="{58B97E69-06D0-4549-AE80-F2C0B5F03521}"/>
    <hyperlink ref="B1834" r:id="rId1823" xr:uid="{409837C7-8C87-44AD-95F2-E56219A9A296}"/>
    <hyperlink ref="B1835" r:id="rId1824" xr:uid="{C39986F1-D1AE-4E1F-904D-D755F1C86590}"/>
    <hyperlink ref="B1836" r:id="rId1825" xr:uid="{3E553D0D-32F5-428D-A608-678A6ACBB04D}"/>
    <hyperlink ref="B1837" r:id="rId1826" xr:uid="{EE4F07EE-6A0F-4520-A1F8-5278E96FFB91}"/>
    <hyperlink ref="B1838" r:id="rId1827" xr:uid="{0F980306-123F-4426-967D-D521A9651A4B}"/>
    <hyperlink ref="B1839" r:id="rId1828" xr:uid="{4E1790B2-594C-4BE7-A444-023E92119131}"/>
    <hyperlink ref="B1840" r:id="rId1829" xr:uid="{7BF6AB1D-0C90-4D35-929D-C9ECCAE1D37A}"/>
    <hyperlink ref="B1841" r:id="rId1830" xr:uid="{5CFFF52F-5B81-4854-A43E-567F0A0CB731}"/>
    <hyperlink ref="B1842" r:id="rId1831" xr:uid="{945A9301-9835-4E2B-8AA8-124A0913F2CE}"/>
    <hyperlink ref="B1843" r:id="rId1832" xr:uid="{3AA5D287-3A61-4602-B532-63B47E7F5BA7}"/>
    <hyperlink ref="B1844" r:id="rId1833" xr:uid="{376E2802-8C5A-44CC-9A29-CE6864612727}"/>
    <hyperlink ref="B1845" r:id="rId1834" xr:uid="{CC4A938D-E267-47E0-B422-A9820456EFF9}"/>
    <hyperlink ref="B1846" r:id="rId1835" xr:uid="{FF46FBDE-F8FA-43DE-AD83-7BC4714C1FB8}"/>
    <hyperlink ref="B1847" r:id="rId1836" xr:uid="{5A1DCA61-2973-4546-B0FD-CAE4C1C7464D}"/>
    <hyperlink ref="B1848" r:id="rId1837" xr:uid="{FE630012-AC7F-4E75-A3DC-7EDFE8AEFCDA}"/>
    <hyperlink ref="B1849" r:id="rId1838" xr:uid="{483E060D-77FD-4CA6-AB12-F437BB35ADE2}"/>
    <hyperlink ref="B1850" r:id="rId1839" xr:uid="{7EF69388-1159-4CF0-A09F-1A6178B5EADF}"/>
    <hyperlink ref="B1851" r:id="rId1840" xr:uid="{C7F40634-0287-46B3-887A-AA16AB4C6123}"/>
    <hyperlink ref="B1852" r:id="rId1841" xr:uid="{50494FD8-BFB2-491C-A721-D4E38A34B22F}"/>
    <hyperlink ref="B1853" r:id="rId1842" xr:uid="{647E3956-150C-4081-B804-66DCB0726BAB}"/>
    <hyperlink ref="B1854" r:id="rId1843" xr:uid="{AD9CE204-AB69-48E4-9A2B-FB2A70866180}"/>
    <hyperlink ref="B1855" r:id="rId1844" xr:uid="{B61BBCD9-FAB0-4178-A8A0-6C4C613E8702}"/>
    <hyperlink ref="B1856" r:id="rId1845" xr:uid="{DC83FB4B-E9B4-4363-A9B4-80A88673952E}"/>
    <hyperlink ref="B1857" r:id="rId1846" xr:uid="{278AA7D4-9D86-4B6C-8968-93B7239C4A7A}"/>
    <hyperlink ref="B1858" r:id="rId1847" xr:uid="{096A1C38-0DAA-4049-BF19-89C4E152A948}"/>
    <hyperlink ref="B1859" r:id="rId1848" xr:uid="{5F1221E0-5893-4195-8B02-F2766F2C88C0}"/>
    <hyperlink ref="B1860" r:id="rId1849" xr:uid="{71168B56-F0C1-41C2-9443-F25C60F2973B}"/>
    <hyperlink ref="B1861" r:id="rId1850" xr:uid="{2ED4BE5F-240D-42A6-A055-7312ED7226F0}"/>
    <hyperlink ref="B1862" r:id="rId1851" xr:uid="{1BC060A5-24BA-4F3D-B157-C6B881B1F23C}"/>
    <hyperlink ref="B1863" r:id="rId1852" xr:uid="{D3A78758-C946-4670-B485-6D1C5730AE77}"/>
    <hyperlink ref="B1864" r:id="rId1853" xr:uid="{67EFAE8A-2DC3-4297-BA55-3324C871DCF5}"/>
    <hyperlink ref="B1865" r:id="rId1854" xr:uid="{FC0DA595-3791-4ABA-8DF6-A26A4D7DA5EA}"/>
    <hyperlink ref="B1866" r:id="rId1855" xr:uid="{B0FE3F6B-154B-4DB3-BB1F-8C56ACD7E8A8}"/>
    <hyperlink ref="B1867" r:id="rId1856" xr:uid="{3B542ECC-AC37-4B2E-B16A-EBA4CFA83EC5}"/>
    <hyperlink ref="B1868" r:id="rId1857" xr:uid="{1198A6A2-114A-4D57-9445-5FE9A51E045B}"/>
    <hyperlink ref="B1869" r:id="rId1858" xr:uid="{47DBA6E1-E656-4FBF-8663-5259A3A103CD}"/>
    <hyperlink ref="B1870" r:id="rId1859" xr:uid="{34C9D5FD-885F-4118-886D-8E85668B078C}"/>
    <hyperlink ref="B1871" r:id="rId1860" xr:uid="{12B5D1F8-FAEE-4953-93E2-00804CA89DFF}"/>
    <hyperlink ref="B1872" r:id="rId1861" xr:uid="{A04A4D32-AB06-45FE-BCE7-6FD278E2D473}"/>
    <hyperlink ref="B1873" r:id="rId1862" xr:uid="{56F5598B-BE00-4BBF-8718-73909EE54977}"/>
    <hyperlink ref="B1874" r:id="rId1863" xr:uid="{201584A2-6DEC-4500-8307-BA7CC4D15040}"/>
    <hyperlink ref="B1875" r:id="rId1864" xr:uid="{3C3819F2-9704-46A0-A941-191FF2508BF0}"/>
    <hyperlink ref="B1876" r:id="rId1865" xr:uid="{A0B557FE-350D-4449-BEE0-30F788D434FA}"/>
    <hyperlink ref="B1877" r:id="rId1866" xr:uid="{E6CB2A40-EDBB-4587-9B79-36B1F583C17A}"/>
    <hyperlink ref="B1878" r:id="rId1867" xr:uid="{90F3737D-9D8B-44D1-9973-9E556BD1355F}"/>
    <hyperlink ref="B1879" r:id="rId1868" xr:uid="{DC861295-16EC-4629-8C98-BC9C4E433A29}"/>
    <hyperlink ref="B1880" r:id="rId1869" xr:uid="{C9B97EC0-10C5-4247-8161-BD5F78010DF8}"/>
    <hyperlink ref="B1881" r:id="rId1870" xr:uid="{998F2D4C-B361-46F7-8354-84EDF7CDAB26}"/>
    <hyperlink ref="B1882" r:id="rId1871" xr:uid="{E4685531-9882-4130-8F1B-AE705E536ED5}"/>
    <hyperlink ref="B1883" r:id="rId1872" xr:uid="{298331A1-073B-435E-808D-AFABDFD84139}"/>
    <hyperlink ref="B1884" r:id="rId1873" xr:uid="{C7B3227E-180F-4732-8928-31193B4F8759}"/>
    <hyperlink ref="B1885" r:id="rId1874" xr:uid="{79A4EC9E-7F2B-41A2-9470-2EE7BD0CECD0}"/>
    <hyperlink ref="B1886" r:id="rId1875" xr:uid="{D9397BA2-A1AE-4C8B-A6F9-1E2E8F2E7FD4}"/>
    <hyperlink ref="B1887" r:id="rId1876" xr:uid="{B650EBDC-AE36-439D-9162-7D8A4F8A6FD9}"/>
    <hyperlink ref="B1888" r:id="rId1877" xr:uid="{00B4167C-FDC2-4849-99A1-AECD35EC75FF}"/>
    <hyperlink ref="B1889" r:id="rId1878" xr:uid="{DE431AC6-ACB8-4642-9561-0786168A81E1}"/>
    <hyperlink ref="B1890" r:id="rId1879" xr:uid="{D7822AA2-D13D-4C13-B091-FF88F092316F}"/>
    <hyperlink ref="B1891" r:id="rId1880" xr:uid="{F8F0D753-CF2A-4EB5-A0FC-377278B6BD1D}"/>
    <hyperlink ref="B1892" r:id="rId1881" xr:uid="{6E089693-35F7-4DFA-93F1-3BBE4600BA58}"/>
    <hyperlink ref="B1893" r:id="rId1882" xr:uid="{395DE0F5-F028-419C-A4B1-422262938D53}"/>
    <hyperlink ref="B1894" r:id="rId1883" xr:uid="{6C271D97-B306-40E7-AB48-6B48CD8802D4}"/>
    <hyperlink ref="B1895" r:id="rId1884" xr:uid="{C9493F9E-66A4-4599-8474-29B70E1D0AE8}"/>
    <hyperlink ref="B1896" r:id="rId1885" xr:uid="{DBFC7359-C552-4224-80D4-37F69F20FC86}"/>
    <hyperlink ref="B1897" r:id="rId1886" xr:uid="{95D09C80-DA79-4E59-BDDC-877EA9842568}"/>
    <hyperlink ref="B1898" r:id="rId1887" xr:uid="{2BB485A8-375E-4ACD-AFC6-FE2F357AEB6F}"/>
    <hyperlink ref="B1899" r:id="rId1888" xr:uid="{11FB25D0-17EC-4FCA-8E4D-4542AF17E86E}"/>
    <hyperlink ref="B1900" r:id="rId1889" xr:uid="{6BFE919E-8097-4A22-B7B4-15E03AA18CFD}"/>
    <hyperlink ref="B1901" r:id="rId1890" xr:uid="{0BA9943D-3639-499D-893E-20442495627E}"/>
    <hyperlink ref="B1902" r:id="rId1891" xr:uid="{E6065F73-54B8-49BD-A61E-3433BB060F3D}"/>
    <hyperlink ref="B1903" r:id="rId1892" xr:uid="{3A315FC3-3EDD-4BD4-A0DA-23D5250884C4}"/>
    <hyperlink ref="B1904" r:id="rId1893" xr:uid="{ED5F4EE5-C4DC-46C7-8835-AE4198DC05C8}"/>
    <hyperlink ref="B1905" r:id="rId1894" xr:uid="{6BB1FA50-A0FE-418B-8B75-73945B6BF38E}"/>
    <hyperlink ref="B1906" r:id="rId1895" xr:uid="{5604C6DF-0F5C-4A13-B69B-7055BB4102D5}"/>
    <hyperlink ref="B1907" r:id="rId1896" xr:uid="{A980E715-3BBD-44F6-BEC4-55EE63E36116}"/>
    <hyperlink ref="B1908" r:id="rId1897" xr:uid="{0B3A901D-0B17-4807-BAB3-5456A839313F}"/>
    <hyperlink ref="B1909" r:id="rId1898" xr:uid="{6C5D9F0F-D477-450F-A529-7A2B158802CA}"/>
    <hyperlink ref="B1910" r:id="rId1899" xr:uid="{2E47EC98-30E8-4DE1-B99F-9DA640EDBDCB}"/>
    <hyperlink ref="B1911" r:id="rId1900" xr:uid="{B4561B89-4200-408A-B92B-5018B73AE138}"/>
    <hyperlink ref="B1912" r:id="rId1901" xr:uid="{7BCDD54E-6732-4249-9FAE-F5AF22B2ECAB}"/>
    <hyperlink ref="B1913" r:id="rId1902" xr:uid="{C510A3AA-0232-4DFF-BEB6-0DFAEC60670E}"/>
    <hyperlink ref="B1914" r:id="rId1903" xr:uid="{BF03C9E0-085C-40F3-9662-FDBFC6510E3D}"/>
    <hyperlink ref="B1915" r:id="rId1904" xr:uid="{B6DC7E9E-48D3-4079-AAB5-21105214E62B}"/>
    <hyperlink ref="B1916" r:id="rId1905" xr:uid="{E04471BB-E594-4219-815A-B9F113CAC72E}"/>
    <hyperlink ref="B1917" r:id="rId1906" xr:uid="{E339425F-8C1E-4915-9216-444E484F034E}"/>
    <hyperlink ref="B1918" r:id="rId1907" xr:uid="{435AFC11-63F9-4647-877B-801E565E58F0}"/>
    <hyperlink ref="B1919" r:id="rId1908" xr:uid="{F3783C01-E82A-4EA3-8144-A4F810173F34}"/>
    <hyperlink ref="B1920" r:id="rId1909" xr:uid="{A35BC493-EC90-4088-BA4B-FE8773A30DB8}"/>
    <hyperlink ref="B1921" r:id="rId1910" xr:uid="{78C6CADC-2412-4764-A3DC-7873C00191C8}"/>
    <hyperlink ref="B1922" r:id="rId1911" xr:uid="{7A685F5B-8C41-42B0-B19F-6FDFD561A03D}"/>
    <hyperlink ref="B1923" r:id="rId1912" xr:uid="{609C22B7-49D2-4F8F-91A3-E7BCB530656C}"/>
    <hyperlink ref="B1924" r:id="rId1913" xr:uid="{FD9337A9-266B-4577-A343-3D677434EA1C}"/>
    <hyperlink ref="B1925" r:id="rId1914" xr:uid="{53CC9EC9-6B06-43DC-A74C-865F6EB6F2CC}"/>
    <hyperlink ref="B1926" r:id="rId1915" xr:uid="{123A9A39-D3D9-4432-925A-D4754052EF10}"/>
    <hyperlink ref="B1927" r:id="rId1916" xr:uid="{941D91D2-852C-48E3-A549-458D01EB88CA}"/>
    <hyperlink ref="B1928" r:id="rId1917" xr:uid="{BD831763-707D-48FF-A34F-74A96B35A949}"/>
    <hyperlink ref="B1929" r:id="rId1918" xr:uid="{7E818E5E-F12C-46F8-AA8A-2A5C50D88D45}"/>
    <hyperlink ref="B1930" r:id="rId1919" xr:uid="{300F70B9-E98F-4E51-8525-3DAAD2760496}"/>
    <hyperlink ref="B1931" r:id="rId1920" xr:uid="{F36B17C7-0CBC-4223-A66A-861AE1E2303F}"/>
    <hyperlink ref="B1932" r:id="rId1921" xr:uid="{B07AF367-470E-4915-AC4A-AC76E11FAA9C}"/>
    <hyperlink ref="B1933" r:id="rId1922" xr:uid="{F2A7E05D-E680-4739-8A8C-06F80D304912}"/>
    <hyperlink ref="B1934" r:id="rId1923" xr:uid="{C729C913-33B2-413C-A037-18CE736A22AB}"/>
    <hyperlink ref="B1935" r:id="rId1924" xr:uid="{0887FA82-6AA3-4F2C-AEE1-BF2345C7E09E}"/>
    <hyperlink ref="B1936" r:id="rId1925" xr:uid="{180F6D03-962C-4295-8B47-24569A3369BC}"/>
    <hyperlink ref="B1937" r:id="rId1926" xr:uid="{4036AF1F-6FDF-45DB-8CF7-44AA5F5EA96E}"/>
    <hyperlink ref="B1938" r:id="rId1927" xr:uid="{166DB55B-F86F-446E-B1D9-84E3515CA695}"/>
    <hyperlink ref="B1939" r:id="rId1928" xr:uid="{110AF500-5D51-4B5E-A63C-D514F3ADA87D}"/>
    <hyperlink ref="B1940" r:id="rId1929" xr:uid="{C390FB31-67D5-4130-B416-503843770B51}"/>
    <hyperlink ref="B1941" r:id="rId1930" xr:uid="{C6300FC7-BB04-46D0-B33C-B8D9EF752863}"/>
    <hyperlink ref="B1942" r:id="rId1931" xr:uid="{8803F648-4FF5-4A53-9DEB-E2DBFA46DDA4}"/>
    <hyperlink ref="B1943" r:id="rId1932" xr:uid="{21687E29-8A20-4A90-B9BD-0DACA5C0DEFE}"/>
    <hyperlink ref="B1944" r:id="rId1933" xr:uid="{77E97328-8A00-420B-859E-830775EC7C99}"/>
    <hyperlink ref="B1945" r:id="rId1934" xr:uid="{E483947A-6D45-4955-B338-7D5D83C6133C}"/>
    <hyperlink ref="B1946" r:id="rId1935" xr:uid="{4A6D4A1A-4FD6-4549-AB8E-8681F363A5A9}"/>
    <hyperlink ref="B1947" r:id="rId1936" xr:uid="{8FF5F076-96D1-4085-8E8C-2A4C3B17319A}"/>
    <hyperlink ref="B1948" r:id="rId1937" xr:uid="{224A2FD6-59AD-488E-AD2B-6B96BDF26C5E}"/>
    <hyperlink ref="B1949" r:id="rId1938" xr:uid="{7F5C1143-19DC-488F-AFA2-51C860775DDD}"/>
    <hyperlink ref="B1950" r:id="rId1939" xr:uid="{480125C0-DAE8-4532-BDA4-40665B91FF27}"/>
    <hyperlink ref="B1951" r:id="rId1940" xr:uid="{0E68995A-BF2D-4154-A67C-20A64ACBF013}"/>
    <hyperlink ref="B1952" r:id="rId1941" xr:uid="{75E3B3E3-80F4-454A-9433-8DD023637AC9}"/>
    <hyperlink ref="B1953" r:id="rId1942" xr:uid="{0B7B47BB-0356-407B-B5EC-E6D46F2CFA37}"/>
    <hyperlink ref="B1954" r:id="rId1943" xr:uid="{07DA5CC6-B7C3-48E5-A1E6-F4A656DF9C43}"/>
    <hyperlink ref="B1955" r:id="rId1944" xr:uid="{3E1E799D-F900-4FCE-9DED-661DA8F4A185}"/>
    <hyperlink ref="B1956" r:id="rId1945" xr:uid="{F0D31149-E4AA-4D81-B717-CCC837F39A6C}"/>
    <hyperlink ref="B1957" r:id="rId1946" xr:uid="{BF8C16A2-033B-4CA8-9C7F-1675465742EE}"/>
    <hyperlink ref="B1958" r:id="rId1947" xr:uid="{BC2381B7-2209-455E-BF9C-89DBC15F4443}"/>
    <hyperlink ref="B1959" r:id="rId1948" xr:uid="{8FE8A101-8D51-483A-9467-96B05C59EBEB}"/>
    <hyperlink ref="B1960" r:id="rId1949" xr:uid="{0B766E57-D4EA-40BD-931B-417772FC9C76}"/>
    <hyperlink ref="B1961" r:id="rId1950" xr:uid="{9DC43847-6ACB-4AA3-A11F-49D7EA025C2B}"/>
    <hyperlink ref="B1962" r:id="rId1951" xr:uid="{F3641701-01D3-43B6-A1C0-AE8661975376}"/>
    <hyperlink ref="B1963" r:id="rId1952" xr:uid="{2E6B519B-55B3-4A66-A223-F20341FE800E}"/>
    <hyperlink ref="B1964" r:id="rId1953" xr:uid="{334B1307-68A2-4E86-AF77-5409A5EC5971}"/>
    <hyperlink ref="B1965" r:id="rId1954" xr:uid="{093A10E2-C303-4E99-A2DA-E868BDAB5F46}"/>
    <hyperlink ref="B1966" r:id="rId1955" xr:uid="{0D3E15FB-74D9-41C1-8B6D-0D1626ED6F14}"/>
    <hyperlink ref="B1967" r:id="rId1956" xr:uid="{0A452FDC-3D29-46C9-9B81-20854247EA54}"/>
    <hyperlink ref="B1968" r:id="rId1957" xr:uid="{32CED49C-95C0-4FC9-8E04-0E88699A85C7}"/>
    <hyperlink ref="B1969" r:id="rId1958" xr:uid="{ECFF1699-213F-4308-ADFE-1BDB087B7420}"/>
    <hyperlink ref="B1970" r:id="rId1959" xr:uid="{5ACDB7BB-EF2D-4634-BBA2-B443AEFA08D3}"/>
    <hyperlink ref="B1971" r:id="rId1960" xr:uid="{16EF17B5-4013-4567-90AD-5E2681028737}"/>
    <hyperlink ref="B1972" r:id="rId1961" xr:uid="{43B19A86-C7F1-4417-A9F3-63B87C0E5F4A}"/>
    <hyperlink ref="B1973" r:id="rId1962" xr:uid="{532A26C9-05FC-4DEF-B7D2-1AB85CEA1067}"/>
    <hyperlink ref="B1974" r:id="rId1963" xr:uid="{0C9207FE-254B-4E92-8D22-15EC3C8CA1E4}"/>
    <hyperlink ref="B1975" r:id="rId1964" xr:uid="{72143C3C-A7DF-430C-ABCC-C11688F864D0}"/>
    <hyperlink ref="B1976" r:id="rId1965" xr:uid="{866A5808-87EE-4BF8-A593-0B669B4B352C}"/>
    <hyperlink ref="B1977" r:id="rId1966" xr:uid="{8C487F33-9760-4F25-8297-9AF72A6871AF}"/>
    <hyperlink ref="B1978" r:id="rId1967" xr:uid="{22B5AAF6-9D4C-4E56-AC8D-D102D4BBC44B}"/>
    <hyperlink ref="B1979" r:id="rId1968" xr:uid="{14796AE9-9C8D-4A19-9691-9C8AD7C0A7E5}"/>
    <hyperlink ref="B1980" r:id="rId1969" xr:uid="{A7B2B038-87D6-44A3-99A2-0365CFAB26FA}"/>
    <hyperlink ref="B1981" r:id="rId1970" xr:uid="{9AFE6D14-0B68-477C-85BD-E3C2DE3D44B4}"/>
    <hyperlink ref="B1982" r:id="rId1971" xr:uid="{AA9B1F63-98C2-4EF0-AA56-23513EA28FA2}"/>
    <hyperlink ref="B1983" r:id="rId1972" xr:uid="{33C30E36-2161-4AA4-A625-E065947486C8}"/>
    <hyperlink ref="B1984" r:id="rId1973" xr:uid="{2426F876-2474-4485-8774-86D4464D2C68}"/>
    <hyperlink ref="B1985" r:id="rId1974" xr:uid="{E0B1EF24-5667-45ED-B708-3A8BD2BFC649}"/>
    <hyperlink ref="B1986" r:id="rId1975" xr:uid="{907BEFD8-D519-4D60-8AD1-6AAF710FFD56}"/>
    <hyperlink ref="B1987" r:id="rId1976" xr:uid="{83D610E4-A7F7-4377-81AD-BA9721B34651}"/>
    <hyperlink ref="B1988" r:id="rId1977" xr:uid="{D12308DB-06BC-4DAC-A150-7687AF596C72}"/>
    <hyperlink ref="B1989" r:id="rId1978" xr:uid="{37D254D2-5C0E-43C7-88B6-E22F148E375D}"/>
    <hyperlink ref="B1990" r:id="rId1979" xr:uid="{70BBFEE7-0AE9-41E1-A0DE-743D95601D5B}"/>
    <hyperlink ref="B1991" r:id="rId1980" xr:uid="{22027B23-E567-48BC-8FCA-0E8BC1E07579}"/>
    <hyperlink ref="B1992" r:id="rId1981" xr:uid="{9319D0AA-6012-4542-9D58-604F0C8EC3C5}"/>
    <hyperlink ref="B1993" r:id="rId1982" xr:uid="{CBA04D1F-CC26-40EE-A6A3-9285F5E610B8}"/>
    <hyperlink ref="B1994" r:id="rId1983" xr:uid="{AEFA0116-8112-427D-AD76-DE4CE7312587}"/>
    <hyperlink ref="B1995" r:id="rId1984" xr:uid="{6FE09046-7BFC-48F2-BF0E-14FB5291133C}"/>
    <hyperlink ref="B1996" r:id="rId1985" xr:uid="{2A99F37E-9B86-4B19-8270-46A223AB16C9}"/>
    <hyperlink ref="B1997" r:id="rId1986" xr:uid="{E2B57009-89BD-4B62-9A59-B7FB45C8A7F2}"/>
    <hyperlink ref="B1998" r:id="rId1987" xr:uid="{7D401D73-BF32-43D1-8679-FD53B2F61767}"/>
    <hyperlink ref="B1999" r:id="rId1988" xr:uid="{41A60AF8-48C2-4732-A17A-140F7BAD1BDC}"/>
    <hyperlink ref="B2000" r:id="rId1989" xr:uid="{4D55A194-051C-4880-9014-DA79467CA1E7}"/>
    <hyperlink ref="B2001" r:id="rId1990" xr:uid="{9BD75236-75B9-4382-AEB5-24C5ECE966D5}"/>
    <hyperlink ref="B2002" r:id="rId1991" xr:uid="{89E43A7E-8707-42A7-B43A-1EB19954E8EA}"/>
    <hyperlink ref="B2003" r:id="rId1992" xr:uid="{ACB75678-170E-47D5-A19D-5A1F774CCD55}"/>
    <hyperlink ref="B2004" r:id="rId1993" xr:uid="{BF61ED09-26DF-4AF8-ACEF-123C9615EFC3}"/>
    <hyperlink ref="B2005" r:id="rId1994" xr:uid="{CB765F28-AF39-4BBB-86EC-ABBE19B5A575}"/>
    <hyperlink ref="B2006" r:id="rId1995" xr:uid="{8226BF42-BF34-4BC3-85A4-015C9B9D4054}"/>
    <hyperlink ref="B2007" r:id="rId1996" xr:uid="{520771F1-8216-4F95-8665-1A0FAF51476E}"/>
    <hyperlink ref="B2008" r:id="rId1997" xr:uid="{88A99422-F6F2-4B9C-8091-DDAE762C4DC4}"/>
    <hyperlink ref="B2009" r:id="rId1998" xr:uid="{FEC108A6-189E-44ED-AF51-E6E591DD2EC3}"/>
    <hyperlink ref="B2010" r:id="rId1999" xr:uid="{B540403E-4D53-4CFB-A508-A2C20D711500}"/>
    <hyperlink ref="B2011" r:id="rId2000" xr:uid="{E34D8A17-2067-4C29-AA60-65A9990CDB8D}"/>
    <hyperlink ref="B2012" r:id="rId2001" xr:uid="{E8D77EA1-2B86-4A39-B203-61EE05277DCF}"/>
    <hyperlink ref="B2013" r:id="rId2002" xr:uid="{A186002D-17A9-4030-8881-727164C3893C}"/>
    <hyperlink ref="B2014" r:id="rId2003" xr:uid="{D9B1E2AF-ED17-4E82-868E-973D1A8F1E5B}"/>
    <hyperlink ref="B2015" r:id="rId2004" xr:uid="{063BB3CA-508A-41C1-9A49-B507DFB5FFF4}"/>
    <hyperlink ref="B2016" r:id="rId2005" xr:uid="{0F5777DD-506E-496D-9E70-B38515C98ED7}"/>
    <hyperlink ref="B2017" r:id="rId2006" xr:uid="{E8F42F6E-52D4-4B26-A61C-EC5354F66E82}"/>
    <hyperlink ref="B2018" r:id="rId2007" xr:uid="{7BCF6CE7-BAB5-4EFC-B6F3-1580787AB56B}"/>
    <hyperlink ref="B2019" r:id="rId2008" xr:uid="{663CE121-1590-420B-B6A5-CFDA339B4DEB}"/>
    <hyperlink ref="B2020" r:id="rId2009" xr:uid="{80B2A6DB-54EB-471E-BF65-AB90D71D98CA}"/>
    <hyperlink ref="B2021" r:id="rId2010" xr:uid="{B4135A38-2B33-488B-88A1-2B42350306C0}"/>
    <hyperlink ref="B2022" r:id="rId2011" xr:uid="{4C317DA5-1858-4DC5-A7EA-D1C99629E440}"/>
    <hyperlink ref="B2023" r:id="rId2012" xr:uid="{5164924F-4638-4CF5-9AAC-BACA58FEAEEB}"/>
    <hyperlink ref="B2024" r:id="rId2013" xr:uid="{2B1A05E4-486C-401A-93DE-C819CFD14295}"/>
    <hyperlink ref="B2025" r:id="rId2014" xr:uid="{5917E355-9741-4958-AFDF-76C59E50434F}"/>
    <hyperlink ref="B2026" r:id="rId2015" xr:uid="{EA21E0EE-DAD6-4769-8949-A7F9FF14FC8B}"/>
    <hyperlink ref="B2027" r:id="rId2016" xr:uid="{3BBC3D9E-6563-444A-A454-492BE2DEEBE7}"/>
    <hyperlink ref="B2028" r:id="rId2017" xr:uid="{120C3D94-CE1C-473B-9FC2-AC423A918807}"/>
    <hyperlink ref="B2029" r:id="rId2018" xr:uid="{29388616-570E-47FC-8745-921B08CEC9A7}"/>
    <hyperlink ref="B2030" r:id="rId2019" xr:uid="{C3BA86D7-335E-4FA5-8FED-5B9F1B789D7F}"/>
    <hyperlink ref="B2031" r:id="rId2020" xr:uid="{A90BAC0D-086C-4FA1-93BB-A58424A27C2A}"/>
    <hyperlink ref="B2032" r:id="rId2021" xr:uid="{6F38FFE8-51C4-4061-8D18-9283277BC6F6}"/>
    <hyperlink ref="B2033" r:id="rId2022" xr:uid="{4324CBF4-61FA-4960-88AF-A7A005320268}"/>
    <hyperlink ref="B2034" r:id="rId2023" xr:uid="{219B51A4-9524-4AE5-9343-789C7554B54B}"/>
    <hyperlink ref="B2035" r:id="rId2024" xr:uid="{76EB39D5-0C65-439C-8ACD-1479CCB9A1D3}"/>
    <hyperlink ref="B2036" r:id="rId2025" xr:uid="{BBEF5E32-EB66-416C-ADD8-4C0AD125AB5D}"/>
    <hyperlink ref="B2037" r:id="rId2026" xr:uid="{17E788EC-EFD2-4F6D-A215-74093715776F}"/>
    <hyperlink ref="B2038" r:id="rId2027" xr:uid="{5F72443D-E33A-4C62-883D-8840E5614AFA}"/>
    <hyperlink ref="B2039" r:id="rId2028" xr:uid="{088CCF7A-E2DF-4C79-A094-1F540396C936}"/>
    <hyperlink ref="B2040" r:id="rId2029" xr:uid="{0BD3C8AE-8F0A-4C6D-B0C3-97894E63D382}"/>
    <hyperlink ref="B2041" r:id="rId2030" xr:uid="{BC30D8BB-6732-4BAB-976E-8733C4219F0F}"/>
    <hyperlink ref="B2042" r:id="rId2031" xr:uid="{1BFD969A-3515-4A7B-8F71-6D19203AF01B}"/>
    <hyperlink ref="B2043" r:id="rId2032" xr:uid="{7F2E3C9C-65A7-4C3F-925F-AFD963092AC6}"/>
    <hyperlink ref="B2044" r:id="rId2033" xr:uid="{75D5D170-63DC-4E7F-A762-0398EE6F4B72}"/>
    <hyperlink ref="B2045" r:id="rId2034" xr:uid="{790F676C-37E0-40BA-8E30-59383DE2A22B}"/>
    <hyperlink ref="B2046" r:id="rId2035" xr:uid="{015A4D8C-3575-4864-A389-1941EE3BC588}"/>
    <hyperlink ref="B2047" r:id="rId2036" xr:uid="{FD50EFDA-23ED-41E0-8D2B-05EDC5BE788E}"/>
    <hyperlink ref="B2048" r:id="rId2037" xr:uid="{B6DC8A29-7FD8-4C90-97B2-58D0BDEE01F9}"/>
    <hyperlink ref="B2049" r:id="rId2038" xr:uid="{9C79C568-A608-4C0B-8866-FFD7556871A6}"/>
    <hyperlink ref="B2050" r:id="rId2039" xr:uid="{0619F8BF-6F92-4860-B31F-CC16A7C2E5CB}"/>
    <hyperlink ref="B2051" r:id="rId2040" xr:uid="{D78DE970-764F-4625-9A04-9B350384745A}"/>
    <hyperlink ref="B2052" r:id="rId2041" xr:uid="{D812B0CD-3CE9-4707-8B68-039738D7D92E}"/>
    <hyperlink ref="B2053" r:id="rId2042" xr:uid="{59C9E7E0-2E92-4744-8364-492B2773D913}"/>
    <hyperlink ref="B2054" r:id="rId2043" xr:uid="{D2DFF8B5-A235-404A-8369-3833B820DE6D}"/>
    <hyperlink ref="B2055" r:id="rId2044" xr:uid="{AC884CCB-7AFC-488F-B4B2-CFADE2D9725C}"/>
    <hyperlink ref="B2056" r:id="rId2045" xr:uid="{7824475D-3954-4A29-B85C-9E277BEA9A67}"/>
    <hyperlink ref="B2057" r:id="rId2046" xr:uid="{9C70486F-B666-472F-839A-520A1E001551}"/>
    <hyperlink ref="B2058" r:id="rId2047" xr:uid="{A0432559-607A-4EB7-AFC0-28F2A274C56A}"/>
    <hyperlink ref="B2059" r:id="rId2048" xr:uid="{24B3850B-D4D5-4D4D-A521-FEB3971E576F}"/>
    <hyperlink ref="B2060" r:id="rId2049" xr:uid="{36C34EBD-D24E-4873-97D9-1A807CF254C0}"/>
    <hyperlink ref="B2061" r:id="rId2050" xr:uid="{23F38137-2AD9-4D31-B164-A7520CB9B7F0}"/>
    <hyperlink ref="B2062" r:id="rId2051" xr:uid="{2E806C5F-8643-4161-8434-05111D632B65}"/>
    <hyperlink ref="B2063" r:id="rId2052" xr:uid="{FE3FDC5A-C597-41C5-8108-B78052C04A2C}"/>
    <hyperlink ref="B2064" r:id="rId2053" xr:uid="{2914FF09-A822-4060-A676-1DC50FAD7D4E}"/>
    <hyperlink ref="B2065" r:id="rId2054" xr:uid="{A0A3618B-4DC8-4B89-85BE-D4E0DFE9A0C2}"/>
    <hyperlink ref="B2066" r:id="rId2055" xr:uid="{ABD00D1F-C5EA-4A07-8489-A7A8AA14ECCC}"/>
    <hyperlink ref="B2067" r:id="rId2056" xr:uid="{3E201BE6-25CB-4486-9CED-0CC48F508888}"/>
    <hyperlink ref="B2068" r:id="rId2057" xr:uid="{FBD6765D-5600-412C-A230-B5A9299B0156}"/>
    <hyperlink ref="B2069" r:id="rId2058" xr:uid="{916A6387-887A-4608-91CE-A11B81845DCC}"/>
    <hyperlink ref="B2070" r:id="rId2059" xr:uid="{457E4B1C-D62D-48FA-8F89-E3894D412CAC}"/>
    <hyperlink ref="B2071" r:id="rId2060" xr:uid="{20F7BEDB-884A-4074-A4CB-724631F98B45}"/>
    <hyperlink ref="B2072" r:id="rId2061" xr:uid="{8708358C-64CA-4FDF-8CBF-4F8D8EAA0021}"/>
    <hyperlink ref="B2073" r:id="rId2062" xr:uid="{7EDB8D87-5134-4AFF-AE5D-77B6B668E75C}"/>
    <hyperlink ref="B2074" r:id="rId2063" xr:uid="{FE1E5CF4-8E8D-4FC3-A4D1-C39F1CB6F617}"/>
    <hyperlink ref="B2075" r:id="rId2064" xr:uid="{01A06C87-9B51-430B-8D23-3D18D2CACFCB}"/>
    <hyperlink ref="B2076" r:id="rId2065" xr:uid="{F7427972-68B6-45C3-942A-D72A886A5BC2}"/>
    <hyperlink ref="B2077" r:id="rId2066" xr:uid="{F6880F70-85F6-4E41-923F-884548EFA69A}"/>
    <hyperlink ref="B2078" r:id="rId2067" xr:uid="{3C53BF0D-B219-4AEC-A551-419F0755B2F5}"/>
    <hyperlink ref="B2079" r:id="rId2068" xr:uid="{C86E6B4F-DBEA-4B37-B786-6D4C8F535F97}"/>
    <hyperlink ref="B2080" r:id="rId2069" xr:uid="{6AFB0C01-E450-437E-8985-9E4B477CAF77}"/>
    <hyperlink ref="B2081" r:id="rId2070" xr:uid="{92B9BA40-00DA-4BAE-B49B-BB96B1AE3BFB}"/>
    <hyperlink ref="B2082" r:id="rId2071" xr:uid="{18B1B87E-8A8C-44E3-A613-46A4D7DBC9C2}"/>
    <hyperlink ref="B2083" r:id="rId2072" xr:uid="{CEB67418-DA97-4C4B-B361-1C44724DB462}"/>
    <hyperlink ref="B2084" r:id="rId2073" xr:uid="{26375548-7C8B-44D7-8F42-A0DC55F301B6}"/>
    <hyperlink ref="B2085" r:id="rId2074" xr:uid="{1D647DB2-5E0E-4EC0-9C00-DDEB7275AA3B}"/>
    <hyperlink ref="B2086" r:id="rId2075" xr:uid="{278F6E9B-B154-4B6E-B289-EA01E40B67AD}"/>
    <hyperlink ref="B2087" r:id="rId2076" xr:uid="{4A6080E2-EA8D-4F28-BBB1-37C37A9DDAB8}"/>
    <hyperlink ref="B2088" r:id="rId2077" xr:uid="{92E5A1C0-6967-4BEE-ACD0-B71C3D4992D3}"/>
    <hyperlink ref="B2089" r:id="rId2078" xr:uid="{086E9FE4-43EB-40B8-94F7-17CBEE29C9B8}"/>
    <hyperlink ref="B2090" r:id="rId2079" xr:uid="{D6556FD8-E0CA-4D00-965B-1EFD8240963E}"/>
    <hyperlink ref="B2091" r:id="rId2080" xr:uid="{13FAEF91-102B-450A-BD26-E27B5AC85947}"/>
    <hyperlink ref="B2092" r:id="rId2081" xr:uid="{93EC976C-0109-4B0E-8674-C71EB33FD634}"/>
    <hyperlink ref="B2093" r:id="rId2082" xr:uid="{88DFA706-350F-4D16-B60A-16C2736324B6}"/>
    <hyperlink ref="B2094" r:id="rId2083" xr:uid="{4C13D4FA-698E-460F-B9A7-98DFBFB7AAD3}"/>
    <hyperlink ref="B2095" r:id="rId2084" xr:uid="{960FEB49-FB75-4EEE-BBB6-9D03F3E1DF97}"/>
    <hyperlink ref="B2096" r:id="rId2085" xr:uid="{9E82E13E-C0D8-4943-81FE-AEBFF9BB1AFE}"/>
    <hyperlink ref="B2097" r:id="rId2086" xr:uid="{9659B966-EABF-43BD-B935-001F8F9BE1ED}"/>
    <hyperlink ref="B2098" r:id="rId2087" xr:uid="{0E0E3640-58AF-4274-8743-58B0FBB65204}"/>
    <hyperlink ref="B2099" r:id="rId2088" xr:uid="{CAF045B7-29DB-418A-901F-D123A67064FE}"/>
    <hyperlink ref="B2100" r:id="rId2089" xr:uid="{AF0A6A1D-57A5-404D-BB30-C8AFE351273A}"/>
    <hyperlink ref="B2101" r:id="rId2090" xr:uid="{A9FDB40C-B085-4FD0-A80D-71EA17682A59}"/>
    <hyperlink ref="B2102" r:id="rId2091" xr:uid="{156957F1-B97F-4E2F-B8CA-AD34FC296C0C}"/>
    <hyperlink ref="B2103" r:id="rId2092" xr:uid="{F450F11D-75B8-434C-B448-F26907A76963}"/>
    <hyperlink ref="B2104" r:id="rId2093" xr:uid="{53A4D09B-A4EE-474F-8B70-6D411C8C478A}"/>
    <hyperlink ref="B2105" r:id="rId2094" xr:uid="{5249F0E8-F00C-46F0-A10B-CA4D5E0069CD}"/>
    <hyperlink ref="B2106" r:id="rId2095" xr:uid="{7E455AEC-52E3-4610-B001-C4B2C757643F}"/>
    <hyperlink ref="B2107" r:id="rId2096" xr:uid="{D814AB3A-C645-4C94-9322-BA6BF35C9B1F}"/>
    <hyperlink ref="B2108" r:id="rId2097" xr:uid="{9F94E8B7-3077-4223-85F8-A728562F0A01}"/>
    <hyperlink ref="B2109" r:id="rId2098" xr:uid="{694171A5-22CD-4E01-86F9-D9D1C55563EC}"/>
    <hyperlink ref="B2110" r:id="rId2099" xr:uid="{AC9CB7FA-6CD2-4852-84CF-CC6199DDC232}"/>
    <hyperlink ref="B2111" r:id="rId2100" xr:uid="{13911B7A-BD18-4A04-B885-3856C3D9E3CC}"/>
    <hyperlink ref="B2112" r:id="rId2101" xr:uid="{E14B57E2-639B-4873-B012-2917C22BA029}"/>
    <hyperlink ref="B2113" r:id="rId2102" xr:uid="{5DB56373-426C-4A1B-80BD-C2332AB16BD3}"/>
    <hyperlink ref="B2114" r:id="rId2103" xr:uid="{3170FC01-0B40-4B41-910C-3ABD4F0DBD99}"/>
    <hyperlink ref="B2115" r:id="rId2104" xr:uid="{B462447A-279F-41B1-9209-1681A4594A53}"/>
    <hyperlink ref="B2116" r:id="rId2105" xr:uid="{FE8DDB0B-56A8-45C6-B1EF-D1E313B057D5}"/>
    <hyperlink ref="B2117" r:id="rId2106" xr:uid="{7B1C62EA-AFF4-4318-B279-8AD2751862A7}"/>
    <hyperlink ref="B2118" r:id="rId2107" xr:uid="{016319B5-7828-46E4-BB90-42C17B6B112E}"/>
    <hyperlink ref="B2119" r:id="rId2108" xr:uid="{B6C37EBB-F3AE-4800-A110-70F8E2E12810}"/>
    <hyperlink ref="B2120" r:id="rId2109" xr:uid="{28F020F2-9179-44B3-8F99-29B0EAA4CD04}"/>
    <hyperlink ref="B2121" r:id="rId2110" xr:uid="{B9C670DB-8151-493C-B6B7-8E6D7E502B14}"/>
    <hyperlink ref="B2122" r:id="rId2111" xr:uid="{6E34671F-AE66-4543-A21F-2B715DA3E716}"/>
    <hyperlink ref="B2123" r:id="rId2112" xr:uid="{979FB67C-ACD7-4ED4-9BFF-FDAA06DB1CF6}"/>
    <hyperlink ref="B2124" r:id="rId2113" xr:uid="{8209DD8C-7F58-4BF4-AB73-0B8F5A5DAF14}"/>
    <hyperlink ref="B2125" r:id="rId2114" xr:uid="{46704266-9B2B-469E-8F05-5B4770793828}"/>
    <hyperlink ref="B2126" r:id="rId2115" xr:uid="{BEB9C3E7-8F91-46B4-ACE4-D055A92F6B57}"/>
    <hyperlink ref="B2127" r:id="rId2116" xr:uid="{9C430DC2-091D-4861-973F-A23A3E2CEE19}"/>
    <hyperlink ref="B2128" r:id="rId2117" xr:uid="{4E17F8AC-6012-4CFE-BE97-A40A5D818C4B}"/>
    <hyperlink ref="B2129" r:id="rId2118" xr:uid="{4EF75F36-7075-4443-84F7-00070A3B40D5}"/>
    <hyperlink ref="B2130" r:id="rId2119" xr:uid="{15144344-AD44-4D26-AA26-AAD6D816C42A}"/>
    <hyperlink ref="B2131" r:id="rId2120" xr:uid="{C50E2E63-17A7-4CAD-B495-64C2C38251CC}"/>
    <hyperlink ref="B2132" r:id="rId2121" xr:uid="{733EA71A-76F1-4B58-849A-8419CEB3ED5C}"/>
    <hyperlink ref="B2133" r:id="rId2122" xr:uid="{45AE55E9-31A6-4E7A-B22F-B898EE95918D}"/>
    <hyperlink ref="B2134" r:id="rId2123" xr:uid="{E226BE44-977D-4F96-8405-6CB935B1C565}"/>
    <hyperlink ref="B2135" r:id="rId2124" xr:uid="{893D0EEE-A5FD-490F-BE9E-36076153933F}"/>
    <hyperlink ref="B2136" r:id="rId2125" xr:uid="{69655F14-9EA6-4722-9156-E6100C0E8DFB}"/>
    <hyperlink ref="B2137" r:id="rId2126" xr:uid="{B843868F-A59C-4478-8091-B04C5F15D36E}"/>
    <hyperlink ref="B2138" r:id="rId2127" xr:uid="{4FD33A70-DF41-4BB9-8997-DE253A6A38E7}"/>
    <hyperlink ref="B2139" r:id="rId2128" xr:uid="{F2C8D0EF-3FF6-475E-B63A-91E08CB215D4}"/>
    <hyperlink ref="B2140" r:id="rId2129" xr:uid="{3566F910-F33F-4BA9-8C5F-8CE04D52DA2D}"/>
    <hyperlink ref="B2141" r:id="rId2130" xr:uid="{10BB53D6-CBE2-448C-8FBF-8375AB46B04B}"/>
    <hyperlink ref="B2142" r:id="rId2131" xr:uid="{3E9F9CD0-A448-4775-90EF-D77AEB685806}"/>
    <hyperlink ref="B2143" r:id="rId2132" xr:uid="{3844AE01-54B8-4AE7-8994-41A4B874A3C1}"/>
    <hyperlink ref="B2144" r:id="rId2133" xr:uid="{8A427427-2A09-418F-87EE-5D66AA673248}"/>
    <hyperlink ref="B2145" r:id="rId2134" xr:uid="{6030239B-A90C-47A9-8CE5-0A6B029DBE4D}"/>
    <hyperlink ref="B2146" r:id="rId2135" xr:uid="{07857036-5710-49C9-815C-7BADB73A5F9C}"/>
    <hyperlink ref="B2147" r:id="rId2136" xr:uid="{65AC833A-00E3-4D39-8D4C-1B04C9C4F12C}"/>
    <hyperlink ref="B2148" r:id="rId2137" xr:uid="{EBC786C2-1857-456E-B4CD-C05164E4503C}"/>
    <hyperlink ref="B2149" r:id="rId2138" xr:uid="{CA1B6A2B-F0EC-4A00-AD94-1DB54842B65B}"/>
    <hyperlink ref="B2150" r:id="rId2139" xr:uid="{2192CA4F-0C99-4988-AAF6-09B5936F3401}"/>
    <hyperlink ref="B2151" r:id="rId2140" xr:uid="{954762AC-81A5-4360-BE5D-51F9E7099775}"/>
    <hyperlink ref="B2152" r:id="rId2141" xr:uid="{B9374ABD-EA3E-4A65-9AF3-FD64C4E3C761}"/>
    <hyperlink ref="B2153" r:id="rId2142" xr:uid="{9BFC5631-434A-4633-BE4B-F84DA58EB0DA}"/>
    <hyperlink ref="B2154" r:id="rId2143" xr:uid="{CB58CB9A-A365-4E08-B9A9-C978E173DE09}"/>
    <hyperlink ref="B2155" r:id="rId2144" xr:uid="{23F23704-033A-4899-B191-2E49E7F7A91F}"/>
    <hyperlink ref="B2156" r:id="rId2145" xr:uid="{B9925A08-29B4-4FA3-9110-513A349CC8AB}"/>
    <hyperlink ref="B2157" r:id="rId2146" xr:uid="{27336866-CC4A-470E-8833-76F37A8CD902}"/>
    <hyperlink ref="B2158" r:id="rId2147" xr:uid="{1008FD81-7157-41E1-8B8A-E903D2CA8565}"/>
    <hyperlink ref="B2159" r:id="rId2148" xr:uid="{D7B2B986-9BE6-4297-AF0B-036482DE7E46}"/>
    <hyperlink ref="B2160" r:id="rId2149" xr:uid="{7CED8C1F-5256-4142-BA8E-E17790624CE8}"/>
    <hyperlink ref="B2161" r:id="rId2150" xr:uid="{AEC6959E-8182-4762-9B87-157114138E30}"/>
    <hyperlink ref="B2162" r:id="rId2151" xr:uid="{1AB512FB-070F-4468-A1D9-2FF325267EDF}"/>
    <hyperlink ref="B2163" r:id="rId2152" xr:uid="{234F8853-E3C2-43B6-8557-12109E03F378}"/>
    <hyperlink ref="B2164" r:id="rId2153" xr:uid="{30F71140-65DD-4F5B-B292-434D702B3947}"/>
    <hyperlink ref="B2165" r:id="rId2154" xr:uid="{BD3EEF58-7221-470D-8B85-689FF2822491}"/>
    <hyperlink ref="B2166" r:id="rId2155" xr:uid="{DD77E038-0C79-4F88-9ED3-57F1A79F5AE7}"/>
    <hyperlink ref="B2167" r:id="rId2156" xr:uid="{3BF58996-6579-48E6-A1FC-A7332A92BF6D}"/>
    <hyperlink ref="B2168" r:id="rId2157" xr:uid="{0EC7D789-9803-46E6-9AE0-F554252FAC67}"/>
    <hyperlink ref="B2169" r:id="rId2158" xr:uid="{99D072A4-E29C-4463-B1A1-69AA279D24DA}"/>
    <hyperlink ref="B2170" r:id="rId2159" xr:uid="{A2E9AFD7-8BFE-45BB-9BFE-7A7ED9C494A8}"/>
    <hyperlink ref="B2171" r:id="rId2160" xr:uid="{C7653C74-B55E-4704-A396-2D075A6E085A}"/>
    <hyperlink ref="B2172" r:id="rId2161" xr:uid="{43B1A07B-E6FD-44C2-A269-AD926FB60308}"/>
    <hyperlink ref="B2173" r:id="rId2162" xr:uid="{349AC71F-077F-4381-A9CA-DCB94ECA8EA8}"/>
    <hyperlink ref="B2174" r:id="rId2163" xr:uid="{9BC42290-54F2-4BB4-AAC6-7800AACA5612}"/>
    <hyperlink ref="B2175" r:id="rId2164" xr:uid="{86991C55-5F4B-4E96-94A2-57CD147F77C9}"/>
    <hyperlink ref="B2176" r:id="rId2165" xr:uid="{41B879FB-8DC2-4141-B011-6367D4962C1E}"/>
    <hyperlink ref="B2177" r:id="rId2166" xr:uid="{152CB3C0-BF2C-460A-A7C0-9EE807238C83}"/>
    <hyperlink ref="B2178" r:id="rId2167" xr:uid="{B2D08C8C-6624-46C8-A67B-A90AE23425C2}"/>
    <hyperlink ref="B2179" r:id="rId2168" xr:uid="{3199FD08-299F-4571-B8AC-F1D04656A1E9}"/>
    <hyperlink ref="B2180" r:id="rId2169" xr:uid="{72C94D5A-6A3B-42C3-A40E-FA75C09607EB}"/>
    <hyperlink ref="B2181" r:id="rId2170" xr:uid="{C1DE0B94-3105-486A-A84A-292146485558}"/>
    <hyperlink ref="B2182" r:id="rId2171" xr:uid="{5CA1B3BF-616A-4D71-9CEE-B56F919F5149}"/>
    <hyperlink ref="B2183" r:id="rId2172" xr:uid="{BD531A55-348F-4E77-AC1A-1B28BF690A94}"/>
    <hyperlink ref="B2184" r:id="rId2173" xr:uid="{70B02F7A-308A-4046-98D9-FF57D3D6C06B}"/>
    <hyperlink ref="B2185" r:id="rId2174" xr:uid="{EC8B79F1-D117-4345-A47B-173061970546}"/>
    <hyperlink ref="B2186" r:id="rId2175" xr:uid="{0D1F6A19-8985-430A-8189-96673B5ACF31}"/>
    <hyperlink ref="B2187" r:id="rId2176" xr:uid="{3FB30288-D0E9-4A26-A624-B8F30AC35538}"/>
    <hyperlink ref="B2188" r:id="rId2177" xr:uid="{CE946155-5AE2-438E-A098-E9BB5029D6A0}"/>
    <hyperlink ref="B2189" r:id="rId2178" xr:uid="{B8D000AE-5E6B-4BB6-ADA5-58F28A3B2EF9}"/>
    <hyperlink ref="B2190" r:id="rId2179" xr:uid="{FD5913B2-6B21-4DF5-9B40-496781B4E4A6}"/>
    <hyperlink ref="B2191" r:id="rId2180" xr:uid="{2F086F10-360D-401A-927D-E53F4F7EC03D}"/>
    <hyperlink ref="B2192" r:id="rId2181" xr:uid="{848D4AAF-6BB7-4387-B920-AAAE80C4A121}"/>
    <hyperlink ref="B2193" r:id="rId2182" xr:uid="{71443049-CB7B-4EF3-9E39-96AAAC05CBF5}"/>
    <hyperlink ref="B2194" r:id="rId2183" xr:uid="{5B73AD52-A5A7-4F48-8700-AFD02A46DB79}"/>
    <hyperlink ref="B2195" r:id="rId2184" xr:uid="{C71E50A3-F672-4CDF-9C8E-CE8234E36051}"/>
    <hyperlink ref="B2196" r:id="rId2185" xr:uid="{2AB9085A-848A-4E7E-852B-FF8936C9EB19}"/>
    <hyperlink ref="B2197" r:id="rId2186" xr:uid="{88BC4AD4-CCD9-42CB-85E7-3600F8B66AFE}"/>
    <hyperlink ref="B2198" r:id="rId2187" xr:uid="{AFFD9550-907E-4AA3-AF99-04069A7519DF}"/>
    <hyperlink ref="B2199" r:id="rId2188" xr:uid="{7D45293E-209F-43E4-9DE5-18CEB18AB311}"/>
    <hyperlink ref="B2200" r:id="rId2189" xr:uid="{B9D0DEBE-209D-4CB3-932F-27ADA72C40CC}"/>
    <hyperlink ref="B2201" r:id="rId2190" xr:uid="{5F3B6869-B190-4456-AFCB-AF431C3B6B2D}"/>
    <hyperlink ref="B2202" r:id="rId2191" xr:uid="{D9DF9665-5898-46C2-A2F4-4106A15E4F1D}"/>
    <hyperlink ref="B2203" r:id="rId2192" xr:uid="{5C89D18F-0A45-400D-9E5C-981FBAA3FB2A}"/>
    <hyperlink ref="B2204" r:id="rId2193" xr:uid="{0AF3F539-AAB2-4924-965A-93B09F4A503B}"/>
    <hyperlink ref="B2205" r:id="rId2194" xr:uid="{FF1310B9-DEB2-441C-AD06-6867F6D3F677}"/>
    <hyperlink ref="B2206" r:id="rId2195" xr:uid="{E0120F7C-C00D-43B8-933C-7C1F71EBBC0C}"/>
    <hyperlink ref="B2207" r:id="rId2196" xr:uid="{E529B2D5-4C40-422E-A95A-9A93EA4E78AE}"/>
    <hyperlink ref="B2208" r:id="rId2197" xr:uid="{75E21E71-4C2A-4C1A-90CA-173D0B490494}"/>
    <hyperlink ref="B2209" r:id="rId2198" xr:uid="{01006274-E49F-4207-AD5A-28332D692DFE}"/>
    <hyperlink ref="B2210" r:id="rId2199" xr:uid="{F4BBE4B8-2490-49B7-928E-156ECD188F97}"/>
    <hyperlink ref="B2211" r:id="rId2200" xr:uid="{0B94E8A0-2F20-4264-B545-BBF1179A8F4F}"/>
    <hyperlink ref="B2212" r:id="rId2201" xr:uid="{0323912F-CCBE-4637-9BB6-B952EBFE57AB}"/>
    <hyperlink ref="B2213" r:id="rId2202" xr:uid="{7C49FC77-EAF0-415B-9D19-350B38FB3172}"/>
    <hyperlink ref="B2214" r:id="rId2203" xr:uid="{1835A298-B456-4E4C-90F5-514F1F0419F3}"/>
    <hyperlink ref="B2215" r:id="rId2204" xr:uid="{EE904FE0-C493-4212-8A7E-13DA7C97C115}"/>
    <hyperlink ref="B2216" r:id="rId2205" xr:uid="{13FEF746-EFF9-4BC4-8B8C-A819FEF60FD9}"/>
    <hyperlink ref="B2217" r:id="rId2206" xr:uid="{98E418F4-2275-4009-A90A-0C323CB08AB8}"/>
    <hyperlink ref="B2218" r:id="rId2207" xr:uid="{843E6404-7A4F-4D1D-9971-68601DDA7AB2}"/>
    <hyperlink ref="B2219" r:id="rId2208" xr:uid="{61829F4E-F7D9-4C6E-A04C-399C6A604BD9}"/>
    <hyperlink ref="B2220" r:id="rId2209" xr:uid="{1F298915-7A3D-40E3-8DDA-0EE6442F4CBC}"/>
    <hyperlink ref="B2221" r:id="rId2210" xr:uid="{6ACE146B-AE1C-4576-B4AE-71DF38B5EAC6}"/>
    <hyperlink ref="B2222" r:id="rId2211" xr:uid="{84BD7D8D-9B6A-42E4-830C-4AFCCCEA2316}"/>
    <hyperlink ref="B2223" r:id="rId2212" xr:uid="{C14976BA-C173-40C2-BBBF-DC6C5F3E8865}"/>
    <hyperlink ref="B2224" r:id="rId2213" xr:uid="{FA2ED5A1-E1EF-4B85-B105-C963A612A6F1}"/>
    <hyperlink ref="B2225" r:id="rId2214" xr:uid="{835D7955-3D9C-4DD2-94BC-25BCA5F7DA08}"/>
    <hyperlink ref="B2226" r:id="rId2215" xr:uid="{887ED19D-D703-402E-A903-9A52EE226885}"/>
    <hyperlink ref="B2227" r:id="rId2216" xr:uid="{3320BF7F-FCC1-4FF4-969A-48BB62D029E4}"/>
    <hyperlink ref="B2228" r:id="rId2217" xr:uid="{B3EE27A8-CB88-4C98-ADBE-485A2BF7B409}"/>
    <hyperlink ref="B2229" r:id="rId2218" xr:uid="{C3E7D12E-C7D3-4C30-BC00-90381456F65A}"/>
    <hyperlink ref="B2230" r:id="rId2219" xr:uid="{193B4FBD-37E4-4C1B-96AD-91C0EBD52048}"/>
    <hyperlink ref="B2231" r:id="rId2220" xr:uid="{83712B6A-64A3-4C47-817D-393F976EE12D}"/>
    <hyperlink ref="B2232" r:id="rId2221" xr:uid="{8DC1D890-3EB5-45AB-B4A5-8425D1E76CEB}"/>
    <hyperlink ref="B2233" r:id="rId2222" xr:uid="{26125AD8-48D7-439C-AC24-79000527A1D3}"/>
    <hyperlink ref="B2234" r:id="rId2223" xr:uid="{F1ADE864-350F-49A2-864F-0E3DD9307105}"/>
    <hyperlink ref="B2235" r:id="rId2224" xr:uid="{90E55A72-ACFA-4F75-BAD5-3263A43BA065}"/>
    <hyperlink ref="B2236" r:id="rId2225" xr:uid="{FD62B41F-4EAB-425F-B3A2-23F0F4DCB926}"/>
    <hyperlink ref="B2238" r:id="rId2226" xr:uid="{56C95251-5B1B-43E7-9452-E9936A58BA16}"/>
    <hyperlink ref="B2239" r:id="rId2227" xr:uid="{7853FF97-C7CE-4CD9-A50F-1B521F9E4DBC}"/>
    <hyperlink ref="B2240" r:id="rId2228" xr:uid="{757FB19A-2ADD-449B-A3F6-D13894A246D5}"/>
    <hyperlink ref="B2241" r:id="rId2229" xr:uid="{C8FC829F-D37C-431D-9EDA-A91FD3FCAD96}"/>
    <hyperlink ref="B2242" r:id="rId2230" xr:uid="{6F7DAD83-79BC-486C-B975-01C3B242A35B}"/>
    <hyperlink ref="B2243" r:id="rId2231" xr:uid="{43E8EF6B-1D6E-43CF-9156-3F43DD3BA43D}"/>
    <hyperlink ref="B2244" r:id="rId2232" xr:uid="{74729A72-048A-4537-B16E-B95B355A52B2}"/>
    <hyperlink ref="B2245" r:id="rId2233" xr:uid="{0E4EB1CF-1457-44CA-B355-E7374CFE38EE}"/>
    <hyperlink ref="B2246" r:id="rId2234" xr:uid="{1D041241-6DA3-4575-B837-5CF4ADAF5682}"/>
    <hyperlink ref="B2247" r:id="rId2235" xr:uid="{45F50ACD-9E47-4135-8668-240F8531F316}"/>
    <hyperlink ref="B2248" r:id="rId2236" xr:uid="{7D818A85-C8E3-4988-B0DD-5105C7F8D175}"/>
    <hyperlink ref="B2249" r:id="rId2237" xr:uid="{95B75562-F902-4B77-919E-6B7B2DAB1292}"/>
    <hyperlink ref="B2250" r:id="rId2238" xr:uid="{C364FA49-4EE0-44AE-9CF8-2D42BDDEAF24}"/>
    <hyperlink ref="B2251" r:id="rId2239" xr:uid="{686BAB9C-99D6-4BF9-80B4-879A4CE58680}"/>
    <hyperlink ref="B2252" r:id="rId2240" xr:uid="{FE420934-2FF7-4B7B-8AD9-6499D1B26F53}"/>
    <hyperlink ref="B2253" r:id="rId2241" xr:uid="{7006651B-75FE-4687-B354-3F3B7C5EAC1C}"/>
    <hyperlink ref="B2254" r:id="rId2242" xr:uid="{9256D055-7ACB-4708-B028-B73531816C42}"/>
    <hyperlink ref="B2255" r:id="rId2243" xr:uid="{EE24AE9B-062B-44CE-B5F4-1AE671FCF39D}"/>
    <hyperlink ref="B2256" r:id="rId2244" xr:uid="{09ADEE43-4077-491E-AAF3-57350A916F6F}"/>
    <hyperlink ref="B2257" r:id="rId2245" xr:uid="{233B5F18-E709-4BFC-8415-D197CCAC5EBD}"/>
    <hyperlink ref="B2258" r:id="rId2246" xr:uid="{7AA77D20-CB09-47C8-8A09-DE1BB493BBAC}"/>
    <hyperlink ref="B2259" r:id="rId2247" xr:uid="{5B92BB30-8EDB-495D-9483-1BADF26F4FAE}"/>
    <hyperlink ref="B2260" r:id="rId2248" xr:uid="{F35DFA88-6D0E-4B2C-A72D-A54A1E1CE8C2}"/>
    <hyperlink ref="B2261" r:id="rId2249" xr:uid="{607B9236-2956-4760-A305-8FCDEBAA148F}"/>
    <hyperlink ref="B2262" r:id="rId2250" xr:uid="{139F9C08-2332-4836-88E8-21A1C0D3223D}"/>
    <hyperlink ref="B2263" r:id="rId2251" xr:uid="{9F297C95-D3E1-4B5C-80A2-197056FA98D7}"/>
    <hyperlink ref="B2264" r:id="rId2252" xr:uid="{72434F1A-4671-432D-8045-4F05507E14C6}"/>
    <hyperlink ref="B2265" r:id="rId2253" xr:uid="{B8F7762E-DA5A-4597-AE87-C9C760AA7803}"/>
    <hyperlink ref="B2266" r:id="rId2254" xr:uid="{0D3E964F-BBCB-4114-B69A-0246B242CA4C}"/>
    <hyperlink ref="B2267" r:id="rId2255" xr:uid="{4E2F4468-AF39-4422-AB01-2E02A1A2EF05}"/>
    <hyperlink ref="B2268" r:id="rId2256" xr:uid="{B9F08961-8F47-4DC0-9E9C-5071E1146A59}"/>
    <hyperlink ref="B2269" r:id="rId2257" xr:uid="{9627DFE5-92DE-4F99-82D7-459768F52F4A}"/>
    <hyperlink ref="B2270" r:id="rId2258" xr:uid="{7A28D1E6-6BF6-4310-9E25-03A6E5E768B9}"/>
    <hyperlink ref="B2271" r:id="rId2259" xr:uid="{C087DEB0-010B-4A13-A585-C4438FDCF46B}"/>
    <hyperlink ref="B2272" r:id="rId2260" xr:uid="{F7015FA9-429F-4E32-946D-9011F22B3F2E}"/>
    <hyperlink ref="B2273" r:id="rId2261" xr:uid="{1C0D3BEA-A878-439F-895B-D9B999B58DDE}"/>
    <hyperlink ref="B2274" r:id="rId2262" xr:uid="{D52252AA-79F4-4BEF-B93D-5AC8496D0863}"/>
    <hyperlink ref="B2275" r:id="rId2263" xr:uid="{75A7D686-5908-4D57-966C-DD5716D60C7F}"/>
    <hyperlink ref="B2276" r:id="rId2264" xr:uid="{89FDCF1C-C6D8-4BE5-955D-FA593436DD23}"/>
    <hyperlink ref="B2277" r:id="rId2265" xr:uid="{92BCC5B8-765A-42FC-B1A4-024FC8169FDE}"/>
    <hyperlink ref="B2278" r:id="rId2266" xr:uid="{BF726B50-C66C-4381-9498-6B696D5D142C}"/>
    <hyperlink ref="B2279" r:id="rId2267" xr:uid="{07603A1F-024E-47E9-88A5-1212C72717C4}"/>
    <hyperlink ref="B2280" r:id="rId2268" xr:uid="{534B7A3E-7FBC-46E0-B286-C3DB9DDD119C}"/>
    <hyperlink ref="B2281" r:id="rId2269" xr:uid="{2FE07199-8570-4039-8385-F8755D36267B}"/>
    <hyperlink ref="B2282" r:id="rId2270" xr:uid="{D215A9CD-6335-4C82-985C-0B285AD70D51}"/>
    <hyperlink ref="B2283" r:id="rId2271" xr:uid="{8ACAEA74-806F-40FA-9153-653458842147}"/>
    <hyperlink ref="B2284" r:id="rId2272" xr:uid="{DDAA3730-BCAB-4A24-A719-A8008951A4A6}"/>
    <hyperlink ref="B2285" r:id="rId2273" xr:uid="{2C57251E-066C-47F8-960F-178E02DAB214}"/>
    <hyperlink ref="B2286" r:id="rId2274" xr:uid="{20D613AD-0E1D-4B59-AFAC-85114576DC28}"/>
    <hyperlink ref="B2287" r:id="rId2275" xr:uid="{08789E0D-DA84-4E11-B392-C5A988A1312E}"/>
    <hyperlink ref="B2288" r:id="rId2276" xr:uid="{5C639415-7922-45F2-98F5-AD3E0CF310CB}"/>
    <hyperlink ref="B2289" r:id="rId2277" xr:uid="{56534898-C284-4569-9C56-7E27C0A9AFD5}"/>
    <hyperlink ref="B2290" r:id="rId2278" xr:uid="{614BA436-C851-4044-9748-7E0E9D339697}"/>
    <hyperlink ref="B2291" r:id="rId2279" xr:uid="{24017DD4-90B1-4F03-9621-C9E05A5CB1C8}"/>
    <hyperlink ref="B2292" r:id="rId2280" xr:uid="{AEA201DA-856D-45C0-881A-B70C97E0A7DA}"/>
    <hyperlink ref="B2293" r:id="rId2281" xr:uid="{DB305CE4-81CD-4D53-85E2-A7CB573F3528}"/>
    <hyperlink ref="B2294" r:id="rId2282" xr:uid="{D414ED5C-D428-4278-A460-369BB8E663E9}"/>
    <hyperlink ref="B2295" r:id="rId2283" xr:uid="{F45CDB6C-E2AA-4D15-9203-2EACF39F3D30}"/>
    <hyperlink ref="B2296" r:id="rId2284" xr:uid="{E05F40A5-F356-477A-8178-A152DAB75E6C}"/>
    <hyperlink ref="B2297" r:id="rId2285" xr:uid="{21D9DD6F-2D19-4F2F-A566-755F6A6461E9}"/>
    <hyperlink ref="B2298" r:id="rId2286" xr:uid="{CAE26767-2168-41BB-B16B-E4D3A3E910EE}"/>
    <hyperlink ref="B2299" r:id="rId2287" xr:uid="{F4FDD801-FFB5-48A4-893F-550908D9910B}"/>
    <hyperlink ref="B2300" r:id="rId2288" xr:uid="{85B66BA6-3040-43CB-A30C-7C5DC932C9B8}"/>
    <hyperlink ref="B2301" r:id="rId2289" xr:uid="{0A03F215-4BAE-4855-8A1B-208DF0A75D62}"/>
    <hyperlink ref="B2302" r:id="rId2290" xr:uid="{4863E1D1-51DE-42C3-82CB-5DA838F1BE3A}"/>
    <hyperlink ref="B2303" r:id="rId2291" xr:uid="{4AA9A5BC-9E12-48C2-8516-9AF62FA4A33C}"/>
    <hyperlink ref="B2304" r:id="rId2292" xr:uid="{8B023C2E-64DA-42A8-A581-8E5C3123BB70}"/>
    <hyperlink ref="B2305" r:id="rId2293" xr:uid="{F2207DD0-693C-4188-B0C1-B28FD367B4FE}"/>
    <hyperlink ref="B2306" r:id="rId2294" xr:uid="{DD9B6D36-6157-4087-859D-15091259A934}"/>
    <hyperlink ref="B2307" r:id="rId2295" xr:uid="{A54C7805-CE76-4908-AC1D-BA6F81AA8732}"/>
    <hyperlink ref="B2308" r:id="rId2296" xr:uid="{831CA67C-9127-4032-90AF-BB58A74B6C96}"/>
    <hyperlink ref="B2309" r:id="rId2297" xr:uid="{DD757C72-55FA-4097-9663-808D2EE9A368}"/>
    <hyperlink ref="B2310" r:id="rId2298" xr:uid="{24CC1040-3729-4E66-B1DC-1F0CD75D7463}"/>
    <hyperlink ref="B2311" r:id="rId2299" xr:uid="{9BD1163A-D0F2-44B2-A23E-E478435347E4}"/>
    <hyperlink ref="B2312" r:id="rId2300" xr:uid="{08E8ED27-9B38-47D8-A5EB-0847C6C84402}"/>
    <hyperlink ref="B2313" r:id="rId2301" xr:uid="{28D9663F-7E55-4181-A197-5E197DFA16EB}"/>
    <hyperlink ref="B2314" r:id="rId2302" xr:uid="{3123D75F-2D6E-47DE-9654-43101E127640}"/>
    <hyperlink ref="B2315" r:id="rId2303" xr:uid="{FF9650C2-7135-44FC-A400-335F4199776C}"/>
    <hyperlink ref="B2316" r:id="rId2304" xr:uid="{E73048F1-9A69-4427-8B7C-2C66BB4EB27C}"/>
    <hyperlink ref="B2317" r:id="rId2305" xr:uid="{974F6803-B1A5-4958-899C-49F7CC6BB089}"/>
    <hyperlink ref="B2318" r:id="rId2306" xr:uid="{3319B63E-3428-465F-B73E-051DA03337F8}"/>
    <hyperlink ref="B2319" r:id="rId2307" xr:uid="{B47AD474-12FF-42CE-960B-88565D30AD94}"/>
    <hyperlink ref="B2320" r:id="rId2308" xr:uid="{782082E3-AE1C-4DB4-B5B2-1CCA91EE19F9}"/>
    <hyperlink ref="B2321" r:id="rId2309" xr:uid="{60719BDC-B54D-402B-9350-927653877EC3}"/>
    <hyperlink ref="B2322" r:id="rId2310" xr:uid="{29EAC2E0-DD18-48F4-806C-A09D1CA1A2BC}"/>
    <hyperlink ref="B2323" r:id="rId2311" xr:uid="{2FF191D4-0296-446A-B6B3-F5D7B89385FD}"/>
    <hyperlink ref="B2324" r:id="rId2312" xr:uid="{2C96BBCD-76EB-47A8-A805-145086C52730}"/>
    <hyperlink ref="B2325" r:id="rId2313" xr:uid="{9DD5E93E-0965-4D7B-9F23-C5F92BBFA573}"/>
    <hyperlink ref="B2326" r:id="rId2314" xr:uid="{FF888525-1A8E-4F5B-BC9E-72B04BD824E3}"/>
    <hyperlink ref="B2327" r:id="rId2315" xr:uid="{ED98B2A4-DDAF-4F27-9CF2-8B333E9FA201}"/>
    <hyperlink ref="B2328" r:id="rId2316" xr:uid="{9E146E88-E09A-4075-8583-2BD582994FC4}"/>
    <hyperlink ref="B2329" r:id="rId2317" xr:uid="{CD394828-333D-4380-AA1D-D8B05B96008E}"/>
    <hyperlink ref="B2330" r:id="rId2318" xr:uid="{739B9502-867F-4891-858B-4D5B0ED6405F}"/>
    <hyperlink ref="B2331" r:id="rId2319" xr:uid="{88996435-99EE-42D3-B4C7-4E7D92E72E94}"/>
    <hyperlink ref="B2332" r:id="rId2320" xr:uid="{4BC4A74B-28B7-498E-833C-3A2FA3C161EA}"/>
    <hyperlink ref="B2333" r:id="rId2321" xr:uid="{CCBA0C8E-B82B-4FF1-AA74-8CE29DB48849}"/>
    <hyperlink ref="B2334" r:id="rId2322" xr:uid="{2CE06D13-CF8A-4827-B33F-2E73DDF0434F}"/>
    <hyperlink ref="B2335" r:id="rId2323" xr:uid="{5982ABEB-03DD-47C1-9E83-EB16888F34C7}"/>
    <hyperlink ref="B2336" r:id="rId2324" xr:uid="{6B70CAB8-3DAB-4C93-8BBF-F1BEAC2F36B8}"/>
    <hyperlink ref="B2337" r:id="rId2325" xr:uid="{1A355BAD-AECB-45B3-9540-5FA36E62809B}"/>
    <hyperlink ref="B2338" r:id="rId2326" xr:uid="{D520ED1E-824A-48D1-8795-414452CE0C64}"/>
    <hyperlink ref="B2339" r:id="rId2327" xr:uid="{569AA658-D457-48DA-9005-0C0C1FD674E4}"/>
    <hyperlink ref="B2340" r:id="rId2328" xr:uid="{7FA0DEDE-3B8A-4F7C-B6E3-C7B5CFB9B8A2}"/>
    <hyperlink ref="B2341" r:id="rId2329" xr:uid="{0B26C82B-B98E-4C6E-B417-288142F82305}"/>
    <hyperlink ref="B2342" r:id="rId2330" xr:uid="{F03D3568-BD37-44AD-AA3F-4A085D336543}"/>
    <hyperlink ref="B2343" r:id="rId2331" xr:uid="{7927668A-31D3-4300-9CD1-A5DC478A499A}"/>
    <hyperlink ref="B2344" r:id="rId2332" xr:uid="{F34EE3FD-1EA4-4FB4-880C-41BCEC8D8F7D}"/>
    <hyperlink ref="B2345" r:id="rId2333" xr:uid="{5C3F5C5B-E70F-4E70-95AC-1552677A6557}"/>
    <hyperlink ref="B2346" r:id="rId2334" xr:uid="{6F69761B-8478-473C-BB65-B12809E9006D}"/>
    <hyperlink ref="B2347" r:id="rId2335" xr:uid="{FE2C7C04-52E6-4CD9-901C-73F33A9E18DF}"/>
    <hyperlink ref="B2348" r:id="rId2336" xr:uid="{3B1AEF70-EDAF-4C13-A63A-DF60008C9966}"/>
    <hyperlink ref="B2349" r:id="rId2337" xr:uid="{AB8510A5-9AC2-442C-9B58-DF79E4E33A4B}"/>
    <hyperlink ref="B2350" r:id="rId2338" xr:uid="{E196E3D2-292D-4E85-80B2-B2C375ED3954}"/>
    <hyperlink ref="B2351" r:id="rId2339" xr:uid="{7FB13F1B-6F6F-4D05-B4B0-5AD1F25B97AE}"/>
    <hyperlink ref="B2352" r:id="rId2340" xr:uid="{B5E99D50-BDEB-4CA3-A882-246C5137EC0B}"/>
    <hyperlink ref="B2353" r:id="rId2341" xr:uid="{904A4747-123D-4AE0-853B-1BEA7CCEBAEA}"/>
    <hyperlink ref="B2354" r:id="rId2342" xr:uid="{292A7E38-D8FB-406E-B740-B6E54DFA2213}"/>
    <hyperlink ref="B2355" r:id="rId2343" xr:uid="{240C9F48-5B41-4D75-90A6-8A45EB6B8D12}"/>
    <hyperlink ref="B2356" r:id="rId2344" xr:uid="{C6D8B704-C1A0-4F43-8032-9C7F9220FC19}"/>
    <hyperlink ref="B2357" r:id="rId2345" xr:uid="{ECFA6947-36CD-4A86-9972-EBCE09F1B7FA}"/>
    <hyperlink ref="B2358" r:id="rId2346" xr:uid="{ED5557D9-889E-431E-AA9B-9A3799807BA8}"/>
    <hyperlink ref="B2359" r:id="rId2347" xr:uid="{6F3BBFA7-D501-4CE5-A13C-CBD9D60AED22}"/>
    <hyperlink ref="B2360" r:id="rId2348" xr:uid="{776AE828-FB3B-4EB0-8E02-110A344BEA04}"/>
    <hyperlink ref="B2361" r:id="rId2349" xr:uid="{7DF007F1-ABBE-4712-86E5-1C1889735E5B}"/>
    <hyperlink ref="B2362" r:id="rId2350" xr:uid="{5B417EBA-725F-46E6-8E15-63834D9CF247}"/>
    <hyperlink ref="B2363" r:id="rId2351" xr:uid="{0E39B1C4-FAB1-4BA8-A315-85A3163DF98D}"/>
    <hyperlink ref="B2364" r:id="rId2352" xr:uid="{0D6B07F5-8E41-4538-BB7C-E1192AE95DE3}"/>
    <hyperlink ref="B2365" r:id="rId2353" xr:uid="{477F31C8-4E90-442F-AD8C-46C1753B61DC}"/>
    <hyperlink ref="B2366" r:id="rId2354" xr:uid="{8D30EC74-9265-4D62-A0B0-6A8DC90DFA1F}"/>
    <hyperlink ref="B2367" r:id="rId2355" xr:uid="{504B55AD-87FB-46D2-ABA1-32CB925D21DA}"/>
    <hyperlink ref="B2368" r:id="rId2356" xr:uid="{4670BD50-485D-4393-B01B-534AFDBDADD0}"/>
    <hyperlink ref="B2369" r:id="rId2357" xr:uid="{C39FA7E4-BB31-46E3-8A21-EC1F9E5ADF76}"/>
    <hyperlink ref="B2370" r:id="rId2358" xr:uid="{71A4A9AF-ED20-4A58-B7E4-0C9A9D24116C}"/>
    <hyperlink ref="B2371" r:id="rId2359" xr:uid="{9166F60E-1CFC-4A1A-BDCB-0732C59D45B8}"/>
    <hyperlink ref="B2372" r:id="rId2360" xr:uid="{DACAF684-77D9-4B8B-AFD4-FDC62D3A7A72}"/>
    <hyperlink ref="B2373" r:id="rId2361" xr:uid="{EBA391F9-2FEF-4C36-AF40-DA29F062558B}"/>
    <hyperlink ref="B2374" r:id="rId2362" xr:uid="{EFB1D7AC-43E8-48CB-B690-CA10247C7D1A}"/>
    <hyperlink ref="B2375" r:id="rId2363" xr:uid="{238F82F0-C8B1-4D43-BAC7-42BEA822B47A}"/>
    <hyperlink ref="B2376" r:id="rId2364" xr:uid="{E6D0F13A-762B-47BE-8BF1-DEA77A7EECD4}"/>
    <hyperlink ref="B2377" r:id="rId2365" xr:uid="{F861C109-08C6-4170-BE8F-AA56F1A48B2D}"/>
    <hyperlink ref="B2378" r:id="rId2366" xr:uid="{5C28FAB7-9BFC-454A-A3BB-BBCE5B32C981}"/>
    <hyperlink ref="B2379" r:id="rId2367" xr:uid="{8BE2B063-956B-45C9-A41B-C2B8B1B38853}"/>
    <hyperlink ref="B2380" r:id="rId2368" xr:uid="{AE507416-4709-4186-BE68-FDD1DB68B3AB}"/>
    <hyperlink ref="B2381" r:id="rId2369" xr:uid="{197156FB-70AF-4FA4-9316-BC688A8B8283}"/>
    <hyperlink ref="B2382" r:id="rId2370" xr:uid="{6357E764-BA5E-4F19-ADE0-7A1924C52AD1}"/>
    <hyperlink ref="B2383" r:id="rId2371" xr:uid="{9FD82E93-E17B-4637-915F-6123A57BE461}"/>
    <hyperlink ref="B2384" r:id="rId2372" xr:uid="{1FABE28D-CA8F-44CB-AB85-4070ACE2D30A}"/>
    <hyperlink ref="B2385" r:id="rId2373" xr:uid="{1F040210-5251-4655-8FC2-AD6D6429F318}"/>
    <hyperlink ref="B2386" r:id="rId2374" xr:uid="{EFF24B17-E1C7-448B-A453-BB7E2F3FEA85}"/>
    <hyperlink ref="B2387" r:id="rId2375" xr:uid="{176343D5-F8BB-4354-A50C-6B3E2CC47D3B}"/>
    <hyperlink ref="B2388" r:id="rId2376" xr:uid="{4D8DC140-0005-41E8-AAE0-DAEFF61108B4}"/>
    <hyperlink ref="B2389" r:id="rId2377" xr:uid="{286FAB90-231E-4555-8139-FDF9134E67A6}"/>
    <hyperlink ref="B2390" r:id="rId2378" xr:uid="{8882DE26-1BB9-4184-BCAF-EA602EB886C0}"/>
    <hyperlink ref="B2391" r:id="rId2379" xr:uid="{92136C89-47D8-4D4C-AEFB-576453EC3D69}"/>
    <hyperlink ref="B2392" r:id="rId2380" xr:uid="{21A93CDC-AAEA-4492-9E6D-8D72AFF22E8C}"/>
    <hyperlink ref="B2393" r:id="rId2381" xr:uid="{78F05D8D-79F8-4725-B7B3-535B4B64EDBE}"/>
    <hyperlink ref="B2394" r:id="rId2382" xr:uid="{37D77332-9FFB-4043-A78D-B3169635E205}"/>
    <hyperlink ref="B2395" r:id="rId2383" xr:uid="{08BB8DB2-479B-4D1C-9E4A-6F761F7E15AF}"/>
    <hyperlink ref="B2396" r:id="rId2384" xr:uid="{F11B9E75-1F19-443F-9AB3-C538C6FF8109}"/>
    <hyperlink ref="B2397" r:id="rId2385" xr:uid="{C0528C83-B650-4207-875A-5970A3F72B6D}"/>
    <hyperlink ref="B2398" r:id="rId2386" xr:uid="{2DABC6B5-2EA1-4DAD-A86F-4898AB04DF7A}"/>
    <hyperlink ref="B2399" r:id="rId2387" xr:uid="{3DDF3DD6-6896-43DF-A8F2-EA20C21C3580}"/>
    <hyperlink ref="B2400" r:id="rId2388" xr:uid="{20346DF1-D61D-496B-9AAB-A9914A68C1D3}"/>
    <hyperlink ref="B2401" r:id="rId2389" xr:uid="{681BA309-368C-4757-943A-11F32718D0C2}"/>
    <hyperlink ref="B2402" r:id="rId2390" xr:uid="{F620C6C6-0E8F-4921-8489-DA937396AE90}"/>
    <hyperlink ref="B2403" r:id="rId2391" xr:uid="{97E419E4-3AD7-4B57-806E-3C2E88395B80}"/>
    <hyperlink ref="B2404" r:id="rId2392" xr:uid="{645870F3-E92B-45A9-BCF1-2ECC2D95DB49}"/>
    <hyperlink ref="B2405" r:id="rId2393" xr:uid="{03F94B75-FE7C-40BB-806F-1C35D09E0A7F}"/>
    <hyperlink ref="B2406" r:id="rId2394" xr:uid="{883D7F2C-520B-473E-87B5-0F7C29266A2A}"/>
    <hyperlink ref="B2407" r:id="rId2395" xr:uid="{CFE247FA-FF45-48BD-87C9-963970A2C15E}"/>
    <hyperlink ref="B2408" r:id="rId2396" xr:uid="{09F93A36-7EEC-41FA-8DE0-3CCF94DE1ED6}"/>
    <hyperlink ref="B2409" r:id="rId2397" xr:uid="{0510205C-5F78-448C-A0FF-173CC9D67DFC}"/>
    <hyperlink ref="B2410" r:id="rId2398" xr:uid="{D38D5F1C-CCA4-4445-9F96-293B357B5036}"/>
    <hyperlink ref="B2411" r:id="rId2399" xr:uid="{EC84CCA9-0B4C-4876-92C3-71800DE2A802}"/>
    <hyperlink ref="B2412" r:id="rId2400" xr:uid="{823B3642-8888-4517-8513-54D1703DCF2E}"/>
    <hyperlink ref="B2413" r:id="rId2401" xr:uid="{6F9EBA7C-65FE-4074-9CF1-78E7609CFA3B}"/>
    <hyperlink ref="B2414" r:id="rId2402" xr:uid="{14D312FA-0C69-46C9-85C8-BE80ADA8E8A1}"/>
    <hyperlink ref="B2415" r:id="rId2403" xr:uid="{F29C6F4E-5F8D-4490-9870-1C547ED5F203}"/>
    <hyperlink ref="B2417" r:id="rId2404" xr:uid="{5EFD723B-B486-45BB-BAF3-75C87B7A9E1A}"/>
    <hyperlink ref="B2418" r:id="rId2405" xr:uid="{E9548845-4BA4-47BE-8157-934560B8CA38}"/>
    <hyperlink ref="B2419" r:id="rId2406" xr:uid="{C8B66682-79F8-4B66-87FD-9538F2B2EFD6}"/>
    <hyperlink ref="B2420" r:id="rId2407" xr:uid="{F5A12E24-E857-46E9-BCF8-B15DE60F687A}"/>
    <hyperlink ref="B2421" r:id="rId2408" xr:uid="{C709A44F-7A28-42B4-8119-671B21194235}"/>
    <hyperlink ref="B2422" r:id="rId2409" xr:uid="{2B2E55B1-7C2D-4A66-8CB8-F8E11718BC6E}"/>
    <hyperlink ref="B2423" r:id="rId2410" xr:uid="{8365A63C-D77B-4BC0-A3A4-0C82AEC70FD0}"/>
    <hyperlink ref="B2424" r:id="rId2411" xr:uid="{486AEEDC-B44F-44DF-8936-B8EEB4DCE94D}"/>
    <hyperlink ref="B2425" r:id="rId2412" xr:uid="{04CB9C37-4086-450C-B64D-BFADC66B57EC}"/>
    <hyperlink ref="B2426" r:id="rId2413" xr:uid="{C6D846BA-A562-4092-B063-621598D018E2}"/>
    <hyperlink ref="B2427" r:id="rId2414" xr:uid="{9EE112B6-3D8C-4F1C-8550-F29DDA9ACFA0}"/>
    <hyperlink ref="B2428" r:id="rId2415" xr:uid="{BE53392A-8ED1-41D0-9B1E-EFCA46CB738C}"/>
    <hyperlink ref="B2429" r:id="rId2416" xr:uid="{0FAFA5CF-9024-4291-9C17-76542F661D5D}"/>
    <hyperlink ref="B2430" r:id="rId2417" xr:uid="{A1575264-B4DA-4D6E-A4CD-799EA328749B}"/>
    <hyperlink ref="B2431" r:id="rId2418" xr:uid="{0D187136-C31B-41F4-9AEF-70F92828FEA0}"/>
    <hyperlink ref="B2432" r:id="rId2419" xr:uid="{24784742-3F31-4006-8E61-92144700C06C}"/>
    <hyperlink ref="B2433" r:id="rId2420" xr:uid="{13F6C7D3-7EFD-4709-9131-D1BE706227D8}"/>
    <hyperlink ref="B2434" r:id="rId2421" xr:uid="{32FDA4F3-0D8F-47A6-90FA-A08EEAC87107}"/>
    <hyperlink ref="B2435" r:id="rId2422" xr:uid="{267553EF-C371-48A1-B121-C006C5238590}"/>
    <hyperlink ref="B2436" r:id="rId2423" xr:uid="{CC4049B7-4168-48CC-807F-AB38ECCFE2E5}"/>
    <hyperlink ref="B2437" r:id="rId2424" xr:uid="{648BA8BF-2B2E-45AB-A533-0AB4EF1D7844}"/>
    <hyperlink ref="B2438" r:id="rId2425" xr:uid="{F7A4C903-953C-4A48-899E-1A2E00568D30}"/>
    <hyperlink ref="B2439" r:id="rId2426" xr:uid="{76411241-576D-4556-9E29-4F1900F9C43B}"/>
    <hyperlink ref="B2440" r:id="rId2427" xr:uid="{4395C19F-530A-4E95-868A-2FCA3839CCD6}"/>
    <hyperlink ref="B2441" r:id="rId2428" xr:uid="{24BAD96E-9FB1-4F8B-A89C-63EB00999C0B}"/>
    <hyperlink ref="B2442" r:id="rId2429" xr:uid="{593EF8F4-3879-4BF7-8FED-4ADFFA31E3D0}"/>
    <hyperlink ref="B2443" r:id="rId2430" xr:uid="{D3E28321-C376-44B5-AAB7-85B43DED9C04}"/>
    <hyperlink ref="B2444" r:id="rId2431" xr:uid="{919DA748-A25E-49EB-9A65-E2F69B07D557}"/>
    <hyperlink ref="B2445" r:id="rId2432" xr:uid="{3B7619F0-47F9-4E60-86C0-708716579E60}"/>
    <hyperlink ref="B2446" r:id="rId2433" xr:uid="{128C702E-71CE-411A-87FA-7363A438FDAB}"/>
    <hyperlink ref="B2447" r:id="rId2434" xr:uid="{79299064-3FB9-4546-BB7F-F50B774552C7}"/>
    <hyperlink ref="B2448" r:id="rId2435" xr:uid="{7EF3FDD6-AA3E-4C7A-B960-31C132314480}"/>
    <hyperlink ref="B2449" r:id="rId2436" xr:uid="{9251F237-F15B-4BC7-B7B9-66688A1FE4BA}"/>
    <hyperlink ref="B2450" r:id="rId2437" xr:uid="{40C60F02-1B65-449D-B0B7-295FF3953A8C}"/>
    <hyperlink ref="B2451" r:id="rId2438" xr:uid="{76DE50B1-EAC3-4707-830A-A35A4B1D95D3}"/>
    <hyperlink ref="B2452" r:id="rId2439" xr:uid="{5223797E-3B29-4425-920B-96BBA2BB9E8B}"/>
    <hyperlink ref="B2453" r:id="rId2440" xr:uid="{6E0AD957-C4A3-4DC7-8972-31D77859CCAD}"/>
    <hyperlink ref="B2454" r:id="rId2441" xr:uid="{FE09FF0A-AFC2-4C37-9474-BE22C0908AD3}"/>
    <hyperlink ref="B2455" r:id="rId2442" xr:uid="{9FDAE7E1-BF9D-499E-A724-0143F2668C69}"/>
    <hyperlink ref="B2456" r:id="rId2443" xr:uid="{FA061174-432D-474E-8111-4F361A297C9F}"/>
    <hyperlink ref="B2457" r:id="rId2444" xr:uid="{56479331-1B41-48E2-A317-3685C5B7860F}"/>
    <hyperlink ref="B2458" r:id="rId2445" xr:uid="{0AB75E6D-F75F-4D42-B44D-3B49AC242F73}"/>
    <hyperlink ref="B2459" r:id="rId2446" xr:uid="{71265B9E-41C5-409D-A94A-840383CEDFD9}"/>
    <hyperlink ref="B2460" r:id="rId2447" xr:uid="{C07A03BA-3502-4660-BEC3-98BA1C685826}"/>
    <hyperlink ref="B2461" r:id="rId2448" xr:uid="{F01B8F7D-26FE-4EBB-B545-0620517B74A3}"/>
    <hyperlink ref="B2462" r:id="rId2449" xr:uid="{D615BD97-3FBD-4BA0-809C-1B3DC1F26D6F}"/>
    <hyperlink ref="B2463" r:id="rId2450" xr:uid="{A5FA8296-DBD1-4977-A8AC-6BE2FF23C4D4}"/>
    <hyperlink ref="B2464" r:id="rId2451" xr:uid="{37FB7110-C35D-49C5-BBC8-25A51D028597}"/>
    <hyperlink ref="B2465" r:id="rId2452" xr:uid="{8B68CEE8-36CF-46BA-8A61-C1063A9779F4}"/>
    <hyperlink ref="B2466" r:id="rId2453" xr:uid="{69018C28-A690-4727-B761-F9DCACC838D4}"/>
    <hyperlink ref="B2467" r:id="rId2454" xr:uid="{BB4FC034-C816-45E9-9427-D377BE909459}"/>
    <hyperlink ref="B2468" r:id="rId2455" xr:uid="{26313531-2173-45C2-8C9D-164EF219A0D5}"/>
    <hyperlink ref="B2469" r:id="rId2456" xr:uid="{FE13F8A0-2DDF-4F2A-98B4-ABA94718C9C3}"/>
    <hyperlink ref="B2470" r:id="rId2457" xr:uid="{1DA90544-CBFE-4EC3-B85D-80119F30AC73}"/>
    <hyperlink ref="B2471" r:id="rId2458" xr:uid="{3AD101E5-29D9-4263-9899-824EF19E7F71}"/>
    <hyperlink ref="B2472" r:id="rId2459" xr:uid="{5E33593E-7C21-4259-B4EE-5DF10BBFF70E}"/>
    <hyperlink ref="B2473" r:id="rId2460" xr:uid="{66FC98A0-A370-41DD-9B83-BEBEB4D062C3}"/>
    <hyperlink ref="B2474" r:id="rId2461" xr:uid="{ACDE194F-36FB-4EC9-8474-AC5E208E309F}"/>
    <hyperlink ref="B2476" r:id="rId2462" xr:uid="{F0C476C8-B1A9-467B-9147-0682D8C063CF}"/>
    <hyperlink ref="B2477" r:id="rId2463" xr:uid="{BF5CFF2D-70D4-48C8-8D0D-A85CD54707CF}"/>
    <hyperlink ref="B2478" r:id="rId2464" xr:uid="{E36B7371-B8F8-4B40-B4E0-05C8D8FF0871}"/>
    <hyperlink ref="B2479" r:id="rId2465" xr:uid="{2B9EEC99-5C48-40A9-87D8-1D2ADBAA93C2}"/>
    <hyperlink ref="B2480" r:id="rId2466" xr:uid="{BAF1A6C4-CFD9-4535-A78E-5CB5EF8E3FB8}"/>
    <hyperlink ref="B2481" r:id="rId2467" xr:uid="{EA39F667-206F-4669-8B53-0DEBC24085D9}"/>
    <hyperlink ref="B2482" r:id="rId2468" xr:uid="{C96D4501-2D08-47DE-BEA7-735ABDBF35B1}"/>
    <hyperlink ref="B2483" r:id="rId2469" xr:uid="{ED6294C5-FB18-4257-BBDB-B5D1ECA258DA}"/>
    <hyperlink ref="B2484" r:id="rId2470" xr:uid="{6F608550-DE3B-4BAC-B66C-88CF11AFA9CB}"/>
    <hyperlink ref="B2485" r:id="rId2471" xr:uid="{AE3441A3-D184-440F-A98B-4E1940B1EC6C}"/>
    <hyperlink ref="B2486" r:id="rId2472" xr:uid="{056C17CE-F650-49B9-8D82-987126189116}"/>
    <hyperlink ref="B2487" r:id="rId2473" xr:uid="{267000C3-72B8-4B67-9819-AD831C31BAA7}"/>
    <hyperlink ref="B2488" r:id="rId2474" xr:uid="{2B0B1DC1-EA6A-4986-A02C-707C62D3B08B}"/>
    <hyperlink ref="B2489" r:id="rId2475" xr:uid="{D6BD8669-AFEE-4E6D-A501-E3B79D0CC8B9}"/>
    <hyperlink ref="B2490" r:id="rId2476" xr:uid="{7FA900B1-323C-4473-A9B5-BBE5A72334C5}"/>
    <hyperlink ref="B2491" r:id="rId2477" xr:uid="{B9958181-D461-4414-AA82-A5964272BA3D}"/>
    <hyperlink ref="B2492" r:id="rId2478" xr:uid="{D7E24956-E141-4974-AAC3-D96B11D82A0A}"/>
    <hyperlink ref="B2493" r:id="rId2479" xr:uid="{FF5D7BE2-61D1-48D9-ABD2-4327393FAA99}"/>
    <hyperlink ref="B2494" r:id="rId2480" xr:uid="{085FFB31-0C8C-43F2-8780-88384251AB43}"/>
    <hyperlink ref="B2495" r:id="rId2481" xr:uid="{918BF7A0-6745-4133-8E84-A804917A289B}"/>
    <hyperlink ref="B2496" r:id="rId2482" xr:uid="{E68A1961-0A85-4082-AC35-E519A105AA24}"/>
    <hyperlink ref="B2497" r:id="rId2483" xr:uid="{D78CC19B-E66C-48DD-B1C3-A80DAA82F480}"/>
    <hyperlink ref="B2498" r:id="rId2484" xr:uid="{510FEC91-6B85-44BB-97CB-94F1E8A1F436}"/>
    <hyperlink ref="B2499" r:id="rId2485" xr:uid="{868DD1F5-C647-4F87-953D-06999C847254}"/>
    <hyperlink ref="B2500" r:id="rId2486" xr:uid="{8B4DCABA-804C-4DD7-9C88-B7DF62FDD4BB}"/>
    <hyperlink ref="B2501" r:id="rId2487" xr:uid="{0A6025F3-9B57-4D4A-9595-CB7C00D4A8F9}"/>
    <hyperlink ref="B2502" r:id="rId2488" xr:uid="{6262CC39-3485-4CA0-B572-F22C2A2A9C6A}"/>
    <hyperlink ref="B2503" r:id="rId2489" xr:uid="{A1D4D8FB-C836-462D-821F-5FC23585A971}"/>
    <hyperlink ref="B2504" r:id="rId2490" xr:uid="{0D120CC4-EC4D-4042-8855-60A29E5F733F}"/>
    <hyperlink ref="B2505" r:id="rId2491" xr:uid="{0FF68C59-C919-467F-96AA-34701F3B8C9E}"/>
    <hyperlink ref="B2506" r:id="rId2492" xr:uid="{ECA7B94F-27CC-40A1-BE75-075AE6B10E87}"/>
    <hyperlink ref="B2507" r:id="rId2493" xr:uid="{1F86BEC8-1605-4832-9E37-EB97D60B5CEA}"/>
    <hyperlink ref="B2508" r:id="rId2494" xr:uid="{169EE975-2BE3-4FE1-BAFD-41905995E114}"/>
    <hyperlink ref="B2509" r:id="rId2495" xr:uid="{F06A617A-FE91-44AE-94A8-EE60FF015480}"/>
    <hyperlink ref="B2510" r:id="rId2496" xr:uid="{6361DECE-4312-4B88-84F6-39AA51114C3B}"/>
    <hyperlink ref="B2511" r:id="rId2497" xr:uid="{A83C93E0-3378-4A97-91E5-CC7D21207646}"/>
    <hyperlink ref="B2512" r:id="rId2498" xr:uid="{66B08B43-FF06-42B7-951A-D1A55731D6E5}"/>
    <hyperlink ref="B2513" r:id="rId2499" xr:uid="{5CA2EFF3-CE0E-4C45-A3F8-59BB45FE8AB3}"/>
    <hyperlink ref="B2514" r:id="rId2500" xr:uid="{82FC4570-9C0F-478E-AAB0-F0667EC1FABD}"/>
    <hyperlink ref="B2515" r:id="rId2501" xr:uid="{1693CC67-F7EA-4254-8BB0-C34AEB77714B}"/>
    <hyperlink ref="B2516" r:id="rId2502" xr:uid="{6F2A9DD3-FE48-4EEF-9AB5-D864746C98FF}"/>
    <hyperlink ref="B2517" r:id="rId2503" xr:uid="{37F08ABE-4741-4313-8BFB-D9BF82A08673}"/>
    <hyperlink ref="B2518" r:id="rId2504" xr:uid="{A7CFAE60-07E0-4D87-803A-B6E313AE6F40}"/>
    <hyperlink ref="B2519" r:id="rId2505" xr:uid="{BFE64806-BCA3-40AB-BD01-BD1569FA928A}"/>
    <hyperlink ref="B2520" r:id="rId2506" xr:uid="{8CA94A48-6649-4DBC-A996-620019D45E68}"/>
    <hyperlink ref="B2521" r:id="rId2507" xr:uid="{E5B5CE9F-CF40-453A-9B75-F227FE2AC50F}"/>
    <hyperlink ref="B2522" r:id="rId2508" xr:uid="{1A1EB02D-FFF0-4FF9-BB56-34D79610D6A8}"/>
    <hyperlink ref="B2523" r:id="rId2509" xr:uid="{48A5737A-A406-45EB-B2DD-698D04F8BDC7}"/>
    <hyperlink ref="B2524" r:id="rId2510" xr:uid="{FC0597F4-582B-4832-A089-6F681C1EE844}"/>
    <hyperlink ref="B2525" r:id="rId2511" xr:uid="{AB9C6E21-C0A3-4216-BBF8-E4661D232949}"/>
    <hyperlink ref="B2526" r:id="rId2512" xr:uid="{232F2193-C3FA-46D0-BDC2-0B78A40E2B70}"/>
    <hyperlink ref="B2527" r:id="rId2513" xr:uid="{58B56BCB-86D2-4BF8-9729-A83D45E1D4CC}"/>
    <hyperlink ref="B2528" r:id="rId2514" xr:uid="{57818599-422C-480B-9EC5-AAFB9C9EB09E}"/>
    <hyperlink ref="B2529" r:id="rId2515" xr:uid="{CE1316AC-D7FA-4206-874D-65A47C91BAA0}"/>
    <hyperlink ref="B2530" r:id="rId2516" xr:uid="{7E5007CC-C605-46E9-8B96-DAF347779F09}"/>
    <hyperlink ref="B2531" r:id="rId2517" xr:uid="{79EC20A9-AD21-4B4D-A59F-867881DCB6DE}"/>
    <hyperlink ref="B2532" r:id="rId2518" xr:uid="{D2E03D16-A9BC-472B-A99D-BB4E6309C904}"/>
    <hyperlink ref="B2533" r:id="rId2519" xr:uid="{C3DC278E-E6AE-4D46-BA2F-4AFF0B8E5D8C}"/>
    <hyperlink ref="B2534" r:id="rId2520" xr:uid="{BD0CF1AA-B86E-4DC1-838E-27F7546E6D50}"/>
    <hyperlink ref="B2535" r:id="rId2521" xr:uid="{2B94BA58-EC9E-45F7-8521-B804E3FE00AE}"/>
    <hyperlink ref="B2536" r:id="rId2522" xr:uid="{76A50EDD-2E01-40B4-9AB9-0B2EB9B46D3F}"/>
    <hyperlink ref="B2537" r:id="rId2523" xr:uid="{DC66534D-503B-4EE5-A7BF-9A76ED47BE56}"/>
    <hyperlink ref="B2538" r:id="rId2524" xr:uid="{C551CADE-BEB2-481B-AB02-865F9E46CF2A}"/>
    <hyperlink ref="B2539" r:id="rId2525" xr:uid="{8B0765D2-0DCB-4EFF-A8A8-E5A4EDF0DA14}"/>
    <hyperlink ref="B2540" r:id="rId2526" xr:uid="{B78FD94B-E1C0-4324-A8F2-8CF23EDDA676}"/>
    <hyperlink ref="B2541" r:id="rId2527" xr:uid="{42B80960-0EC8-49F0-A4F1-EE51A8C76169}"/>
    <hyperlink ref="B2542" r:id="rId2528" xr:uid="{0B6D10D4-34F9-47D1-9715-225C9E7352C2}"/>
    <hyperlink ref="B2543" r:id="rId2529" xr:uid="{6A683750-51E2-4822-BD12-FE7C683ADC41}"/>
    <hyperlink ref="B2544" r:id="rId2530" xr:uid="{9023BB2D-C933-41E1-B59E-2E48786A9F6E}"/>
    <hyperlink ref="B2545" r:id="rId2531" xr:uid="{8DDD8C2A-E7FF-4375-9606-61428F42AD35}"/>
    <hyperlink ref="B2546" r:id="rId2532" xr:uid="{BCD25FC8-98C6-4117-8EE8-1619C906A2F3}"/>
    <hyperlink ref="B2547" r:id="rId2533" xr:uid="{F62C88ED-2905-48C9-ACDE-C7609F624601}"/>
    <hyperlink ref="B2548" r:id="rId2534" xr:uid="{785EB8CC-DE9D-4277-AA77-C54CDFA331F4}"/>
    <hyperlink ref="B2549" r:id="rId2535" xr:uid="{7A64BB24-F7C5-4498-86E6-FBCABFA966F7}"/>
    <hyperlink ref="B2550" r:id="rId2536" xr:uid="{207B2E44-390C-49DF-87C3-D7725F4C62E4}"/>
    <hyperlink ref="B2551" r:id="rId2537" xr:uid="{C8AA3FC8-55B6-4D74-8389-9F6C3E11DFC7}"/>
    <hyperlink ref="B2552" r:id="rId2538" xr:uid="{6E008218-6D84-4415-9228-F6EEACF8450B}"/>
    <hyperlink ref="B2553" r:id="rId2539" xr:uid="{F52E9C4C-2DF6-4226-B183-F438280D7BFA}"/>
    <hyperlink ref="B2554" r:id="rId2540" xr:uid="{8D00AFDD-B670-49F9-B033-CD40E39FE6F2}"/>
    <hyperlink ref="B2555" r:id="rId2541" xr:uid="{5FB0FF93-2616-41CF-BE47-C69A2C75A2AD}"/>
    <hyperlink ref="B2556" r:id="rId2542" xr:uid="{FA0A6500-30A0-4A47-9356-ECF36078CEC1}"/>
    <hyperlink ref="B2557" r:id="rId2543" xr:uid="{3958667D-FFBD-40D3-A4BF-3CF241A0F529}"/>
    <hyperlink ref="B2558" r:id="rId2544" xr:uid="{2EB02DD0-04B9-4C36-8FD4-18031A5A551D}"/>
    <hyperlink ref="B2559" r:id="rId2545" xr:uid="{A1D242E2-F589-4736-89C0-C71858F83EC4}"/>
    <hyperlink ref="B2560" r:id="rId2546" xr:uid="{15627C7C-42F1-4B24-BFE3-CB6B62DC289A}"/>
    <hyperlink ref="B2561" r:id="rId2547" xr:uid="{4C29EE38-CB4E-4390-A7B2-06A05797C533}"/>
    <hyperlink ref="B2562" r:id="rId2548" xr:uid="{E3A58583-3304-4A41-B0E4-B666629DFF7D}"/>
    <hyperlink ref="B2563" r:id="rId2549" xr:uid="{FB374F80-BCC8-4EA4-80E1-4E48A42FC539}"/>
    <hyperlink ref="B2564" r:id="rId2550" xr:uid="{7E06A0AA-90E5-4DF0-9EEF-430B3F5F8F52}"/>
    <hyperlink ref="B2565" r:id="rId2551" xr:uid="{B1F2D5C3-E9C6-49F2-91C0-766E441C8731}"/>
    <hyperlink ref="B2566" r:id="rId2552" xr:uid="{C428C6DA-8656-4139-8415-1AEA354ACFE1}"/>
    <hyperlink ref="B2567" r:id="rId2553" xr:uid="{E35F7A25-447B-4E44-A9A2-78C37F5D6B4A}"/>
    <hyperlink ref="B2568" r:id="rId2554" xr:uid="{362D8A6D-A76F-417F-B5A6-A3AF46CCDF16}"/>
    <hyperlink ref="B2569" r:id="rId2555" xr:uid="{62F6C910-9BB5-40B4-855F-40AFFCFF2C44}"/>
    <hyperlink ref="B2570" r:id="rId2556" xr:uid="{96EA9739-BC10-494A-869A-F8026B476A68}"/>
    <hyperlink ref="B2571" r:id="rId2557" xr:uid="{5FEA3B80-D0FD-46D8-96AA-A18DCAED0A1D}"/>
    <hyperlink ref="B2572" r:id="rId2558" xr:uid="{36E2D52F-1FBE-4555-8888-A8C2867E9BBF}"/>
    <hyperlink ref="B2573" r:id="rId2559" xr:uid="{EAD9CD38-DC48-4C3B-A9FC-7FDE28D087B5}"/>
    <hyperlink ref="B2574" r:id="rId2560" xr:uid="{0C999B7E-41FD-4FE5-8317-598F965E1994}"/>
    <hyperlink ref="B2575" r:id="rId2561" xr:uid="{69C1D5EE-29C4-43D7-8E54-F1439DC625BA}"/>
    <hyperlink ref="B2576" r:id="rId2562" xr:uid="{173161EB-3288-4ECD-8F29-EE4C0BFEA320}"/>
    <hyperlink ref="B2577" r:id="rId2563" xr:uid="{AB24CB3A-101D-4B05-98BF-901B54677409}"/>
    <hyperlink ref="B2578" r:id="rId2564" xr:uid="{8BE0BFA2-4895-4C68-8166-1B48516738A3}"/>
    <hyperlink ref="B2579" r:id="rId2565" xr:uid="{CA99ABBF-8D24-46A6-8634-85095953297C}"/>
    <hyperlink ref="B2580" r:id="rId2566" xr:uid="{D7BFA148-146E-4A77-965D-E6E2F4969731}"/>
    <hyperlink ref="B2581" r:id="rId2567" xr:uid="{D00A4EC3-7FEF-4D9D-830C-D4FF51F3B95B}"/>
    <hyperlink ref="B2582" r:id="rId2568" xr:uid="{D0F844A5-B0E2-447C-A24D-50DD457F79AB}"/>
    <hyperlink ref="B2583" r:id="rId2569" xr:uid="{D420A496-C297-4FC6-8AE1-F20288A0BA9C}"/>
    <hyperlink ref="B2584" r:id="rId2570" xr:uid="{A2BCE887-E108-4742-954F-0CD6F2324BBF}"/>
    <hyperlink ref="B2585" r:id="rId2571" xr:uid="{A6511B82-9733-4813-B4C8-958241F10B43}"/>
    <hyperlink ref="B2586" r:id="rId2572" xr:uid="{9C3680CE-E5C5-41B5-9C0D-0E6F2B781C01}"/>
    <hyperlink ref="B2587" r:id="rId2573" xr:uid="{36DC08FC-3DF9-4CED-994B-7E23D20DB90A}"/>
    <hyperlink ref="B2588" r:id="rId2574" xr:uid="{C8D1D56C-1C50-4C54-B882-646211BACF31}"/>
    <hyperlink ref="B2589" r:id="rId2575" xr:uid="{6C8EC6A6-A977-486E-9520-734B862EBACD}"/>
    <hyperlink ref="B2590" r:id="rId2576" xr:uid="{AD1E059F-B059-40DD-ABC0-6034A1A27283}"/>
    <hyperlink ref="B2591" r:id="rId2577" xr:uid="{B967110F-323E-4697-BE64-953B5C814086}"/>
    <hyperlink ref="B2592" r:id="rId2578" xr:uid="{2DAACFAA-9A74-4C7F-A7CE-444EDD78D066}"/>
    <hyperlink ref="B2593" r:id="rId2579" xr:uid="{DAB63B85-CF9C-47CA-9778-86C93D07D559}"/>
    <hyperlink ref="B2594" r:id="rId2580" xr:uid="{D2F20F9A-1B5E-4059-8357-3E124EC3AC2C}"/>
    <hyperlink ref="B2595" r:id="rId2581" xr:uid="{81EFED5C-FDF1-4200-A5F0-D276965418BD}"/>
    <hyperlink ref="B2596" r:id="rId2582" xr:uid="{D812E6DE-D802-4C6F-A649-A570FD6EBB5D}"/>
    <hyperlink ref="B2597" r:id="rId2583" xr:uid="{2C147F2A-5B74-453B-A9C5-6EAE50ED705B}"/>
    <hyperlink ref="B2598" r:id="rId2584" xr:uid="{29B12CA8-736B-4266-AF60-69CA53E92B49}"/>
    <hyperlink ref="B2599" r:id="rId2585" xr:uid="{18A80455-D982-4909-959F-91D0FE75A416}"/>
    <hyperlink ref="B2600" r:id="rId2586" xr:uid="{DBCCDA8D-1BDB-4513-9EFA-E1D311CD2BBE}"/>
    <hyperlink ref="B2601" r:id="rId2587" xr:uid="{5BAECEF2-DCD1-4303-9F86-F90D5DE19685}"/>
    <hyperlink ref="B2602" r:id="rId2588" xr:uid="{E87C975F-E5EE-4D71-9056-DBB75AE92B0C}"/>
    <hyperlink ref="B2603" r:id="rId2589" xr:uid="{0560E23A-8B49-40F1-BB1F-8418B8983ABB}"/>
    <hyperlink ref="B2604" r:id="rId2590" xr:uid="{43B4E4E4-4897-4523-B6BC-173EA0DA8082}"/>
    <hyperlink ref="B2605" r:id="rId2591" xr:uid="{143AFA7B-C2F0-4597-86F8-9CC1A4BC430B}"/>
    <hyperlink ref="B2606" r:id="rId2592" xr:uid="{D8B756F4-97FD-47CB-B1B5-B3CA9198FC87}"/>
    <hyperlink ref="B2607" r:id="rId2593" xr:uid="{6479719B-8716-46B8-AAEC-C0116F511FC8}"/>
    <hyperlink ref="B2608" r:id="rId2594" xr:uid="{7E48E0E8-B6F7-4E9B-A87A-289DA1102046}"/>
    <hyperlink ref="B2609" r:id="rId2595" xr:uid="{5D109250-549B-4723-9DDF-07917C55F3A6}"/>
    <hyperlink ref="B2610" r:id="rId2596" xr:uid="{888B7038-2851-4EE0-8373-DE94B70F94D7}"/>
    <hyperlink ref="B2611" r:id="rId2597" xr:uid="{E274F779-5276-4845-AAD9-0A3E1B4AB11C}"/>
    <hyperlink ref="B2612" r:id="rId2598" xr:uid="{38C1C957-EFA5-477A-9340-2EC634E5225F}"/>
    <hyperlink ref="B2613" r:id="rId2599" xr:uid="{EA8BC975-8062-4480-9982-E8C8A95D94F3}"/>
    <hyperlink ref="B2614" r:id="rId2600" xr:uid="{18988DAD-9733-4CD1-BB8E-645A5A4C3E2C}"/>
    <hyperlink ref="B2615" r:id="rId2601" xr:uid="{04A6DD77-F157-4FC1-B525-8C99C86B6268}"/>
    <hyperlink ref="B2616" r:id="rId2602" xr:uid="{2DB29EAE-B17F-499B-8066-4FD920A217B9}"/>
    <hyperlink ref="B2617" r:id="rId2603" xr:uid="{7172F706-26C6-44FC-905F-DDE785BD6255}"/>
    <hyperlink ref="B2618" r:id="rId2604" xr:uid="{4A96B124-6CC9-4D29-B212-3378AEE068AA}"/>
    <hyperlink ref="B2619" r:id="rId2605" xr:uid="{4E1D0792-BAE8-402A-A9CB-23D9A153702D}"/>
    <hyperlink ref="B2620" r:id="rId2606" xr:uid="{F3E14DDB-988A-4165-BD6A-596E4C668115}"/>
    <hyperlink ref="B2621" r:id="rId2607" xr:uid="{06060249-0BB4-4DCF-A842-3E1BE920F2FE}"/>
    <hyperlink ref="B2622" r:id="rId2608" xr:uid="{9025442E-37F8-4D11-8EF6-DFF09F54A36B}"/>
    <hyperlink ref="B2623" r:id="rId2609" xr:uid="{1E9C235A-B436-41C9-AFAE-53C0EE215EBA}"/>
    <hyperlink ref="B2624" r:id="rId2610" xr:uid="{4A15ADE5-24FF-4DAF-B11D-CDABE8BEA46D}"/>
    <hyperlink ref="B2625" r:id="rId2611" xr:uid="{BE77320B-530A-42D6-AD80-421C71329323}"/>
    <hyperlink ref="B2626" r:id="rId2612" xr:uid="{307CD2F1-500D-4743-BD5A-4069FB14DCE5}"/>
    <hyperlink ref="B2627" r:id="rId2613" xr:uid="{B5308260-8FB5-445A-9554-809CE55EBDBD}"/>
    <hyperlink ref="B2628" r:id="rId2614" xr:uid="{20D5259F-FC34-440B-A472-526C0E509AFE}"/>
    <hyperlink ref="B2629" r:id="rId2615" xr:uid="{3B92043E-211A-4569-9907-D6FC0E9807EB}"/>
    <hyperlink ref="B2630" r:id="rId2616" xr:uid="{01161419-E9F5-4A4C-9DBB-1F138CD982B6}"/>
    <hyperlink ref="B2631" r:id="rId2617" xr:uid="{4993F76E-91CD-4349-882C-AB4DB960748B}"/>
    <hyperlink ref="B2632" r:id="rId2618" xr:uid="{3820277C-B2C5-449B-BCDA-EC25D55BF8F5}"/>
    <hyperlink ref="B2633" r:id="rId2619" xr:uid="{622E4CBF-43FE-4115-8F69-ECD62B679E14}"/>
    <hyperlink ref="B2634" r:id="rId2620" xr:uid="{92E623FD-2E9A-46CB-8928-5D9CB51016FF}"/>
    <hyperlink ref="B2635" r:id="rId2621" xr:uid="{922B7B0D-553D-4482-A74A-746D592C9C42}"/>
    <hyperlink ref="B2636" r:id="rId2622" xr:uid="{204058D0-96AC-42A9-A04B-D9673FF90B7E}"/>
    <hyperlink ref="B2637" r:id="rId2623" xr:uid="{AAC51E64-4164-457A-89D9-160A21631745}"/>
    <hyperlink ref="B2638" r:id="rId2624" xr:uid="{7C3182AB-C784-4B1D-B634-834017A0653A}"/>
    <hyperlink ref="B2639" r:id="rId2625" xr:uid="{4B393563-D570-4876-94A7-E9AE216DCE29}"/>
    <hyperlink ref="B2640" r:id="rId2626" xr:uid="{9BBE5241-0F14-4CEC-9CC9-BA8A3D01D6CD}"/>
    <hyperlink ref="B2641" r:id="rId2627" xr:uid="{A3C50BA5-6D5A-4B0C-AA24-7755ED9E186F}"/>
    <hyperlink ref="B2642" r:id="rId2628" xr:uid="{B386C4F2-CC9D-4EBF-A004-A05EAD20B3AC}"/>
    <hyperlink ref="B2643" r:id="rId2629" xr:uid="{CE57438F-5883-442C-B656-86940E25C331}"/>
    <hyperlink ref="B2644" r:id="rId2630" xr:uid="{DF8869B6-2577-45C4-9987-208B3C6D3CDA}"/>
    <hyperlink ref="B2645" r:id="rId2631" xr:uid="{4B7F108B-B86A-4EA9-9E99-6C15D4863C9E}"/>
    <hyperlink ref="B2646" r:id="rId2632" xr:uid="{8CE65743-6306-4F6C-B612-EF8C1ABB93B0}"/>
    <hyperlink ref="B2647" r:id="rId2633" xr:uid="{78975E52-C8BD-4C12-8CE8-EBBBA1881CF3}"/>
    <hyperlink ref="B2648" r:id="rId2634" xr:uid="{72D7173D-7120-4C61-8D2F-2D1E629C6084}"/>
    <hyperlink ref="B2649" r:id="rId2635" xr:uid="{F6272B48-10B5-4BEC-8FE4-BE19724803EB}"/>
    <hyperlink ref="B2650" r:id="rId2636" xr:uid="{B8E76FEE-EDB6-49B0-B97B-B434D517BC30}"/>
    <hyperlink ref="B2651" r:id="rId2637" xr:uid="{B4F00883-F61E-47E6-BB5A-2AEF144C7882}"/>
    <hyperlink ref="B2652" r:id="rId2638" xr:uid="{E5808C2A-A08F-4BB2-977F-B527A7066479}"/>
    <hyperlink ref="B2653" r:id="rId2639" xr:uid="{D85E87E8-4C2F-4805-9AF3-39F79C27E1AE}"/>
    <hyperlink ref="B2654" r:id="rId2640" xr:uid="{DCFB852C-93C2-4E24-B938-04D1F043EE8A}"/>
    <hyperlink ref="B2655" r:id="rId2641" xr:uid="{313E1F52-2E5B-43E3-A25F-6D5C98FEB3BC}"/>
    <hyperlink ref="B2656" r:id="rId2642" xr:uid="{130ABF9F-16F2-4D46-A6CF-781FF1E39B9C}"/>
    <hyperlink ref="B2657" r:id="rId2643" xr:uid="{A304B0AD-0C53-490F-8C55-8615BC5E9662}"/>
    <hyperlink ref="B2658" r:id="rId2644" xr:uid="{F7812CBB-6004-4256-9116-62E456B5825B}"/>
    <hyperlink ref="B2659" r:id="rId2645" xr:uid="{B6BD25FC-5F29-42DD-8DF4-F639194F9AC0}"/>
    <hyperlink ref="B2660" r:id="rId2646" xr:uid="{E5D1A968-690A-4BF4-890F-EFCF064E92D2}"/>
    <hyperlink ref="B2661" r:id="rId2647" xr:uid="{E6D949BC-69D4-4C41-8DEE-3E985D5F741C}"/>
    <hyperlink ref="B2662" r:id="rId2648" xr:uid="{D92852B7-DB7E-4D92-8D52-B7BA0A3DDB75}"/>
    <hyperlink ref="B2663" r:id="rId2649" xr:uid="{4639FCC2-2D5B-4AC5-BD2B-96573D0310F5}"/>
    <hyperlink ref="B2664" r:id="rId2650" xr:uid="{1E9260E3-D288-4216-9E07-521569820153}"/>
    <hyperlink ref="B2665" r:id="rId2651" xr:uid="{A776FECE-F440-4910-9BC8-950BC25E5F9A}"/>
    <hyperlink ref="B2666" r:id="rId2652" xr:uid="{737501E4-1970-4C39-9E25-A40D91FA9AE1}"/>
    <hyperlink ref="B2667" r:id="rId2653" xr:uid="{FA59933D-1F4B-4F2F-AFA6-DE465A81D67A}"/>
    <hyperlink ref="B2668" r:id="rId2654" xr:uid="{03093575-5FCE-47C5-88AB-CA9B8BF479CD}"/>
    <hyperlink ref="B2669" r:id="rId2655" xr:uid="{0002F002-1B33-4346-AADB-00E507F44A34}"/>
    <hyperlink ref="B2670" r:id="rId2656" xr:uid="{9FF35D55-BB9F-4F76-B456-440BC1C1788E}"/>
    <hyperlink ref="B2671" r:id="rId2657" xr:uid="{4188CA5E-BE0E-42ED-BAE9-DD59CD9D02A6}"/>
    <hyperlink ref="B2672" r:id="rId2658" xr:uid="{C51F18CC-951E-415D-AD5B-A0ACA0B5AA0C}"/>
    <hyperlink ref="B2673" r:id="rId2659" xr:uid="{CAA8EC79-BE8D-4C8E-A348-7C878D01F8F2}"/>
    <hyperlink ref="B2674" r:id="rId2660" xr:uid="{000D1E92-13B5-4AC8-92C4-5CDDD9D68FA3}"/>
    <hyperlink ref="B2675" r:id="rId2661" xr:uid="{8D4B7614-F5F7-45AE-A927-13469CD10451}"/>
    <hyperlink ref="B2676" r:id="rId2662" xr:uid="{BF959327-48F7-40CA-AEE1-117265927DF2}"/>
    <hyperlink ref="B2677" r:id="rId2663" xr:uid="{A056FA8B-C9BB-47EB-849D-E359C329B5E4}"/>
    <hyperlink ref="B2678" r:id="rId2664" xr:uid="{2197EFF0-8179-4138-B241-A275685F8586}"/>
    <hyperlink ref="B2679" r:id="rId2665" xr:uid="{1E68E4BF-BF86-41E5-9FC3-BE5556DD9BAC}"/>
    <hyperlink ref="B2680" r:id="rId2666" xr:uid="{5584A597-79A2-4D63-ADB0-2DE2241634DF}"/>
    <hyperlink ref="B2681" r:id="rId2667" xr:uid="{90B66799-B5AF-4A14-87D1-8A14F7DDD97D}"/>
    <hyperlink ref="B2682" r:id="rId2668" xr:uid="{4848B1AC-172A-4EA4-A513-92D152F0A69F}"/>
    <hyperlink ref="B2683" r:id="rId2669" xr:uid="{E4D82693-4ECE-4711-A6A7-A35EE8A54F0B}"/>
    <hyperlink ref="B2684" r:id="rId2670" xr:uid="{43A766FD-AFB6-4BA2-88E3-F8673FB129E2}"/>
    <hyperlink ref="B2685" r:id="rId2671" xr:uid="{21663621-F0CD-44E9-AF3C-4598E0FEE9E1}"/>
    <hyperlink ref="B2686" r:id="rId2672" xr:uid="{F261E5BA-3169-4168-8463-BB010CACB622}"/>
    <hyperlink ref="B2687" r:id="rId2673" xr:uid="{275105F0-E315-4CAE-8DB0-8F7A41DD5891}"/>
    <hyperlink ref="B2688" r:id="rId2674" xr:uid="{D0621F45-F2D6-4064-B86A-063D629019E2}"/>
    <hyperlink ref="B2689" r:id="rId2675" xr:uid="{8801A987-A349-43F3-8CE4-B9CC72374ECB}"/>
    <hyperlink ref="B2690" r:id="rId2676" xr:uid="{89CCF143-5990-4AA4-BF9D-1F979F315553}"/>
    <hyperlink ref="B2691" r:id="rId2677" xr:uid="{9DAB5524-6C9F-41E8-B3F0-805BAF99B8B2}"/>
    <hyperlink ref="B2692" r:id="rId2678" xr:uid="{80F6F126-69A4-4FE7-8771-7969A9894403}"/>
    <hyperlink ref="B2693" r:id="rId2679" xr:uid="{61185B6A-1D09-4CD0-AE9A-79B135F282C7}"/>
    <hyperlink ref="B2694" r:id="rId2680" xr:uid="{9643273E-18E1-4D21-A9C0-948BAB05FA54}"/>
    <hyperlink ref="B2695" r:id="rId2681" xr:uid="{EEED3DB0-EB4F-4CA4-9829-193349C587B5}"/>
    <hyperlink ref="B2696" r:id="rId2682" xr:uid="{73EF2929-138D-48EC-84E5-715C0F9B9265}"/>
    <hyperlink ref="B2697" r:id="rId2683" xr:uid="{A2911C7A-B402-4FF3-93C2-F73FDF693BAE}"/>
    <hyperlink ref="B2698" r:id="rId2684" xr:uid="{83E1DB18-FE78-4467-A5B7-37886BEAA8C7}"/>
    <hyperlink ref="B2699" r:id="rId2685" xr:uid="{0D9B173A-3CC4-4186-8DC1-211A65F28A3D}"/>
    <hyperlink ref="B2700" r:id="rId2686" xr:uid="{2612ED97-04C0-44A9-9371-794C60ECBEE0}"/>
    <hyperlink ref="B2701" r:id="rId2687" xr:uid="{032A9978-9DB3-4D99-9946-65ED3AA3D4EF}"/>
    <hyperlink ref="B2702" r:id="rId2688" xr:uid="{FB2717AF-7603-4830-B069-C75873BEA7B4}"/>
    <hyperlink ref="B2703" r:id="rId2689" xr:uid="{84AB2AB8-2AEE-4ABB-B7DC-D0264AC2580A}"/>
    <hyperlink ref="B2704" r:id="rId2690" xr:uid="{91EBCCE7-B993-4F20-9BD3-39D3901B780C}"/>
    <hyperlink ref="B2705" r:id="rId2691" xr:uid="{A2140A1C-6454-45C1-B32D-5A52B0D1276D}"/>
    <hyperlink ref="B2706" r:id="rId2692" xr:uid="{8179574E-D03B-40CC-8E7C-AC1650988FE5}"/>
    <hyperlink ref="B2707" r:id="rId2693" xr:uid="{7D2BC92F-CB23-43E9-93F7-DDBF5061F9DF}"/>
    <hyperlink ref="B2708" r:id="rId2694" xr:uid="{265ECC54-185F-416E-8246-7BA59BE08AE9}"/>
    <hyperlink ref="B2709" r:id="rId2695" xr:uid="{3F228EB1-7ED3-4D64-9ACB-3F3CBEAE400B}"/>
    <hyperlink ref="B2710" r:id="rId2696" xr:uid="{43BF7D3E-9DED-4507-BA9F-C6D09E1397BF}"/>
    <hyperlink ref="B2711" r:id="rId2697" xr:uid="{1251E61A-9B10-4ED1-80F8-D0BF9A18F875}"/>
    <hyperlink ref="B2712" r:id="rId2698" xr:uid="{0C5043BC-94E2-4225-BD43-DDBF789053A9}"/>
    <hyperlink ref="B2713" r:id="rId2699" xr:uid="{84600C2A-8F80-4099-B07C-3580D8786454}"/>
    <hyperlink ref="B2714" r:id="rId2700" xr:uid="{BBF630E5-08F3-427B-BAD9-C0558A821237}"/>
    <hyperlink ref="B2715" r:id="rId2701" xr:uid="{51053EC8-861E-4C3D-A622-074D20029BEA}"/>
    <hyperlink ref="B2716" r:id="rId2702" xr:uid="{B135957B-ABB6-4E97-82F7-CA9ACC9E7099}"/>
    <hyperlink ref="B2717" r:id="rId2703" xr:uid="{CCB3067A-3A20-4126-B38F-1CE00AD22093}"/>
    <hyperlink ref="B2718" r:id="rId2704" xr:uid="{12ED0401-201A-4FDF-A296-D115FECD14A1}"/>
    <hyperlink ref="B2719" r:id="rId2705" xr:uid="{5898EF77-2567-4E78-B1A0-29E7CB4E4BD1}"/>
    <hyperlink ref="B2720" r:id="rId2706" xr:uid="{C70964DA-4FDD-41D4-B669-B3A86595CE2F}"/>
    <hyperlink ref="B2721" r:id="rId2707" xr:uid="{9673DA1A-8EBA-44C9-BF62-BC7F20749C9A}"/>
    <hyperlink ref="B2722" r:id="rId2708" xr:uid="{599DA2A2-4737-4786-A50B-AF2F1967AEDA}"/>
    <hyperlink ref="B2723" r:id="rId2709" xr:uid="{4EB923E8-B304-47DE-B44F-4E2C4F99E905}"/>
    <hyperlink ref="B2724" r:id="rId2710" xr:uid="{65A9A134-9B8B-4416-98A1-2403E6682D94}"/>
    <hyperlink ref="B2725" r:id="rId2711" xr:uid="{F8AF2CEB-F995-4B7D-A521-EC3FACFBFF74}"/>
    <hyperlink ref="B2726" r:id="rId2712" xr:uid="{853B58E5-8377-4032-AC43-74B156492996}"/>
    <hyperlink ref="B2727" r:id="rId2713" xr:uid="{2BF2B85C-405F-42BE-8DB5-1D9F25BB2802}"/>
    <hyperlink ref="B2728" r:id="rId2714" xr:uid="{17D2CE39-BDB1-4047-93E2-3272B259D293}"/>
    <hyperlink ref="B2729" r:id="rId2715" xr:uid="{D264E6F9-1468-44DD-9BE7-8D7076173F6D}"/>
    <hyperlink ref="B2730" r:id="rId2716" xr:uid="{2D46814A-4D38-48A4-AC73-8895C014E613}"/>
    <hyperlink ref="B2731" r:id="rId2717" xr:uid="{36AB5D46-B9CE-4870-B63D-A9C146CDCD4C}"/>
    <hyperlink ref="B2732" r:id="rId2718" xr:uid="{B234D5D2-2BA8-4680-9C99-C953CA08CAFB}"/>
    <hyperlink ref="B2733" r:id="rId2719" xr:uid="{4E5AD5CD-F800-4827-877E-98BEE4C3B8CB}"/>
    <hyperlink ref="B2734" r:id="rId2720" xr:uid="{81D4A1E1-56F6-4128-9DF4-67B0E5E309A7}"/>
    <hyperlink ref="B2735" r:id="rId2721" xr:uid="{FCAC09FB-7763-49EA-AFA9-D4E12E75EECC}"/>
    <hyperlink ref="B2736" r:id="rId2722" xr:uid="{94847CB6-119D-476E-9F7F-091B29F97A79}"/>
    <hyperlink ref="B2737" r:id="rId2723" xr:uid="{78341FB4-DAB8-47F5-967C-A0FE916C14A5}"/>
    <hyperlink ref="B2738" r:id="rId2724" xr:uid="{D67F132D-1E15-424B-9CDC-5FEAF64E1D0E}"/>
    <hyperlink ref="B2739" r:id="rId2725" xr:uid="{6E599390-080B-40D4-BC23-495EB443236F}"/>
    <hyperlink ref="B2740" r:id="rId2726" xr:uid="{ABD33448-216A-497D-AB29-1DF75C814AC9}"/>
    <hyperlink ref="B2741" r:id="rId2727" xr:uid="{52D145FD-F0D1-4B4F-BD6A-2D2C6D42E096}"/>
    <hyperlink ref="B2742" r:id="rId2728" xr:uid="{C8F316E3-BB37-4228-8C5D-5131988AC62E}"/>
    <hyperlink ref="B2743" r:id="rId2729" xr:uid="{D0A61A0C-171F-4781-A00E-CBA7C102A096}"/>
    <hyperlink ref="B2744" r:id="rId2730" xr:uid="{5B412205-E9B8-49D9-8C60-D27C5A6C443B}"/>
    <hyperlink ref="B2745" r:id="rId2731" xr:uid="{4A1FB7C2-8031-4ECB-96DD-E962433C3C32}"/>
    <hyperlink ref="B2746" r:id="rId2732" xr:uid="{4011F42A-3EF2-4633-B688-D91FADF00342}"/>
    <hyperlink ref="B2747" r:id="rId2733" xr:uid="{04FEE680-ABC4-4F81-A22F-413D1624DB4E}"/>
    <hyperlink ref="B2748" r:id="rId2734" xr:uid="{78487EEA-B0FD-4AE7-A41C-3E6ED9185694}"/>
    <hyperlink ref="B2749" r:id="rId2735" xr:uid="{356DB3D9-F41F-4AFD-8D18-D6F8EE947AD8}"/>
    <hyperlink ref="B2750" r:id="rId2736" xr:uid="{DC994681-44C8-4719-9F67-1E9D5FFD56F7}"/>
    <hyperlink ref="B2751" r:id="rId2737" xr:uid="{719D7816-67E5-4772-AC52-ECBD4D2CFAD5}"/>
    <hyperlink ref="B2752" r:id="rId2738" xr:uid="{11B01024-A1CB-45AA-9B58-B13843FD475A}"/>
    <hyperlink ref="B2753" r:id="rId2739" xr:uid="{A2668E32-30A7-4378-8ED7-DAF0E850EBD5}"/>
    <hyperlink ref="B2754" r:id="rId2740" xr:uid="{97CF8678-774F-4785-9EF5-2095AA3D6CE5}"/>
    <hyperlink ref="B2755" r:id="rId2741" xr:uid="{E2F68BD2-ABC4-453C-8898-EAD6E8D84548}"/>
    <hyperlink ref="B2756" r:id="rId2742" xr:uid="{03AD5399-8E43-42B8-B892-1A285DEE353C}"/>
    <hyperlink ref="B2757" r:id="rId2743" xr:uid="{BF587377-9A1C-4665-BD28-0C8D44E5D65A}"/>
    <hyperlink ref="B2758" r:id="rId2744" xr:uid="{609ED464-036F-4536-A03A-0F8153E8F026}"/>
    <hyperlink ref="B2759" r:id="rId2745" xr:uid="{8A15575A-09F7-4608-8AC5-A0294D790F4B}"/>
    <hyperlink ref="B2760" r:id="rId2746" xr:uid="{0DA8A989-B201-4040-BFF9-9B2623204ECA}"/>
    <hyperlink ref="B2761" r:id="rId2747" xr:uid="{D867439C-0DBF-441A-B05C-6F9812554F82}"/>
    <hyperlink ref="B2762" r:id="rId2748" xr:uid="{1EDDC72B-3B92-46E2-A9AB-414A6CF22F0F}"/>
    <hyperlink ref="B2763" r:id="rId2749" xr:uid="{E748AEB7-936E-4CBA-BF86-D8DC53C1F3A5}"/>
    <hyperlink ref="B2764" r:id="rId2750" xr:uid="{8D17233D-373F-4436-8E46-423C0AB20557}"/>
    <hyperlink ref="B2765" r:id="rId2751" xr:uid="{2799ED4E-F6A4-4011-89D5-C07AE118D843}"/>
    <hyperlink ref="B2766" r:id="rId2752" xr:uid="{EAD63B4E-7D26-4B3F-881F-BC18D76D1E48}"/>
    <hyperlink ref="B2767" r:id="rId2753" xr:uid="{719B2C25-3316-4D1D-BD57-159DFB5F4B64}"/>
    <hyperlink ref="B2768" r:id="rId2754" xr:uid="{F203EBE8-1A51-415C-BF53-4649A6E355EC}"/>
    <hyperlink ref="B2769" r:id="rId2755" xr:uid="{1AC2EB80-922E-43BF-9DA1-6E1760D990C6}"/>
    <hyperlink ref="B2770" r:id="rId2756" xr:uid="{12093D06-6224-471A-ACD2-0A1346CA1E94}"/>
    <hyperlink ref="B2771" r:id="rId2757" xr:uid="{74962BE4-6A80-43A0-840E-00106FE81257}"/>
    <hyperlink ref="B2772" r:id="rId2758" xr:uid="{5FF20F19-C62C-4C9F-9E09-0F94CF06E0F9}"/>
    <hyperlink ref="B2773" r:id="rId2759" xr:uid="{D8D43F98-137A-4152-BDD9-2879F5C88BDB}"/>
    <hyperlink ref="B2774" r:id="rId2760" xr:uid="{A268F7EC-4057-4CA1-A086-ABFBEC6A3C2C}"/>
    <hyperlink ref="B2775" r:id="rId2761" xr:uid="{47BC1C58-80F6-4AD4-AD89-459AFDFFA600}"/>
    <hyperlink ref="B2776" r:id="rId2762" xr:uid="{4EB25981-4864-4AB7-9C71-1B2F9552BC7C}"/>
    <hyperlink ref="B2777" r:id="rId2763" xr:uid="{0F5E7349-BF6A-4114-8F96-91AA63E632A0}"/>
    <hyperlink ref="B2778" r:id="rId2764" xr:uid="{0C1EF744-72FE-4444-835B-F4B1AE78B55D}"/>
    <hyperlink ref="B2779" r:id="rId2765" xr:uid="{FA29C2C6-D2A0-49E2-88DC-355C1AF07A7E}"/>
    <hyperlink ref="B2780" r:id="rId2766" xr:uid="{36CC988C-7AE0-44FF-A67B-9C156B81DF0C}"/>
    <hyperlink ref="B2781" r:id="rId2767" xr:uid="{5FE7AFB1-F23F-497F-A47E-1370B211C055}"/>
    <hyperlink ref="B2782" r:id="rId2768" xr:uid="{8632824E-FACA-4D15-A797-5821238725E7}"/>
    <hyperlink ref="B2783" r:id="rId2769" xr:uid="{15C71B08-93FC-4CAD-926F-FB314D2EEA07}"/>
    <hyperlink ref="B2784" r:id="rId2770" xr:uid="{91EE07C2-6030-4D97-81B8-B2A343538371}"/>
    <hyperlink ref="B2785" r:id="rId2771" xr:uid="{2A4FA23E-83B3-45EC-BE8C-0AFE6200CA01}"/>
    <hyperlink ref="B2786" r:id="rId2772" xr:uid="{B89E27F2-A7F1-435A-BC50-93B387D35A7C}"/>
    <hyperlink ref="B2787" r:id="rId2773" xr:uid="{351BA6D4-0CAE-4BC7-8111-513DFCF6FDA1}"/>
    <hyperlink ref="B2788" r:id="rId2774" xr:uid="{6D798D69-56EF-4AAA-ADC7-FA8EDA5C8AE0}"/>
    <hyperlink ref="B2789" r:id="rId2775" xr:uid="{A1213CD2-EB2C-4768-9A55-33186BFFA775}"/>
    <hyperlink ref="B2790" r:id="rId2776" xr:uid="{6891F290-28CF-4CFD-A877-EC5B5C624E5B}"/>
    <hyperlink ref="B2791" r:id="rId2777" xr:uid="{FB2BFC9D-A51E-4A80-AFB6-6A00BECBCB48}"/>
    <hyperlink ref="B2792" r:id="rId2778" xr:uid="{045EEAC6-C6D4-4231-A034-830694671BF6}"/>
    <hyperlink ref="B2793" r:id="rId2779" xr:uid="{F6823A07-02B9-4A06-BA7B-067AB809AF42}"/>
    <hyperlink ref="B2794" r:id="rId2780" xr:uid="{BB4EAC0C-2A1D-473A-B373-B7003D5E020F}"/>
    <hyperlink ref="B2795" r:id="rId2781" xr:uid="{624CAE34-B13D-47D7-916E-3D05ACC270FF}"/>
    <hyperlink ref="B2796" r:id="rId2782" xr:uid="{4060E347-EF00-42D3-B3BA-5DF124FB8B1A}"/>
    <hyperlink ref="B2797" r:id="rId2783" xr:uid="{ECFF3809-92BD-4BCC-8198-3953378956FD}"/>
    <hyperlink ref="B2798" r:id="rId2784" xr:uid="{0AF0ECBD-B0B6-42CF-9C59-7070F865C165}"/>
    <hyperlink ref="B2799" r:id="rId2785" xr:uid="{2752AC22-BFD4-4B13-8EE3-45367FBDB0F3}"/>
    <hyperlink ref="B2800" r:id="rId2786" xr:uid="{DDC88889-99A3-4C36-9BB1-F00F252A2A34}"/>
    <hyperlink ref="B2801" r:id="rId2787" xr:uid="{B4B125C1-9AF1-4283-9B75-925D99CC943F}"/>
    <hyperlink ref="B2802" r:id="rId2788" xr:uid="{0892A963-C42F-4F5D-AC8D-D399CAF8C1A5}"/>
    <hyperlink ref="B2803" r:id="rId2789" xr:uid="{07E3C12F-40D4-4639-9BA6-BE02F0405495}"/>
    <hyperlink ref="B2804" r:id="rId2790" xr:uid="{3EB78F29-2D88-4C64-94E7-2C93F1958F29}"/>
    <hyperlink ref="B2805" r:id="rId2791" xr:uid="{9E0E85DD-194A-422E-AA8D-680E47877136}"/>
    <hyperlink ref="B2806" r:id="rId2792" xr:uid="{F2FB8E60-0475-40AF-805C-90D8AB3A8C39}"/>
    <hyperlink ref="B2807" r:id="rId2793" xr:uid="{38D148A7-924D-430D-AF25-ED2B94176D8F}"/>
    <hyperlink ref="B2808" r:id="rId2794" xr:uid="{0E8CD0EF-44C8-49FB-8592-B58FB74072D6}"/>
    <hyperlink ref="B2809" r:id="rId2795" xr:uid="{A575E241-4E17-4055-AF23-EB92E0A3AE25}"/>
    <hyperlink ref="B2810" r:id="rId2796" xr:uid="{923609EA-94AE-4BB9-B010-50F5BE333F2E}"/>
    <hyperlink ref="B2811" r:id="rId2797" xr:uid="{FDD0F7AC-4F59-4DF0-9BC5-95A77183E56E}"/>
    <hyperlink ref="B2812" r:id="rId2798" xr:uid="{E6BCAB49-1DFE-4A51-AE1D-1DD52CAFCF7E}"/>
    <hyperlink ref="B2813" r:id="rId2799" xr:uid="{BDCF7636-D17C-48AB-AD09-3A545E41DE45}"/>
    <hyperlink ref="B2814" r:id="rId2800" xr:uid="{F27A539B-0F5E-4E65-A509-DD28A4B0FD56}"/>
    <hyperlink ref="B2815" r:id="rId2801" xr:uid="{E466D9F5-A6FA-4BAE-8EBA-5C4EA4054AE3}"/>
    <hyperlink ref="B2816" r:id="rId2802" xr:uid="{140CBB0B-2071-45A3-87D6-93400F10CCDF}"/>
    <hyperlink ref="B2817" r:id="rId2803" xr:uid="{BEE29CA4-B23B-4F34-8F98-4865E8F0D7E2}"/>
    <hyperlink ref="B2818" r:id="rId2804" xr:uid="{B1C23EE5-8E87-4C97-A3CE-2337E9DABD11}"/>
    <hyperlink ref="B2819" r:id="rId2805" xr:uid="{61C5BBC4-BBAB-45FF-8CDA-90CE79CD7E3F}"/>
    <hyperlink ref="B2820" r:id="rId2806" xr:uid="{F5F1D437-CA48-4413-B141-530932EFB3A6}"/>
    <hyperlink ref="B2821" r:id="rId2807" xr:uid="{74526943-4EED-4477-BCAD-D271D69007ED}"/>
    <hyperlink ref="B2822" r:id="rId2808" xr:uid="{B27FD63F-89D1-491F-AD42-76604841E6C0}"/>
    <hyperlink ref="B2823" r:id="rId2809" xr:uid="{F16CB778-7C6F-444E-81AC-734A64C6498C}"/>
    <hyperlink ref="B2824" r:id="rId2810" xr:uid="{9B24D443-490F-4FDD-9734-F1AA33469964}"/>
    <hyperlink ref="B2825" r:id="rId2811" xr:uid="{BA2B1E3C-710A-45A8-ADE1-0CFD26735678}"/>
    <hyperlink ref="B2826" r:id="rId2812" xr:uid="{4D7B3A97-FBB2-4ED3-849D-DA492079D038}"/>
    <hyperlink ref="B2827" r:id="rId2813" xr:uid="{4CC5D41B-900A-45D0-95F1-5CAC4790D965}"/>
    <hyperlink ref="B2828" r:id="rId2814" xr:uid="{79256238-629F-4162-BB32-36C7DF7813F6}"/>
    <hyperlink ref="B2829" r:id="rId2815" xr:uid="{50EC4760-617D-4CEC-B98A-F0005FC708E6}"/>
    <hyperlink ref="B2830" r:id="rId2816" xr:uid="{8F198912-465C-4FF9-84B2-58B18D57C04A}"/>
    <hyperlink ref="B2831" r:id="rId2817" xr:uid="{2937DAD1-7DD6-46D2-8E28-7C00336FCBC5}"/>
    <hyperlink ref="B2832" r:id="rId2818" xr:uid="{9DC3AFBE-1323-47FA-8979-72C9E4B4AE3F}"/>
    <hyperlink ref="B2833" r:id="rId2819" xr:uid="{041C475F-2BC5-4934-B0ED-8263E3F3C5C4}"/>
    <hyperlink ref="B2834" r:id="rId2820" xr:uid="{18F98643-971B-4792-99CA-4313777E320D}"/>
    <hyperlink ref="B2835" r:id="rId2821" xr:uid="{989A4AE2-5DA3-4C20-AE9C-B1B62AF31B96}"/>
    <hyperlink ref="B2836" r:id="rId2822" xr:uid="{E733823D-D5E4-46B5-897A-19488AA30A4D}"/>
    <hyperlink ref="B2837" r:id="rId2823" xr:uid="{68036642-40BE-4369-ACD3-CE6E27A0C0B0}"/>
    <hyperlink ref="B2838" r:id="rId2824" xr:uid="{6FF3AFBF-8356-4699-9D79-0397B4921D88}"/>
    <hyperlink ref="B2839" r:id="rId2825" xr:uid="{6BE3408E-FEF9-4561-9FBE-EDC258D8D2BE}"/>
    <hyperlink ref="B2840" r:id="rId2826" xr:uid="{08251B4E-5C1C-4D5D-AE59-8093F26E6A8E}"/>
    <hyperlink ref="B2841" r:id="rId2827" xr:uid="{FE840770-756D-4B3B-9134-C2198699864A}"/>
    <hyperlink ref="B2842" r:id="rId2828" xr:uid="{2E13E2B0-93F2-40A8-8E50-0F7A2F1FDB28}"/>
    <hyperlink ref="B2843" r:id="rId2829" xr:uid="{8DB79DDD-285F-4458-A738-22A829F8595B}"/>
    <hyperlink ref="B2844" r:id="rId2830" xr:uid="{0AAA15B5-B749-4812-B4C3-E97133315F3E}"/>
    <hyperlink ref="B2845" r:id="rId2831" xr:uid="{739FA0A8-2135-46C3-BEF4-D0AD976E63A4}"/>
    <hyperlink ref="B2846" r:id="rId2832" xr:uid="{71A63DC1-5B2E-4C2B-B467-5E5A66F6CF9F}"/>
    <hyperlink ref="B2847" r:id="rId2833" xr:uid="{BEF75205-DFDD-4E84-BE00-CA6C2A143AF2}"/>
    <hyperlink ref="B2848" r:id="rId2834" xr:uid="{056F27BF-D00F-4790-8FB3-0A59606BF63B}"/>
    <hyperlink ref="B2849" r:id="rId2835" xr:uid="{B1E65E69-3985-4B0C-8361-C8FBAE8BEEC2}"/>
    <hyperlink ref="B2850" r:id="rId2836" xr:uid="{EB3D5CE0-E89E-4EAA-AB8B-523B734417C3}"/>
    <hyperlink ref="B2851" r:id="rId2837" xr:uid="{951A2DA4-F695-4504-BBF1-02C4D69D059E}"/>
    <hyperlink ref="B2852" r:id="rId2838" xr:uid="{5BBD0EE5-4777-413A-A5F6-58447C0F6E3A}"/>
    <hyperlink ref="B2853" r:id="rId2839" xr:uid="{EB956A74-02D4-4D8B-AF6A-30A090FAE541}"/>
    <hyperlink ref="B2854" r:id="rId2840" xr:uid="{362838FC-D76D-4004-900F-109B25FFA9CD}"/>
    <hyperlink ref="B2855" r:id="rId2841" xr:uid="{B3B32406-04D7-47D1-8FF4-6C05F1CA8E98}"/>
    <hyperlink ref="B2856" r:id="rId2842" xr:uid="{ADAEC7A6-1D37-4CE8-9860-D4B0F7CBFE57}"/>
    <hyperlink ref="B2857" r:id="rId2843" xr:uid="{A11E584F-301A-441A-88F1-03A1E044C5FC}"/>
    <hyperlink ref="B2858" r:id="rId2844" xr:uid="{000B5173-7CD5-4C13-97AF-2F378315EACB}"/>
    <hyperlink ref="B2859" r:id="rId2845" xr:uid="{E0747F27-30AA-4CBA-A846-47E5DA61C9AE}"/>
    <hyperlink ref="B2860" r:id="rId2846" xr:uid="{CF2AC190-D31C-4A47-B9A5-4818522B5396}"/>
    <hyperlink ref="B2861" r:id="rId2847" xr:uid="{0854F3F3-6F15-4B55-B33E-CB4BC5D9E7D6}"/>
    <hyperlink ref="B2862" r:id="rId2848" xr:uid="{19D9ACFA-F69D-4FA1-9A67-4B72212BBB0C}"/>
    <hyperlink ref="B2863" r:id="rId2849" xr:uid="{B0DD6FD8-622B-41DF-9C40-1BA6598398DD}"/>
    <hyperlink ref="B2864" r:id="rId2850" xr:uid="{3B460E33-4953-4DE2-AB59-EC18FA32225C}"/>
    <hyperlink ref="B2865" r:id="rId2851" xr:uid="{4424AA7F-5A24-4DA1-9C57-4B4832ED90E6}"/>
    <hyperlink ref="B2866" r:id="rId2852" xr:uid="{E7D8ADAD-1361-40AC-9931-9F71B7E9CBB7}"/>
    <hyperlink ref="B2867" r:id="rId2853" xr:uid="{8533D7CE-BD37-41F5-98C0-00D974481BB0}"/>
    <hyperlink ref="B2868" r:id="rId2854" xr:uid="{D5095814-5112-41AD-9F48-B35070D7FA6C}"/>
    <hyperlink ref="B2869" r:id="rId2855" xr:uid="{3F2BA514-1254-443C-8285-9FE2A45D8F9C}"/>
    <hyperlink ref="B2870" r:id="rId2856" xr:uid="{C63C1223-C55C-4703-8399-332ADC568BE5}"/>
    <hyperlink ref="B2871" r:id="rId2857" xr:uid="{BC278F36-09FA-415D-BBED-683090E471ED}"/>
    <hyperlink ref="B2872" r:id="rId2858" xr:uid="{E4CD9865-29EA-41E5-8681-093A1012EF60}"/>
    <hyperlink ref="B2873" r:id="rId2859" xr:uid="{E7093A0B-6A6A-4425-969E-DBE1C8359ED5}"/>
    <hyperlink ref="B2874" r:id="rId2860" xr:uid="{193B3796-DCC1-4E66-BD5E-821A1E0E0263}"/>
    <hyperlink ref="B2875" r:id="rId2861" xr:uid="{EC271D15-D1FC-4671-A926-7EE2E100931B}"/>
    <hyperlink ref="B2876" r:id="rId2862" xr:uid="{BA286ED2-022D-4C7B-BD23-61CFDE389755}"/>
    <hyperlink ref="B2877" r:id="rId2863" xr:uid="{81C06BF3-2B85-4448-938A-33EB1BC879E1}"/>
    <hyperlink ref="B2878" r:id="rId2864" xr:uid="{396B4F4F-04C2-40B1-9163-D30887083983}"/>
    <hyperlink ref="B2879" r:id="rId2865" xr:uid="{D78B60BE-6651-42C5-917E-485F3A052AF8}"/>
    <hyperlink ref="B2880" r:id="rId2866" xr:uid="{9FD519F8-5483-4219-AE7A-DF08A7BF14B5}"/>
    <hyperlink ref="B2881" r:id="rId2867" xr:uid="{380CA5C1-2579-44D7-8FB5-8A044A421CD5}"/>
    <hyperlink ref="B2882" r:id="rId2868" xr:uid="{2DC411FA-0149-4D28-8C16-3842D9C27A5F}"/>
    <hyperlink ref="B2883" r:id="rId2869" xr:uid="{0E081383-0BCA-479B-A2B9-8F017D049F3D}"/>
    <hyperlink ref="B2884" r:id="rId2870" xr:uid="{A9571EFA-9D18-4A8C-9B5B-3B37FB05C1BC}"/>
    <hyperlink ref="B2885" r:id="rId2871" xr:uid="{E12DBEBD-3B9A-4592-A311-C510CEA33276}"/>
    <hyperlink ref="B2886" r:id="rId2872" xr:uid="{E765FA6F-C7D6-4156-B8A7-240FC1F962D3}"/>
    <hyperlink ref="B2887" r:id="rId2873" xr:uid="{28CC773A-AEE1-41C1-B2B8-81112F686B49}"/>
    <hyperlink ref="B2888" r:id="rId2874" xr:uid="{F0132411-EACD-4CC3-8F52-E8EF1AD40CFF}"/>
    <hyperlink ref="B2889" r:id="rId2875" xr:uid="{C8960339-8849-4D87-9DD0-B30CE7F60914}"/>
    <hyperlink ref="B2890" r:id="rId2876" xr:uid="{1662A0FD-E2F1-4578-9B28-F2DA5DAC8D3D}"/>
    <hyperlink ref="B2891" r:id="rId2877" xr:uid="{813CE0DF-C270-44F1-82F4-55AC590CB9C6}"/>
    <hyperlink ref="B2892" r:id="rId2878" xr:uid="{DE1F954B-748D-4D9D-B95F-254EB9CD0812}"/>
    <hyperlink ref="B2893" r:id="rId2879" xr:uid="{8AD0F89A-3DFA-4D94-B989-935E940E8A5D}"/>
    <hyperlink ref="B2894" r:id="rId2880" xr:uid="{46880AAD-E2D8-4CCD-B08D-84E006303504}"/>
    <hyperlink ref="B2895" r:id="rId2881" xr:uid="{59EDFD0B-FEAB-4E4D-9BC6-918B6B4C097F}"/>
    <hyperlink ref="B2896" r:id="rId2882" xr:uid="{01E6B39E-058F-4859-9087-9680E063B83D}"/>
    <hyperlink ref="B2897" r:id="rId2883" xr:uid="{AE35B415-198A-4BC2-91C4-DF7B1054712C}"/>
    <hyperlink ref="B2898" r:id="rId2884" xr:uid="{75234AA2-0F81-4FEF-AFC4-6CC04C3AC265}"/>
    <hyperlink ref="B2899" r:id="rId2885" xr:uid="{13C3172C-41AB-429A-9BA4-706B2604CF2F}"/>
    <hyperlink ref="B2900" r:id="rId2886" xr:uid="{CFD16198-5436-47A5-B08B-B3DC19C58419}"/>
    <hyperlink ref="B2901" r:id="rId2887" xr:uid="{C792C318-B667-4F0C-A18F-3278209EC9AA}"/>
    <hyperlink ref="B2902" r:id="rId2888" xr:uid="{0D7F0CC9-BA9B-4886-95EC-74766D4EA864}"/>
    <hyperlink ref="B2903" r:id="rId2889" xr:uid="{E4C2DE12-2A34-47E1-9A77-8500B8601C31}"/>
    <hyperlink ref="B2904" r:id="rId2890" xr:uid="{1BD09EFC-7C3C-490A-A402-09754A4366AC}"/>
    <hyperlink ref="B2905" r:id="rId2891" xr:uid="{65354AA0-4342-4001-970C-C728027C3153}"/>
    <hyperlink ref="B2906" r:id="rId2892" xr:uid="{D1527337-8C90-4FEB-A602-6A859CD01309}"/>
    <hyperlink ref="B2907" r:id="rId2893" xr:uid="{45EA27D9-2F46-4561-B427-EF0140E1F43D}"/>
    <hyperlink ref="B2908" r:id="rId2894" xr:uid="{32E04932-F708-458A-9225-535461E10CBB}"/>
    <hyperlink ref="B2909" r:id="rId2895" xr:uid="{E1DD49FB-35EE-483B-BCD5-6C5B0E82BD98}"/>
    <hyperlink ref="B2910" r:id="rId2896" xr:uid="{E787D3F3-9E04-4694-92BD-E79BC63190BD}"/>
    <hyperlink ref="B2911" r:id="rId2897" xr:uid="{FC84EE9C-E7AC-4000-9DCC-D6D69C14EDF5}"/>
    <hyperlink ref="B2912" r:id="rId2898" xr:uid="{524627EB-D5F0-4A7A-8D80-50FE3FAFF7D6}"/>
    <hyperlink ref="B2913" r:id="rId2899" xr:uid="{87745602-76B8-4D59-81E9-1D3AA6E8291E}"/>
    <hyperlink ref="B2914" r:id="rId2900" xr:uid="{B6751982-E47C-4871-B1CE-1AFFAE4391A8}"/>
    <hyperlink ref="B2915" r:id="rId2901" xr:uid="{8A76BE2C-FB8F-43C3-A18F-C1363CC21264}"/>
    <hyperlink ref="B2916" r:id="rId2902" xr:uid="{514FEB02-1F12-48FE-80AB-25E3CB87338D}"/>
    <hyperlink ref="B2917" r:id="rId2903" xr:uid="{1BE699E3-95B3-4113-A485-5136FBDD0E8A}"/>
    <hyperlink ref="B2918" r:id="rId2904" xr:uid="{605E46B7-BA03-4E11-8335-797A7340C22A}"/>
    <hyperlink ref="B2919" r:id="rId2905" xr:uid="{19ED6A89-8BBC-4056-AC32-F7B74144817D}"/>
    <hyperlink ref="B2920" r:id="rId2906" xr:uid="{3507612D-C257-4D60-AE1E-DDF03479048C}"/>
    <hyperlink ref="B2921" r:id="rId2907" xr:uid="{1FDCCAEB-4C82-4F64-9589-366BD1870F0B}"/>
    <hyperlink ref="B2922" r:id="rId2908" xr:uid="{3A42AEE0-04CE-43BB-8FF9-A812F7E1331E}"/>
    <hyperlink ref="B2923" r:id="rId2909" xr:uid="{D5884C1F-5168-4A4F-B7F4-20B0EDA09005}"/>
    <hyperlink ref="B2924" r:id="rId2910" xr:uid="{594B93EA-40AB-4CE1-B223-37E28695A09B}"/>
    <hyperlink ref="B2925" r:id="rId2911" xr:uid="{528BEC44-A8C3-421B-B38C-ECFA9DBE339D}"/>
    <hyperlink ref="B2926" r:id="rId2912" xr:uid="{7A0538CE-42A6-46C9-BFED-77E9107E5EAA}"/>
    <hyperlink ref="B2927" r:id="rId2913" xr:uid="{58E24DBE-8DCC-4C6D-9138-64A6CBBFEAF0}"/>
    <hyperlink ref="B2928" r:id="rId2914" xr:uid="{1B5841ED-FACE-476F-B3C5-90E8EAE85E82}"/>
    <hyperlink ref="B2929" r:id="rId2915" xr:uid="{366CCF1A-BCBE-43A8-A297-8E102D1BE72C}"/>
    <hyperlink ref="B2930" r:id="rId2916" xr:uid="{986D605E-4CED-44B0-9B93-D87C2EB73D51}"/>
    <hyperlink ref="B2931" r:id="rId2917" xr:uid="{EA92B8CD-1BB6-4005-B92F-5674D720A033}"/>
    <hyperlink ref="B2932" r:id="rId2918" xr:uid="{F73FDEB4-FA63-44E4-9CA4-AA11A771C508}"/>
    <hyperlink ref="B2933" r:id="rId2919" xr:uid="{EE3813F8-0CB6-4B58-A04E-EFFB3EB76086}"/>
    <hyperlink ref="B2934" r:id="rId2920" xr:uid="{E013174E-B237-4638-B6C0-93F37317AB34}"/>
    <hyperlink ref="B2935" r:id="rId2921" xr:uid="{3A2EAD47-9D4C-4C3D-957E-5DFAFEB66AC6}"/>
    <hyperlink ref="B2936" r:id="rId2922" xr:uid="{DB250821-9520-4701-AFA7-88A64ADE10A2}"/>
    <hyperlink ref="B2937" r:id="rId2923" xr:uid="{9BB0A65E-A0FD-4DC3-9B47-277B0205B3B8}"/>
    <hyperlink ref="B2938" r:id="rId2924" xr:uid="{E2569E89-8DAD-4B54-8B0E-69DA42EB29AD}"/>
    <hyperlink ref="B2939" r:id="rId2925" xr:uid="{838CFC0D-F2FB-45C9-8FB8-29D49FE6341E}"/>
    <hyperlink ref="B2940" r:id="rId2926" xr:uid="{E623D7F1-CFCA-4174-92D5-9FAFAAA99F82}"/>
    <hyperlink ref="B2941" r:id="rId2927" xr:uid="{FFCB8718-592F-42A8-86B5-D428D5FA99DB}"/>
    <hyperlink ref="B2942" r:id="rId2928" xr:uid="{601AC387-9541-4BED-A3B3-AEBA48543EA4}"/>
    <hyperlink ref="B2943" r:id="rId2929" xr:uid="{AAA35045-ED65-4DB4-B6B4-05B5BA440C99}"/>
    <hyperlink ref="B2944" r:id="rId2930" xr:uid="{2BA6DD5A-70E8-49E6-83FA-9001462592CA}"/>
    <hyperlink ref="B2945" r:id="rId2931" xr:uid="{C7773B28-8C0C-48E9-8AF5-50083088B1AD}"/>
    <hyperlink ref="B2946" r:id="rId2932" xr:uid="{651EE2BD-7D86-4DF1-8FB9-7A9AD18F2604}"/>
    <hyperlink ref="B2947" r:id="rId2933" xr:uid="{83646E1D-70CD-4A36-975A-D5D94443E676}"/>
    <hyperlink ref="B2948" r:id="rId2934" xr:uid="{84F6581D-AAEC-4017-B547-8DEA9E7F756F}"/>
    <hyperlink ref="B2949" r:id="rId2935" xr:uid="{BA66F7B1-5F80-489F-879B-DA103314165D}"/>
    <hyperlink ref="B2950" r:id="rId2936" xr:uid="{66BFD1C7-8E1F-4085-A6D0-6F8C4F09D1CA}"/>
    <hyperlink ref="B2951" r:id="rId2937" xr:uid="{A7149971-6A38-46D1-BE4F-CB9D6CAED23C}"/>
    <hyperlink ref="B2952" r:id="rId2938" xr:uid="{ED7F3A00-8950-4EBD-9484-BADBBCF1BE09}"/>
    <hyperlink ref="B2953" r:id="rId2939" xr:uid="{C7608A46-D6A5-4B6C-B0D5-2E645A1CB85D}"/>
    <hyperlink ref="B2954" r:id="rId2940" xr:uid="{328CEFF0-5F00-4B81-BD03-A98C2253245F}"/>
    <hyperlink ref="B2955" r:id="rId2941" xr:uid="{AD27ABC1-0976-4204-89AB-E38092455200}"/>
    <hyperlink ref="B2956" r:id="rId2942" xr:uid="{CC10C885-6F59-449A-95F5-A8F1B9C894A4}"/>
    <hyperlink ref="B2957" r:id="rId2943" xr:uid="{C132F07C-1089-43B1-ACA1-4368CEAC55CD}"/>
    <hyperlink ref="B2958" r:id="rId2944" xr:uid="{F2F3BCF8-C0DF-4BB8-926F-E1FE43A86656}"/>
    <hyperlink ref="B2959" r:id="rId2945" xr:uid="{37216F73-8AAE-4CFD-85B0-97C45A65182C}"/>
    <hyperlink ref="B2960" r:id="rId2946" xr:uid="{65A32279-ECB3-4755-8713-19B896000ABB}"/>
    <hyperlink ref="B2961" r:id="rId2947" xr:uid="{1D180FDE-3A68-40EE-9FF3-862D06F853F8}"/>
    <hyperlink ref="B2962" r:id="rId2948" xr:uid="{D108E7C8-6C87-4517-95D0-A40A90427FEB}"/>
    <hyperlink ref="B2963" r:id="rId2949" xr:uid="{437E9CD9-FC92-4D8A-9F6C-C29CC1021A2C}"/>
    <hyperlink ref="B2964" r:id="rId2950" xr:uid="{ADBE799F-E445-405F-B0F9-4A6203E78A06}"/>
    <hyperlink ref="B2965" r:id="rId2951" xr:uid="{7B00E4A2-1B2F-46C1-9E4A-D9A338F7984D}"/>
    <hyperlink ref="B2966" r:id="rId2952" xr:uid="{86B709FE-356B-4360-98ED-B28DD69ECDA8}"/>
    <hyperlink ref="B2967" r:id="rId2953" xr:uid="{B4D9FA39-6615-4C62-A457-51240EC77D58}"/>
    <hyperlink ref="B2968" r:id="rId2954" xr:uid="{480F6567-3673-44C8-BA3D-A0499CD5EF19}"/>
    <hyperlink ref="B2969" r:id="rId2955" xr:uid="{9DFFDB69-C4EC-4579-BF16-F48C61FB8DCC}"/>
    <hyperlink ref="B2970" r:id="rId2956" xr:uid="{A834BC20-340B-4406-AF52-19573E564F19}"/>
    <hyperlink ref="B2971" r:id="rId2957" xr:uid="{B107041B-3E5D-4435-80CD-0DE960C28887}"/>
    <hyperlink ref="B2972" r:id="rId2958" xr:uid="{E366F09B-8F97-456C-B9AB-9796CD78DB63}"/>
    <hyperlink ref="B2973" r:id="rId2959" xr:uid="{96C41AE7-7B3B-4B00-8980-7BAB5B7D3920}"/>
    <hyperlink ref="B2974" r:id="rId2960" xr:uid="{D07085AD-30F4-4F51-860E-D708DFF69113}"/>
    <hyperlink ref="B2975" r:id="rId2961" xr:uid="{3520CFEC-E1A0-47A3-824F-32989398C651}"/>
    <hyperlink ref="B2976" r:id="rId2962" xr:uid="{410ECDC9-E2F4-49F9-BA30-800F9D4436D2}"/>
    <hyperlink ref="B2977" r:id="rId2963" xr:uid="{180E2F83-9C81-4CCA-B5B5-D498BC2B5394}"/>
    <hyperlink ref="B2978" r:id="rId2964" xr:uid="{21614003-BABF-412D-9E46-BB418C448ED3}"/>
    <hyperlink ref="B2979" r:id="rId2965" xr:uid="{D3C50F43-011E-4925-9653-6EB78466FFDC}"/>
    <hyperlink ref="B2980" r:id="rId2966" xr:uid="{4FDF12BE-A936-41E2-ACF4-22D315B21889}"/>
    <hyperlink ref="B2981" r:id="rId2967" xr:uid="{4EE47BD5-F3F2-4BF8-8F52-8C6E75506746}"/>
    <hyperlink ref="B2982" r:id="rId2968" xr:uid="{76419783-133E-43D4-A3D9-F85E57B49295}"/>
    <hyperlink ref="B2983" r:id="rId2969" xr:uid="{FEB0C1C0-92CF-4318-B153-AAACCDF03B39}"/>
    <hyperlink ref="B2984" r:id="rId2970" xr:uid="{CD918ECB-1890-485E-AF28-B58162D8D197}"/>
    <hyperlink ref="B2985" r:id="rId2971" xr:uid="{D716E292-F983-4D8B-B952-80C7E639D097}"/>
    <hyperlink ref="B2986" r:id="rId2972" xr:uid="{956B603E-3ABA-49BF-9F49-228BE5DDE8FD}"/>
    <hyperlink ref="B2987" r:id="rId2973" xr:uid="{4C6A4620-E4B2-488F-9821-BD33F710193E}"/>
    <hyperlink ref="B2988" r:id="rId2974" xr:uid="{BDF56B5A-BA4A-4859-8262-906EB74C46FC}"/>
    <hyperlink ref="B2989" r:id="rId2975" xr:uid="{2BB4EBBA-42E7-44DA-9BEF-45449737CA66}"/>
    <hyperlink ref="B2990" r:id="rId2976" xr:uid="{E5E2084A-9CAF-48FF-A102-E0816C6C09CA}"/>
    <hyperlink ref="B2991" r:id="rId2977" xr:uid="{42C20E5A-DA82-4467-AB8B-32C4A9C0BD90}"/>
    <hyperlink ref="B2992" r:id="rId2978" xr:uid="{B012F225-D9A5-4CF0-BC95-3990D93F765C}"/>
    <hyperlink ref="B2993" r:id="rId2979" xr:uid="{A3310F6A-90A2-4B68-9D23-E6F1CDF4951D}"/>
    <hyperlink ref="B2994" r:id="rId2980" xr:uid="{379AC7A3-2DCD-4738-94A3-40DB58CEE0F2}"/>
    <hyperlink ref="B2995" r:id="rId2981" xr:uid="{3883CD64-7D5F-4B84-8A1C-18A49500D1E8}"/>
    <hyperlink ref="B2996" r:id="rId2982" xr:uid="{845DA560-307C-4CB7-8A93-757E15CA4E09}"/>
    <hyperlink ref="B2997" r:id="rId2983" xr:uid="{DFC7089E-4CF0-469C-9FC0-831429642CEF}"/>
    <hyperlink ref="B2998" r:id="rId2984" xr:uid="{42DBB065-9FCC-447F-B5F9-D4EE602799D4}"/>
    <hyperlink ref="B2999" r:id="rId2985" xr:uid="{BF89B8DA-7685-49FA-AB26-B528532E97CA}"/>
    <hyperlink ref="B3000" r:id="rId2986" xr:uid="{61F0C8F0-991F-47B6-8B90-C5535F49D0D0}"/>
    <hyperlink ref="B3001" r:id="rId2987" xr:uid="{A3058ED7-1EF0-4F5E-AE03-372043D06289}"/>
    <hyperlink ref="B3002" r:id="rId2988" xr:uid="{B43DB3D5-3115-4C1F-B0DB-8C78EA3ED933}"/>
    <hyperlink ref="B3003" r:id="rId2989" xr:uid="{127725DA-5B54-441F-A08A-60E625F53EE1}"/>
    <hyperlink ref="B3004" r:id="rId2990" xr:uid="{9110B382-5E9E-4A48-9DB8-16F78085BCEF}"/>
    <hyperlink ref="B3005" r:id="rId2991" xr:uid="{18910C2A-2A19-4E4A-ACBB-E4AFCE5C9A0C}"/>
    <hyperlink ref="B3006" r:id="rId2992" xr:uid="{326B006C-8DD8-4B0F-B1B3-D4CE670A4B2C}"/>
    <hyperlink ref="B3007" r:id="rId2993" xr:uid="{59F5E0EA-4EBC-4D32-A184-8CC29BD40B41}"/>
    <hyperlink ref="B3008" r:id="rId2994" xr:uid="{CDE4E6D8-2FF3-4759-9C26-EF4910C582C1}"/>
    <hyperlink ref="B3009" r:id="rId2995" xr:uid="{C3F6853B-1D4F-4897-B290-B944AD1C0B13}"/>
    <hyperlink ref="B3010" r:id="rId2996" xr:uid="{9294887D-1147-4764-9FF0-4FF54597E483}"/>
    <hyperlink ref="B3011" r:id="rId2997" xr:uid="{C480F053-FA32-4FE6-8F9E-6B580207F267}"/>
    <hyperlink ref="B3012" r:id="rId2998" xr:uid="{738C4EE3-7834-42D9-B317-E8A0FFDCC525}"/>
    <hyperlink ref="B3013" r:id="rId2999" xr:uid="{48BE0E1B-8519-42D1-9978-1DFB9DFC3D55}"/>
    <hyperlink ref="B3014" r:id="rId3000" xr:uid="{95D824FE-8939-4DB3-B87A-44ED8E70B141}"/>
    <hyperlink ref="B3015" r:id="rId3001" xr:uid="{8A76F1DF-0F4D-4C3F-A9AE-55217B921486}"/>
    <hyperlink ref="B3016" r:id="rId3002" xr:uid="{12847C91-C1A6-4742-9A1D-2968BC689588}"/>
    <hyperlink ref="B3017" r:id="rId3003" xr:uid="{6451D29B-B686-4087-BB81-F312FDE05EEA}"/>
    <hyperlink ref="B3018" r:id="rId3004" xr:uid="{134A2260-FA31-4C8B-AE75-ECF16E9C6C1C}"/>
    <hyperlink ref="B3019" r:id="rId3005" xr:uid="{6690C88B-DC1B-4591-AB3E-DCE87A8B20F3}"/>
    <hyperlink ref="B3020" r:id="rId3006" xr:uid="{51671699-E0BC-4211-8CB6-E9A31B1047EA}"/>
    <hyperlink ref="B3021" r:id="rId3007" xr:uid="{DCE18501-4824-4D1F-AABB-0ABE6C2C1F16}"/>
    <hyperlink ref="B3022" r:id="rId3008" xr:uid="{6520A601-B961-4D3A-9A1F-99E90C5797ED}"/>
    <hyperlink ref="B3023" r:id="rId3009" xr:uid="{8B7059B7-3006-4DEA-9060-A8918FC166B6}"/>
    <hyperlink ref="B3024" r:id="rId3010" xr:uid="{6009197F-9A1E-433D-B721-822FC85D375F}"/>
    <hyperlink ref="B3025" r:id="rId3011" xr:uid="{5DECE379-FBFC-4A5E-9908-B514008476A4}"/>
    <hyperlink ref="B3026" r:id="rId3012" xr:uid="{FE85804F-66E3-4F0C-ABF4-6EF872A67BB8}"/>
    <hyperlink ref="B3027" r:id="rId3013" xr:uid="{A282C3B6-03EE-424D-A767-E8A7DDAFD817}"/>
    <hyperlink ref="B3028" r:id="rId3014" xr:uid="{2006B387-3170-4211-B979-FD73E00FBEBC}"/>
    <hyperlink ref="B3029" r:id="rId3015" xr:uid="{C51E5607-4BA8-4052-B372-AE75BA38F963}"/>
    <hyperlink ref="B3030" r:id="rId3016" xr:uid="{F639E77F-2D83-4680-AE88-7871BF1ABA57}"/>
    <hyperlink ref="B3031" r:id="rId3017" xr:uid="{391979D9-369E-4ED1-952B-222FB129B182}"/>
    <hyperlink ref="B3032" r:id="rId3018" xr:uid="{96D9A293-1510-4F28-B096-D206C0915A44}"/>
    <hyperlink ref="B3033" r:id="rId3019" xr:uid="{3A5EFA06-5B7F-47A3-B08A-DD4A49A6D742}"/>
    <hyperlink ref="B3034" r:id="rId3020" xr:uid="{C45322C4-0BF7-4662-9B14-F3A7E9E7EBD8}"/>
    <hyperlink ref="B3035" r:id="rId3021" xr:uid="{776E661E-DC62-4254-862F-3F82BD641810}"/>
    <hyperlink ref="B3036" r:id="rId3022" xr:uid="{4F9C9B89-486D-48D0-9153-F0850597D34D}"/>
    <hyperlink ref="B3037" r:id="rId3023" xr:uid="{EB84485C-E007-486D-AEEF-D54B1856C3D9}"/>
    <hyperlink ref="B3038" r:id="rId3024" xr:uid="{9B63B66E-B0D2-4495-A9E1-73F0161D2F6B}"/>
    <hyperlink ref="B3039" r:id="rId3025" xr:uid="{7310F975-EF0D-42DD-A2A2-98A4507D9826}"/>
    <hyperlink ref="B3040" r:id="rId3026" xr:uid="{D2B682E3-63AA-45E9-9DC5-B772C2D3C6CB}"/>
    <hyperlink ref="B3041" r:id="rId3027" xr:uid="{A9F6133F-20D4-464C-B806-E49876BC73AD}"/>
    <hyperlink ref="B3042" r:id="rId3028" xr:uid="{05C52AFC-A7EA-457E-88CF-EBD768D4BDB1}"/>
    <hyperlink ref="B3043" r:id="rId3029" xr:uid="{1B6FD478-04A6-4EB5-905B-6F944EC10ECA}"/>
    <hyperlink ref="B3044" r:id="rId3030" xr:uid="{A0C7E26B-68A0-4AF7-9A57-6B26CD4FACF7}"/>
    <hyperlink ref="B3045" r:id="rId3031" xr:uid="{8246A223-8549-449A-A3B5-89E2A95264CF}"/>
    <hyperlink ref="B3046" r:id="rId3032" xr:uid="{E7E9C1D0-F0EC-4EB2-AF5D-A7C0A9E55D46}"/>
    <hyperlink ref="B3047" r:id="rId3033" xr:uid="{00AA31B8-630D-4D5A-B80A-E6FA0E565836}"/>
    <hyperlink ref="B3048" r:id="rId3034" xr:uid="{549D2BE8-8FC2-4B42-8ADB-90B9B43A8791}"/>
    <hyperlink ref="B3049" r:id="rId3035" xr:uid="{14135F7B-95F7-4734-B58C-69864600FBA3}"/>
    <hyperlink ref="B3050" r:id="rId3036" xr:uid="{4270FC24-41CC-4690-AF13-2015353F5A13}"/>
    <hyperlink ref="B3051" r:id="rId3037" xr:uid="{B6D8323B-2BB1-4B37-BF77-2734947260EC}"/>
    <hyperlink ref="B3052" r:id="rId3038" xr:uid="{0733D6A6-E20F-4563-B31E-FFD809C2C048}"/>
    <hyperlink ref="B3053" r:id="rId3039" xr:uid="{41BAB152-0631-498B-9518-4A27598B3FE8}"/>
    <hyperlink ref="B3054" r:id="rId3040" xr:uid="{FAC70D06-489F-47C7-A8C5-F926D97AEE33}"/>
    <hyperlink ref="B3055" r:id="rId3041" xr:uid="{8447F305-81A3-4E51-9887-AB71C73BA595}"/>
    <hyperlink ref="B3056" r:id="rId3042" xr:uid="{4291A764-3F92-4E40-8485-D8A486F45589}"/>
    <hyperlink ref="B3057" r:id="rId3043" xr:uid="{47D0C1FA-80AB-4DE8-81C5-1E353CFDCAB3}"/>
    <hyperlink ref="B3058" r:id="rId3044" xr:uid="{E66BB5B5-8CC5-41DB-8067-F0CA965F466F}"/>
    <hyperlink ref="B3059" r:id="rId3045" xr:uid="{498424B3-CF27-43A0-8BD5-264E2C856865}"/>
    <hyperlink ref="B3060" r:id="rId3046" xr:uid="{9658573A-A6D8-4119-8D5B-F4A5EA56DB6C}"/>
    <hyperlink ref="B3061" r:id="rId3047" xr:uid="{6AB694A3-F071-4DDC-B926-C0C3406D8BD9}"/>
    <hyperlink ref="B3062" r:id="rId3048" xr:uid="{B8C36973-F21A-4476-A42A-B2A25915774B}"/>
    <hyperlink ref="B3063" r:id="rId3049" xr:uid="{EC7D2E04-FA4E-475E-8A00-998D1E0A41C5}"/>
    <hyperlink ref="B3064" r:id="rId3050" xr:uid="{FAE9D7CA-B4C5-45CF-81A9-FC6498F1287E}"/>
    <hyperlink ref="B3065" r:id="rId3051" xr:uid="{D8287250-0E61-4DE1-BBDB-A5A1E6E21718}"/>
    <hyperlink ref="B3066" r:id="rId3052" xr:uid="{E0B1FFA0-D3AF-4637-97B1-5FC92C80AA38}"/>
    <hyperlink ref="B3067" r:id="rId3053" xr:uid="{F8379748-27A6-4F2C-B0FA-AD1FE163F35A}"/>
    <hyperlink ref="B3068" r:id="rId3054" xr:uid="{33538405-B915-4510-8DA6-AC18456B8D1E}"/>
    <hyperlink ref="B3069" r:id="rId3055" xr:uid="{E0997BD2-F3E0-491C-A852-FAB90A89F5D0}"/>
    <hyperlink ref="B3070" r:id="rId3056" xr:uid="{834A6601-B441-489D-9CB9-7970801F232C}"/>
    <hyperlink ref="B3071" r:id="rId3057" xr:uid="{AAC3DCBD-FF86-4921-AF7A-0927C2DD8551}"/>
    <hyperlink ref="B3072" r:id="rId3058" xr:uid="{A51CBCFC-2A5F-4D57-9CD1-863EBB9A5B7A}"/>
    <hyperlink ref="B3073" r:id="rId3059" xr:uid="{6FBC2D65-7923-48D4-A77E-D94B3466111F}"/>
    <hyperlink ref="B3074" r:id="rId3060" xr:uid="{735E4B3E-625F-44A8-A658-76F5E0B806EA}"/>
    <hyperlink ref="B3075" r:id="rId3061" xr:uid="{7D7466AB-2551-491C-B558-F7CC80E82269}"/>
    <hyperlink ref="B3076" r:id="rId3062" xr:uid="{9FFDEC0A-FF2F-4B0D-B950-1A03D6BA214F}"/>
    <hyperlink ref="B3077" r:id="rId3063" xr:uid="{178212E8-2002-4F5F-9E46-8D7826489C14}"/>
    <hyperlink ref="B3078" r:id="rId3064" xr:uid="{F52836DF-489F-449A-88D6-5FA5D57C353B}"/>
    <hyperlink ref="B3079" r:id="rId3065" xr:uid="{A73F791A-CA5A-41F0-8C9F-80F41CC0C9DA}"/>
    <hyperlink ref="B3080" r:id="rId3066" xr:uid="{240A1859-805B-41D4-B673-EE7F1E43B49E}"/>
    <hyperlink ref="B3081" r:id="rId3067" xr:uid="{200DA2B8-9B2E-4B19-839C-ECA1AEA7DB3B}"/>
    <hyperlink ref="B3082" r:id="rId3068" xr:uid="{DBD1195D-CB8C-465E-9FD8-6967FD2C2721}"/>
    <hyperlink ref="B3083" r:id="rId3069" xr:uid="{28819436-31B3-4888-96EE-74A3FACCBBB7}"/>
    <hyperlink ref="B3084" r:id="rId3070" xr:uid="{C7E6A64E-42CC-4ED2-B2FD-89222538D2B6}"/>
    <hyperlink ref="B3085" r:id="rId3071" xr:uid="{AC90F442-099E-433A-8E0C-1179B8938B34}"/>
    <hyperlink ref="B3086" r:id="rId3072" xr:uid="{99D840DE-2E2B-426A-A270-2E9F73DE9691}"/>
    <hyperlink ref="B3087" r:id="rId3073" xr:uid="{704AA692-17B7-4F64-A749-C60D4FC33A04}"/>
    <hyperlink ref="B3088" r:id="rId3074" xr:uid="{24549CCC-0333-471D-B053-A1CFC7513FEF}"/>
    <hyperlink ref="B3089" r:id="rId3075" xr:uid="{2F5A942D-3552-4AAF-A594-F41D7CAF774A}"/>
    <hyperlink ref="B3090" r:id="rId3076" xr:uid="{CAA4DE51-54D2-4BC6-B638-41B9A8669244}"/>
    <hyperlink ref="B3091" r:id="rId3077" xr:uid="{0DE232AF-9F7B-4AA4-993E-129F0257370E}"/>
    <hyperlink ref="B3092" r:id="rId3078" xr:uid="{9D729EBB-F2A5-4938-999D-85C88F110A4D}"/>
    <hyperlink ref="B3093" r:id="rId3079" xr:uid="{4BBC8320-ADC2-4E69-947E-B520966FC385}"/>
    <hyperlink ref="B3094" r:id="rId3080" xr:uid="{30C918CE-8738-47B7-B0D1-C4F4D2CF62DF}"/>
    <hyperlink ref="B3095" r:id="rId3081" xr:uid="{1D39CFA4-B66A-4B72-8989-D388475954B3}"/>
    <hyperlink ref="B3096" r:id="rId3082" xr:uid="{2B1B288C-2FA3-45B1-93C1-781DDB5D04F9}"/>
    <hyperlink ref="B3097" r:id="rId3083" xr:uid="{EB0E0FF5-649E-45FE-8577-795D00060A05}"/>
    <hyperlink ref="B3098" r:id="rId3084" xr:uid="{CC0AC130-9C50-43FC-8136-3C48B67C94C1}"/>
    <hyperlink ref="B3099" r:id="rId3085" xr:uid="{D5A079E1-4FFD-4A9B-821E-6E284451D640}"/>
    <hyperlink ref="B3100" r:id="rId3086" xr:uid="{26BF3C14-D718-47D3-8E92-2E3A98CD307C}"/>
    <hyperlink ref="B3101" r:id="rId3087" xr:uid="{A77872A2-4CF8-4B75-8CD5-A41015CF894F}"/>
    <hyperlink ref="B3102" r:id="rId3088" xr:uid="{0000CE46-8372-4610-8308-967012E0A43F}"/>
    <hyperlink ref="B3103" r:id="rId3089" xr:uid="{76319F6F-59A0-465B-AB96-A3DB23DB1479}"/>
    <hyperlink ref="B3104" r:id="rId3090" xr:uid="{7962C157-6483-4F5F-957A-9BB0C563AAA2}"/>
    <hyperlink ref="B3105" r:id="rId3091" xr:uid="{A49CCB5E-3D59-42BA-ACE5-ABB67BC9EB9A}"/>
    <hyperlink ref="B3106" r:id="rId3092" xr:uid="{85634AC9-6CFF-401D-ACB2-572738DF69A6}"/>
    <hyperlink ref="B3107" r:id="rId3093" xr:uid="{17DEAC99-899D-453A-A348-1B0A2F4BB69B}"/>
    <hyperlink ref="B3108" r:id="rId3094" xr:uid="{805FE2EA-131A-4504-8976-DD3D7C21B395}"/>
    <hyperlink ref="B3109" r:id="rId3095" xr:uid="{23E9DC18-0F05-42C0-A076-9F211AF07C99}"/>
    <hyperlink ref="B3110" r:id="rId3096" xr:uid="{8159CE50-8962-475D-8037-E41BCB59648B}"/>
    <hyperlink ref="B3111" r:id="rId3097" xr:uid="{5EA7DA89-039F-4202-8442-C58E613BEEA6}"/>
    <hyperlink ref="B3112" r:id="rId3098" xr:uid="{9FDC74FB-3903-42C4-B1B5-D3EF7973D976}"/>
    <hyperlink ref="B3113" r:id="rId3099" xr:uid="{F7A66232-F394-468F-95F6-3ECFBB7180F4}"/>
    <hyperlink ref="B3114" r:id="rId3100" xr:uid="{885F88ED-1472-40F9-848F-B3665697BCA0}"/>
    <hyperlink ref="B3115" r:id="rId3101" xr:uid="{6857ADF0-C542-474D-AC10-2761F79381FE}"/>
    <hyperlink ref="B3116" r:id="rId3102" xr:uid="{355BD12A-0458-46D3-8226-4C5DC7D2A380}"/>
    <hyperlink ref="B3117" r:id="rId3103" xr:uid="{3E3DD1B6-0D8B-4FEE-BD50-B205029BC8CA}"/>
    <hyperlink ref="B3118" r:id="rId3104" xr:uid="{BD8C7C49-68BB-4400-A19A-06515DFEBDAB}"/>
    <hyperlink ref="B3119" r:id="rId3105" xr:uid="{4EBC2843-EE18-4ABC-93BD-042FD2AF9A48}"/>
    <hyperlink ref="B3120" r:id="rId3106" xr:uid="{D2A75881-1942-468A-8627-3A7F5C9105C7}"/>
    <hyperlink ref="B3121" r:id="rId3107" xr:uid="{ECC98946-1F14-418F-9BB3-2431A08D8656}"/>
    <hyperlink ref="B3122" r:id="rId3108" xr:uid="{72FB829E-CD53-4F96-9E0A-EAABD29C0EAC}"/>
    <hyperlink ref="B3123" r:id="rId3109" xr:uid="{7A6B2BCE-1622-4AC8-98C7-C647AA15F9C2}"/>
    <hyperlink ref="B3124" r:id="rId3110" xr:uid="{36D49D16-2C7E-4D09-9C83-669DE6203C4F}"/>
    <hyperlink ref="B3125" r:id="rId3111" xr:uid="{62883D72-998F-4A63-BA6E-6671334330E2}"/>
    <hyperlink ref="B3126" r:id="rId3112" xr:uid="{F9B00D11-B865-4D9F-B0E0-86782AA909C5}"/>
    <hyperlink ref="B3127" r:id="rId3113" xr:uid="{DF6F3265-C14B-4DB9-B2FF-811C5A0AB489}"/>
    <hyperlink ref="B3128" r:id="rId3114" xr:uid="{6C63E162-B3F0-464B-9E67-D40D32FB2A60}"/>
    <hyperlink ref="B3129" r:id="rId3115" xr:uid="{57224D0D-4AC9-48A0-BD72-6033CBDA6A7B}"/>
    <hyperlink ref="B3130" r:id="rId3116" xr:uid="{54119F7C-891D-4EF0-B765-9D5D0C82657F}"/>
    <hyperlink ref="B3131" r:id="rId3117" xr:uid="{BB425A81-1F9F-4058-A9ED-0292230FC905}"/>
    <hyperlink ref="B3132" r:id="rId3118" xr:uid="{CA647633-4B5E-4383-A03B-39A7433116F1}"/>
    <hyperlink ref="B3133" r:id="rId3119" xr:uid="{A84E85BC-B802-40EF-AB61-5C2257D5D260}"/>
    <hyperlink ref="B3134" r:id="rId3120" xr:uid="{B429DF25-FADE-4FC2-B1DB-B63678BC15FF}"/>
    <hyperlink ref="B3135" r:id="rId3121" xr:uid="{77A13F7B-10D7-458E-8406-77E82FF4010F}"/>
    <hyperlink ref="B3136" r:id="rId3122" xr:uid="{BD86B5B7-4565-4A4A-B095-ABD97F0EBBE5}"/>
    <hyperlink ref="B3137" r:id="rId3123" xr:uid="{4ED2ACE5-3A78-44D7-AA37-04E3895ED2F3}"/>
    <hyperlink ref="B3138" r:id="rId3124" xr:uid="{841D5364-1301-4D8E-BE9A-A2907AB6CA65}"/>
    <hyperlink ref="B3139" r:id="rId3125" xr:uid="{0064D779-784B-4C55-8E83-450E1DFA9CAB}"/>
    <hyperlink ref="B3140" r:id="rId3126" xr:uid="{5C46D10A-6FEB-43CA-9EF6-F04FE0BE72D1}"/>
    <hyperlink ref="B3141" r:id="rId3127" xr:uid="{2C6F1C28-4C10-498B-B8FD-4D89A11DCD73}"/>
    <hyperlink ref="B3142" r:id="rId3128" xr:uid="{3B34A456-044C-4A59-AAE3-2CB2EB5B1DC1}"/>
    <hyperlink ref="B3143" r:id="rId3129" xr:uid="{7BEB60E9-3AD8-4AA7-B8DC-6A2916B675FA}"/>
    <hyperlink ref="B3144" r:id="rId3130" xr:uid="{D369A450-E64C-49A4-848A-20B85561E08D}"/>
    <hyperlink ref="B3145" r:id="rId3131" xr:uid="{01DD05C6-E853-4DDE-8D63-B047697B3B52}"/>
    <hyperlink ref="B3146" r:id="rId3132" xr:uid="{48155543-6851-4DF5-AAC2-257CA4931AEC}"/>
    <hyperlink ref="B3147" r:id="rId3133" xr:uid="{F639E366-FD99-48F9-8ECC-D5895327BAEB}"/>
    <hyperlink ref="B3148" r:id="rId3134" xr:uid="{6D37441D-A980-4FF0-8EEA-F43AEE4E0CB9}"/>
    <hyperlink ref="B3149" r:id="rId3135" xr:uid="{CCA0DDDD-367B-49A7-A096-DF055A865517}"/>
    <hyperlink ref="B3150" r:id="rId3136" xr:uid="{9BBC8B01-DD42-49DE-A610-BC41A5E9DC36}"/>
    <hyperlink ref="B3151" r:id="rId3137" xr:uid="{98CAFDED-F222-4195-9CC4-439A39716682}"/>
    <hyperlink ref="B3152" r:id="rId3138" xr:uid="{F18C4C5C-33C0-4F54-80AC-76CE7CB084C6}"/>
    <hyperlink ref="B3153" r:id="rId3139" xr:uid="{A8F6395E-E1A4-4324-B546-93E155CC19C4}"/>
    <hyperlink ref="B3154" r:id="rId3140" xr:uid="{958C0BC2-D4AB-4575-AE63-81463B60811C}"/>
    <hyperlink ref="B3155" r:id="rId3141" xr:uid="{C2EE3E83-1242-49F5-AB56-1D5D5A13EA96}"/>
    <hyperlink ref="B3156" r:id="rId3142" xr:uid="{EE19979B-E2AF-415C-9D3F-C1F6AE58BC93}"/>
    <hyperlink ref="B3157" r:id="rId3143" xr:uid="{97383738-E79F-48A6-AFFE-CEDDB5CFDFF3}"/>
    <hyperlink ref="B3158" r:id="rId3144" xr:uid="{DCA2A084-DBDF-4542-B737-7FD42B9A6301}"/>
    <hyperlink ref="B3159" r:id="rId3145" xr:uid="{5E2FA5D1-8084-4D3E-8DF3-2ACA533BFCCD}"/>
    <hyperlink ref="B3160" r:id="rId3146" xr:uid="{EDB63DB3-C33C-4FEC-A7D8-8B71CE659799}"/>
    <hyperlink ref="B3161" r:id="rId3147" xr:uid="{595EA27D-5A75-43D8-BA9B-08604D31B9F7}"/>
    <hyperlink ref="B3162" r:id="rId3148" xr:uid="{E16E6B28-7D14-4065-9DE9-27B2A9D02A72}"/>
    <hyperlink ref="B3163" r:id="rId3149" xr:uid="{6FA494E1-4B11-40AF-BD3C-9AFE92863BB5}"/>
    <hyperlink ref="B3164" r:id="rId3150" xr:uid="{FD445C5B-CC57-4D4B-85FB-907C0EE4C4DF}"/>
    <hyperlink ref="B3165" r:id="rId3151" xr:uid="{CABAE5B0-38D8-435D-AC38-07279B44C182}"/>
    <hyperlink ref="B3166" r:id="rId3152" xr:uid="{4B111958-05FD-4523-AE6A-D9EE0129FE79}"/>
    <hyperlink ref="B3167" r:id="rId3153" xr:uid="{C8900034-9B85-4236-96C1-84BD647428C8}"/>
    <hyperlink ref="B3168" r:id="rId3154" xr:uid="{D1C0A6E3-BF96-4BC2-AA4A-671CEB4EB7F2}"/>
    <hyperlink ref="B3169" r:id="rId3155" xr:uid="{B2A0D840-9D98-4ACF-9C12-D972B2948495}"/>
    <hyperlink ref="B3170" r:id="rId3156" xr:uid="{DDC83A3C-D818-4E21-BC50-1A33B485643A}"/>
    <hyperlink ref="B3171" r:id="rId3157" xr:uid="{4EFC7CB2-1F40-4A35-9262-6CFD1227A2A0}"/>
    <hyperlink ref="B3172" r:id="rId3158" xr:uid="{A3954FED-3029-42C4-B0A6-FC8B1665C1B3}"/>
    <hyperlink ref="B3173" r:id="rId3159" xr:uid="{810F7893-9DF7-4730-AAA7-5A1DBD9FCEDC}"/>
    <hyperlink ref="B3174" r:id="rId3160" xr:uid="{8AAFD50C-B07E-4237-B9F6-C8A1957A653A}"/>
    <hyperlink ref="B3175" r:id="rId3161" xr:uid="{ED3FDA96-FD9D-4211-9DCD-FCC93A9738D5}"/>
    <hyperlink ref="B3176" r:id="rId3162" xr:uid="{804995D6-D7BD-4599-865C-25D2B9DF29D2}"/>
    <hyperlink ref="B3177" r:id="rId3163" xr:uid="{03AA1EA8-F3A0-493A-B139-DF2AD1EDB4D4}"/>
    <hyperlink ref="B3178" r:id="rId3164" xr:uid="{60E6D339-2CB8-409E-8F0E-226846DF2BB5}"/>
    <hyperlink ref="B3179" r:id="rId3165" xr:uid="{AD5D2CA2-5B19-4CBE-BE9B-96884ECA8689}"/>
    <hyperlink ref="B3180" r:id="rId3166" xr:uid="{9994B43C-60C9-4673-B1D4-507909A4793D}"/>
    <hyperlink ref="B3181" r:id="rId3167" xr:uid="{B138D70C-8976-40CA-B3F3-3B7FC87AD83F}"/>
    <hyperlink ref="B3182" r:id="rId3168" xr:uid="{B82C0E49-1422-4F3D-8828-A5E606798F39}"/>
    <hyperlink ref="B3183" r:id="rId3169" xr:uid="{5E90D6E4-E8AC-47F2-AB0E-46E5318C8F4B}"/>
    <hyperlink ref="B3184" r:id="rId3170" xr:uid="{757CF0DC-158B-4729-B475-B9C09D999871}"/>
    <hyperlink ref="B3185" r:id="rId3171" xr:uid="{9E72D530-0855-454C-B990-49ACDC727F0D}"/>
    <hyperlink ref="B3186" r:id="rId3172" xr:uid="{CA06FEF9-E84B-44A6-8ACB-36D10FA1386D}"/>
    <hyperlink ref="B3187" r:id="rId3173" xr:uid="{135A7A8E-A6D2-4125-9AD7-B32307BBD373}"/>
    <hyperlink ref="B3188" r:id="rId3174" xr:uid="{AF55FF93-0907-4D83-9FFE-3381FAFF3426}"/>
    <hyperlink ref="B3189" r:id="rId3175" xr:uid="{130AB2F2-4A3B-4A34-98AC-DAD1182CC10B}"/>
    <hyperlink ref="B3190" r:id="rId3176" xr:uid="{9F051B02-9AF0-490C-9F7C-E7C9D8B88B61}"/>
    <hyperlink ref="B3191" r:id="rId3177" xr:uid="{FB8B1193-796E-4610-801C-EC5E05A806E6}"/>
    <hyperlink ref="B3192" r:id="rId3178" xr:uid="{F1DC4FE3-58DB-4F09-9400-D38B1EF3525E}"/>
    <hyperlink ref="B3193" r:id="rId3179" xr:uid="{CFA4F490-AAF4-48FB-B268-713851F61338}"/>
    <hyperlink ref="B3194" r:id="rId3180" xr:uid="{E4E617A7-7718-4983-84F3-205EBB6825E0}"/>
    <hyperlink ref="B3195" r:id="rId3181" xr:uid="{F733FF08-9CBC-4749-A4EB-AC7DB91FBB9E}"/>
    <hyperlink ref="B3196" r:id="rId3182" xr:uid="{B97227E2-EC0F-436C-B3F1-84CB11AC5F6A}"/>
    <hyperlink ref="B3197" r:id="rId3183" xr:uid="{A9F3906A-3B5C-4167-9110-3B82C012EF9C}"/>
    <hyperlink ref="B3198" r:id="rId3184" xr:uid="{5A24B0A6-DFD7-48C9-988F-ECE6615BC333}"/>
    <hyperlink ref="B3199" r:id="rId3185" xr:uid="{E9913097-4E8D-4538-AEB0-8B65490E9017}"/>
    <hyperlink ref="B3200" r:id="rId3186" xr:uid="{AA023647-9F5F-4ED8-8BDB-F8F28D7022B5}"/>
    <hyperlink ref="B3201" r:id="rId3187" xr:uid="{E0C11859-86A3-4B7F-8B10-9752E14DD91C}"/>
    <hyperlink ref="B3202" r:id="rId3188" xr:uid="{2C145CFE-E76D-4C09-A484-4EFC8308F2AE}"/>
    <hyperlink ref="B3203" r:id="rId3189" xr:uid="{A5154D3A-EE42-48CA-9F53-819576B6693F}"/>
    <hyperlink ref="B3204" r:id="rId3190" xr:uid="{7C4BB77D-6062-4937-99EA-178C4222B273}"/>
    <hyperlink ref="B3205" r:id="rId3191" xr:uid="{E50B103F-A24B-46B1-A329-BB07AE8BA616}"/>
    <hyperlink ref="B3206" r:id="rId3192" xr:uid="{228D194A-2C17-490B-B934-B38A8E8E35BD}"/>
    <hyperlink ref="B3207" r:id="rId3193" xr:uid="{7449D917-7C40-4154-ADDE-9B294DF3AD22}"/>
    <hyperlink ref="B3208" r:id="rId3194" xr:uid="{CD377316-37DA-4516-84E8-427CDE4BA792}"/>
    <hyperlink ref="B3209" r:id="rId3195" xr:uid="{635C203E-3634-4CF1-BD12-74080F64EDA2}"/>
    <hyperlink ref="B3210" r:id="rId3196" xr:uid="{80963D90-22D1-4EBD-824C-297D788BD367}"/>
    <hyperlink ref="B3211" r:id="rId3197" xr:uid="{3E5C41C6-4CEE-4FA9-91DE-2A018AE739ED}"/>
    <hyperlink ref="B3212" r:id="rId3198" xr:uid="{A20F58E1-FB40-4102-9AD7-8AB70239CD75}"/>
    <hyperlink ref="B3213" r:id="rId3199" xr:uid="{3212A274-571E-41E5-AEE8-3193768E1D59}"/>
    <hyperlink ref="B3214" r:id="rId3200" xr:uid="{BBDBE58D-0247-484D-83E7-D0A2A23C9F4F}"/>
    <hyperlink ref="B3215" r:id="rId3201" xr:uid="{540126EF-8780-4FAF-8F9C-3456547820CA}"/>
    <hyperlink ref="B3216" r:id="rId3202" xr:uid="{D7F5950E-265B-4C62-B267-12BF3F3B1E63}"/>
    <hyperlink ref="B3217" r:id="rId3203" xr:uid="{1C4EC75F-1016-4E84-AA28-898485D9D27B}"/>
    <hyperlink ref="B3218" r:id="rId3204" xr:uid="{ECF2D9BE-53BC-4016-BDEA-76247543B553}"/>
    <hyperlink ref="B3219" r:id="rId3205" xr:uid="{409D9493-6CC5-4549-B231-EAC4F77C620E}"/>
    <hyperlink ref="B3220" r:id="rId3206" xr:uid="{428BE4BE-D4FF-4E38-8E9D-B5D4344E3F27}"/>
    <hyperlink ref="B3221" r:id="rId3207" xr:uid="{09C8795D-8C78-4611-80E5-4C681E6EBAC0}"/>
    <hyperlink ref="B3222" r:id="rId3208" xr:uid="{E6B38D65-0874-4346-B42D-A979BB34231A}"/>
    <hyperlink ref="B3223" r:id="rId3209" xr:uid="{46C140A6-B787-43FF-B16E-FB026B9A57A8}"/>
    <hyperlink ref="B3224" r:id="rId3210" xr:uid="{5BE0A4D7-0F59-46AE-A1F7-B17A200A3859}"/>
    <hyperlink ref="B3225" r:id="rId3211" xr:uid="{0F733CED-BB2E-4EB1-8E19-038E24BF5B35}"/>
    <hyperlink ref="B3226" r:id="rId3212" xr:uid="{4B6A3DF3-7870-4761-9149-634F3272FE4F}"/>
    <hyperlink ref="B3227" r:id="rId3213" xr:uid="{5797BB72-6454-4DCE-AC92-B747A0F3D068}"/>
    <hyperlink ref="B3228" r:id="rId3214" xr:uid="{B1FB6146-D202-4829-9C27-5FEF53F75F3A}"/>
    <hyperlink ref="B3229" r:id="rId3215" xr:uid="{A1E8750C-2019-4739-B2DA-C18CF29C0C91}"/>
    <hyperlink ref="B3230" r:id="rId3216" xr:uid="{A4FCAC83-E9F0-4246-ABA4-53D2E56C315B}"/>
    <hyperlink ref="B3231" r:id="rId3217" xr:uid="{A72008F5-F560-44F3-92AB-E367FEFDC27B}"/>
    <hyperlink ref="B3232" r:id="rId3218" xr:uid="{F61477F8-A396-405E-B65C-658728FE1200}"/>
    <hyperlink ref="B3233" r:id="rId3219" xr:uid="{E2C05E62-845D-43CF-879E-B613BC1F6FAE}"/>
    <hyperlink ref="B3234" r:id="rId3220" xr:uid="{E30E762F-F4D1-4133-A75E-EA4016307B33}"/>
    <hyperlink ref="B3235" r:id="rId3221" xr:uid="{D276B0DD-ABE8-4EAB-8208-CD37C8BFCE23}"/>
    <hyperlink ref="B3236" r:id="rId3222" xr:uid="{48F3B96A-288A-4BD3-88FC-D8ACEDE544DF}"/>
    <hyperlink ref="B3237" r:id="rId3223" xr:uid="{B8AD9B2B-2E3E-485B-8A4B-A560A4B5FF64}"/>
    <hyperlink ref="B3238" r:id="rId3224" xr:uid="{2C972750-86FF-42DE-BEE7-0AABB90A8F67}"/>
    <hyperlink ref="B3239" r:id="rId3225" xr:uid="{34DB113E-4526-4D7F-A773-4730E9D4DE91}"/>
    <hyperlink ref="B3240" r:id="rId3226" xr:uid="{B0250D37-44BC-4032-969C-E3E680F3D320}"/>
    <hyperlink ref="B3241" r:id="rId3227" xr:uid="{74E64324-A6BF-4DF6-88AC-21B4F5C5A584}"/>
    <hyperlink ref="B3242" r:id="rId3228" xr:uid="{CF397396-BCB5-4126-8CFB-520D8A3CE9E8}"/>
    <hyperlink ref="B3243" r:id="rId3229" xr:uid="{75455DF3-B0F5-4E05-B21A-3F3934DF0BDB}"/>
    <hyperlink ref="B3244" r:id="rId3230" xr:uid="{6A6FE8F7-B888-4498-ADFD-3EA48DA3C419}"/>
    <hyperlink ref="B3245" r:id="rId3231" xr:uid="{9815A591-9AFB-4161-B6CA-2510FD4919E5}"/>
    <hyperlink ref="B3246" r:id="rId3232" xr:uid="{457C6909-9E2A-48B0-BAD4-21FAF6E9FE22}"/>
    <hyperlink ref="B3247" r:id="rId3233" xr:uid="{7FAA81EF-3BD6-43D8-9D0B-8E92EFA648F8}"/>
    <hyperlink ref="B3248" r:id="rId3234" xr:uid="{13ECA60A-7E9B-451C-8DFE-F6C2E1B6F4D7}"/>
    <hyperlink ref="B3249" r:id="rId3235" xr:uid="{23CC7C06-FD8B-41BF-BC6E-59DD9575B804}"/>
    <hyperlink ref="B3250" r:id="rId3236" xr:uid="{50DCBF5D-C155-4FD5-88C9-D6D6BAB2EE88}"/>
    <hyperlink ref="B3251" r:id="rId3237" xr:uid="{C78D36E7-D524-47D1-B321-6FA40A2C3E12}"/>
    <hyperlink ref="B3252" r:id="rId3238" xr:uid="{053858C5-1FAF-4596-836F-E799F7A6071E}"/>
    <hyperlink ref="B3253" r:id="rId3239" xr:uid="{C51E0CDB-CF01-4611-8230-80CEDB1A6AE9}"/>
    <hyperlink ref="B3254" r:id="rId3240" xr:uid="{759C2D3B-F6E6-4195-9A2B-093E7E61B208}"/>
    <hyperlink ref="B3255" r:id="rId3241" xr:uid="{F0B85EF4-A3EB-402B-90AB-911CF024D814}"/>
    <hyperlink ref="B3256" r:id="rId3242" xr:uid="{A978220A-D576-4A1B-8AAB-7C9F614B9673}"/>
    <hyperlink ref="B3257" r:id="rId3243" xr:uid="{82BA13A7-1FAF-475F-B3F8-AB19FD796138}"/>
    <hyperlink ref="B3258" r:id="rId3244" xr:uid="{FEAF4687-E783-46F2-B8E4-78DF64EBCCE8}"/>
    <hyperlink ref="B3259" r:id="rId3245" xr:uid="{B4B6C8C6-F617-405D-9F9B-989D992A9ADF}"/>
    <hyperlink ref="B3260" r:id="rId3246" xr:uid="{61EB2354-7401-41E1-BD99-CBD0ABA2F8AB}"/>
    <hyperlink ref="B3261" r:id="rId3247" xr:uid="{B867FE12-A4C7-4E3E-AEF4-77A00D025D05}"/>
    <hyperlink ref="B3262" r:id="rId3248" xr:uid="{77D315BA-A033-4FD3-873D-FA1945A0CB4F}"/>
    <hyperlink ref="B3263" r:id="rId3249" xr:uid="{86F1CF69-EBD7-426E-9FC7-356F94554BD4}"/>
    <hyperlink ref="B3264" r:id="rId3250" xr:uid="{F4CF49FC-12C8-41B5-963D-F50C407BE080}"/>
    <hyperlink ref="B3265" r:id="rId3251" xr:uid="{E1DEE19E-D47E-4FD1-B81B-F8A3304834E4}"/>
    <hyperlink ref="B3266" r:id="rId3252" xr:uid="{A750E1C1-D28F-4356-AACF-7EE42FC869D7}"/>
    <hyperlink ref="B3267" r:id="rId3253" xr:uid="{6F243816-ECC9-446C-AD77-CE19030F3C3D}"/>
    <hyperlink ref="B3268" r:id="rId3254" xr:uid="{558552E0-459F-4C6B-9DED-65E64AC8D9C8}"/>
    <hyperlink ref="B3269" r:id="rId3255" xr:uid="{543EC281-2BE8-493F-8B61-E5FFD3C88916}"/>
    <hyperlink ref="B3270" r:id="rId3256" xr:uid="{61F34136-6666-4532-BDE0-885C74579DA2}"/>
    <hyperlink ref="B3271" r:id="rId3257" xr:uid="{5C442FCE-A269-4D8E-84AC-9E015EE36F18}"/>
    <hyperlink ref="B3272" r:id="rId3258" xr:uid="{8EF89B22-CD16-4759-BC29-375751C49FD0}"/>
    <hyperlink ref="B3273" r:id="rId3259" xr:uid="{96133BA2-8EE7-4156-B107-03B0D1A5BFB3}"/>
    <hyperlink ref="B3274" r:id="rId3260" xr:uid="{D6CE7943-345F-4A67-9D3E-A2982C590482}"/>
    <hyperlink ref="B3275" r:id="rId3261" xr:uid="{267F911C-AC7E-407C-A0A1-CB58755A1918}"/>
    <hyperlink ref="B3276" r:id="rId3262" xr:uid="{4E89C654-B66E-4294-8124-0D7A504495B2}"/>
    <hyperlink ref="B3277" r:id="rId3263" xr:uid="{CF76050A-D78D-441B-9896-6422F50CD0AF}"/>
    <hyperlink ref="B3278" r:id="rId3264" xr:uid="{8EAFA5F2-D6EC-4A78-82D9-5AFD8F4DB3BB}"/>
    <hyperlink ref="B3279" r:id="rId3265" xr:uid="{B7C28EC2-5AFB-44AE-84CF-102E50A80187}"/>
    <hyperlink ref="B3280" r:id="rId3266" xr:uid="{C589682E-6936-4B35-884B-04EA7386954C}"/>
    <hyperlink ref="B3281" r:id="rId3267" xr:uid="{40324EDA-9918-4347-BF07-E0E265854F20}"/>
    <hyperlink ref="B3282" r:id="rId3268" xr:uid="{980CF66B-E18D-48B2-B6C8-EE57FA19695E}"/>
    <hyperlink ref="B3283" r:id="rId3269" xr:uid="{DDE9163B-3AE6-49D0-88A0-310005DA86E9}"/>
    <hyperlink ref="B3284" r:id="rId3270" xr:uid="{C9B32A1F-DD76-4AF8-9386-8B0E6FDCC875}"/>
    <hyperlink ref="B3285" r:id="rId3271" xr:uid="{2A0E238A-7ABD-41D8-9255-8FF35A407F97}"/>
    <hyperlink ref="B3286" r:id="rId3272" xr:uid="{5A68AA5A-DB2D-4F05-9F14-A591494AA625}"/>
    <hyperlink ref="B3287" r:id="rId3273" xr:uid="{87363912-AD42-4F0A-BD90-B724BBEAFB61}"/>
    <hyperlink ref="B3288" r:id="rId3274" xr:uid="{F5B9F5C2-CED4-44FA-8F5F-D195D6D30C4F}"/>
    <hyperlink ref="B3289" r:id="rId3275" xr:uid="{84133C5A-2CDC-4EED-AF17-3F0624F008D5}"/>
    <hyperlink ref="B3290" r:id="rId3276" xr:uid="{2E31A73C-5F75-429F-966F-FDD2D37F0257}"/>
    <hyperlink ref="B3291" r:id="rId3277" xr:uid="{DA0D0E75-35A5-47BE-99CE-2C93B91A4D5D}"/>
    <hyperlink ref="B3292" r:id="rId3278" xr:uid="{DF129DD1-8D08-4DBA-9451-D28EEB2E20E9}"/>
    <hyperlink ref="B3293" r:id="rId3279" xr:uid="{2242D862-1940-46E8-9B88-3ACFFB4D7EC5}"/>
    <hyperlink ref="B3294" r:id="rId3280" xr:uid="{E73F6B9F-0BDF-4B15-8A8A-662780694335}"/>
    <hyperlink ref="B3295" r:id="rId3281" xr:uid="{51610D76-1035-445A-A1A9-B482EC03E8A6}"/>
    <hyperlink ref="B3296" r:id="rId3282" xr:uid="{A580C443-325B-463E-878B-4415D0CA507C}"/>
    <hyperlink ref="B3297" r:id="rId3283" xr:uid="{E5EC9AD8-4253-4E13-A0FF-862DB4266EF6}"/>
    <hyperlink ref="B3298" r:id="rId3284" xr:uid="{F0A9E946-E679-493A-B44E-6E4EA05B20BC}"/>
    <hyperlink ref="B3299" r:id="rId3285" xr:uid="{973CD52C-CFDA-4A2A-AEF4-AD828787E0A0}"/>
    <hyperlink ref="B3300" r:id="rId3286" xr:uid="{5E07BC5E-5FB8-40F1-8F1C-08C73714EF4F}"/>
    <hyperlink ref="B3301" r:id="rId3287" xr:uid="{EE5528B5-AA70-46E3-9479-01C12EB71B0C}"/>
    <hyperlink ref="B3302" r:id="rId3288" xr:uid="{4DCC0E7E-7E1F-4C40-A271-DA6784CEC736}"/>
    <hyperlink ref="B3303" r:id="rId3289" xr:uid="{BDE9EBEE-0DDD-4F56-93B9-85D92CCA0672}"/>
    <hyperlink ref="B3304" r:id="rId3290" xr:uid="{4D86D863-7B2D-47D5-ABD7-8378F25576D4}"/>
    <hyperlink ref="B3305" r:id="rId3291" xr:uid="{12AD593E-742F-4407-9F2C-1987525C4816}"/>
    <hyperlink ref="B3306" r:id="rId3292" xr:uid="{36C1EC12-9E09-4851-BA60-C0272F8C9E89}"/>
    <hyperlink ref="B3307" r:id="rId3293" xr:uid="{70E0A33A-A21E-4FB7-A845-69C170742E15}"/>
    <hyperlink ref="B3308" r:id="rId3294" xr:uid="{704E5929-4A1B-4AFC-BC99-E82CFA8F97E9}"/>
    <hyperlink ref="B3309" r:id="rId3295" xr:uid="{12FD5FE1-7660-4641-B74B-EB0AF224B21E}"/>
    <hyperlink ref="B3310" r:id="rId3296" xr:uid="{A5630565-2CA9-4F7E-B10F-E89EAACB9F9C}"/>
    <hyperlink ref="B3311" r:id="rId3297" xr:uid="{EF49FD89-E9BA-47F2-BBA7-EE0C1C1408BA}"/>
    <hyperlink ref="B3312" r:id="rId3298" xr:uid="{E64666DE-3A81-4F76-8606-D7C845EF6F44}"/>
    <hyperlink ref="B3313" r:id="rId3299" xr:uid="{444BECCE-D9D6-4935-9BA1-7CD21FAB51F0}"/>
    <hyperlink ref="B3314" r:id="rId3300" xr:uid="{D7D35FF3-11B1-4F5A-B45C-52713874F95A}"/>
    <hyperlink ref="B3315" r:id="rId3301" xr:uid="{6340213E-39C9-457D-A51F-3D9CAA6D8BEF}"/>
    <hyperlink ref="B3316" r:id="rId3302" xr:uid="{903E0D3B-5D65-4D71-B8ED-575CD24F89F1}"/>
    <hyperlink ref="B3317" r:id="rId3303" xr:uid="{CCE5D30C-74AF-454B-B262-59BA6526CD33}"/>
    <hyperlink ref="B3318" r:id="rId3304" xr:uid="{F38F3456-720E-4A4D-BB75-13FE295046D0}"/>
    <hyperlink ref="B3319" r:id="rId3305" xr:uid="{06008FCF-98A1-4B1A-A3F2-24DD3F2B7F60}"/>
    <hyperlink ref="B3320" r:id="rId3306" xr:uid="{56184C86-1C27-4622-852E-B68B810C7EC7}"/>
    <hyperlink ref="B3321" r:id="rId3307" xr:uid="{0B2CD31C-162C-4906-A72A-47F48B85778A}"/>
    <hyperlink ref="B3322" r:id="rId3308" xr:uid="{BC8CA350-5273-4833-A6EA-4B4BA13C0EB2}"/>
    <hyperlink ref="B3323" r:id="rId3309" xr:uid="{58112011-BF09-4016-A32E-DAD6AC6FFE2F}"/>
    <hyperlink ref="B3324" r:id="rId3310" xr:uid="{FA5BDD4F-17F6-4574-A14D-67AA413F3CCE}"/>
    <hyperlink ref="B3325" r:id="rId3311" xr:uid="{B287D42F-24B1-43CB-9857-FE3CE86F7ADC}"/>
    <hyperlink ref="B3326" r:id="rId3312" xr:uid="{316A04E6-31BD-4FC8-9315-C2E4604BD7DA}"/>
    <hyperlink ref="B3327" r:id="rId3313" xr:uid="{4AC9663E-1022-477C-BC59-B3C6F73D6FE3}"/>
    <hyperlink ref="B3328" r:id="rId3314" xr:uid="{7DD56534-E2A1-4D9C-B8BC-C5649B9AA52B}"/>
    <hyperlink ref="B3329" r:id="rId3315" xr:uid="{F7015332-0739-49F3-879E-9351F5D034D7}"/>
    <hyperlink ref="B3330" r:id="rId3316" xr:uid="{A0D409DF-19B6-4302-8CCD-F476B43A3186}"/>
    <hyperlink ref="B3331" r:id="rId3317" xr:uid="{D17BA255-F681-4FAB-847B-AA6B0C8ED4A6}"/>
    <hyperlink ref="B3332" r:id="rId3318" xr:uid="{789A25EA-6A45-4EB7-9936-0FCAF5FC17A9}"/>
    <hyperlink ref="B3333" r:id="rId3319" xr:uid="{ABB62D6C-66B9-4DFD-AF6C-4A0D5BB7A14B}"/>
    <hyperlink ref="B3334" r:id="rId3320" xr:uid="{26947627-939B-44E1-A232-754E1CF0BAE6}"/>
    <hyperlink ref="B3335" r:id="rId3321" xr:uid="{7809DD4D-05F3-4D37-8398-CF9F52168FD1}"/>
    <hyperlink ref="B3336" r:id="rId3322" xr:uid="{B0AC0B75-B5C6-49FA-BFA4-732E006D6444}"/>
    <hyperlink ref="B3337" r:id="rId3323" xr:uid="{DA3A87F9-699C-4D7C-B1C3-50D250896D5F}"/>
    <hyperlink ref="B3338" r:id="rId3324" xr:uid="{8EF54C04-F464-48CE-BA90-2EEC34461E15}"/>
    <hyperlink ref="B3339" r:id="rId3325" xr:uid="{968762B1-A64D-4820-BF37-CD453B972AB4}"/>
    <hyperlink ref="B3340" r:id="rId3326" xr:uid="{8D15CB7F-0ED7-4BE9-9215-07738810B7C3}"/>
    <hyperlink ref="B3341" r:id="rId3327" xr:uid="{6224F8F0-7BE6-41A9-85A7-9D3C9BB61355}"/>
    <hyperlink ref="B3342" r:id="rId3328" xr:uid="{187F0918-DDE1-4B8B-8181-5C2D29B9C03C}"/>
    <hyperlink ref="B3343" r:id="rId3329" xr:uid="{E09783D3-1CFF-4CDD-BAC7-98076922871D}"/>
    <hyperlink ref="B3344" r:id="rId3330" xr:uid="{3208B168-BFF6-4038-BA1D-7EFE376218CF}"/>
    <hyperlink ref="B3345" r:id="rId3331" xr:uid="{7906AD70-4EDF-411A-AC57-DB371274E8DF}"/>
    <hyperlink ref="B3346" r:id="rId3332" xr:uid="{1B9FFBB2-6B46-4170-9120-50134725EEB3}"/>
    <hyperlink ref="B3347" r:id="rId3333" xr:uid="{8C635D55-F44C-414B-A935-4B0CAC233A2C}"/>
    <hyperlink ref="B3348" r:id="rId3334" xr:uid="{9AC72A94-661D-44D1-B3DB-6BADEF473CD2}"/>
    <hyperlink ref="B3349" r:id="rId3335" xr:uid="{38B717EF-D482-4CC0-968D-1E5B3080F903}"/>
    <hyperlink ref="B3350" r:id="rId3336" xr:uid="{9C8F3CA6-5A0B-48AC-89EF-BF5B357FDFB9}"/>
    <hyperlink ref="B3351" r:id="rId3337" xr:uid="{790895EE-3B91-40E3-B9B1-BD3EDA760093}"/>
    <hyperlink ref="B3352" r:id="rId3338" xr:uid="{975A90D6-722C-44EE-B420-87DFA2C0557D}"/>
    <hyperlink ref="B3353" r:id="rId3339" xr:uid="{4993E13E-B3AE-410A-BF11-69AE1FBE9C01}"/>
    <hyperlink ref="B3354" r:id="rId3340" xr:uid="{69507848-CBF0-4D7E-A2FA-274CFD95968C}"/>
    <hyperlink ref="B3355" r:id="rId3341" xr:uid="{DA52F0D3-3F3B-46BC-B221-B0CF69EB3866}"/>
    <hyperlink ref="B3356" r:id="rId3342" xr:uid="{DD9DD5F2-3B52-4E45-B6DE-D5006EAB2BEE}"/>
    <hyperlink ref="B3357" r:id="rId3343" xr:uid="{B638FE24-0B64-4815-93B0-7B195B4EC88B}"/>
    <hyperlink ref="B3358" r:id="rId3344" xr:uid="{84844AEB-3F4B-4751-AB4E-325BBD367717}"/>
    <hyperlink ref="B3359" r:id="rId3345" xr:uid="{9F80BF48-5915-4BF9-ABD8-794820BEED38}"/>
    <hyperlink ref="B3360" r:id="rId3346" xr:uid="{851B17A8-844D-49D7-86DA-3E766A26574A}"/>
    <hyperlink ref="B3361" r:id="rId3347" xr:uid="{B45848DC-A6EC-4BB1-8601-E01AA0D436D3}"/>
    <hyperlink ref="B3362" r:id="rId3348" xr:uid="{D2702DEF-14BF-476C-936D-F1FD22E198C7}"/>
    <hyperlink ref="B3363" r:id="rId3349" xr:uid="{2BF5F223-FA14-416E-B372-191FB7C3FBD6}"/>
    <hyperlink ref="B3364" r:id="rId3350" xr:uid="{4B00DC46-B8F6-41CA-90D0-785D245F7AE7}"/>
    <hyperlink ref="B3365" r:id="rId3351" xr:uid="{536F1E70-AF6B-4427-8D11-41E9FA202747}"/>
    <hyperlink ref="B3366" r:id="rId3352" xr:uid="{C4241C1A-899A-4D0B-B655-635F7AF5F53B}"/>
    <hyperlink ref="B3367" r:id="rId3353" xr:uid="{F77F61DA-B096-4302-A278-02CD73AF314A}"/>
    <hyperlink ref="B3368" r:id="rId3354" xr:uid="{C70FBE47-0822-4845-B119-16FC63525E3A}"/>
    <hyperlink ref="B3369" r:id="rId3355" xr:uid="{C6C4FD4D-8C99-458B-976D-E8B264D04CEB}"/>
    <hyperlink ref="B3370" r:id="rId3356" xr:uid="{9296530C-D287-4A63-8416-5B54EE717A2F}"/>
    <hyperlink ref="B3371" r:id="rId3357" xr:uid="{BAC5B74A-C93E-43DB-9B8E-FB1D29971368}"/>
    <hyperlink ref="B3372" r:id="rId3358" xr:uid="{6B4E6EF9-9F85-41B6-96E0-3C8FF9AC431C}"/>
    <hyperlink ref="B3373" r:id="rId3359" xr:uid="{FD041772-9B59-44BC-9356-15AC99CE28FA}"/>
    <hyperlink ref="B3374" r:id="rId3360" xr:uid="{96F74287-5B0C-481D-82A1-9FEEACC0E274}"/>
    <hyperlink ref="B3375" r:id="rId3361" xr:uid="{BC7176CC-CF3A-4DF4-A907-3B0CA491BDFE}"/>
    <hyperlink ref="B3376" r:id="rId3362" xr:uid="{BB28D73B-AD86-4AAE-B4EF-7F4D271D2585}"/>
    <hyperlink ref="B3377" r:id="rId3363" xr:uid="{643E5F89-7B6E-428E-B930-9EC1D420AD15}"/>
    <hyperlink ref="B3378" r:id="rId3364" xr:uid="{52820801-8049-494E-B27C-2DD3616C4160}"/>
    <hyperlink ref="B3379" r:id="rId3365" xr:uid="{4A158A59-5AF0-4724-98BB-1578333D4715}"/>
    <hyperlink ref="B3380" r:id="rId3366" xr:uid="{50A7EE93-DE39-4522-A155-408BAA844BFA}"/>
    <hyperlink ref="B3381" r:id="rId3367" xr:uid="{A106D1F8-5819-4E2C-9EF4-B5594022A3E6}"/>
    <hyperlink ref="B3382" r:id="rId3368" xr:uid="{8982BEC0-53E3-4782-957B-445BF4A8F665}"/>
    <hyperlink ref="B3383" r:id="rId3369" xr:uid="{7519FFA5-CA57-4328-92BD-CFF90BA8E80C}"/>
    <hyperlink ref="B3384" r:id="rId3370" xr:uid="{7C5E9255-1CCE-420E-A6EB-3A466BDAE51D}"/>
    <hyperlink ref="B3385" r:id="rId3371" xr:uid="{FD1A60AD-00E7-4871-B46F-F10791E69C6E}"/>
    <hyperlink ref="B3386" r:id="rId3372" xr:uid="{80B3ADD1-1A30-43EB-B142-F0D17633D349}"/>
    <hyperlink ref="B3387" r:id="rId3373" xr:uid="{B6D9364E-5EDE-4B98-A0AA-656CD457ABD5}"/>
    <hyperlink ref="B3388" r:id="rId3374" xr:uid="{B51493C9-CBAB-4E9D-BB13-1A98D11BC38A}"/>
    <hyperlink ref="B3389" r:id="rId3375" xr:uid="{F548578D-A8CE-45CF-8F7C-CEC2876A6F92}"/>
    <hyperlink ref="B3390" r:id="rId3376" xr:uid="{DC9877C8-AC69-4362-92E6-0EFB1D6C8A39}"/>
    <hyperlink ref="B3391" r:id="rId3377" xr:uid="{58C54284-93EA-4377-B64F-916FE2D5FB3F}"/>
    <hyperlink ref="B3392" r:id="rId3378" xr:uid="{0FEFB057-6A02-4C6F-8DEA-7A55556B1E72}"/>
    <hyperlink ref="B3393" r:id="rId3379" xr:uid="{65CC370B-1542-4218-B48A-686583DFE31F}"/>
    <hyperlink ref="B3394" r:id="rId3380" xr:uid="{6DF51AFD-5A60-4130-8BC3-1D199F1D047E}"/>
    <hyperlink ref="B3395" r:id="rId3381" xr:uid="{1202699D-AF1F-4610-8960-8AAB58807A4E}"/>
    <hyperlink ref="B3396" r:id="rId3382" xr:uid="{FC7C3CD7-8B4D-4155-979E-28C1ABF392E7}"/>
    <hyperlink ref="B3397" r:id="rId3383" xr:uid="{A93A996B-B7AC-4B9B-8A8A-8AE1D3465790}"/>
    <hyperlink ref="B3398" r:id="rId3384" xr:uid="{13917FD3-5469-4B89-840F-74A3B14B7AA7}"/>
    <hyperlink ref="B3399" r:id="rId3385" xr:uid="{6D1089F4-BFF3-4EEF-8669-FDDA95E02F9A}"/>
    <hyperlink ref="B3400" r:id="rId3386" xr:uid="{F355560D-7E2B-4CD3-8523-9DD7E01C190D}"/>
    <hyperlink ref="B3401" r:id="rId3387" xr:uid="{E0136ECF-9235-49C8-A9F3-CE7DE650779C}"/>
    <hyperlink ref="B3402" r:id="rId3388" xr:uid="{7B565B45-B502-4C74-8A23-811D630528DF}"/>
    <hyperlink ref="B3403" r:id="rId3389" xr:uid="{D1830046-0684-4C56-84E4-E6ADE4CCD0EE}"/>
    <hyperlink ref="B3404" r:id="rId3390" xr:uid="{562BBD92-A8AD-46CF-BF3A-C99C81CD9ADB}"/>
    <hyperlink ref="B3405" r:id="rId3391" xr:uid="{8E977423-3D96-4C38-B7B1-C887584F6257}"/>
    <hyperlink ref="B3406" r:id="rId3392" xr:uid="{2675D99D-D691-43FF-AD0C-78D95F6234A1}"/>
    <hyperlink ref="B2416" r:id="rId3393" xr:uid="{3BBFFF0B-352E-4B98-8B21-E78FA2F9E7E2}"/>
  </hyperlinks>
  <pageMargins left="0.7" right="0.7" top="0.75" bottom="0.75" header="0.3" footer="0.3"/>
  <pageSetup orientation="portrait" r:id="rId3394"/>
  <legacyDrawing r:id="rId33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B6409-B756-4810-AE43-4741BCC2DAED}">
  <dimension ref="A1:G7"/>
  <sheetViews>
    <sheetView workbookViewId="0">
      <selection activeCell="G6" sqref="G6"/>
    </sheetView>
  </sheetViews>
  <sheetFormatPr defaultRowHeight="12.5" x14ac:dyDescent="0.25"/>
  <cols>
    <col min="1" max="4" width="16.26953125" style="56" customWidth="1"/>
  </cols>
  <sheetData>
    <row r="1" spans="1:7" x14ac:dyDescent="0.25">
      <c r="A1" s="56" t="s">
        <v>1324</v>
      </c>
      <c r="B1" s="56" t="s">
        <v>3494</v>
      </c>
      <c r="C1" s="56" t="s">
        <v>3493</v>
      </c>
    </row>
    <row r="7" spans="1:7" x14ac:dyDescent="0.25">
      <c r="G7" s="5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ViviEmbroidery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2026-06-16T15:27:53Z</dcterms:created>
  <dcterms:modified xsi:type="dcterms:W3CDTF">2026-06-19T08:10:20Z</dcterms:modified>
</cp:coreProperties>
</file>